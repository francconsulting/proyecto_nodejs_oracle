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is Documentos\INFORMES SF\INFORMES\A3 - altas con mensajes 02-05\20180116\"/>
    </mc:Choice>
  </mc:AlternateContent>
  <bookViews>
    <workbookView xWindow="0" yWindow="465" windowWidth="28800" windowHeight="12225" activeTab="1"/>
  </bookViews>
  <sheets>
    <sheet name="Resumen" sheetId="7" r:id="rId1"/>
    <sheet name="solicitudes_alta" sheetId="2" r:id="rId2"/>
    <sheet name="mensajes" sheetId="9" r:id="rId3"/>
    <sheet name="Instrucciones elaboración" sheetId="8" r:id="rId4"/>
  </sheets>
  <functionGroups builtInGroupCount="18"/>
  <definedNames>
    <definedName name="_xlnm._FilterDatabase" localSheetId="1" hidden="1">solicitudes_alta!$A$1:$AQ$4079</definedName>
    <definedName name="A3_mensajes" localSheetId="1">solicitudes_alta!$A$2:$S$2</definedName>
    <definedName name="A3_mensajes.csv" localSheetId="1">solicitudes_alta!#REF!</definedName>
    <definedName name="A3_mensajes.dsv" localSheetId="1">solicitudes_alta!$A$2:$S$2</definedName>
    <definedName name="A3_mensajes_1" localSheetId="1">solicitudes_alta!#REF!</definedName>
    <definedName name="A3_mensajes_10" localSheetId="1">solicitudes_alta!#REF!</definedName>
    <definedName name="A3_mensajes_11" localSheetId="1">solicitudes_alta!#REF!</definedName>
    <definedName name="A3_mensajes_12" localSheetId="1">solicitudes_alta!#REF!</definedName>
    <definedName name="A3_mensajes_13" localSheetId="1">solicitudes_alta!#REF!</definedName>
    <definedName name="A3_mensajes_14" localSheetId="1">solicitudes_alta!#REF!</definedName>
    <definedName name="A3_mensajes_15" localSheetId="1">solicitudes_alta!#REF!</definedName>
    <definedName name="A3_mensajes_16" localSheetId="1">solicitudes_alta!#REF!</definedName>
    <definedName name="A3_mensajes_17" localSheetId="1">solicitudes_alta!#REF!</definedName>
    <definedName name="A3_mensajes_18" localSheetId="1">solicitudes_alta!#REF!</definedName>
    <definedName name="A3_mensajes_19" localSheetId="1">solicitudes_alta!#REF!</definedName>
    <definedName name="A3_mensajes_2" localSheetId="1">solicitudes_alta!#REF!</definedName>
    <definedName name="A3_mensajes_20" localSheetId="1">solicitudes_alta!#REF!</definedName>
    <definedName name="A3_mensajes_21" localSheetId="1">solicitudes_alta!#REF!</definedName>
    <definedName name="A3_mensajes_22" localSheetId="1">solicitudes_alta!#REF!</definedName>
    <definedName name="A3_mensajes_23" localSheetId="1">solicitudes_alta!#REF!</definedName>
    <definedName name="A3_mensajes_24" localSheetId="1">solicitudes_alta!#REF!</definedName>
    <definedName name="A3_mensajes_25" localSheetId="1">solicitudes_alta!#REF!</definedName>
    <definedName name="A3_mensajes_26" localSheetId="1">solicitudes_alta!#REF!</definedName>
    <definedName name="A3_mensajes_27" localSheetId="1">solicitudes_alta!#REF!</definedName>
    <definedName name="A3_mensajes_28" localSheetId="1">solicitudes_alta!#REF!</definedName>
    <definedName name="A3_mensajes_29" localSheetId="1">solicitudes_alta!#REF!</definedName>
    <definedName name="A3_mensajes_3" localSheetId="1">solicitudes_alta!#REF!</definedName>
    <definedName name="A3_mensajes_30" localSheetId="1">solicitudes_alta!#REF!</definedName>
    <definedName name="A3_mensajes_31" localSheetId="1">solicitudes_alta!#REF!</definedName>
    <definedName name="A3_mensajes_32" localSheetId="1">solicitudes_alta!#REF!</definedName>
    <definedName name="A3_mensajes_33" localSheetId="1">solicitudes_alta!#REF!</definedName>
    <definedName name="A3_mensajes_34" localSheetId="1">solicitudes_alta!#REF!</definedName>
    <definedName name="A3_mensajes_35" localSheetId="1">solicitudes_alta!#REF!</definedName>
    <definedName name="A3_mensajes_36" localSheetId="1">solicitudes_alta!#REF!</definedName>
    <definedName name="A3_mensajes_39" localSheetId="1">solicitudes_alta!$A$2:$R$2</definedName>
    <definedName name="A3_mensajes_4" localSheetId="1">solicitudes_alta!#REF!</definedName>
    <definedName name="A3_mensajes_40" localSheetId="1">solicitudes_alta!$A$2:$S$2</definedName>
    <definedName name="A3_mensajes_41" localSheetId="1">solicitudes_alta!$A$2:$S$2</definedName>
    <definedName name="A3_mensajes_42" localSheetId="1">solicitudes_alta!$A$2:$S$2</definedName>
    <definedName name="A3_mensajes_43" localSheetId="1">solicitudes_alta!$A$2:$S$2</definedName>
    <definedName name="A3_mensajes_44" localSheetId="1">solicitudes_alta!$A$2:$AD$2</definedName>
    <definedName name="A3_mensajes_45" localSheetId="1">solicitudes_alta!$A$2:$AD$2</definedName>
    <definedName name="A3_mensajes_46" localSheetId="1">solicitudes_alta!$A$2:$AD$2</definedName>
    <definedName name="A3_mensajes_47" localSheetId="1">solicitudes_alta!$A$2:$AD$2</definedName>
    <definedName name="A3_mensajes_48" localSheetId="1">solicitudes_alta!$A$2:$AD$2</definedName>
    <definedName name="A3_mensajes_49" localSheetId="1">solicitudes_alta!$A$2:$AD$2</definedName>
    <definedName name="A3_mensajes_5" localSheetId="1">solicitudes_alta!#REF!</definedName>
    <definedName name="A3_mensajes_50" localSheetId="1">solicitudes_alta!$A$2:$AD$2</definedName>
    <definedName name="A3_mensajes_51" localSheetId="1">solicitudes_alta!$A$2:$AD$2</definedName>
    <definedName name="A3_mensajes_52" localSheetId="1">solicitudes_alta!$A$2:$AD$2</definedName>
    <definedName name="A3_mensajes_53" localSheetId="1">solicitudes_alta!$A$2:$AD$2</definedName>
    <definedName name="A3_mensajes_54" localSheetId="1">solicitudes_alta!$A$2:$AD$2</definedName>
    <definedName name="A3_mensajes_55" localSheetId="1">solicitudes_alta!$A$2:$AD$2</definedName>
    <definedName name="A3_mensajes_56" localSheetId="1">solicitudes_alta!$A$2:$AD$2</definedName>
    <definedName name="A3_mensajes_57" localSheetId="1">solicitudes_alta!$A$2:$AD$2</definedName>
    <definedName name="A3_mensajes_58" localSheetId="1">solicitudes_alta!$A$2:$AD$2</definedName>
    <definedName name="A3_mensajes_59" localSheetId="1">solicitudes_alta!$A$2:$AD$2</definedName>
    <definedName name="A3_mensajes_6" localSheetId="1">solicitudes_alta!#REF!</definedName>
    <definedName name="A3_mensajes_60" localSheetId="1">solicitudes_alta!$A$2:$AD$2</definedName>
    <definedName name="A3_mensajes_61" localSheetId="1">solicitudes_alta!$A$2:$AD$2</definedName>
    <definedName name="A3_mensajes_62" localSheetId="1">solicitudes_alta!$A$2:$AD$2</definedName>
    <definedName name="A3_mensajes_63" localSheetId="1">solicitudes_alta!$A$2:$AD$2</definedName>
    <definedName name="A3_mensajes_64" localSheetId="1">solicitudes_alta!$A$2:$AD$2</definedName>
    <definedName name="A3_mensajes_65" localSheetId="1">solicitudes_alta!$A$2:$AD$2</definedName>
    <definedName name="A3_mensajes_66" localSheetId="1">solicitudes_alta!$A$2:$AD$2</definedName>
    <definedName name="A3_mensajes_67" localSheetId="1">solicitudes_alta!$A$2:$AD$2</definedName>
    <definedName name="A3_mensajes_68" localSheetId="1">solicitudes_alta!$A$2:$AD$2</definedName>
    <definedName name="A3_mensajes_69" localSheetId="1">solicitudes_alta!$A$2:$AD$2</definedName>
    <definedName name="A3_mensajes_7" localSheetId="1">solicitudes_alta!#REF!</definedName>
    <definedName name="A3_mensajes_70" localSheetId="1">solicitudes_alta!$A$2:$AD$2</definedName>
    <definedName name="A3_mensajes_71" localSheetId="1">solicitudes_alta!$A$2:$AD$2</definedName>
    <definedName name="A3_mensajes_72" localSheetId="1">solicitudes_alta!$A$2:$AD$2</definedName>
    <definedName name="A3_mensajes_73" localSheetId="1">solicitudes_alta!$A$2:$AD$3</definedName>
    <definedName name="A3_mensajes_74" localSheetId="1">solicitudes_alta!$A$2:$AD$4080</definedName>
    <definedName name="A3_mensajes_8" localSheetId="1">solicitudes_alta!#REF!</definedName>
    <definedName name="A3_mensajes_9" localSheetId="1">solicitudes_alta!#REF!</definedName>
    <definedName name="A3_mensajes_msg" localSheetId="2">mensajes!#REF!</definedName>
    <definedName name="A3_mensajes_msg.dsv" localSheetId="2">mensajes!#REF!</definedName>
    <definedName name="A3_mensajes_msg_1" localSheetId="2">mensajes!#REF!</definedName>
    <definedName name="A3_mensajes_msg_10" localSheetId="2">mensajes!#REF!</definedName>
    <definedName name="A3_mensajes_msg_11" localSheetId="2">mensajes!#REF!</definedName>
    <definedName name="A3_mensajes_msg_12" localSheetId="2">mensajes!#REF!</definedName>
    <definedName name="A3_mensajes_msg_13" localSheetId="2">mensajes!#REF!</definedName>
    <definedName name="A3_mensajes_msg_2" localSheetId="2">mensajes!#REF!</definedName>
    <definedName name="A3_mensajes_msg_3" localSheetId="2">mensajes!#REF!</definedName>
    <definedName name="A3_mensajes_msg_4" localSheetId="2">mensajes!#REF!</definedName>
    <definedName name="A3_mensajes_msg_5" localSheetId="2">mensajes!#REF!</definedName>
    <definedName name="A3_mensajes_msg_6" localSheetId="2">mensajes!#REF!</definedName>
    <definedName name="A3_mensajes_msg_7" localSheetId="2">mensajes!#REF!</definedName>
    <definedName name="A3_mensajes_msg_8" localSheetId="2">mensajes!#REF!</definedName>
    <definedName name="A3_mensajes_msg_9" localSheetId="2">mensajes!#REF!</definedName>
  </definedNames>
  <calcPr calcId="171027" calcMode="manual" calcCompleted="0" calcOnSave="0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3" i="2" l="1"/>
  <c r="AI3" i="2"/>
  <c r="AJ3" i="2"/>
  <c r="AL3" i="2"/>
  <c r="AG4" i="2"/>
  <c r="AI4" i="2"/>
  <c r="AJ4" i="2"/>
  <c r="AL4" i="2"/>
  <c r="AG5" i="2"/>
  <c r="AI5" i="2"/>
  <c r="AJ5" i="2"/>
  <c r="AL5" i="2"/>
  <c r="AG6" i="2"/>
  <c r="AI6" i="2"/>
  <c r="AJ6" i="2"/>
  <c r="AL6" i="2"/>
  <c r="AG7" i="2"/>
  <c r="AI7" i="2"/>
  <c r="AJ7" i="2"/>
  <c r="AL7" i="2"/>
  <c r="AG8" i="2"/>
  <c r="AI8" i="2"/>
  <c r="AJ8" i="2"/>
  <c r="AL8" i="2"/>
  <c r="AG9" i="2"/>
  <c r="AI9" i="2"/>
  <c r="AJ9" i="2"/>
  <c r="AL9" i="2"/>
  <c r="AG10" i="2"/>
  <c r="AI10" i="2"/>
  <c r="AJ10" i="2"/>
  <c r="AL10" i="2"/>
  <c r="AG11" i="2"/>
  <c r="AI11" i="2"/>
  <c r="AJ11" i="2"/>
  <c r="AL11" i="2"/>
  <c r="AG12" i="2"/>
  <c r="AI12" i="2"/>
  <c r="AJ12" i="2"/>
  <c r="AL12" i="2"/>
  <c r="AG13" i="2"/>
  <c r="AI13" i="2"/>
  <c r="AJ13" i="2"/>
  <c r="AL13" i="2"/>
  <c r="AG14" i="2"/>
  <c r="AI14" i="2"/>
  <c r="AJ14" i="2"/>
  <c r="AL14" i="2"/>
  <c r="AG15" i="2"/>
  <c r="AI15" i="2"/>
  <c r="AJ15" i="2"/>
  <c r="AL15" i="2"/>
  <c r="AG16" i="2"/>
  <c r="AI16" i="2"/>
  <c r="AJ16" i="2"/>
  <c r="AL16" i="2"/>
  <c r="AG17" i="2"/>
  <c r="AI17" i="2"/>
  <c r="AJ17" i="2"/>
  <c r="AL17" i="2"/>
  <c r="AG18" i="2"/>
  <c r="AI18" i="2"/>
  <c r="AJ18" i="2"/>
  <c r="AL18" i="2"/>
  <c r="AG19" i="2"/>
  <c r="AI19" i="2"/>
  <c r="AJ19" i="2"/>
  <c r="AL19" i="2"/>
  <c r="AG20" i="2"/>
  <c r="AI20" i="2"/>
  <c r="AJ20" i="2"/>
  <c r="AL20" i="2"/>
  <c r="AG21" i="2"/>
  <c r="AI21" i="2"/>
  <c r="AJ21" i="2"/>
  <c r="AL21" i="2"/>
  <c r="AG22" i="2"/>
  <c r="AI22" i="2"/>
  <c r="AJ22" i="2"/>
  <c r="AL22" i="2"/>
  <c r="AG23" i="2"/>
  <c r="AI23" i="2"/>
  <c r="AJ23" i="2"/>
  <c r="AL23" i="2"/>
  <c r="AG24" i="2"/>
  <c r="AI24" i="2"/>
  <c r="AJ24" i="2"/>
  <c r="AL24" i="2"/>
  <c r="AG25" i="2"/>
  <c r="AI25" i="2"/>
  <c r="AJ25" i="2"/>
  <c r="AL25" i="2"/>
  <c r="AG26" i="2"/>
  <c r="AI26" i="2"/>
  <c r="AJ26" i="2"/>
  <c r="AL26" i="2"/>
  <c r="AG27" i="2"/>
  <c r="AI27" i="2"/>
  <c r="AJ27" i="2"/>
  <c r="AL27" i="2"/>
  <c r="AG28" i="2"/>
  <c r="AI28" i="2"/>
  <c r="AJ28" i="2"/>
  <c r="AL28" i="2"/>
  <c r="AG29" i="2"/>
  <c r="AI29" i="2"/>
  <c r="AJ29" i="2"/>
  <c r="AL29" i="2"/>
  <c r="AG30" i="2"/>
  <c r="AI30" i="2"/>
  <c r="AJ30" i="2"/>
  <c r="AL30" i="2"/>
  <c r="AG31" i="2"/>
  <c r="AI31" i="2"/>
  <c r="AJ31" i="2"/>
  <c r="AL31" i="2"/>
  <c r="AG32" i="2"/>
  <c r="AI32" i="2"/>
  <c r="AJ32" i="2"/>
  <c r="AL32" i="2"/>
  <c r="AG33" i="2"/>
  <c r="AI33" i="2"/>
  <c r="AJ33" i="2"/>
  <c r="AL33" i="2"/>
  <c r="AG34" i="2"/>
  <c r="AI34" i="2"/>
  <c r="AJ34" i="2"/>
  <c r="AL34" i="2"/>
  <c r="AG35" i="2"/>
  <c r="AI35" i="2"/>
  <c r="AJ35" i="2"/>
  <c r="AL35" i="2"/>
  <c r="AG36" i="2"/>
  <c r="AI36" i="2"/>
  <c r="AJ36" i="2"/>
  <c r="AL36" i="2"/>
  <c r="AG37" i="2"/>
  <c r="AI37" i="2"/>
  <c r="AJ37" i="2"/>
  <c r="AL37" i="2"/>
  <c r="AG38" i="2"/>
  <c r="AI38" i="2"/>
  <c r="AJ38" i="2"/>
  <c r="AL38" i="2"/>
  <c r="AG39" i="2"/>
  <c r="AI39" i="2"/>
  <c r="AJ39" i="2"/>
  <c r="AL39" i="2"/>
  <c r="AG40" i="2"/>
  <c r="AI40" i="2"/>
  <c r="AJ40" i="2"/>
  <c r="AL40" i="2"/>
  <c r="AG41" i="2"/>
  <c r="AI41" i="2"/>
  <c r="AJ41" i="2"/>
  <c r="AL41" i="2"/>
  <c r="AG42" i="2"/>
  <c r="AI42" i="2"/>
  <c r="AJ42" i="2"/>
  <c r="AL42" i="2"/>
  <c r="AG43" i="2"/>
  <c r="AI43" i="2"/>
  <c r="AJ43" i="2"/>
  <c r="AL43" i="2"/>
  <c r="AG44" i="2"/>
  <c r="AI44" i="2"/>
  <c r="AJ44" i="2"/>
  <c r="AL44" i="2"/>
  <c r="AG45" i="2"/>
  <c r="AI45" i="2"/>
  <c r="AJ45" i="2"/>
  <c r="AL45" i="2"/>
  <c r="AG46" i="2"/>
  <c r="AI46" i="2"/>
  <c r="AJ46" i="2"/>
  <c r="AL46" i="2"/>
  <c r="AG47" i="2"/>
  <c r="AI47" i="2"/>
  <c r="AJ47" i="2"/>
  <c r="AL47" i="2"/>
  <c r="AG48" i="2"/>
  <c r="AI48" i="2"/>
  <c r="AJ48" i="2"/>
  <c r="AL48" i="2"/>
  <c r="AG49" i="2"/>
  <c r="AI49" i="2"/>
  <c r="AJ49" i="2"/>
  <c r="AL49" i="2"/>
  <c r="AG50" i="2"/>
  <c r="AI50" i="2"/>
  <c r="AJ50" i="2"/>
  <c r="AL50" i="2"/>
  <c r="AG51" i="2"/>
  <c r="AI51" i="2"/>
  <c r="AJ51" i="2"/>
  <c r="AL51" i="2"/>
  <c r="AG52" i="2"/>
  <c r="AI52" i="2"/>
  <c r="AJ52" i="2"/>
  <c r="AL52" i="2"/>
  <c r="AG53" i="2"/>
  <c r="AI53" i="2"/>
  <c r="AJ53" i="2"/>
  <c r="AL53" i="2"/>
  <c r="AG54" i="2"/>
  <c r="AI54" i="2"/>
  <c r="AJ54" i="2"/>
  <c r="AL54" i="2"/>
  <c r="AG55" i="2"/>
  <c r="AI55" i="2"/>
  <c r="AJ55" i="2"/>
  <c r="AL55" i="2"/>
  <c r="AG56" i="2"/>
  <c r="AI56" i="2"/>
  <c r="AJ56" i="2"/>
  <c r="AL56" i="2"/>
  <c r="AG57" i="2"/>
  <c r="AI57" i="2"/>
  <c r="AJ57" i="2"/>
  <c r="AL57" i="2"/>
  <c r="AG58" i="2"/>
  <c r="AI58" i="2"/>
  <c r="AJ58" i="2"/>
  <c r="AL58" i="2"/>
  <c r="AG59" i="2"/>
  <c r="AI59" i="2"/>
  <c r="AJ59" i="2"/>
  <c r="AL59" i="2"/>
  <c r="AG60" i="2"/>
  <c r="AI60" i="2"/>
  <c r="AJ60" i="2"/>
  <c r="AL60" i="2"/>
  <c r="AG61" i="2"/>
  <c r="AI61" i="2"/>
  <c r="AJ61" i="2"/>
  <c r="AL61" i="2"/>
  <c r="AG62" i="2"/>
  <c r="AI62" i="2"/>
  <c r="AJ62" i="2"/>
  <c r="AL62" i="2"/>
  <c r="AG63" i="2"/>
  <c r="AI63" i="2"/>
  <c r="AJ63" i="2"/>
  <c r="AL63" i="2"/>
  <c r="AG64" i="2"/>
  <c r="AI64" i="2"/>
  <c r="AJ64" i="2"/>
  <c r="AL64" i="2"/>
  <c r="AG65" i="2"/>
  <c r="AI65" i="2"/>
  <c r="AJ65" i="2"/>
  <c r="AL65" i="2"/>
  <c r="AG66" i="2"/>
  <c r="AI66" i="2"/>
  <c r="AJ66" i="2"/>
  <c r="AL66" i="2"/>
  <c r="AG67" i="2"/>
  <c r="AI67" i="2"/>
  <c r="AJ67" i="2"/>
  <c r="AL67" i="2"/>
  <c r="AG68" i="2"/>
  <c r="AI68" i="2"/>
  <c r="AJ68" i="2"/>
  <c r="AL68" i="2"/>
  <c r="AG69" i="2"/>
  <c r="AI69" i="2"/>
  <c r="AJ69" i="2"/>
  <c r="AL69" i="2"/>
  <c r="AG70" i="2"/>
  <c r="AI70" i="2"/>
  <c r="AJ70" i="2"/>
  <c r="AL70" i="2"/>
  <c r="AG71" i="2"/>
  <c r="AI71" i="2"/>
  <c r="AJ71" i="2"/>
  <c r="AL71" i="2"/>
  <c r="AG72" i="2"/>
  <c r="AI72" i="2"/>
  <c r="AJ72" i="2"/>
  <c r="AL72" i="2"/>
  <c r="AG73" i="2"/>
  <c r="AI73" i="2"/>
  <c r="AJ73" i="2"/>
  <c r="AL73" i="2"/>
  <c r="AG74" i="2"/>
  <c r="AI74" i="2"/>
  <c r="AJ74" i="2"/>
  <c r="AL74" i="2"/>
  <c r="AG75" i="2"/>
  <c r="AI75" i="2"/>
  <c r="AJ75" i="2"/>
  <c r="AL75" i="2"/>
  <c r="AG76" i="2"/>
  <c r="AI76" i="2"/>
  <c r="AJ76" i="2"/>
  <c r="AL76" i="2"/>
  <c r="AG77" i="2"/>
  <c r="AI77" i="2"/>
  <c r="AJ77" i="2"/>
  <c r="AL77" i="2"/>
  <c r="AG78" i="2"/>
  <c r="AI78" i="2"/>
  <c r="AJ78" i="2"/>
  <c r="AL78" i="2"/>
  <c r="AG79" i="2"/>
  <c r="AI79" i="2"/>
  <c r="AJ79" i="2"/>
  <c r="AL79" i="2"/>
  <c r="AG80" i="2"/>
  <c r="AI80" i="2"/>
  <c r="AJ80" i="2"/>
  <c r="AL80" i="2"/>
  <c r="AG81" i="2"/>
  <c r="AI81" i="2"/>
  <c r="AJ81" i="2"/>
  <c r="AL81" i="2"/>
  <c r="AG82" i="2"/>
  <c r="AI82" i="2"/>
  <c r="AJ82" i="2"/>
  <c r="AL82" i="2"/>
  <c r="AG83" i="2"/>
  <c r="AI83" i="2"/>
  <c r="AJ83" i="2"/>
  <c r="AL83" i="2"/>
  <c r="AG84" i="2"/>
  <c r="AI84" i="2"/>
  <c r="AJ84" i="2"/>
  <c r="AL84" i="2"/>
  <c r="AG85" i="2"/>
  <c r="AI85" i="2"/>
  <c r="AJ85" i="2"/>
  <c r="AL85" i="2"/>
  <c r="AG86" i="2"/>
  <c r="AI86" i="2"/>
  <c r="AJ86" i="2"/>
  <c r="AL86" i="2"/>
  <c r="AG87" i="2"/>
  <c r="AI87" i="2"/>
  <c r="AJ87" i="2"/>
  <c r="AL87" i="2"/>
  <c r="AG88" i="2"/>
  <c r="AI88" i="2"/>
  <c r="AJ88" i="2"/>
  <c r="AL88" i="2"/>
  <c r="AG89" i="2"/>
  <c r="AI89" i="2"/>
  <c r="AJ89" i="2"/>
  <c r="AL89" i="2"/>
  <c r="AG90" i="2"/>
  <c r="AI90" i="2"/>
  <c r="AJ90" i="2"/>
  <c r="AL90" i="2"/>
  <c r="AG91" i="2"/>
  <c r="AI91" i="2"/>
  <c r="AJ91" i="2"/>
  <c r="AL91" i="2"/>
  <c r="AG92" i="2"/>
  <c r="AI92" i="2"/>
  <c r="AJ92" i="2"/>
  <c r="AL92" i="2"/>
  <c r="AG93" i="2"/>
  <c r="AI93" i="2"/>
  <c r="AJ93" i="2"/>
  <c r="AL93" i="2"/>
  <c r="AG94" i="2"/>
  <c r="AI94" i="2"/>
  <c r="AJ94" i="2"/>
  <c r="AL94" i="2"/>
  <c r="AG95" i="2"/>
  <c r="AI95" i="2"/>
  <c r="AJ95" i="2"/>
  <c r="AL95" i="2"/>
  <c r="AG96" i="2"/>
  <c r="AI96" i="2"/>
  <c r="AJ96" i="2"/>
  <c r="AL96" i="2"/>
  <c r="AG97" i="2"/>
  <c r="AI97" i="2"/>
  <c r="AJ97" i="2"/>
  <c r="AL97" i="2"/>
  <c r="AG98" i="2"/>
  <c r="AI98" i="2"/>
  <c r="AJ98" i="2"/>
  <c r="AL98" i="2"/>
  <c r="AG99" i="2"/>
  <c r="AI99" i="2"/>
  <c r="AJ99" i="2"/>
  <c r="AL99" i="2"/>
  <c r="AG100" i="2"/>
  <c r="AI100" i="2"/>
  <c r="AJ100" i="2"/>
  <c r="AL100" i="2"/>
  <c r="AG101" i="2"/>
  <c r="AI101" i="2"/>
  <c r="AJ101" i="2"/>
  <c r="AL101" i="2"/>
  <c r="AG102" i="2"/>
  <c r="AI102" i="2"/>
  <c r="AJ102" i="2"/>
  <c r="AL102" i="2"/>
  <c r="AG103" i="2"/>
  <c r="AI103" i="2"/>
  <c r="AJ103" i="2"/>
  <c r="AL103" i="2"/>
  <c r="AG104" i="2"/>
  <c r="AI104" i="2"/>
  <c r="AJ104" i="2"/>
  <c r="AL104" i="2"/>
  <c r="AG105" i="2"/>
  <c r="AI105" i="2"/>
  <c r="AJ105" i="2"/>
  <c r="AL105" i="2"/>
  <c r="AG106" i="2"/>
  <c r="AI106" i="2"/>
  <c r="AJ106" i="2"/>
  <c r="AL106" i="2"/>
  <c r="AG107" i="2"/>
  <c r="AI107" i="2"/>
  <c r="AJ107" i="2"/>
  <c r="AL107" i="2"/>
  <c r="AG108" i="2"/>
  <c r="AI108" i="2"/>
  <c r="AJ108" i="2"/>
  <c r="AL108" i="2"/>
  <c r="AG109" i="2"/>
  <c r="AI109" i="2"/>
  <c r="AJ109" i="2"/>
  <c r="AL109" i="2"/>
  <c r="AG110" i="2"/>
  <c r="AI110" i="2"/>
  <c r="AJ110" i="2"/>
  <c r="AL110" i="2"/>
  <c r="AG111" i="2"/>
  <c r="AI111" i="2"/>
  <c r="AJ111" i="2"/>
  <c r="AL111" i="2"/>
  <c r="AG112" i="2"/>
  <c r="AI112" i="2"/>
  <c r="AJ112" i="2"/>
  <c r="AL112" i="2"/>
  <c r="AG113" i="2"/>
  <c r="AI113" i="2"/>
  <c r="AJ113" i="2"/>
  <c r="AL113" i="2"/>
  <c r="AG114" i="2"/>
  <c r="AI114" i="2"/>
  <c r="AJ114" i="2"/>
  <c r="AL114" i="2"/>
  <c r="AG115" i="2"/>
  <c r="AI115" i="2"/>
  <c r="AJ115" i="2"/>
  <c r="AL115" i="2"/>
  <c r="AG116" i="2"/>
  <c r="AI116" i="2"/>
  <c r="AJ116" i="2"/>
  <c r="AL116" i="2"/>
  <c r="AG117" i="2"/>
  <c r="AI117" i="2"/>
  <c r="AJ117" i="2"/>
  <c r="AL117" i="2"/>
  <c r="AG118" i="2"/>
  <c r="AI118" i="2"/>
  <c r="AJ118" i="2"/>
  <c r="AL118" i="2"/>
  <c r="AG119" i="2"/>
  <c r="AI119" i="2"/>
  <c r="AJ119" i="2"/>
  <c r="AL119" i="2"/>
  <c r="AG120" i="2"/>
  <c r="AI120" i="2"/>
  <c r="AJ120" i="2"/>
  <c r="AL120" i="2"/>
  <c r="AG121" i="2"/>
  <c r="AI121" i="2"/>
  <c r="AJ121" i="2"/>
  <c r="AL121" i="2"/>
  <c r="AG122" i="2"/>
  <c r="AI122" i="2"/>
  <c r="AJ122" i="2"/>
  <c r="AL122" i="2"/>
  <c r="AG123" i="2"/>
  <c r="AI123" i="2"/>
  <c r="AJ123" i="2"/>
  <c r="AL123" i="2"/>
  <c r="AG124" i="2"/>
  <c r="AI124" i="2"/>
  <c r="AJ124" i="2"/>
  <c r="AL124" i="2"/>
  <c r="AG125" i="2"/>
  <c r="AI125" i="2"/>
  <c r="AJ125" i="2"/>
  <c r="AL125" i="2"/>
  <c r="AG126" i="2"/>
  <c r="AI126" i="2"/>
  <c r="AJ126" i="2"/>
  <c r="AL126" i="2"/>
  <c r="AG127" i="2"/>
  <c r="AI127" i="2"/>
  <c r="AJ127" i="2"/>
  <c r="AL127" i="2"/>
  <c r="AG128" i="2"/>
  <c r="AI128" i="2"/>
  <c r="AJ128" i="2"/>
  <c r="AL128" i="2"/>
  <c r="AG129" i="2"/>
  <c r="AI129" i="2"/>
  <c r="AJ129" i="2"/>
  <c r="AL129" i="2"/>
  <c r="AG130" i="2"/>
  <c r="AI130" i="2"/>
  <c r="AJ130" i="2"/>
  <c r="AL130" i="2"/>
  <c r="AG131" i="2"/>
  <c r="AI131" i="2"/>
  <c r="AJ131" i="2"/>
  <c r="AL131" i="2"/>
  <c r="AG132" i="2"/>
  <c r="AI132" i="2"/>
  <c r="AJ132" i="2"/>
  <c r="AL132" i="2"/>
  <c r="AG133" i="2"/>
  <c r="AI133" i="2"/>
  <c r="AJ133" i="2"/>
  <c r="AL133" i="2"/>
  <c r="AG134" i="2"/>
  <c r="AI134" i="2"/>
  <c r="AJ134" i="2"/>
  <c r="AL134" i="2"/>
  <c r="AG135" i="2"/>
  <c r="AI135" i="2"/>
  <c r="AJ135" i="2"/>
  <c r="AL135" i="2"/>
  <c r="AG136" i="2"/>
  <c r="AI136" i="2"/>
  <c r="AJ136" i="2"/>
  <c r="AL136" i="2"/>
  <c r="AG137" i="2"/>
  <c r="AI137" i="2"/>
  <c r="AJ137" i="2"/>
  <c r="AL137" i="2"/>
  <c r="AG138" i="2"/>
  <c r="AI138" i="2"/>
  <c r="AJ138" i="2"/>
  <c r="AL138" i="2"/>
  <c r="AG139" i="2"/>
  <c r="AI139" i="2"/>
  <c r="AJ139" i="2"/>
  <c r="AL139" i="2"/>
  <c r="AG140" i="2"/>
  <c r="AI140" i="2"/>
  <c r="AJ140" i="2"/>
  <c r="AL140" i="2"/>
  <c r="AG141" i="2"/>
  <c r="AI141" i="2"/>
  <c r="AJ141" i="2"/>
  <c r="AL141" i="2"/>
  <c r="AG142" i="2"/>
  <c r="AI142" i="2"/>
  <c r="AJ142" i="2"/>
  <c r="AL142" i="2"/>
  <c r="AG143" i="2"/>
  <c r="AI143" i="2"/>
  <c r="AJ143" i="2"/>
  <c r="AL143" i="2"/>
  <c r="AG144" i="2"/>
  <c r="AI144" i="2"/>
  <c r="AJ144" i="2"/>
  <c r="AL144" i="2"/>
  <c r="AG145" i="2"/>
  <c r="AI145" i="2"/>
  <c r="AJ145" i="2"/>
  <c r="AL145" i="2"/>
  <c r="AG146" i="2"/>
  <c r="AI146" i="2"/>
  <c r="AJ146" i="2"/>
  <c r="AL146" i="2"/>
  <c r="AG147" i="2"/>
  <c r="AI147" i="2"/>
  <c r="AJ147" i="2"/>
  <c r="AL147" i="2"/>
  <c r="AG148" i="2"/>
  <c r="AI148" i="2"/>
  <c r="AJ148" i="2"/>
  <c r="AL148" i="2"/>
  <c r="AG149" i="2"/>
  <c r="AI149" i="2"/>
  <c r="AJ149" i="2"/>
  <c r="AL149" i="2"/>
  <c r="AG150" i="2"/>
  <c r="AI150" i="2"/>
  <c r="AJ150" i="2"/>
  <c r="AL150" i="2"/>
  <c r="AG151" i="2"/>
  <c r="AI151" i="2"/>
  <c r="AJ151" i="2"/>
  <c r="AL151" i="2"/>
  <c r="AG152" i="2"/>
  <c r="AI152" i="2"/>
  <c r="AJ152" i="2"/>
  <c r="AL152" i="2"/>
  <c r="AG153" i="2"/>
  <c r="AI153" i="2"/>
  <c r="AJ153" i="2"/>
  <c r="AL153" i="2"/>
  <c r="AG154" i="2"/>
  <c r="AI154" i="2"/>
  <c r="AJ154" i="2"/>
  <c r="AL154" i="2"/>
  <c r="AG155" i="2"/>
  <c r="AI155" i="2"/>
  <c r="AJ155" i="2"/>
  <c r="AL155" i="2"/>
  <c r="AG156" i="2"/>
  <c r="AI156" i="2"/>
  <c r="AJ156" i="2"/>
  <c r="AL156" i="2"/>
  <c r="AG157" i="2"/>
  <c r="AI157" i="2"/>
  <c r="AJ157" i="2"/>
  <c r="AL157" i="2"/>
  <c r="AG158" i="2"/>
  <c r="AI158" i="2"/>
  <c r="AJ158" i="2"/>
  <c r="AL158" i="2"/>
  <c r="AG159" i="2"/>
  <c r="AI159" i="2"/>
  <c r="AJ159" i="2"/>
  <c r="AL159" i="2"/>
  <c r="AG160" i="2"/>
  <c r="AI160" i="2"/>
  <c r="AJ160" i="2"/>
  <c r="AL160" i="2"/>
  <c r="AG161" i="2"/>
  <c r="AI161" i="2"/>
  <c r="AJ161" i="2"/>
  <c r="AL161" i="2"/>
  <c r="AG162" i="2"/>
  <c r="AI162" i="2"/>
  <c r="AJ162" i="2"/>
  <c r="AL162" i="2"/>
  <c r="AG163" i="2"/>
  <c r="AI163" i="2"/>
  <c r="AJ163" i="2"/>
  <c r="AL163" i="2"/>
  <c r="AG164" i="2"/>
  <c r="AI164" i="2"/>
  <c r="AJ164" i="2"/>
  <c r="AL164" i="2"/>
  <c r="AG165" i="2"/>
  <c r="AI165" i="2"/>
  <c r="AJ165" i="2"/>
  <c r="AL165" i="2"/>
  <c r="AG166" i="2"/>
  <c r="AI166" i="2"/>
  <c r="AJ166" i="2"/>
  <c r="AL166" i="2"/>
  <c r="AG167" i="2"/>
  <c r="AI167" i="2"/>
  <c r="AJ167" i="2"/>
  <c r="AL167" i="2"/>
  <c r="AG168" i="2"/>
  <c r="AI168" i="2"/>
  <c r="AJ168" i="2"/>
  <c r="AL168" i="2"/>
  <c r="AG169" i="2"/>
  <c r="AI169" i="2"/>
  <c r="AJ169" i="2"/>
  <c r="AL169" i="2"/>
  <c r="AG170" i="2"/>
  <c r="AI170" i="2"/>
  <c r="AJ170" i="2"/>
  <c r="AL170" i="2"/>
  <c r="AG171" i="2"/>
  <c r="AI171" i="2"/>
  <c r="AJ171" i="2"/>
  <c r="AL171" i="2"/>
  <c r="AG172" i="2"/>
  <c r="AI172" i="2"/>
  <c r="AJ172" i="2"/>
  <c r="AL172" i="2"/>
  <c r="AG173" i="2"/>
  <c r="AI173" i="2"/>
  <c r="AJ173" i="2"/>
  <c r="AL173" i="2"/>
  <c r="AG174" i="2"/>
  <c r="AI174" i="2"/>
  <c r="AJ174" i="2"/>
  <c r="AL174" i="2"/>
  <c r="AG175" i="2"/>
  <c r="AI175" i="2"/>
  <c r="AJ175" i="2"/>
  <c r="AL175" i="2"/>
  <c r="AG176" i="2"/>
  <c r="AI176" i="2"/>
  <c r="AJ176" i="2"/>
  <c r="AL176" i="2"/>
  <c r="AG177" i="2"/>
  <c r="AI177" i="2"/>
  <c r="AJ177" i="2"/>
  <c r="AL177" i="2"/>
  <c r="AG178" i="2"/>
  <c r="AI178" i="2"/>
  <c r="AJ178" i="2"/>
  <c r="AL178" i="2"/>
  <c r="AG179" i="2"/>
  <c r="AI179" i="2"/>
  <c r="AJ179" i="2"/>
  <c r="AL179" i="2"/>
  <c r="AG180" i="2"/>
  <c r="AI180" i="2"/>
  <c r="AJ180" i="2"/>
  <c r="AL180" i="2"/>
  <c r="AG181" i="2"/>
  <c r="AI181" i="2"/>
  <c r="AJ181" i="2"/>
  <c r="AL181" i="2"/>
  <c r="AG182" i="2"/>
  <c r="AI182" i="2"/>
  <c r="AJ182" i="2"/>
  <c r="AL182" i="2"/>
  <c r="AG183" i="2"/>
  <c r="AI183" i="2"/>
  <c r="AJ183" i="2"/>
  <c r="AL183" i="2"/>
  <c r="AG184" i="2"/>
  <c r="AI184" i="2"/>
  <c r="AJ184" i="2"/>
  <c r="AL184" i="2"/>
  <c r="AG185" i="2"/>
  <c r="AI185" i="2"/>
  <c r="AJ185" i="2"/>
  <c r="AL185" i="2"/>
  <c r="AG186" i="2"/>
  <c r="AI186" i="2"/>
  <c r="AJ186" i="2"/>
  <c r="AL186" i="2"/>
  <c r="AG187" i="2"/>
  <c r="AI187" i="2"/>
  <c r="AJ187" i="2"/>
  <c r="AL187" i="2"/>
  <c r="AG188" i="2"/>
  <c r="AI188" i="2"/>
  <c r="AJ188" i="2"/>
  <c r="AL188" i="2"/>
  <c r="AG189" i="2"/>
  <c r="AI189" i="2"/>
  <c r="AJ189" i="2"/>
  <c r="AL189" i="2"/>
  <c r="AG190" i="2"/>
  <c r="AI190" i="2"/>
  <c r="AJ190" i="2"/>
  <c r="AL190" i="2"/>
  <c r="AG191" i="2"/>
  <c r="AI191" i="2"/>
  <c r="AJ191" i="2"/>
  <c r="AL191" i="2"/>
  <c r="AG192" i="2"/>
  <c r="AI192" i="2"/>
  <c r="AJ192" i="2"/>
  <c r="AL192" i="2"/>
  <c r="AG193" i="2"/>
  <c r="AI193" i="2"/>
  <c r="AJ193" i="2"/>
  <c r="AL193" i="2"/>
  <c r="AG194" i="2"/>
  <c r="AI194" i="2"/>
  <c r="AJ194" i="2"/>
  <c r="AL194" i="2"/>
  <c r="AG195" i="2"/>
  <c r="AI195" i="2"/>
  <c r="AJ195" i="2"/>
  <c r="AL195" i="2"/>
  <c r="AG196" i="2"/>
  <c r="AI196" i="2"/>
  <c r="AJ196" i="2"/>
  <c r="AL196" i="2"/>
  <c r="AG197" i="2"/>
  <c r="AI197" i="2"/>
  <c r="AJ197" i="2"/>
  <c r="AL197" i="2"/>
  <c r="AG198" i="2"/>
  <c r="AI198" i="2"/>
  <c r="AJ198" i="2"/>
  <c r="AL198" i="2"/>
  <c r="AG199" i="2"/>
  <c r="AI199" i="2"/>
  <c r="AJ199" i="2"/>
  <c r="AL199" i="2"/>
  <c r="AG200" i="2"/>
  <c r="AI200" i="2"/>
  <c r="AJ200" i="2"/>
  <c r="AL200" i="2"/>
  <c r="AG201" i="2"/>
  <c r="AI201" i="2"/>
  <c r="AJ201" i="2"/>
  <c r="AL201" i="2"/>
  <c r="AG202" i="2"/>
  <c r="AI202" i="2"/>
  <c r="AJ202" i="2"/>
  <c r="AL202" i="2"/>
  <c r="AG203" i="2"/>
  <c r="AI203" i="2"/>
  <c r="AJ203" i="2"/>
  <c r="AL203" i="2"/>
  <c r="AG204" i="2"/>
  <c r="AI204" i="2"/>
  <c r="AJ204" i="2"/>
  <c r="AL204" i="2"/>
  <c r="AG205" i="2"/>
  <c r="AI205" i="2"/>
  <c r="AJ205" i="2"/>
  <c r="AL205" i="2"/>
  <c r="AG206" i="2"/>
  <c r="AI206" i="2"/>
  <c r="AJ206" i="2"/>
  <c r="AL206" i="2"/>
  <c r="AG207" i="2"/>
  <c r="AI207" i="2"/>
  <c r="AJ207" i="2"/>
  <c r="AL207" i="2"/>
  <c r="AG208" i="2"/>
  <c r="AI208" i="2"/>
  <c r="AJ208" i="2"/>
  <c r="AL208" i="2"/>
  <c r="AG209" i="2"/>
  <c r="AI209" i="2"/>
  <c r="AJ209" i="2"/>
  <c r="AL209" i="2"/>
  <c r="AG210" i="2"/>
  <c r="AI210" i="2"/>
  <c r="AJ210" i="2"/>
  <c r="AL210" i="2"/>
  <c r="AG211" i="2"/>
  <c r="AI211" i="2"/>
  <c r="AJ211" i="2"/>
  <c r="AL211" i="2"/>
  <c r="AG212" i="2"/>
  <c r="AI212" i="2"/>
  <c r="AJ212" i="2"/>
  <c r="AL212" i="2"/>
  <c r="AG213" i="2"/>
  <c r="AI213" i="2"/>
  <c r="AJ213" i="2"/>
  <c r="AL213" i="2"/>
  <c r="AG214" i="2"/>
  <c r="AI214" i="2"/>
  <c r="AJ214" i="2"/>
  <c r="AL214" i="2"/>
  <c r="AG215" i="2"/>
  <c r="AI215" i="2"/>
  <c r="AJ215" i="2"/>
  <c r="AL215" i="2"/>
  <c r="AG216" i="2"/>
  <c r="AI216" i="2"/>
  <c r="AJ216" i="2"/>
  <c r="AL216" i="2"/>
  <c r="AG217" i="2"/>
  <c r="AI217" i="2"/>
  <c r="AJ217" i="2"/>
  <c r="AL217" i="2"/>
  <c r="AG218" i="2"/>
  <c r="AI218" i="2"/>
  <c r="AJ218" i="2"/>
  <c r="AL218" i="2"/>
  <c r="AG219" i="2"/>
  <c r="AI219" i="2"/>
  <c r="AJ219" i="2"/>
  <c r="AL219" i="2"/>
  <c r="AG220" i="2"/>
  <c r="AI220" i="2"/>
  <c r="AJ220" i="2"/>
  <c r="AL220" i="2"/>
  <c r="AG221" i="2"/>
  <c r="AI221" i="2"/>
  <c r="AJ221" i="2"/>
  <c r="AL221" i="2"/>
  <c r="AG222" i="2"/>
  <c r="AI222" i="2"/>
  <c r="AJ222" i="2"/>
  <c r="AL222" i="2"/>
  <c r="AG223" i="2"/>
  <c r="AI223" i="2"/>
  <c r="AJ223" i="2"/>
  <c r="AL223" i="2"/>
  <c r="AG224" i="2"/>
  <c r="AI224" i="2"/>
  <c r="AJ224" i="2"/>
  <c r="AL224" i="2"/>
  <c r="AG225" i="2"/>
  <c r="AI225" i="2"/>
  <c r="AJ225" i="2"/>
  <c r="AL225" i="2"/>
  <c r="AG226" i="2"/>
  <c r="AI226" i="2"/>
  <c r="AJ226" i="2"/>
  <c r="AL226" i="2"/>
  <c r="AG227" i="2"/>
  <c r="AI227" i="2"/>
  <c r="AJ227" i="2"/>
  <c r="AL227" i="2"/>
  <c r="AG228" i="2"/>
  <c r="AI228" i="2"/>
  <c r="AJ228" i="2"/>
  <c r="AL228" i="2"/>
  <c r="AG229" i="2"/>
  <c r="AI229" i="2"/>
  <c r="AJ229" i="2"/>
  <c r="AL229" i="2"/>
  <c r="AG230" i="2"/>
  <c r="AI230" i="2"/>
  <c r="AJ230" i="2"/>
  <c r="AL230" i="2"/>
  <c r="AG231" i="2"/>
  <c r="AI231" i="2"/>
  <c r="AJ231" i="2"/>
  <c r="AL231" i="2"/>
  <c r="AG232" i="2"/>
  <c r="AI232" i="2"/>
  <c r="AJ232" i="2"/>
  <c r="AL232" i="2"/>
  <c r="AG233" i="2"/>
  <c r="AI233" i="2"/>
  <c r="AJ233" i="2"/>
  <c r="AL233" i="2"/>
  <c r="AG234" i="2"/>
  <c r="AI234" i="2"/>
  <c r="AJ234" i="2"/>
  <c r="AL234" i="2"/>
  <c r="AG235" i="2"/>
  <c r="AI235" i="2"/>
  <c r="AJ235" i="2"/>
  <c r="AL235" i="2"/>
  <c r="AG236" i="2"/>
  <c r="AI236" i="2"/>
  <c r="AJ236" i="2"/>
  <c r="AL236" i="2"/>
  <c r="AG237" i="2"/>
  <c r="AI237" i="2"/>
  <c r="AJ237" i="2"/>
  <c r="AL237" i="2"/>
  <c r="AG238" i="2"/>
  <c r="AI238" i="2"/>
  <c r="AJ238" i="2"/>
  <c r="AL238" i="2"/>
  <c r="AG239" i="2"/>
  <c r="AI239" i="2"/>
  <c r="AJ239" i="2"/>
  <c r="AL239" i="2"/>
  <c r="AG240" i="2"/>
  <c r="AI240" i="2"/>
  <c r="AJ240" i="2"/>
  <c r="AL240" i="2"/>
  <c r="AG241" i="2"/>
  <c r="AI241" i="2"/>
  <c r="AJ241" i="2"/>
  <c r="AL241" i="2"/>
  <c r="AG242" i="2"/>
  <c r="AI242" i="2"/>
  <c r="AJ242" i="2"/>
  <c r="AL242" i="2"/>
  <c r="AG243" i="2"/>
  <c r="AI243" i="2"/>
  <c r="AJ243" i="2"/>
  <c r="AL243" i="2"/>
  <c r="AG244" i="2"/>
  <c r="AI244" i="2"/>
  <c r="AJ244" i="2"/>
  <c r="AL244" i="2"/>
  <c r="AG245" i="2"/>
  <c r="AI245" i="2"/>
  <c r="AJ245" i="2"/>
  <c r="AL245" i="2"/>
  <c r="AG246" i="2"/>
  <c r="AI246" i="2"/>
  <c r="AJ246" i="2"/>
  <c r="AL246" i="2"/>
  <c r="AG247" i="2"/>
  <c r="AI247" i="2"/>
  <c r="AJ247" i="2"/>
  <c r="AL247" i="2"/>
  <c r="AG248" i="2"/>
  <c r="AI248" i="2"/>
  <c r="AJ248" i="2"/>
  <c r="AL248" i="2"/>
  <c r="AG249" i="2"/>
  <c r="AI249" i="2"/>
  <c r="AJ249" i="2"/>
  <c r="AL249" i="2"/>
  <c r="AG250" i="2"/>
  <c r="AI250" i="2"/>
  <c r="AJ250" i="2"/>
  <c r="AL250" i="2"/>
  <c r="AG251" i="2"/>
  <c r="AI251" i="2"/>
  <c r="AJ251" i="2"/>
  <c r="AL251" i="2"/>
  <c r="AG252" i="2"/>
  <c r="AI252" i="2"/>
  <c r="AJ252" i="2"/>
  <c r="AL252" i="2"/>
  <c r="AG253" i="2"/>
  <c r="AI253" i="2"/>
  <c r="AJ253" i="2"/>
  <c r="AL253" i="2"/>
  <c r="AG254" i="2"/>
  <c r="AI254" i="2"/>
  <c r="AJ254" i="2"/>
  <c r="AL254" i="2"/>
  <c r="AG255" i="2"/>
  <c r="AI255" i="2"/>
  <c r="AJ255" i="2"/>
  <c r="AL255" i="2"/>
  <c r="AG256" i="2"/>
  <c r="AI256" i="2"/>
  <c r="AJ256" i="2"/>
  <c r="AL256" i="2"/>
  <c r="AG257" i="2"/>
  <c r="AI257" i="2"/>
  <c r="AJ257" i="2"/>
  <c r="AL257" i="2"/>
  <c r="AG258" i="2"/>
  <c r="AI258" i="2"/>
  <c r="AJ258" i="2"/>
  <c r="AL258" i="2"/>
  <c r="AG259" i="2"/>
  <c r="AI259" i="2"/>
  <c r="AJ259" i="2"/>
  <c r="AL259" i="2"/>
  <c r="AG260" i="2"/>
  <c r="AI260" i="2"/>
  <c r="AJ260" i="2"/>
  <c r="AL260" i="2"/>
  <c r="AG261" i="2"/>
  <c r="AI261" i="2"/>
  <c r="AJ261" i="2"/>
  <c r="AL261" i="2"/>
  <c r="AG262" i="2"/>
  <c r="AI262" i="2"/>
  <c r="AJ262" i="2"/>
  <c r="AL262" i="2"/>
  <c r="AG263" i="2"/>
  <c r="AI263" i="2"/>
  <c r="AJ263" i="2"/>
  <c r="AL263" i="2"/>
  <c r="AG264" i="2"/>
  <c r="AI264" i="2"/>
  <c r="AJ264" i="2"/>
  <c r="AL264" i="2"/>
  <c r="AG265" i="2"/>
  <c r="AI265" i="2"/>
  <c r="AJ265" i="2"/>
  <c r="AL265" i="2"/>
  <c r="AG266" i="2"/>
  <c r="AI266" i="2"/>
  <c r="AJ266" i="2"/>
  <c r="AL266" i="2"/>
  <c r="AG267" i="2"/>
  <c r="AI267" i="2"/>
  <c r="AJ267" i="2"/>
  <c r="AL267" i="2"/>
  <c r="AG268" i="2"/>
  <c r="AI268" i="2"/>
  <c r="AJ268" i="2"/>
  <c r="AL268" i="2"/>
  <c r="AG269" i="2"/>
  <c r="AI269" i="2"/>
  <c r="AJ269" i="2"/>
  <c r="AL269" i="2"/>
  <c r="AG270" i="2"/>
  <c r="AI270" i="2"/>
  <c r="AJ270" i="2"/>
  <c r="AL270" i="2"/>
  <c r="AG271" i="2"/>
  <c r="AI271" i="2"/>
  <c r="AJ271" i="2"/>
  <c r="AL271" i="2"/>
  <c r="AG272" i="2"/>
  <c r="AI272" i="2"/>
  <c r="AJ272" i="2"/>
  <c r="AL272" i="2"/>
  <c r="AG273" i="2"/>
  <c r="AI273" i="2"/>
  <c r="AJ273" i="2"/>
  <c r="AL273" i="2"/>
  <c r="AG274" i="2"/>
  <c r="AI274" i="2"/>
  <c r="AJ274" i="2"/>
  <c r="AL274" i="2"/>
  <c r="AG275" i="2"/>
  <c r="AI275" i="2"/>
  <c r="AJ275" i="2"/>
  <c r="AL275" i="2"/>
  <c r="AG276" i="2"/>
  <c r="AI276" i="2"/>
  <c r="AJ276" i="2"/>
  <c r="AL276" i="2"/>
  <c r="AG277" i="2"/>
  <c r="AI277" i="2"/>
  <c r="AJ277" i="2"/>
  <c r="AL277" i="2"/>
  <c r="AG278" i="2"/>
  <c r="AI278" i="2"/>
  <c r="AJ278" i="2"/>
  <c r="AL278" i="2"/>
  <c r="AG279" i="2"/>
  <c r="AI279" i="2"/>
  <c r="AJ279" i="2"/>
  <c r="AL279" i="2"/>
  <c r="AG280" i="2"/>
  <c r="AI280" i="2"/>
  <c r="AJ280" i="2"/>
  <c r="AL280" i="2"/>
  <c r="AG281" i="2"/>
  <c r="AI281" i="2"/>
  <c r="AJ281" i="2"/>
  <c r="AL281" i="2"/>
  <c r="AG282" i="2"/>
  <c r="AI282" i="2"/>
  <c r="AJ282" i="2"/>
  <c r="AL282" i="2"/>
  <c r="AG283" i="2"/>
  <c r="AI283" i="2"/>
  <c r="AJ283" i="2"/>
  <c r="AL283" i="2"/>
  <c r="AG284" i="2"/>
  <c r="AI284" i="2"/>
  <c r="AJ284" i="2"/>
  <c r="AL284" i="2"/>
  <c r="AG285" i="2"/>
  <c r="AI285" i="2"/>
  <c r="AJ285" i="2"/>
  <c r="AL285" i="2"/>
  <c r="AG286" i="2"/>
  <c r="AI286" i="2"/>
  <c r="AJ286" i="2"/>
  <c r="AL286" i="2"/>
  <c r="AG287" i="2"/>
  <c r="AI287" i="2"/>
  <c r="AJ287" i="2"/>
  <c r="AL287" i="2"/>
  <c r="AG288" i="2"/>
  <c r="AI288" i="2"/>
  <c r="AJ288" i="2"/>
  <c r="AL288" i="2"/>
  <c r="AG289" i="2"/>
  <c r="AI289" i="2"/>
  <c r="AJ289" i="2"/>
  <c r="AL289" i="2"/>
  <c r="AG290" i="2"/>
  <c r="AI290" i="2"/>
  <c r="AJ290" i="2"/>
  <c r="AL290" i="2"/>
  <c r="AG291" i="2"/>
  <c r="AI291" i="2"/>
  <c r="AJ291" i="2"/>
  <c r="AL291" i="2"/>
  <c r="AG292" i="2"/>
  <c r="AI292" i="2"/>
  <c r="AJ292" i="2"/>
  <c r="AL292" i="2"/>
  <c r="AG293" i="2"/>
  <c r="AI293" i="2"/>
  <c r="AJ293" i="2"/>
  <c r="AL293" i="2"/>
  <c r="AG294" i="2"/>
  <c r="AI294" i="2"/>
  <c r="AJ294" i="2"/>
  <c r="AL294" i="2"/>
  <c r="AG295" i="2"/>
  <c r="AI295" i="2"/>
  <c r="AJ295" i="2"/>
  <c r="AL295" i="2"/>
  <c r="AG296" i="2"/>
  <c r="AI296" i="2"/>
  <c r="AJ296" i="2"/>
  <c r="AL296" i="2"/>
  <c r="AG297" i="2"/>
  <c r="AI297" i="2"/>
  <c r="AJ297" i="2"/>
  <c r="AL297" i="2"/>
  <c r="AG298" i="2"/>
  <c r="AI298" i="2"/>
  <c r="AJ298" i="2"/>
  <c r="AL298" i="2"/>
  <c r="AG299" i="2"/>
  <c r="AI299" i="2"/>
  <c r="AJ299" i="2"/>
  <c r="AL299" i="2"/>
  <c r="AG300" i="2"/>
  <c r="AI300" i="2"/>
  <c r="AJ300" i="2"/>
  <c r="AL300" i="2"/>
  <c r="AG301" i="2"/>
  <c r="AI301" i="2"/>
  <c r="AJ301" i="2"/>
  <c r="AL301" i="2"/>
  <c r="AG302" i="2"/>
  <c r="AI302" i="2"/>
  <c r="AJ302" i="2"/>
  <c r="AL302" i="2"/>
  <c r="AG303" i="2"/>
  <c r="AI303" i="2"/>
  <c r="AJ303" i="2"/>
  <c r="AL303" i="2"/>
  <c r="AG304" i="2"/>
  <c r="AI304" i="2"/>
  <c r="AJ304" i="2"/>
  <c r="AL304" i="2"/>
  <c r="AG305" i="2"/>
  <c r="AI305" i="2"/>
  <c r="AJ305" i="2"/>
  <c r="AL305" i="2"/>
  <c r="AG306" i="2"/>
  <c r="AI306" i="2"/>
  <c r="AJ306" i="2"/>
  <c r="AL306" i="2"/>
  <c r="AG307" i="2"/>
  <c r="AI307" i="2"/>
  <c r="AJ307" i="2"/>
  <c r="AL307" i="2"/>
  <c r="AG308" i="2"/>
  <c r="AI308" i="2"/>
  <c r="AJ308" i="2"/>
  <c r="AL308" i="2"/>
  <c r="AG309" i="2"/>
  <c r="AI309" i="2"/>
  <c r="AJ309" i="2"/>
  <c r="AL309" i="2"/>
  <c r="AG310" i="2"/>
  <c r="AI310" i="2"/>
  <c r="AJ310" i="2"/>
  <c r="AL310" i="2"/>
  <c r="AG311" i="2"/>
  <c r="AI311" i="2"/>
  <c r="AJ311" i="2"/>
  <c r="AL311" i="2"/>
  <c r="AG312" i="2"/>
  <c r="AI312" i="2"/>
  <c r="AJ312" i="2"/>
  <c r="AL312" i="2"/>
  <c r="AG313" i="2"/>
  <c r="AI313" i="2"/>
  <c r="AJ313" i="2"/>
  <c r="AL313" i="2"/>
  <c r="AG314" i="2"/>
  <c r="AI314" i="2"/>
  <c r="AJ314" i="2"/>
  <c r="AL314" i="2"/>
  <c r="AG315" i="2"/>
  <c r="AI315" i="2"/>
  <c r="AJ315" i="2"/>
  <c r="AL315" i="2"/>
  <c r="AG316" i="2"/>
  <c r="AI316" i="2"/>
  <c r="AJ316" i="2"/>
  <c r="AL316" i="2"/>
  <c r="AG317" i="2"/>
  <c r="AI317" i="2"/>
  <c r="AJ317" i="2"/>
  <c r="AL317" i="2"/>
  <c r="AG318" i="2"/>
  <c r="AI318" i="2"/>
  <c r="AJ318" i="2"/>
  <c r="AL318" i="2"/>
  <c r="AG319" i="2"/>
  <c r="AI319" i="2"/>
  <c r="AJ319" i="2"/>
  <c r="AL319" i="2"/>
  <c r="AG320" i="2"/>
  <c r="AI320" i="2"/>
  <c r="AJ320" i="2"/>
  <c r="AL320" i="2"/>
  <c r="AG321" i="2"/>
  <c r="AI321" i="2"/>
  <c r="AJ321" i="2"/>
  <c r="AL321" i="2"/>
  <c r="AG322" i="2"/>
  <c r="AI322" i="2"/>
  <c r="AJ322" i="2"/>
  <c r="AL322" i="2"/>
  <c r="AG323" i="2"/>
  <c r="AI323" i="2"/>
  <c r="AJ323" i="2"/>
  <c r="AL323" i="2"/>
  <c r="AG324" i="2"/>
  <c r="AI324" i="2"/>
  <c r="AJ324" i="2"/>
  <c r="AL324" i="2"/>
  <c r="AG325" i="2"/>
  <c r="AI325" i="2"/>
  <c r="AJ325" i="2"/>
  <c r="AL325" i="2"/>
  <c r="AG326" i="2"/>
  <c r="AI326" i="2"/>
  <c r="AJ326" i="2"/>
  <c r="AL326" i="2"/>
  <c r="AG327" i="2"/>
  <c r="AI327" i="2"/>
  <c r="AJ327" i="2"/>
  <c r="AL327" i="2"/>
  <c r="AG328" i="2"/>
  <c r="AI328" i="2"/>
  <c r="AJ328" i="2"/>
  <c r="AL328" i="2"/>
  <c r="AG329" i="2"/>
  <c r="AI329" i="2"/>
  <c r="AJ329" i="2"/>
  <c r="AL329" i="2"/>
  <c r="AG330" i="2"/>
  <c r="AI330" i="2"/>
  <c r="AJ330" i="2"/>
  <c r="AL330" i="2"/>
  <c r="AG331" i="2"/>
  <c r="AI331" i="2"/>
  <c r="AJ331" i="2"/>
  <c r="AL331" i="2"/>
  <c r="AG332" i="2"/>
  <c r="AI332" i="2"/>
  <c r="AJ332" i="2"/>
  <c r="AL332" i="2"/>
  <c r="AG333" i="2"/>
  <c r="AI333" i="2"/>
  <c r="AJ333" i="2"/>
  <c r="AL333" i="2"/>
  <c r="AG334" i="2"/>
  <c r="AI334" i="2"/>
  <c r="AJ334" i="2"/>
  <c r="AL334" i="2"/>
  <c r="AG335" i="2"/>
  <c r="AI335" i="2"/>
  <c r="AJ335" i="2"/>
  <c r="AL335" i="2"/>
  <c r="AG336" i="2"/>
  <c r="AI336" i="2"/>
  <c r="AJ336" i="2"/>
  <c r="AL336" i="2"/>
  <c r="AG337" i="2"/>
  <c r="AI337" i="2"/>
  <c r="AJ337" i="2"/>
  <c r="AL337" i="2"/>
  <c r="AG338" i="2"/>
  <c r="AI338" i="2"/>
  <c r="AJ338" i="2"/>
  <c r="AL338" i="2"/>
  <c r="AG339" i="2"/>
  <c r="AI339" i="2"/>
  <c r="AJ339" i="2"/>
  <c r="AL339" i="2"/>
  <c r="AG340" i="2"/>
  <c r="AI340" i="2"/>
  <c r="AJ340" i="2"/>
  <c r="AL340" i="2"/>
  <c r="AG341" i="2"/>
  <c r="AI341" i="2"/>
  <c r="AJ341" i="2"/>
  <c r="AL341" i="2"/>
  <c r="AG342" i="2"/>
  <c r="AI342" i="2"/>
  <c r="AJ342" i="2"/>
  <c r="AL342" i="2"/>
  <c r="AG343" i="2"/>
  <c r="AI343" i="2"/>
  <c r="AJ343" i="2"/>
  <c r="AL343" i="2"/>
  <c r="AG344" i="2"/>
  <c r="AI344" i="2"/>
  <c r="AJ344" i="2"/>
  <c r="AL344" i="2"/>
  <c r="AG345" i="2"/>
  <c r="AI345" i="2"/>
  <c r="AJ345" i="2"/>
  <c r="AL345" i="2"/>
  <c r="AG346" i="2"/>
  <c r="AI346" i="2"/>
  <c r="AJ346" i="2"/>
  <c r="AL346" i="2"/>
  <c r="AG347" i="2"/>
  <c r="AI347" i="2"/>
  <c r="AJ347" i="2"/>
  <c r="AL347" i="2"/>
  <c r="AG348" i="2"/>
  <c r="AI348" i="2"/>
  <c r="AJ348" i="2"/>
  <c r="AL348" i="2"/>
  <c r="AG349" i="2"/>
  <c r="AI349" i="2"/>
  <c r="AJ349" i="2"/>
  <c r="AL349" i="2"/>
  <c r="AG350" i="2"/>
  <c r="AI350" i="2"/>
  <c r="AJ350" i="2"/>
  <c r="AL350" i="2"/>
  <c r="AG351" i="2"/>
  <c r="AI351" i="2"/>
  <c r="AJ351" i="2"/>
  <c r="AL351" i="2"/>
  <c r="AG352" i="2"/>
  <c r="AI352" i="2"/>
  <c r="AJ352" i="2"/>
  <c r="AL352" i="2"/>
  <c r="AG353" i="2"/>
  <c r="AI353" i="2"/>
  <c r="AJ353" i="2"/>
  <c r="AL353" i="2"/>
  <c r="AG354" i="2"/>
  <c r="AI354" i="2"/>
  <c r="AJ354" i="2"/>
  <c r="AL354" i="2"/>
  <c r="AG355" i="2"/>
  <c r="AI355" i="2"/>
  <c r="AJ355" i="2"/>
  <c r="AL355" i="2"/>
  <c r="AG356" i="2"/>
  <c r="AI356" i="2"/>
  <c r="AJ356" i="2"/>
  <c r="AL356" i="2"/>
  <c r="AG357" i="2"/>
  <c r="AI357" i="2"/>
  <c r="AJ357" i="2"/>
  <c r="AL357" i="2"/>
  <c r="AG358" i="2"/>
  <c r="AI358" i="2"/>
  <c r="AJ358" i="2"/>
  <c r="AL358" i="2"/>
  <c r="AG359" i="2"/>
  <c r="AI359" i="2"/>
  <c r="AJ359" i="2"/>
  <c r="AL359" i="2"/>
  <c r="AG360" i="2"/>
  <c r="AI360" i="2"/>
  <c r="AJ360" i="2"/>
  <c r="AL360" i="2"/>
  <c r="AG361" i="2"/>
  <c r="AI361" i="2"/>
  <c r="AJ361" i="2"/>
  <c r="AL361" i="2"/>
  <c r="AG362" i="2"/>
  <c r="AI362" i="2"/>
  <c r="AJ362" i="2"/>
  <c r="AL362" i="2"/>
  <c r="AG363" i="2"/>
  <c r="AI363" i="2"/>
  <c r="AJ363" i="2"/>
  <c r="AL363" i="2"/>
  <c r="AG364" i="2"/>
  <c r="AI364" i="2"/>
  <c r="AJ364" i="2"/>
  <c r="AL364" i="2"/>
  <c r="AG365" i="2"/>
  <c r="AI365" i="2"/>
  <c r="AJ365" i="2"/>
  <c r="AL365" i="2"/>
  <c r="AG366" i="2"/>
  <c r="AI366" i="2"/>
  <c r="AJ366" i="2"/>
  <c r="AL366" i="2"/>
  <c r="AG367" i="2"/>
  <c r="AI367" i="2"/>
  <c r="AJ367" i="2"/>
  <c r="AL367" i="2"/>
  <c r="AG368" i="2"/>
  <c r="AI368" i="2"/>
  <c r="AJ368" i="2"/>
  <c r="AL368" i="2"/>
  <c r="AG369" i="2"/>
  <c r="AI369" i="2"/>
  <c r="AJ369" i="2"/>
  <c r="AL369" i="2"/>
  <c r="AG370" i="2"/>
  <c r="AI370" i="2"/>
  <c r="AJ370" i="2"/>
  <c r="AL370" i="2"/>
  <c r="AG371" i="2"/>
  <c r="AI371" i="2"/>
  <c r="AJ371" i="2"/>
  <c r="AL371" i="2"/>
  <c r="AG372" i="2"/>
  <c r="AI372" i="2"/>
  <c r="AJ372" i="2"/>
  <c r="AL372" i="2"/>
  <c r="AG373" i="2"/>
  <c r="AI373" i="2"/>
  <c r="AJ373" i="2"/>
  <c r="AL373" i="2"/>
  <c r="AG374" i="2"/>
  <c r="AI374" i="2"/>
  <c r="AJ374" i="2"/>
  <c r="AL374" i="2"/>
  <c r="AG375" i="2"/>
  <c r="AI375" i="2"/>
  <c r="AJ375" i="2"/>
  <c r="AL375" i="2"/>
  <c r="AG376" i="2"/>
  <c r="AI376" i="2"/>
  <c r="AJ376" i="2"/>
  <c r="AL376" i="2"/>
  <c r="AG377" i="2"/>
  <c r="AI377" i="2"/>
  <c r="AJ377" i="2"/>
  <c r="AL377" i="2"/>
  <c r="AG378" i="2"/>
  <c r="AI378" i="2"/>
  <c r="AJ378" i="2"/>
  <c r="AL378" i="2"/>
  <c r="AG379" i="2"/>
  <c r="AI379" i="2"/>
  <c r="AJ379" i="2"/>
  <c r="AL379" i="2"/>
  <c r="AG380" i="2"/>
  <c r="AI380" i="2"/>
  <c r="AJ380" i="2"/>
  <c r="AL380" i="2"/>
  <c r="AG381" i="2"/>
  <c r="AI381" i="2"/>
  <c r="AJ381" i="2"/>
  <c r="AL381" i="2"/>
  <c r="AG382" i="2"/>
  <c r="AI382" i="2"/>
  <c r="AJ382" i="2"/>
  <c r="AL382" i="2"/>
  <c r="AG383" i="2"/>
  <c r="AI383" i="2"/>
  <c r="AJ383" i="2"/>
  <c r="AL383" i="2"/>
  <c r="AG384" i="2"/>
  <c r="AI384" i="2"/>
  <c r="AJ384" i="2"/>
  <c r="AL384" i="2"/>
  <c r="AG385" i="2"/>
  <c r="AI385" i="2"/>
  <c r="AJ385" i="2"/>
  <c r="AL385" i="2"/>
  <c r="AG386" i="2"/>
  <c r="AI386" i="2"/>
  <c r="AJ386" i="2"/>
  <c r="AL386" i="2"/>
  <c r="AG387" i="2"/>
  <c r="AI387" i="2"/>
  <c r="AJ387" i="2"/>
  <c r="AL387" i="2"/>
  <c r="AG388" i="2"/>
  <c r="AI388" i="2"/>
  <c r="AJ388" i="2"/>
  <c r="AL388" i="2"/>
  <c r="AG389" i="2"/>
  <c r="AI389" i="2"/>
  <c r="AJ389" i="2"/>
  <c r="AL389" i="2"/>
  <c r="AG390" i="2"/>
  <c r="AI390" i="2"/>
  <c r="AJ390" i="2"/>
  <c r="AL390" i="2"/>
  <c r="AG391" i="2"/>
  <c r="AI391" i="2"/>
  <c r="AJ391" i="2"/>
  <c r="AL391" i="2"/>
  <c r="AG392" i="2"/>
  <c r="AI392" i="2"/>
  <c r="AJ392" i="2"/>
  <c r="AL392" i="2"/>
  <c r="AG393" i="2"/>
  <c r="AI393" i="2"/>
  <c r="AJ393" i="2"/>
  <c r="AL393" i="2"/>
  <c r="AG394" i="2"/>
  <c r="AI394" i="2"/>
  <c r="AJ394" i="2"/>
  <c r="AL394" i="2"/>
  <c r="AG395" i="2"/>
  <c r="AI395" i="2"/>
  <c r="AJ395" i="2"/>
  <c r="AL395" i="2"/>
  <c r="AG396" i="2"/>
  <c r="AI396" i="2"/>
  <c r="AJ396" i="2"/>
  <c r="AL396" i="2"/>
  <c r="AG397" i="2"/>
  <c r="AI397" i="2"/>
  <c r="AJ397" i="2"/>
  <c r="AL397" i="2"/>
  <c r="AG398" i="2"/>
  <c r="AI398" i="2"/>
  <c r="AJ398" i="2"/>
  <c r="AL398" i="2"/>
  <c r="AG399" i="2"/>
  <c r="AI399" i="2"/>
  <c r="AJ399" i="2"/>
  <c r="AL399" i="2"/>
  <c r="AG400" i="2"/>
  <c r="AI400" i="2"/>
  <c r="AJ400" i="2"/>
  <c r="AL400" i="2"/>
  <c r="AG401" i="2"/>
  <c r="AI401" i="2"/>
  <c r="AJ401" i="2"/>
  <c r="AL401" i="2"/>
  <c r="AG402" i="2"/>
  <c r="AI402" i="2"/>
  <c r="AJ402" i="2"/>
  <c r="AL402" i="2"/>
  <c r="AG403" i="2"/>
  <c r="AI403" i="2"/>
  <c r="AJ403" i="2"/>
  <c r="AL403" i="2"/>
  <c r="AG404" i="2"/>
  <c r="AI404" i="2"/>
  <c r="AJ404" i="2"/>
  <c r="AL404" i="2"/>
  <c r="AG405" i="2"/>
  <c r="AI405" i="2"/>
  <c r="AJ405" i="2"/>
  <c r="AL405" i="2"/>
  <c r="AG406" i="2"/>
  <c r="AI406" i="2"/>
  <c r="AJ406" i="2"/>
  <c r="AL406" i="2"/>
  <c r="AG407" i="2"/>
  <c r="AI407" i="2"/>
  <c r="AJ407" i="2"/>
  <c r="AL407" i="2"/>
  <c r="AG408" i="2"/>
  <c r="AI408" i="2"/>
  <c r="AJ408" i="2"/>
  <c r="AL408" i="2"/>
  <c r="AG409" i="2"/>
  <c r="AI409" i="2"/>
  <c r="AJ409" i="2"/>
  <c r="AL409" i="2"/>
  <c r="AG410" i="2"/>
  <c r="AI410" i="2"/>
  <c r="AJ410" i="2"/>
  <c r="AL410" i="2"/>
  <c r="AG411" i="2"/>
  <c r="AI411" i="2"/>
  <c r="AJ411" i="2"/>
  <c r="AL411" i="2"/>
  <c r="AG412" i="2"/>
  <c r="AI412" i="2"/>
  <c r="AJ412" i="2"/>
  <c r="AL412" i="2"/>
  <c r="AG413" i="2"/>
  <c r="AI413" i="2"/>
  <c r="AJ413" i="2"/>
  <c r="AL413" i="2"/>
  <c r="AG414" i="2"/>
  <c r="AI414" i="2"/>
  <c r="AJ414" i="2"/>
  <c r="AL414" i="2"/>
  <c r="AG415" i="2"/>
  <c r="AI415" i="2"/>
  <c r="AJ415" i="2"/>
  <c r="AL415" i="2"/>
  <c r="AG416" i="2"/>
  <c r="AI416" i="2"/>
  <c r="AJ416" i="2"/>
  <c r="AL416" i="2"/>
  <c r="AG417" i="2"/>
  <c r="AI417" i="2"/>
  <c r="AJ417" i="2"/>
  <c r="AL417" i="2"/>
  <c r="AG418" i="2"/>
  <c r="AI418" i="2"/>
  <c r="AJ418" i="2"/>
  <c r="AL418" i="2"/>
  <c r="AG419" i="2"/>
  <c r="AI419" i="2"/>
  <c r="AJ419" i="2"/>
  <c r="AL419" i="2"/>
  <c r="AG420" i="2"/>
  <c r="AI420" i="2"/>
  <c r="AJ420" i="2"/>
  <c r="AL420" i="2"/>
  <c r="AG421" i="2"/>
  <c r="AI421" i="2"/>
  <c r="AJ421" i="2"/>
  <c r="AL421" i="2"/>
  <c r="AG422" i="2"/>
  <c r="AI422" i="2"/>
  <c r="AJ422" i="2"/>
  <c r="AL422" i="2"/>
  <c r="AG423" i="2"/>
  <c r="AI423" i="2"/>
  <c r="AJ423" i="2"/>
  <c r="AL423" i="2"/>
  <c r="AG424" i="2"/>
  <c r="AI424" i="2"/>
  <c r="AJ424" i="2"/>
  <c r="AL424" i="2"/>
  <c r="AG425" i="2"/>
  <c r="AI425" i="2"/>
  <c r="AJ425" i="2"/>
  <c r="AL425" i="2"/>
  <c r="AG426" i="2"/>
  <c r="AI426" i="2"/>
  <c r="AJ426" i="2"/>
  <c r="AL426" i="2"/>
  <c r="AG427" i="2"/>
  <c r="AI427" i="2"/>
  <c r="AJ427" i="2"/>
  <c r="AL427" i="2"/>
  <c r="AG428" i="2"/>
  <c r="AI428" i="2"/>
  <c r="AJ428" i="2"/>
  <c r="AL428" i="2"/>
  <c r="AG429" i="2"/>
  <c r="AI429" i="2"/>
  <c r="AJ429" i="2"/>
  <c r="AL429" i="2"/>
  <c r="AG430" i="2"/>
  <c r="AI430" i="2"/>
  <c r="AJ430" i="2"/>
  <c r="AL430" i="2"/>
  <c r="AG431" i="2"/>
  <c r="AI431" i="2"/>
  <c r="AJ431" i="2"/>
  <c r="AL431" i="2"/>
  <c r="AG432" i="2"/>
  <c r="AI432" i="2"/>
  <c r="AJ432" i="2"/>
  <c r="AL432" i="2"/>
  <c r="AG433" i="2"/>
  <c r="AI433" i="2"/>
  <c r="AJ433" i="2"/>
  <c r="AL433" i="2"/>
  <c r="AG434" i="2"/>
  <c r="AI434" i="2"/>
  <c r="AJ434" i="2"/>
  <c r="AL434" i="2"/>
  <c r="AG435" i="2"/>
  <c r="AI435" i="2"/>
  <c r="AJ435" i="2"/>
  <c r="AL435" i="2"/>
  <c r="AG436" i="2"/>
  <c r="AI436" i="2"/>
  <c r="AJ436" i="2"/>
  <c r="AL436" i="2"/>
  <c r="AG437" i="2"/>
  <c r="AI437" i="2"/>
  <c r="AJ437" i="2"/>
  <c r="AL437" i="2"/>
  <c r="AG438" i="2"/>
  <c r="AI438" i="2"/>
  <c r="AJ438" i="2"/>
  <c r="AL438" i="2"/>
  <c r="AG439" i="2"/>
  <c r="AI439" i="2"/>
  <c r="AJ439" i="2"/>
  <c r="AL439" i="2"/>
  <c r="AG440" i="2"/>
  <c r="AI440" i="2"/>
  <c r="AJ440" i="2"/>
  <c r="AL440" i="2"/>
  <c r="AG441" i="2"/>
  <c r="AI441" i="2"/>
  <c r="AJ441" i="2"/>
  <c r="AL441" i="2"/>
  <c r="AG442" i="2"/>
  <c r="AI442" i="2"/>
  <c r="AJ442" i="2"/>
  <c r="AL442" i="2"/>
  <c r="AG443" i="2"/>
  <c r="AI443" i="2"/>
  <c r="AJ443" i="2"/>
  <c r="AL443" i="2"/>
  <c r="AG444" i="2"/>
  <c r="AI444" i="2"/>
  <c r="AJ444" i="2"/>
  <c r="AL444" i="2"/>
  <c r="AG445" i="2"/>
  <c r="AI445" i="2"/>
  <c r="AJ445" i="2"/>
  <c r="AL445" i="2"/>
  <c r="AG446" i="2"/>
  <c r="AI446" i="2"/>
  <c r="AJ446" i="2"/>
  <c r="AL446" i="2"/>
  <c r="AG447" i="2"/>
  <c r="AI447" i="2"/>
  <c r="AJ447" i="2"/>
  <c r="AL447" i="2"/>
  <c r="AG448" i="2"/>
  <c r="AI448" i="2"/>
  <c r="AJ448" i="2"/>
  <c r="AL448" i="2"/>
  <c r="AG449" i="2"/>
  <c r="AI449" i="2"/>
  <c r="AJ449" i="2"/>
  <c r="AL449" i="2"/>
  <c r="AG450" i="2"/>
  <c r="AI450" i="2"/>
  <c r="AJ450" i="2"/>
  <c r="AL450" i="2"/>
  <c r="AG451" i="2"/>
  <c r="AI451" i="2"/>
  <c r="AJ451" i="2"/>
  <c r="AL451" i="2"/>
  <c r="AG452" i="2"/>
  <c r="AI452" i="2"/>
  <c r="AJ452" i="2"/>
  <c r="AL452" i="2"/>
  <c r="AG453" i="2"/>
  <c r="AI453" i="2"/>
  <c r="AJ453" i="2"/>
  <c r="AL453" i="2"/>
  <c r="AG454" i="2"/>
  <c r="AI454" i="2"/>
  <c r="AJ454" i="2"/>
  <c r="AL454" i="2"/>
  <c r="AG455" i="2"/>
  <c r="AI455" i="2"/>
  <c r="AJ455" i="2"/>
  <c r="AL455" i="2"/>
  <c r="AG456" i="2"/>
  <c r="AI456" i="2"/>
  <c r="AJ456" i="2"/>
  <c r="AL456" i="2"/>
  <c r="AG457" i="2"/>
  <c r="AI457" i="2"/>
  <c r="AJ457" i="2"/>
  <c r="AL457" i="2"/>
  <c r="AG458" i="2"/>
  <c r="AI458" i="2"/>
  <c r="AJ458" i="2"/>
  <c r="AL458" i="2"/>
  <c r="AG459" i="2"/>
  <c r="AI459" i="2"/>
  <c r="AJ459" i="2"/>
  <c r="AL459" i="2"/>
  <c r="AG460" i="2"/>
  <c r="AI460" i="2"/>
  <c r="AJ460" i="2"/>
  <c r="AL460" i="2"/>
  <c r="AG461" i="2"/>
  <c r="AI461" i="2"/>
  <c r="AJ461" i="2"/>
  <c r="AL461" i="2"/>
  <c r="AG462" i="2"/>
  <c r="AI462" i="2"/>
  <c r="AJ462" i="2"/>
  <c r="AL462" i="2"/>
  <c r="AG463" i="2"/>
  <c r="AI463" i="2"/>
  <c r="AJ463" i="2"/>
  <c r="AL463" i="2"/>
  <c r="AG464" i="2"/>
  <c r="AI464" i="2"/>
  <c r="AJ464" i="2"/>
  <c r="AL464" i="2"/>
  <c r="AG465" i="2"/>
  <c r="AI465" i="2"/>
  <c r="AJ465" i="2"/>
  <c r="AL465" i="2"/>
  <c r="AG466" i="2"/>
  <c r="AI466" i="2"/>
  <c r="AJ466" i="2"/>
  <c r="AL466" i="2"/>
  <c r="AG467" i="2"/>
  <c r="AI467" i="2"/>
  <c r="AJ467" i="2"/>
  <c r="AL467" i="2"/>
  <c r="AG468" i="2"/>
  <c r="AI468" i="2"/>
  <c r="AJ468" i="2"/>
  <c r="AL468" i="2"/>
  <c r="AG469" i="2"/>
  <c r="AI469" i="2"/>
  <c r="AJ469" i="2"/>
  <c r="AL469" i="2"/>
  <c r="AG470" i="2"/>
  <c r="AI470" i="2"/>
  <c r="AJ470" i="2"/>
  <c r="AL470" i="2"/>
  <c r="AG471" i="2"/>
  <c r="AI471" i="2"/>
  <c r="AJ471" i="2"/>
  <c r="AL471" i="2"/>
  <c r="AG472" i="2"/>
  <c r="AI472" i="2"/>
  <c r="AJ472" i="2"/>
  <c r="AL472" i="2"/>
  <c r="AG473" i="2"/>
  <c r="AI473" i="2"/>
  <c r="AJ473" i="2"/>
  <c r="AL473" i="2"/>
  <c r="AG474" i="2"/>
  <c r="AI474" i="2"/>
  <c r="AJ474" i="2"/>
  <c r="AL474" i="2"/>
  <c r="AG475" i="2"/>
  <c r="AI475" i="2"/>
  <c r="AJ475" i="2"/>
  <c r="AL475" i="2"/>
  <c r="AG476" i="2"/>
  <c r="AI476" i="2"/>
  <c r="AJ476" i="2"/>
  <c r="AL476" i="2"/>
  <c r="AG477" i="2"/>
  <c r="AI477" i="2"/>
  <c r="AJ477" i="2"/>
  <c r="AL477" i="2"/>
  <c r="AG478" i="2"/>
  <c r="AI478" i="2"/>
  <c r="AJ478" i="2"/>
  <c r="AL478" i="2"/>
  <c r="AG479" i="2"/>
  <c r="AI479" i="2"/>
  <c r="AJ479" i="2"/>
  <c r="AL479" i="2"/>
  <c r="AG480" i="2"/>
  <c r="AI480" i="2"/>
  <c r="AJ480" i="2"/>
  <c r="AL480" i="2"/>
  <c r="AG481" i="2"/>
  <c r="AI481" i="2"/>
  <c r="AJ481" i="2"/>
  <c r="AL481" i="2"/>
  <c r="AG482" i="2"/>
  <c r="AI482" i="2"/>
  <c r="AJ482" i="2"/>
  <c r="AL482" i="2"/>
  <c r="AG483" i="2"/>
  <c r="AI483" i="2"/>
  <c r="AJ483" i="2"/>
  <c r="AL483" i="2"/>
  <c r="AG484" i="2"/>
  <c r="AI484" i="2"/>
  <c r="AJ484" i="2"/>
  <c r="AL484" i="2"/>
  <c r="AG485" i="2"/>
  <c r="AI485" i="2"/>
  <c r="AJ485" i="2"/>
  <c r="AL485" i="2"/>
  <c r="AG486" i="2"/>
  <c r="AI486" i="2"/>
  <c r="AJ486" i="2"/>
  <c r="AL486" i="2"/>
  <c r="AG487" i="2"/>
  <c r="AI487" i="2"/>
  <c r="AJ487" i="2"/>
  <c r="AL487" i="2"/>
  <c r="AG488" i="2"/>
  <c r="AI488" i="2"/>
  <c r="AJ488" i="2"/>
  <c r="AL488" i="2"/>
  <c r="AG489" i="2"/>
  <c r="AI489" i="2"/>
  <c r="AJ489" i="2"/>
  <c r="AL489" i="2"/>
  <c r="AG490" i="2"/>
  <c r="AI490" i="2"/>
  <c r="AJ490" i="2"/>
  <c r="AL490" i="2"/>
  <c r="AG491" i="2"/>
  <c r="AI491" i="2"/>
  <c r="AJ491" i="2"/>
  <c r="AL491" i="2"/>
  <c r="AG492" i="2"/>
  <c r="AI492" i="2"/>
  <c r="AJ492" i="2"/>
  <c r="AL492" i="2"/>
  <c r="AG493" i="2"/>
  <c r="AI493" i="2"/>
  <c r="AJ493" i="2"/>
  <c r="AL493" i="2"/>
  <c r="AG494" i="2"/>
  <c r="AI494" i="2"/>
  <c r="AJ494" i="2"/>
  <c r="AL494" i="2"/>
  <c r="AG495" i="2"/>
  <c r="AI495" i="2"/>
  <c r="AJ495" i="2"/>
  <c r="AL495" i="2"/>
  <c r="AG496" i="2"/>
  <c r="AI496" i="2"/>
  <c r="AJ496" i="2"/>
  <c r="AL496" i="2"/>
  <c r="AG497" i="2"/>
  <c r="AI497" i="2"/>
  <c r="AJ497" i="2"/>
  <c r="AL497" i="2"/>
  <c r="AG498" i="2"/>
  <c r="AI498" i="2"/>
  <c r="AJ498" i="2"/>
  <c r="AL498" i="2"/>
  <c r="AG499" i="2"/>
  <c r="AI499" i="2"/>
  <c r="AJ499" i="2"/>
  <c r="AL499" i="2"/>
  <c r="AG500" i="2"/>
  <c r="AI500" i="2"/>
  <c r="AJ500" i="2"/>
  <c r="AL500" i="2"/>
  <c r="AG501" i="2"/>
  <c r="AI501" i="2"/>
  <c r="AJ501" i="2"/>
  <c r="AL501" i="2"/>
  <c r="AG502" i="2"/>
  <c r="AI502" i="2"/>
  <c r="AJ502" i="2"/>
  <c r="AL502" i="2"/>
  <c r="AG503" i="2"/>
  <c r="AI503" i="2"/>
  <c r="AJ503" i="2"/>
  <c r="AL503" i="2"/>
  <c r="AG504" i="2"/>
  <c r="AI504" i="2"/>
  <c r="AJ504" i="2"/>
  <c r="AL504" i="2"/>
  <c r="AG505" i="2"/>
  <c r="AI505" i="2"/>
  <c r="AJ505" i="2"/>
  <c r="AL505" i="2"/>
  <c r="AG506" i="2"/>
  <c r="AI506" i="2"/>
  <c r="AJ506" i="2"/>
  <c r="AL506" i="2"/>
  <c r="AG507" i="2"/>
  <c r="AI507" i="2"/>
  <c r="AJ507" i="2"/>
  <c r="AL507" i="2"/>
  <c r="AG508" i="2"/>
  <c r="AI508" i="2"/>
  <c r="AJ508" i="2"/>
  <c r="AL508" i="2"/>
  <c r="AG509" i="2"/>
  <c r="AI509" i="2"/>
  <c r="AJ509" i="2"/>
  <c r="AL509" i="2"/>
  <c r="AG510" i="2"/>
  <c r="AI510" i="2"/>
  <c r="AJ510" i="2"/>
  <c r="AL510" i="2"/>
  <c r="AG511" i="2"/>
  <c r="AI511" i="2"/>
  <c r="AJ511" i="2"/>
  <c r="AL511" i="2"/>
  <c r="AG512" i="2"/>
  <c r="AI512" i="2"/>
  <c r="AJ512" i="2"/>
  <c r="AL512" i="2"/>
  <c r="AG513" i="2"/>
  <c r="AI513" i="2"/>
  <c r="AJ513" i="2"/>
  <c r="AL513" i="2"/>
  <c r="AG514" i="2"/>
  <c r="AI514" i="2"/>
  <c r="AJ514" i="2"/>
  <c r="AL514" i="2"/>
  <c r="AG515" i="2"/>
  <c r="AI515" i="2"/>
  <c r="AJ515" i="2"/>
  <c r="AL515" i="2"/>
  <c r="AG516" i="2"/>
  <c r="AI516" i="2"/>
  <c r="AJ516" i="2"/>
  <c r="AL516" i="2"/>
  <c r="AG517" i="2"/>
  <c r="AI517" i="2"/>
  <c r="AJ517" i="2"/>
  <c r="AL517" i="2"/>
  <c r="AG518" i="2"/>
  <c r="AI518" i="2"/>
  <c r="AJ518" i="2"/>
  <c r="AL518" i="2"/>
  <c r="AG519" i="2"/>
  <c r="AI519" i="2"/>
  <c r="AJ519" i="2"/>
  <c r="AL519" i="2"/>
  <c r="AG520" i="2"/>
  <c r="AI520" i="2"/>
  <c r="AJ520" i="2"/>
  <c r="AL520" i="2"/>
  <c r="AG521" i="2"/>
  <c r="AI521" i="2"/>
  <c r="AJ521" i="2"/>
  <c r="AL521" i="2"/>
  <c r="AG522" i="2"/>
  <c r="AI522" i="2"/>
  <c r="AJ522" i="2"/>
  <c r="AL522" i="2"/>
  <c r="AG523" i="2"/>
  <c r="AI523" i="2"/>
  <c r="AJ523" i="2"/>
  <c r="AL523" i="2"/>
  <c r="AG524" i="2"/>
  <c r="AI524" i="2"/>
  <c r="AJ524" i="2"/>
  <c r="AL524" i="2"/>
  <c r="AG525" i="2"/>
  <c r="AI525" i="2"/>
  <c r="AJ525" i="2"/>
  <c r="AL525" i="2"/>
  <c r="AG526" i="2"/>
  <c r="AI526" i="2"/>
  <c r="AJ526" i="2"/>
  <c r="AL526" i="2"/>
  <c r="AG527" i="2"/>
  <c r="AI527" i="2"/>
  <c r="AJ527" i="2"/>
  <c r="AL527" i="2"/>
  <c r="AG528" i="2"/>
  <c r="AI528" i="2"/>
  <c r="AJ528" i="2"/>
  <c r="AL528" i="2"/>
  <c r="AG529" i="2"/>
  <c r="AI529" i="2"/>
  <c r="AJ529" i="2"/>
  <c r="AL529" i="2"/>
  <c r="AG530" i="2"/>
  <c r="AI530" i="2"/>
  <c r="AJ530" i="2"/>
  <c r="AL530" i="2"/>
  <c r="AG531" i="2"/>
  <c r="AI531" i="2"/>
  <c r="AJ531" i="2"/>
  <c r="AL531" i="2"/>
  <c r="AG532" i="2"/>
  <c r="AI532" i="2"/>
  <c r="AJ532" i="2"/>
  <c r="AL532" i="2"/>
  <c r="AG533" i="2"/>
  <c r="AI533" i="2"/>
  <c r="AJ533" i="2"/>
  <c r="AL533" i="2"/>
  <c r="AG534" i="2"/>
  <c r="AI534" i="2"/>
  <c r="AJ534" i="2"/>
  <c r="AL534" i="2"/>
  <c r="AG535" i="2"/>
  <c r="AI535" i="2"/>
  <c r="AJ535" i="2"/>
  <c r="AL535" i="2"/>
  <c r="AG536" i="2"/>
  <c r="AI536" i="2"/>
  <c r="AJ536" i="2"/>
  <c r="AL536" i="2"/>
  <c r="AG537" i="2"/>
  <c r="AI537" i="2"/>
  <c r="AJ537" i="2"/>
  <c r="AL537" i="2"/>
  <c r="AG538" i="2"/>
  <c r="AI538" i="2"/>
  <c r="AJ538" i="2"/>
  <c r="AL538" i="2"/>
  <c r="AG539" i="2"/>
  <c r="AI539" i="2"/>
  <c r="AJ539" i="2"/>
  <c r="AL539" i="2"/>
  <c r="AG540" i="2"/>
  <c r="AI540" i="2"/>
  <c r="AJ540" i="2"/>
  <c r="AL540" i="2"/>
  <c r="AG541" i="2"/>
  <c r="AI541" i="2"/>
  <c r="AJ541" i="2"/>
  <c r="AL541" i="2"/>
  <c r="AG542" i="2"/>
  <c r="AI542" i="2"/>
  <c r="AJ542" i="2"/>
  <c r="AL542" i="2"/>
  <c r="AG543" i="2"/>
  <c r="AI543" i="2"/>
  <c r="AJ543" i="2"/>
  <c r="AL543" i="2"/>
  <c r="AG544" i="2"/>
  <c r="AI544" i="2"/>
  <c r="AJ544" i="2"/>
  <c r="AL544" i="2"/>
  <c r="AG545" i="2"/>
  <c r="AI545" i="2"/>
  <c r="AJ545" i="2"/>
  <c r="AL545" i="2"/>
  <c r="AG546" i="2"/>
  <c r="AI546" i="2"/>
  <c r="AJ546" i="2"/>
  <c r="AL546" i="2"/>
  <c r="AG547" i="2"/>
  <c r="AI547" i="2"/>
  <c r="AJ547" i="2"/>
  <c r="AL547" i="2"/>
  <c r="AG548" i="2"/>
  <c r="AI548" i="2"/>
  <c r="AJ548" i="2"/>
  <c r="AL548" i="2"/>
  <c r="AG549" i="2"/>
  <c r="AI549" i="2"/>
  <c r="AJ549" i="2"/>
  <c r="AL549" i="2"/>
  <c r="AG550" i="2"/>
  <c r="AI550" i="2"/>
  <c r="AJ550" i="2"/>
  <c r="AL550" i="2"/>
  <c r="AG551" i="2"/>
  <c r="AI551" i="2"/>
  <c r="AJ551" i="2"/>
  <c r="AL551" i="2"/>
  <c r="AG552" i="2"/>
  <c r="AI552" i="2"/>
  <c r="AJ552" i="2"/>
  <c r="AL552" i="2"/>
  <c r="AG553" i="2"/>
  <c r="AI553" i="2"/>
  <c r="AJ553" i="2"/>
  <c r="AL553" i="2"/>
  <c r="AG554" i="2"/>
  <c r="AI554" i="2"/>
  <c r="AJ554" i="2"/>
  <c r="AL554" i="2"/>
  <c r="AG555" i="2"/>
  <c r="AI555" i="2"/>
  <c r="AJ555" i="2"/>
  <c r="AL555" i="2"/>
  <c r="AG556" i="2"/>
  <c r="AI556" i="2"/>
  <c r="AJ556" i="2"/>
  <c r="AL556" i="2"/>
  <c r="AG557" i="2"/>
  <c r="AI557" i="2"/>
  <c r="AJ557" i="2"/>
  <c r="AL557" i="2"/>
  <c r="AG558" i="2"/>
  <c r="AI558" i="2"/>
  <c r="AJ558" i="2"/>
  <c r="AL558" i="2"/>
  <c r="AG559" i="2"/>
  <c r="AI559" i="2"/>
  <c r="AJ559" i="2"/>
  <c r="AL559" i="2"/>
  <c r="AG560" i="2"/>
  <c r="AI560" i="2"/>
  <c r="AJ560" i="2"/>
  <c r="AL560" i="2"/>
  <c r="AG561" i="2"/>
  <c r="AI561" i="2"/>
  <c r="AJ561" i="2"/>
  <c r="AL561" i="2"/>
  <c r="AG562" i="2"/>
  <c r="AI562" i="2"/>
  <c r="AJ562" i="2"/>
  <c r="AL562" i="2"/>
  <c r="AG563" i="2"/>
  <c r="AI563" i="2"/>
  <c r="AJ563" i="2"/>
  <c r="AL563" i="2"/>
  <c r="AG564" i="2"/>
  <c r="AI564" i="2"/>
  <c r="AJ564" i="2"/>
  <c r="AL564" i="2"/>
  <c r="AG565" i="2"/>
  <c r="AI565" i="2"/>
  <c r="AJ565" i="2"/>
  <c r="AL565" i="2"/>
  <c r="AG566" i="2"/>
  <c r="AI566" i="2"/>
  <c r="AJ566" i="2"/>
  <c r="AL566" i="2"/>
  <c r="AG567" i="2"/>
  <c r="AI567" i="2"/>
  <c r="AJ567" i="2"/>
  <c r="AL567" i="2"/>
  <c r="AG568" i="2"/>
  <c r="AI568" i="2"/>
  <c r="AJ568" i="2"/>
  <c r="AL568" i="2"/>
  <c r="AG569" i="2"/>
  <c r="AI569" i="2"/>
  <c r="AJ569" i="2"/>
  <c r="AL569" i="2"/>
  <c r="AG570" i="2"/>
  <c r="AI570" i="2"/>
  <c r="AJ570" i="2"/>
  <c r="AL570" i="2"/>
  <c r="AG571" i="2"/>
  <c r="AI571" i="2"/>
  <c r="AJ571" i="2"/>
  <c r="AL571" i="2"/>
  <c r="AG572" i="2"/>
  <c r="AI572" i="2"/>
  <c r="AJ572" i="2"/>
  <c r="AL572" i="2"/>
  <c r="AG573" i="2"/>
  <c r="AI573" i="2"/>
  <c r="AJ573" i="2"/>
  <c r="AL573" i="2"/>
  <c r="AG574" i="2"/>
  <c r="AI574" i="2"/>
  <c r="AJ574" i="2"/>
  <c r="AL574" i="2"/>
  <c r="AG575" i="2"/>
  <c r="AI575" i="2"/>
  <c r="AJ575" i="2"/>
  <c r="AL575" i="2"/>
  <c r="AG576" i="2"/>
  <c r="AI576" i="2"/>
  <c r="AJ576" i="2"/>
  <c r="AL576" i="2"/>
  <c r="AG577" i="2"/>
  <c r="AI577" i="2"/>
  <c r="AJ577" i="2"/>
  <c r="AL577" i="2"/>
  <c r="AG578" i="2"/>
  <c r="AI578" i="2"/>
  <c r="AJ578" i="2"/>
  <c r="AL578" i="2"/>
  <c r="AG579" i="2"/>
  <c r="AI579" i="2"/>
  <c r="AJ579" i="2"/>
  <c r="AL579" i="2"/>
  <c r="AG580" i="2"/>
  <c r="AI580" i="2"/>
  <c r="AJ580" i="2"/>
  <c r="AL580" i="2"/>
  <c r="AG581" i="2"/>
  <c r="AI581" i="2"/>
  <c r="AJ581" i="2"/>
  <c r="AL581" i="2"/>
  <c r="AG582" i="2"/>
  <c r="AI582" i="2"/>
  <c r="AJ582" i="2"/>
  <c r="AL582" i="2"/>
  <c r="AG583" i="2"/>
  <c r="AI583" i="2"/>
  <c r="AJ583" i="2"/>
  <c r="AL583" i="2"/>
  <c r="AG584" i="2"/>
  <c r="AI584" i="2"/>
  <c r="AJ584" i="2"/>
  <c r="AL584" i="2"/>
  <c r="AG585" i="2"/>
  <c r="AI585" i="2"/>
  <c r="AJ585" i="2"/>
  <c r="AL585" i="2"/>
  <c r="AG586" i="2"/>
  <c r="AI586" i="2"/>
  <c r="AJ586" i="2"/>
  <c r="AL586" i="2"/>
  <c r="AG587" i="2"/>
  <c r="AI587" i="2"/>
  <c r="AJ587" i="2"/>
  <c r="AL587" i="2"/>
  <c r="AG588" i="2"/>
  <c r="AI588" i="2"/>
  <c r="AJ588" i="2"/>
  <c r="AL588" i="2"/>
  <c r="AG589" i="2"/>
  <c r="AI589" i="2"/>
  <c r="AJ589" i="2"/>
  <c r="AL589" i="2"/>
  <c r="AG590" i="2"/>
  <c r="AI590" i="2"/>
  <c r="AJ590" i="2"/>
  <c r="AL590" i="2"/>
  <c r="AG591" i="2"/>
  <c r="AI591" i="2"/>
  <c r="AJ591" i="2"/>
  <c r="AL591" i="2"/>
  <c r="AG592" i="2"/>
  <c r="AI592" i="2"/>
  <c r="AJ592" i="2"/>
  <c r="AL592" i="2"/>
  <c r="AG593" i="2"/>
  <c r="AI593" i="2"/>
  <c r="AJ593" i="2"/>
  <c r="AL593" i="2"/>
  <c r="AG594" i="2"/>
  <c r="AI594" i="2"/>
  <c r="AJ594" i="2"/>
  <c r="AL594" i="2"/>
  <c r="AG595" i="2"/>
  <c r="AI595" i="2"/>
  <c r="AJ595" i="2"/>
  <c r="AL595" i="2"/>
  <c r="AG596" i="2"/>
  <c r="AI596" i="2"/>
  <c r="AJ596" i="2"/>
  <c r="AL596" i="2"/>
  <c r="AG597" i="2"/>
  <c r="AI597" i="2"/>
  <c r="AJ597" i="2"/>
  <c r="AL597" i="2"/>
  <c r="AG598" i="2"/>
  <c r="AI598" i="2"/>
  <c r="AJ598" i="2"/>
  <c r="AL598" i="2"/>
  <c r="AG599" i="2"/>
  <c r="AI599" i="2"/>
  <c r="AJ599" i="2"/>
  <c r="AL599" i="2"/>
  <c r="AG600" i="2"/>
  <c r="AI600" i="2"/>
  <c r="AJ600" i="2"/>
  <c r="AL600" i="2"/>
  <c r="AG601" i="2"/>
  <c r="AI601" i="2"/>
  <c r="AJ601" i="2"/>
  <c r="AL601" i="2"/>
  <c r="AG602" i="2"/>
  <c r="AI602" i="2"/>
  <c r="AJ602" i="2"/>
  <c r="AL602" i="2"/>
  <c r="AG603" i="2"/>
  <c r="AI603" i="2"/>
  <c r="AJ603" i="2"/>
  <c r="AL603" i="2"/>
  <c r="AG604" i="2"/>
  <c r="AI604" i="2"/>
  <c r="AJ604" i="2"/>
  <c r="AL604" i="2"/>
  <c r="AG605" i="2"/>
  <c r="AI605" i="2"/>
  <c r="AJ605" i="2"/>
  <c r="AL605" i="2"/>
  <c r="AG606" i="2"/>
  <c r="AI606" i="2"/>
  <c r="AJ606" i="2"/>
  <c r="AL606" i="2"/>
  <c r="AG607" i="2"/>
  <c r="AI607" i="2"/>
  <c r="AJ607" i="2"/>
  <c r="AL607" i="2"/>
  <c r="AG608" i="2"/>
  <c r="AI608" i="2"/>
  <c r="AJ608" i="2"/>
  <c r="AL608" i="2"/>
  <c r="AG609" i="2"/>
  <c r="AI609" i="2"/>
  <c r="AJ609" i="2"/>
  <c r="AL609" i="2"/>
  <c r="AG610" i="2"/>
  <c r="AI610" i="2"/>
  <c r="AJ610" i="2"/>
  <c r="AL610" i="2"/>
  <c r="AG611" i="2"/>
  <c r="AI611" i="2"/>
  <c r="AJ611" i="2"/>
  <c r="AL611" i="2"/>
  <c r="AG612" i="2"/>
  <c r="AI612" i="2"/>
  <c r="AJ612" i="2"/>
  <c r="AL612" i="2"/>
  <c r="AG613" i="2"/>
  <c r="AI613" i="2"/>
  <c r="AJ613" i="2"/>
  <c r="AL613" i="2"/>
  <c r="AG614" i="2"/>
  <c r="AI614" i="2"/>
  <c r="AJ614" i="2"/>
  <c r="AL614" i="2"/>
  <c r="AG615" i="2"/>
  <c r="AI615" i="2"/>
  <c r="AJ615" i="2"/>
  <c r="AL615" i="2"/>
  <c r="AG616" i="2"/>
  <c r="AI616" i="2"/>
  <c r="AJ616" i="2"/>
  <c r="AL616" i="2"/>
  <c r="AG617" i="2"/>
  <c r="AI617" i="2"/>
  <c r="AJ617" i="2"/>
  <c r="AL617" i="2"/>
  <c r="AG618" i="2"/>
  <c r="AI618" i="2"/>
  <c r="AJ618" i="2"/>
  <c r="AL618" i="2"/>
  <c r="AG619" i="2"/>
  <c r="AI619" i="2"/>
  <c r="AJ619" i="2"/>
  <c r="AL619" i="2"/>
  <c r="AG620" i="2"/>
  <c r="AI620" i="2"/>
  <c r="AJ620" i="2"/>
  <c r="AL620" i="2"/>
  <c r="AG621" i="2"/>
  <c r="AI621" i="2"/>
  <c r="AJ621" i="2"/>
  <c r="AL621" i="2"/>
  <c r="AG622" i="2"/>
  <c r="AI622" i="2"/>
  <c r="AJ622" i="2"/>
  <c r="AL622" i="2"/>
  <c r="AG623" i="2"/>
  <c r="AI623" i="2"/>
  <c r="AJ623" i="2"/>
  <c r="AL623" i="2"/>
  <c r="AG624" i="2"/>
  <c r="AI624" i="2"/>
  <c r="AJ624" i="2"/>
  <c r="AL624" i="2"/>
  <c r="AG625" i="2"/>
  <c r="AI625" i="2"/>
  <c r="AJ625" i="2"/>
  <c r="AL625" i="2"/>
  <c r="AG626" i="2"/>
  <c r="AI626" i="2"/>
  <c r="AJ626" i="2"/>
  <c r="AL626" i="2"/>
  <c r="AG627" i="2"/>
  <c r="AI627" i="2"/>
  <c r="AJ627" i="2"/>
  <c r="AL627" i="2"/>
  <c r="AG628" i="2"/>
  <c r="AI628" i="2"/>
  <c r="AJ628" i="2"/>
  <c r="AL628" i="2"/>
  <c r="AG629" i="2"/>
  <c r="AI629" i="2"/>
  <c r="AJ629" i="2"/>
  <c r="AL629" i="2"/>
  <c r="AG630" i="2"/>
  <c r="AI630" i="2"/>
  <c r="AJ630" i="2"/>
  <c r="AL630" i="2"/>
  <c r="AG631" i="2"/>
  <c r="AI631" i="2"/>
  <c r="AJ631" i="2"/>
  <c r="AL631" i="2"/>
  <c r="AG632" i="2"/>
  <c r="AI632" i="2"/>
  <c r="AJ632" i="2"/>
  <c r="AL632" i="2"/>
  <c r="AG633" i="2"/>
  <c r="AI633" i="2"/>
  <c r="AJ633" i="2"/>
  <c r="AL633" i="2"/>
  <c r="AG634" i="2"/>
  <c r="AI634" i="2"/>
  <c r="AJ634" i="2"/>
  <c r="AL634" i="2"/>
  <c r="AG635" i="2"/>
  <c r="AI635" i="2"/>
  <c r="AJ635" i="2"/>
  <c r="AL635" i="2"/>
  <c r="AG636" i="2"/>
  <c r="AI636" i="2"/>
  <c r="AJ636" i="2"/>
  <c r="AL636" i="2"/>
  <c r="AG637" i="2"/>
  <c r="AI637" i="2"/>
  <c r="AJ637" i="2"/>
  <c r="AL637" i="2"/>
  <c r="AG638" i="2"/>
  <c r="AI638" i="2"/>
  <c r="AJ638" i="2"/>
  <c r="AL638" i="2"/>
  <c r="AG639" i="2"/>
  <c r="AI639" i="2"/>
  <c r="AJ639" i="2"/>
  <c r="AL639" i="2"/>
  <c r="AG640" i="2"/>
  <c r="AI640" i="2"/>
  <c r="AJ640" i="2"/>
  <c r="AL640" i="2"/>
  <c r="AG641" i="2"/>
  <c r="AI641" i="2"/>
  <c r="AJ641" i="2"/>
  <c r="AL641" i="2"/>
  <c r="AG642" i="2"/>
  <c r="AI642" i="2"/>
  <c r="AJ642" i="2"/>
  <c r="AL642" i="2"/>
  <c r="AG643" i="2"/>
  <c r="AI643" i="2"/>
  <c r="AJ643" i="2"/>
  <c r="AL643" i="2"/>
  <c r="AG644" i="2"/>
  <c r="AI644" i="2"/>
  <c r="AJ644" i="2"/>
  <c r="AL644" i="2"/>
  <c r="AG645" i="2"/>
  <c r="AI645" i="2"/>
  <c r="AJ645" i="2"/>
  <c r="AL645" i="2"/>
  <c r="AG646" i="2"/>
  <c r="AI646" i="2"/>
  <c r="AJ646" i="2"/>
  <c r="AL646" i="2"/>
  <c r="AG647" i="2"/>
  <c r="AI647" i="2"/>
  <c r="AJ647" i="2"/>
  <c r="AL647" i="2"/>
  <c r="AG648" i="2"/>
  <c r="AI648" i="2"/>
  <c r="AJ648" i="2"/>
  <c r="AL648" i="2"/>
  <c r="AG649" i="2"/>
  <c r="AI649" i="2"/>
  <c r="AJ649" i="2"/>
  <c r="AL649" i="2"/>
  <c r="AG650" i="2"/>
  <c r="AI650" i="2"/>
  <c r="AJ650" i="2"/>
  <c r="AL650" i="2"/>
  <c r="AG651" i="2"/>
  <c r="AI651" i="2"/>
  <c r="AJ651" i="2"/>
  <c r="AL651" i="2"/>
  <c r="AG652" i="2"/>
  <c r="AI652" i="2"/>
  <c r="AJ652" i="2"/>
  <c r="AL652" i="2"/>
  <c r="AG653" i="2"/>
  <c r="AI653" i="2"/>
  <c r="AJ653" i="2"/>
  <c r="AL653" i="2"/>
  <c r="AG654" i="2"/>
  <c r="AI654" i="2"/>
  <c r="AJ654" i="2"/>
  <c r="AL654" i="2"/>
  <c r="AG655" i="2"/>
  <c r="AI655" i="2"/>
  <c r="AJ655" i="2"/>
  <c r="AL655" i="2"/>
  <c r="AG656" i="2"/>
  <c r="AI656" i="2"/>
  <c r="AJ656" i="2"/>
  <c r="AL656" i="2"/>
  <c r="AG657" i="2"/>
  <c r="AI657" i="2"/>
  <c r="AJ657" i="2"/>
  <c r="AL657" i="2"/>
  <c r="AG658" i="2"/>
  <c r="AI658" i="2"/>
  <c r="AJ658" i="2"/>
  <c r="AL658" i="2"/>
  <c r="AG659" i="2"/>
  <c r="AI659" i="2"/>
  <c r="AJ659" i="2"/>
  <c r="AL659" i="2"/>
  <c r="AG660" i="2"/>
  <c r="AI660" i="2"/>
  <c r="AJ660" i="2"/>
  <c r="AL660" i="2"/>
  <c r="AG661" i="2"/>
  <c r="AI661" i="2"/>
  <c r="AJ661" i="2"/>
  <c r="AL661" i="2"/>
  <c r="AG662" i="2"/>
  <c r="AI662" i="2"/>
  <c r="AJ662" i="2"/>
  <c r="AL662" i="2"/>
  <c r="AG663" i="2"/>
  <c r="AI663" i="2"/>
  <c r="AJ663" i="2"/>
  <c r="AL663" i="2"/>
  <c r="AG664" i="2"/>
  <c r="AI664" i="2"/>
  <c r="AJ664" i="2"/>
  <c r="AL664" i="2"/>
  <c r="AG665" i="2"/>
  <c r="AI665" i="2"/>
  <c r="AJ665" i="2"/>
  <c r="AL665" i="2"/>
  <c r="AG666" i="2"/>
  <c r="AI666" i="2"/>
  <c r="AJ666" i="2"/>
  <c r="AL666" i="2"/>
  <c r="AG667" i="2"/>
  <c r="AI667" i="2"/>
  <c r="AJ667" i="2"/>
  <c r="AL667" i="2"/>
  <c r="AG668" i="2"/>
  <c r="AI668" i="2"/>
  <c r="AJ668" i="2"/>
  <c r="AL668" i="2"/>
  <c r="AG669" i="2"/>
  <c r="AI669" i="2"/>
  <c r="AJ669" i="2"/>
  <c r="AL669" i="2"/>
  <c r="AG670" i="2"/>
  <c r="AI670" i="2"/>
  <c r="AJ670" i="2"/>
  <c r="AL670" i="2"/>
  <c r="AG671" i="2"/>
  <c r="AI671" i="2"/>
  <c r="AJ671" i="2"/>
  <c r="AL671" i="2"/>
  <c r="AG672" i="2"/>
  <c r="AI672" i="2"/>
  <c r="AJ672" i="2"/>
  <c r="AL672" i="2"/>
  <c r="AG673" i="2"/>
  <c r="AI673" i="2"/>
  <c r="AJ673" i="2"/>
  <c r="AL673" i="2"/>
  <c r="AG674" i="2"/>
  <c r="AI674" i="2"/>
  <c r="AJ674" i="2"/>
  <c r="AL674" i="2"/>
  <c r="AG675" i="2"/>
  <c r="AI675" i="2"/>
  <c r="AJ675" i="2"/>
  <c r="AL675" i="2"/>
  <c r="AG676" i="2"/>
  <c r="AI676" i="2"/>
  <c r="AJ676" i="2"/>
  <c r="AL676" i="2"/>
  <c r="AG677" i="2"/>
  <c r="AI677" i="2"/>
  <c r="AJ677" i="2"/>
  <c r="AL677" i="2"/>
  <c r="AG678" i="2"/>
  <c r="AI678" i="2"/>
  <c r="AJ678" i="2"/>
  <c r="AL678" i="2"/>
  <c r="AG679" i="2"/>
  <c r="AI679" i="2"/>
  <c r="AJ679" i="2"/>
  <c r="AL679" i="2"/>
  <c r="AG680" i="2"/>
  <c r="AI680" i="2"/>
  <c r="AJ680" i="2"/>
  <c r="AL680" i="2"/>
  <c r="AG681" i="2"/>
  <c r="AI681" i="2"/>
  <c r="AJ681" i="2"/>
  <c r="AL681" i="2"/>
  <c r="AG682" i="2"/>
  <c r="AI682" i="2"/>
  <c r="AJ682" i="2"/>
  <c r="AL682" i="2"/>
  <c r="AG683" i="2"/>
  <c r="AI683" i="2"/>
  <c r="AJ683" i="2"/>
  <c r="AL683" i="2"/>
  <c r="AG684" i="2"/>
  <c r="AI684" i="2"/>
  <c r="AJ684" i="2"/>
  <c r="AL684" i="2"/>
  <c r="AG685" i="2"/>
  <c r="AI685" i="2"/>
  <c r="AJ685" i="2"/>
  <c r="AL685" i="2"/>
  <c r="AG686" i="2"/>
  <c r="AI686" i="2"/>
  <c r="AJ686" i="2"/>
  <c r="AL686" i="2"/>
  <c r="AG687" i="2"/>
  <c r="AI687" i="2"/>
  <c r="AJ687" i="2"/>
  <c r="AL687" i="2"/>
  <c r="AG688" i="2"/>
  <c r="AI688" i="2"/>
  <c r="AJ688" i="2"/>
  <c r="AL688" i="2"/>
  <c r="AG689" i="2"/>
  <c r="AI689" i="2"/>
  <c r="AJ689" i="2"/>
  <c r="AL689" i="2"/>
  <c r="AG690" i="2"/>
  <c r="AI690" i="2"/>
  <c r="AJ690" i="2"/>
  <c r="AL690" i="2"/>
  <c r="AG691" i="2"/>
  <c r="AI691" i="2"/>
  <c r="AJ691" i="2"/>
  <c r="AL691" i="2"/>
  <c r="AG692" i="2"/>
  <c r="AI692" i="2"/>
  <c r="AJ692" i="2"/>
  <c r="AL692" i="2"/>
  <c r="AG693" i="2"/>
  <c r="AI693" i="2"/>
  <c r="AJ693" i="2"/>
  <c r="AL693" i="2"/>
  <c r="AG694" i="2"/>
  <c r="AI694" i="2"/>
  <c r="AJ694" i="2"/>
  <c r="AL694" i="2"/>
  <c r="AG695" i="2"/>
  <c r="AI695" i="2"/>
  <c r="AJ695" i="2"/>
  <c r="AL695" i="2"/>
  <c r="AG696" i="2"/>
  <c r="AI696" i="2"/>
  <c r="AJ696" i="2"/>
  <c r="AL696" i="2"/>
  <c r="AG697" i="2"/>
  <c r="AI697" i="2"/>
  <c r="AJ697" i="2"/>
  <c r="AL697" i="2"/>
  <c r="AG698" i="2"/>
  <c r="AI698" i="2"/>
  <c r="AJ698" i="2"/>
  <c r="AL698" i="2"/>
  <c r="AG699" i="2"/>
  <c r="AI699" i="2"/>
  <c r="AJ699" i="2"/>
  <c r="AL699" i="2"/>
  <c r="AG700" i="2"/>
  <c r="AI700" i="2"/>
  <c r="AJ700" i="2"/>
  <c r="AL700" i="2"/>
  <c r="AG701" i="2"/>
  <c r="AI701" i="2"/>
  <c r="AJ701" i="2"/>
  <c r="AL701" i="2"/>
  <c r="AG702" i="2"/>
  <c r="AI702" i="2"/>
  <c r="AJ702" i="2"/>
  <c r="AL702" i="2"/>
  <c r="AG703" i="2"/>
  <c r="AI703" i="2"/>
  <c r="AJ703" i="2"/>
  <c r="AL703" i="2"/>
  <c r="AG704" i="2"/>
  <c r="AI704" i="2"/>
  <c r="AJ704" i="2"/>
  <c r="AL704" i="2"/>
  <c r="AG705" i="2"/>
  <c r="AI705" i="2"/>
  <c r="AJ705" i="2"/>
  <c r="AL705" i="2"/>
  <c r="AG706" i="2"/>
  <c r="AI706" i="2"/>
  <c r="AJ706" i="2"/>
  <c r="AL706" i="2"/>
  <c r="AG707" i="2"/>
  <c r="AI707" i="2"/>
  <c r="AJ707" i="2"/>
  <c r="AL707" i="2"/>
  <c r="AG708" i="2"/>
  <c r="AI708" i="2"/>
  <c r="AJ708" i="2"/>
  <c r="AL708" i="2"/>
  <c r="AG709" i="2"/>
  <c r="AI709" i="2"/>
  <c r="AJ709" i="2"/>
  <c r="AL709" i="2"/>
  <c r="AG710" i="2"/>
  <c r="AI710" i="2"/>
  <c r="AJ710" i="2"/>
  <c r="AL710" i="2"/>
  <c r="AG711" i="2"/>
  <c r="AI711" i="2"/>
  <c r="AJ711" i="2"/>
  <c r="AL711" i="2"/>
  <c r="AG712" i="2"/>
  <c r="AI712" i="2"/>
  <c r="AJ712" i="2"/>
  <c r="AL712" i="2"/>
  <c r="AG713" i="2"/>
  <c r="AI713" i="2"/>
  <c r="AJ713" i="2"/>
  <c r="AL713" i="2"/>
  <c r="AG714" i="2"/>
  <c r="AI714" i="2"/>
  <c r="AJ714" i="2"/>
  <c r="AL714" i="2"/>
  <c r="AG715" i="2"/>
  <c r="AI715" i="2"/>
  <c r="AJ715" i="2"/>
  <c r="AL715" i="2"/>
  <c r="AG716" i="2"/>
  <c r="AI716" i="2"/>
  <c r="AJ716" i="2"/>
  <c r="AL716" i="2"/>
  <c r="AG717" i="2"/>
  <c r="AI717" i="2"/>
  <c r="AJ717" i="2"/>
  <c r="AL717" i="2"/>
  <c r="AG718" i="2"/>
  <c r="AI718" i="2"/>
  <c r="AJ718" i="2"/>
  <c r="AL718" i="2"/>
  <c r="AG719" i="2"/>
  <c r="AI719" i="2"/>
  <c r="AJ719" i="2"/>
  <c r="AL719" i="2"/>
  <c r="AG720" i="2"/>
  <c r="AI720" i="2"/>
  <c r="AJ720" i="2"/>
  <c r="AL720" i="2"/>
  <c r="AG721" i="2"/>
  <c r="AI721" i="2"/>
  <c r="AJ721" i="2"/>
  <c r="AL721" i="2"/>
  <c r="AG722" i="2"/>
  <c r="AI722" i="2"/>
  <c r="AJ722" i="2"/>
  <c r="AL722" i="2"/>
  <c r="AG723" i="2"/>
  <c r="AI723" i="2"/>
  <c r="AJ723" i="2"/>
  <c r="AL723" i="2"/>
  <c r="AG724" i="2"/>
  <c r="AI724" i="2"/>
  <c r="AJ724" i="2"/>
  <c r="AL724" i="2"/>
  <c r="AG725" i="2"/>
  <c r="AI725" i="2"/>
  <c r="AJ725" i="2"/>
  <c r="AL725" i="2"/>
  <c r="AG726" i="2"/>
  <c r="AI726" i="2"/>
  <c r="AJ726" i="2"/>
  <c r="AL726" i="2"/>
  <c r="AG727" i="2"/>
  <c r="AI727" i="2"/>
  <c r="AJ727" i="2"/>
  <c r="AL727" i="2"/>
  <c r="AG728" i="2"/>
  <c r="AI728" i="2"/>
  <c r="AJ728" i="2"/>
  <c r="AL728" i="2"/>
  <c r="AG729" i="2"/>
  <c r="AI729" i="2"/>
  <c r="AJ729" i="2"/>
  <c r="AL729" i="2"/>
  <c r="AG730" i="2"/>
  <c r="AI730" i="2"/>
  <c r="AJ730" i="2"/>
  <c r="AL730" i="2"/>
  <c r="AG731" i="2"/>
  <c r="AI731" i="2"/>
  <c r="AJ731" i="2"/>
  <c r="AL731" i="2"/>
  <c r="AG732" i="2"/>
  <c r="AI732" i="2"/>
  <c r="AJ732" i="2"/>
  <c r="AL732" i="2"/>
  <c r="AG733" i="2"/>
  <c r="AI733" i="2"/>
  <c r="AJ733" i="2"/>
  <c r="AL733" i="2"/>
  <c r="AG734" i="2"/>
  <c r="AI734" i="2"/>
  <c r="AJ734" i="2"/>
  <c r="AL734" i="2"/>
  <c r="AG735" i="2"/>
  <c r="AI735" i="2"/>
  <c r="AJ735" i="2"/>
  <c r="AL735" i="2"/>
  <c r="AG736" i="2"/>
  <c r="AI736" i="2"/>
  <c r="AJ736" i="2"/>
  <c r="AL736" i="2"/>
  <c r="AG737" i="2"/>
  <c r="AI737" i="2"/>
  <c r="AJ737" i="2"/>
  <c r="AL737" i="2"/>
  <c r="AG738" i="2"/>
  <c r="AI738" i="2"/>
  <c r="AJ738" i="2"/>
  <c r="AL738" i="2"/>
  <c r="AG739" i="2"/>
  <c r="AI739" i="2"/>
  <c r="AJ739" i="2"/>
  <c r="AL739" i="2"/>
  <c r="AG740" i="2"/>
  <c r="AI740" i="2"/>
  <c r="AJ740" i="2"/>
  <c r="AL740" i="2"/>
  <c r="AG741" i="2"/>
  <c r="AI741" i="2"/>
  <c r="AJ741" i="2"/>
  <c r="AL741" i="2"/>
  <c r="AG742" i="2"/>
  <c r="AI742" i="2"/>
  <c r="AJ742" i="2"/>
  <c r="AL742" i="2"/>
  <c r="AG743" i="2"/>
  <c r="AI743" i="2"/>
  <c r="AJ743" i="2"/>
  <c r="AL743" i="2"/>
  <c r="AG744" i="2"/>
  <c r="AI744" i="2"/>
  <c r="AJ744" i="2"/>
  <c r="AL744" i="2"/>
  <c r="AG745" i="2"/>
  <c r="AI745" i="2"/>
  <c r="AJ745" i="2"/>
  <c r="AL745" i="2"/>
  <c r="AG746" i="2"/>
  <c r="AI746" i="2"/>
  <c r="AJ746" i="2"/>
  <c r="AL746" i="2"/>
  <c r="AG747" i="2"/>
  <c r="AI747" i="2"/>
  <c r="AJ747" i="2"/>
  <c r="AL747" i="2"/>
  <c r="AG748" i="2"/>
  <c r="AI748" i="2"/>
  <c r="AJ748" i="2"/>
  <c r="AL748" i="2"/>
  <c r="AG749" i="2"/>
  <c r="AI749" i="2"/>
  <c r="AJ749" i="2"/>
  <c r="AL749" i="2"/>
  <c r="AG750" i="2"/>
  <c r="AI750" i="2"/>
  <c r="AJ750" i="2"/>
  <c r="AL750" i="2"/>
  <c r="AG751" i="2"/>
  <c r="AI751" i="2"/>
  <c r="AJ751" i="2"/>
  <c r="AL751" i="2"/>
  <c r="AG752" i="2"/>
  <c r="AI752" i="2"/>
  <c r="AJ752" i="2"/>
  <c r="AL752" i="2"/>
  <c r="AG753" i="2"/>
  <c r="AI753" i="2"/>
  <c r="AJ753" i="2"/>
  <c r="AL753" i="2"/>
  <c r="AG754" i="2"/>
  <c r="AI754" i="2"/>
  <c r="AJ754" i="2"/>
  <c r="AL754" i="2"/>
  <c r="AG755" i="2"/>
  <c r="AI755" i="2"/>
  <c r="AJ755" i="2"/>
  <c r="AL755" i="2"/>
  <c r="AG756" i="2"/>
  <c r="AI756" i="2"/>
  <c r="AJ756" i="2"/>
  <c r="AL756" i="2"/>
  <c r="AG757" i="2"/>
  <c r="AI757" i="2"/>
  <c r="AJ757" i="2"/>
  <c r="AL757" i="2"/>
  <c r="AG758" i="2"/>
  <c r="AI758" i="2"/>
  <c r="AJ758" i="2"/>
  <c r="AL758" i="2"/>
  <c r="AG759" i="2"/>
  <c r="AI759" i="2"/>
  <c r="AJ759" i="2"/>
  <c r="AL759" i="2"/>
  <c r="AG760" i="2"/>
  <c r="AI760" i="2"/>
  <c r="AJ760" i="2"/>
  <c r="AL760" i="2"/>
  <c r="AG761" i="2"/>
  <c r="AI761" i="2"/>
  <c r="AJ761" i="2"/>
  <c r="AL761" i="2"/>
  <c r="AG762" i="2"/>
  <c r="AI762" i="2"/>
  <c r="AJ762" i="2"/>
  <c r="AL762" i="2"/>
  <c r="AG763" i="2"/>
  <c r="AI763" i="2"/>
  <c r="AJ763" i="2"/>
  <c r="AL763" i="2"/>
  <c r="AG764" i="2"/>
  <c r="AI764" i="2"/>
  <c r="AJ764" i="2"/>
  <c r="AL764" i="2"/>
  <c r="AG765" i="2"/>
  <c r="AI765" i="2"/>
  <c r="AJ765" i="2"/>
  <c r="AL765" i="2"/>
  <c r="AG766" i="2"/>
  <c r="AI766" i="2"/>
  <c r="AJ766" i="2"/>
  <c r="AL766" i="2"/>
  <c r="AG767" i="2"/>
  <c r="AI767" i="2"/>
  <c r="AJ767" i="2"/>
  <c r="AL767" i="2"/>
  <c r="AG768" i="2"/>
  <c r="AI768" i="2"/>
  <c r="AJ768" i="2"/>
  <c r="AL768" i="2"/>
  <c r="AG769" i="2"/>
  <c r="AI769" i="2"/>
  <c r="AJ769" i="2"/>
  <c r="AL769" i="2"/>
  <c r="AG770" i="2"/>
  <c r="AI770" i="2"/>
  <c r="AJ770" i="2"/>
  <c r="AL770" i="2"/>
  <c r="AG771" i="2"/>
  <c r="AI771" i="2"/>
  <c r="AJ771" i="2"/>
  <c r="AL771" i="2"/>
  <c r="AG772" i="2"/>
  <c r="AI772" i="2"/>
  <c r="AJ772" i="2"/>
  <c r="AL772" i="2"/>
  <c r="AG773" i="2"/>
  <c r="AI773" i="2"/>
  <c r="AJ773" i="2"/>
  <c r="AL773" i="2"/>
  <c r="AG774" i="2"/>
  <c r="AI774" i="2"/>
  <c r="AJ774" i="2"/>
  <c r="AL774" i="2"/>
  <c r="AG775" i="2"/>
  <c r="AI775" i="2"/>
  <c r="AJ775" i="2"/>
  <c r="AL775" i="2"/>
  <c r="AG776" i="2"/>
  <c r="AI776" i="2"/>
  <c r="AJ776" i="2"/>
  <c r="AL776" i="2"/>
  <c r="AG777" i="2"/>
  <c r="AI777" i="2"/>
  <c r="AJ777" i="2"/>
  <c r="AL777" i="2"/>
  <c r="AG778" i="2"/>
  <c r="AI778" i="2"/>
  <c r="AJ778" i="2"/>
  <c r="AL778" i="2"/>
  <c r="AG779" i="2"/>
  <c r="AI779" i="2"/>
  <c r="AJ779" i="2"/>
  <c r="AL779" i="2"/>
  <c r="AG780" i="2"/>
  <c r="AI780" i="2"/>
  <c r="AJ780" i="2"/>
  <c r="AL780" i="2"/>
  <c r="AG781" i="2"/>
  <c r="AI781" i="2"/>
  <c r="AJ781" i="2"/>
  <c r="AL781" i="2"/>
  <c r="AG782" i="2"/>
  <c r="AI782" i="2"/>
  <c r="AJ782" i="2"/>
  <c r="AL782" i="2"/>
  <c r="AG783" i="2"/>
  <c r="AI783" i="2"/>
  <c r="AJ783" i="2"/>
  <c r="AL783" i="2"/>
  <c r="AG784" i="2"/>
  <c r="AI784" i="2"/>
  <c r="AJ784" i="2"/>
  <c r="AL784" i="2"/>
  <c r="AG785" i="2"/>
  <c r="AI785" i="2"/>
  <c r="AJ785" i="2"/>
  <c r="AL785" i="2"/>
  <c r="AG786" i="2"/>
  <c r="AI786" i="2"/>
  <c r="AJ786" i="2"/>
  <c r="AL786" i="2"/>
  <c r="AG787" i="2"/>
  <c r="AI787" i="2"/>
  <c r="AJ787" i="2"/>
  <c r="AL787" i="2"/>
  <c r="AG788" i="2"/>
  <c r="AI788" i="2"/>
  <c r="AJ788" i="2"/>
  <c r="AL788" i="2"/>
  <c r="AG789" i="2"/>
  <c r="AI789" i="2"/>
  <c r="AJ789" i="2"/>
  <c r="AL789" i="2"/>
  <c r="AG790" i="2"/>
  <c r="AI790" i="2"/>
  <c r="AJ790" i="2"/>
  <c r="AL790" i="2"/>
  <c r="AG791" i="2"/>
  <c r="AI791" i="2"/>
  <c r="AJ791" i="2"/>
  <c r="AL791" i="2"/>
  <c r="AG792" i="2"/>
  <c r="AI792" i="2"/>
  <c r="AJ792" i="2"/>
  <c r="AL792" i="2"/>
  <c r="AG793" i="2"/>
  <c r="AI793" i="2"/>
  <c r="AJ793" i="2"/>
  <c r="AL793" i="2"/>
  <c r="AG794" i="2"/>
  <c r="AI794" i="2"/>
  <c r="AJ794" i="2"/>
  <c r="AL794" i="2"/>
  <c r="AG795" i="2"/>
  <c r="AI795" i="2"/>
  <c r="AJ795" i="2"/>
  <c r="AL795" i="2"/>
  <c r="AG796" i="2"/>
  <c r="AI796" i="2"/>
  <c r="AJ796" i="2"/>
  <c r="AL796" i="2"/>
  <c r="AG797" i="2"/>
  <c r="AI797" i="2"/>
  <c r="AJ797" i="2"/>
  <c r="AL797" i="2"/>
  <c r="AG798" i="2"/>
  <c r="AI798" i="2"/>
  <c r="AJ798" i="2"/>
  <c r="AL798" i="2"/>
  <c r="AG799" i="2"/>
  <c r="AI799" i="2"/>
  <c r="AJ799" i="2"/>
  <c r="AL799" i="2"/>
  <c r="AG800" i="2"/>
  <c r="AI800" i="2"/>
  <c r="AJ800" i="2"/>
  <c r="AL800" i="2"/>
  <c r="AG801" i="2"/>
  <c r="AI801" i="2"/>
  <c r="AJ801" i="2"/>
  <c r="AL801" i="2"/>
  <c r="AG802" i="2"/>
  <c r="AI802" i="2"/>
  <c r="AJ802" i="2"/>
  <c r="AL802" i="2"/>
  <c r="AG803" i="2"/>
  <c r="AI803" i="2"/>
  <c r="AJ803" i="2"/>
  <c r="AL803" i="2"/>
  <c r="AG804" i="2"/>
  <c r="AI804" i="2"/>
  <c r="AJ804" i="2"/>
  <c r="AL804" i="2"/>
  <c r="AG805" i="2"/>
  <c r="AI805" i="2"/>
  <c r="AJ805" i="2"/>
  <c r="AL805" i="2"/>
  <c r="AG806" i="2"/>
  <c r="AI806" i="2"/>
  <c r="AJ806" i="2"/>
  <c r="AL806" i="2"/>
  <c r="AG807" i="2"/>
  <c r="AI807" i="2"/>
  <c r="AJ807" i="2"/>
  <c r="AL807" i="2"/>
  <c r="AG808" i="2"/>
  <c r="AI808" i="2"/>
  <c r="AJ808" i="2"/>
  <c r="AL808" i="2"/>
  <c r="AG809" i="2"/>
  <c r="AI809" i="2"/>
  <c r="AJ809" i="2"/>
  <c r="AL809" i="2"/>
  <c r="AG810" i="2"/>
  <c r="AI810" i="2"/>
  <c r="AJ810" i="2"/>
  <c r="AL810" i="2"/>
  <c r="AG811" i="2"/>
  <c r="AI811" i="2"/>
  <c r="AJ811" i="2"/>
  <c r="AL811" i="2"/>
  <c r="AG812" i="2"/>
  <c r="AI812" i="2"/>
  <c r="AJ812" i="2"/>
  <c r="AL812" i="2"/>
  <c r="AG813" i="2"/>
  <c r="AI813" i="2"/>
  <c r="AJ813" i="2"/>
  <c r="AL813" i="2"/>
  <c r="AG814" i="2"/>
  <c r="AI814" i="2"/>
  <c r="AJ814" i="2"/>
  <c r="AL814" i="2"/>
  <c r="AG815" i="2"/>
  <c r="AI815" i="2"/>
  <c r="AJ815" i="2"/>
  <c r="AL815" i="2"/>
  <c r="AG816" i="2"/>
  <c r="AI816" i="2"/>
  <c r="AJ816" i="2"/>
  <c r="AL816" i="2"/>
  <c r="AG817" i="2"/>
  <c r="AI817" i="2"/>
  <c r="AJ817" i="2"/>
  <c r="AL817" i="2"/>
  <c r="AG818" i="2"/>
  <c r="AI818" i="2"/>
  <c r="AJ818" i="2"/>
  <c r="AL818" i="2"/>
  <c r="AG819" i="2"/>
  <c r="AI819" i="2"/>
  <c r="AJ819" i="2"/>
  <c r="AL819" i="2"/>
  <c r="AG820" i="2"/>
  <c r="AI820" i="2"/>
  <c r="AJ820" i="2"/>
  <c r="AL820" i="2"/>
  <c r="AG821" i="2"/>
  <c r="AI821" i="2"/>
  <c r="AJ821" i="2"/>
  <c r="AL821" i="2"/>
  <c r="AG822" i="2"/>
  <c r="AI822" i="2"/>
  <c r="AJ822" i="2"/>
  <c r="AL822" i="2"/>
  <c r="AG823" i="2"/>
  <c r="AI823" i="2"/>
  <c r="AJ823" i="2"/>
  <c r="AL823" i="2"/>
  <c r="AG824" i="2"/>
  <c r="AI824" i="2"/>
  <c r="AJ824" i="2"/>
  <c r="AL824" i="2"/>
  <c r="AG825" i="2"/>
  <c r="AI825" i="2"/>
  <c r="AJ825" i="2"/>
  <c r="AL825" i="2"/>
  <c r="AG826" i="2"/>
  <c r="AI826" i="2"/>
  <c r="AJ826" i="2"/>
  <c r="AL826" i="2"/>
  <c r="AG827" i="2"/>
  <c r="AI827" i="2"/>
  <c r="AJ827" i="2"/>
  <c r="AL827" i="2"/>
  <c r="AG828" i="2"/>
  <c r="AI828" i="2"/>
  <c r="AJ828" i="2"/>
  <c r="AL828" i="2"/>
  <c r="AG829" i="2"/>
  <c r="AI829" i="2"/>
  <c r="AJ829" i="2"/>
  <c r="AL829" i="2"/>
  <c r="AG830" i="2"/>
  <c r="AI830" i="2"/>
  <c r="AJ830" i="2"/>
  <c r="AL830" i="2"/>
  <c r="AG831" i="2"/>
  <c r="AI831" i="2"/>
  <c r="AJ831" i="2"/>
  <c r="AL831" i="2"/>
  <c r="AG832" i="2"/>
  <c r="AI832" i="2"/>
  <c r="AJ832" i="2"/>
  <c r="AL832" i="2"/>
  <c r="AG833" i="2"/>
  <c r="AI833" i="2"/>
  <c r="AJ833" i="2"/>
  <c r="AL833" i="2"/>
  <c r="AG834" i="2"/>
  <c r="AI834" i="2"/>
  <c r="AJ834" i="2"/>
  <c r="AL834" i="2"/>
  <c r="AG835" i="2"/>
  <c r="AI835" i="2"/>
  <c r="AJ835" i="2"/>
  <c r="AL835" i="2"/>
  <c r="AG836" i="2"/>
  <c r="AI836" i="2"/>
  <c r="AJ836" i="2"/>
  <c r="AL836" i="2"/>
  <c r="AG837" i="2"/>
  <c r="AI837" i="2"/>
  <c r="AJ837" i="2"/>
  <c r="AL837" i="2"/>
  <c r="AG838" i="2"/>
  <c r="AI838" i="2"/>
  <c r="AJ838" i="2"/>
  <c r="AL838" i="2"/>
  <c r="AG839" i="2"/>
  <c r="AI839" i="2"/>
  <c r="AJ839" i="2"/>
  <c r="AL839" i="2"/>
  <c r="AG840" i="2"/>
  <c r="AI840" i="2"/>
  <c r="AJ840" i="2"/>
  <c r="AL840" i="2"/>
  <c r="AG841" i="2"/>
  <c r="AI841" i="2"/>
  <c r="AJ841" i="2"/>
  <c r="AL841" i="2"/>
  <c r="AG842" i="2"/>
  <c r="AI842" i="2"/>
  <c r="AJ842" i="2"/>
  <c r="AL842" i="2"/>
  <c r="AG843" i="2"/>
  <c r="AI843" i="2"/>
  <c r="AJ843" i="2"/>
  <c r="AL843" i="2"/>
  <c r="AG844" i="2"/>
  <c r="AI844" i="2"/>
  <c r="AJ844" i="2"/>
  <c r="AL844" i="2"/>
  <c r="AG845" i="2"/>
  <c r="AI845" i="2"/>
  <c r="AJ845" i="2"/>
  <c r="AL845" i="2"/>
  <c r="AG846" i="2"/>
  <c r="AI846" i="2"/>
  <c r="AJ846" i="2"/>
  <c r="AL846" i="2"/>
  <c r="AG847" i="2"/>
  <c r="AI847" i="2"/>
  <c r="AJ847" i="2"/>
  <c r="AL847" i="2"/>
  <c r="AG848" i="2"/>
  <c r="AI848" i="2"/>
  <c r="AJ848" i="2"/>
  <c r="AL848" i="2"/>
  <c r="AG849" i="2"/>
  <c r="AI849" i="2"/>
  <c r="AJ849" i="2"/>
  <c r="AL849" i="2"/>
  <c r="AG850" i="2"/>
  <c r="AI850" i="2"/>
  <c r="AJ850" i="2"/>
  <c r="AL850" i="2"/>
  <c r="AG851" i="2"/>
  <c r="AI851" i="2"/>
  <c r="AJ851" i="2"/>
  <c r="AL851" i="2"/>
  <c r="AG852" i="2"/>
  <c r="AI852" i="2"/>
  <c r="AJ852" i="2"/>
  <c r="AL852" i="2"/>
  <c r="AG853" i="2"/>
  <c r="AI853" i="2"/>
  <c r="AJ853" i="2"/>
  <c r="AL853" i="2"/>
  <c r="AG854" i="2"/>
  <c r="AI854" i="2"/>
  <c r="AJ854" i="2"/>
  <c r="AL854" i="2"/>
  <c r="AG855" i="2"/>
  <c r="AI855" i="2"/>
  <c r="AJ855" i="2"/>
  <c r="AL855" i="2"/>
  <c r="AG856" i="2"/>
  <c r="AI856" i="2"/>
  <c r="AJ856" i="2"/>
  <c r="AL856" i="2"/>
  <c r="AG857" i="2"/>
  <c r="AI857" i="2"/>
  <c r="AJ857" i="2"/>
  <c r="AL857" i="2"/>
  <c r="AG858" i="2"/>
  <c r="AI858" i="2"/>
  <c r="AJ858" i="2"/>
  <c r="AL858" i="2"/>
  <c r="AG859" i="2"/>
  <c r="AI859" i="2"/>
  <c r="AJ859" i="2"/>
  <c r="AL859" i="2"/>
  <c r="AG860" i="2"/>
  <c r="AI860" i="2"/>
  <c r="AJ860" i="2"/>
  <c r="AL860" i="2"/>
  <c r="AG861" i="2"/>
  <c r="AI861" i="2"/>
  <c r="AJ861" i="2"/>
  <c r="AL861" i="2"/>
  <c r="AG862" i="2"/>
  <c r="AI862" i="2"/>
  <c r="AJ862" i="2"/>
  <c r="AL862" i="2"/>
  <c r="AG863" i="2"/>
  <c r="AI863" i="2"/>
  <c r="AJ863" i="2"/>
  <c r="AL863" i="2"/>
  <c r="AG864" i="2"/>
  <c r="AI864" i="2"/>
  <c r="AJ864" i="2"/>
  <c r="AL864" i="2"/>
  <c r="AG865" i="2"/>
  <c r="AI865" i="2"/>
  <c r="AJ865" i="2"/>
  <c r="AL865" i="2"/>
  <c r="AG866" i="2"/>
  <c r="AI866" i="2"/>
  <c r="AJ866" i="2"/>
  <c r="AL866" i="2"/>
  <c r="AG867" i="2"/>
  <c r="AI867" i="2"/>
  <c r="AJ867" i="2"/>
  <c r="AL867" i="2"/>
  <c r="AG868" i="2"/>
  <c r="AI868" i="2"/>
  <c r="AJ868" i="2"/>
  <c r="AL868" i="2"/>
  <c r="AG869" i="2"/>
  <c r="AI869" i="2"/>
  <c r="AJ869" i="2"/>
  <c r="AL869" i="2"/>
  <c r="AG870" i="2"/>
  <c r="AI870" i="2"/>
  <c r="AJ870" i="2"/>
  <c r="AL870" i="2"/>
  <c r="AG871" i="2"/>
  <c r="AI871" i="2"/>
  <c r="AJ871" i="2"/>
  <c r="AL871" i="2"/>
  <c r="AG872" i="2"/>
  <c r="AI872" i="2"/>
  <c r="AJ872" i="2"/>
  <c r="AL872" i="2"/>
  <c r="AG873" i="2"/>
  <c r="AI873" i="2"/>
  <c r="AJ873" i="2"/>
  <c r="AL873" i="2"/>
  <c r="AG874" i="2"/>
  <c r="AI874" i="2"/>
  <c r="AJ874" i="2"/>
  <c r="AL874" i="2"/>
  <c r="AG875" i="2"/>
  <c r="AI875" i="2"/>
  <c r="AJ875" i="2"/>
  <c r="AL875" i="2"/>
  <c r="AG876" i="2"/>
  <c r="AI876" i="2"/>
  <c r="AJ876" i="2"/>
  <c r="AL876" i="2"/>
  <c r="AG877" i="2"/>
  <c r="AI877" i="2"/>
  <c r="AJ877" i="2"/>
  <c r="AL877" i="2"/>
  <c r="AG878" i="2"/>
  <c r="AI878" i="2"/>
  <c r="AJ878" i="2"/>
  <c r="AL878" i="2"/>
  <c r="AG879" i="2"/>
  <c r="AI879" i="2"/>
  <c r="AJ879" i="2"/>
  <c r="AL879" i="2"/>
  <c r="AG880" i="2"/>
  <c r="AI880" i="2"/>
  <c r="AJ880" i="2"/>
  <c r="AL880" i="2"/>
  <c r="AG881" i="2"/>
  <c r="AI881" i="2"/>
  <c r="AJ881" i="2"/>
  <c r="AL881" i="2"/>
  <c r="AG882" i="2"/>
  <c r="AI882" i="2"/>
  <c r="AJ882" i="2"/>
  <c r="AL882" i="2"/>
  <c r="AG883" i="2"/>
  <c r="AI883" i="2"/>
  <c r="AJ883" i="2"/>
  <c r="AL883" i="2"/>
  <c r="AG884" i="2"/>
  <c r="AI884" i="2"/>
  <c r="AJ884" i="2"/>
  <c r="AL884" i="2"/>
  <c r="AG885" i="2"/>
  <c r="AI885" i="2"/>
  <c r="AJ885" i="2"/>
  <c r="AL885" i="2"/>
  <c r="AG886" i="2"/>
  <c r="AI886" i="2"/>
  <c r="AJ886" i="2"/>
  <c r="AL886" i="2"/>
  <c r="AG887" i="2"/>
  <c r="AI887" i="2"/>
  <c r="AJ887" i="2"/>
  <c r="AL887" i="2"/>
  <c r="AG888" i="2"/>
  <c r="AI888" i="2"/>
  <c r="AJ888" i="2"/>
  <c r="AL888" i="2"/>
  <c r="AG889" i="2"/>
  <c r="AI889" i="2"/>
  <c r="AJ889" i="2"/>
  <c r="AL889" i="2"/>
  <c r="AG890" i="2"/>
  <c r="AI890" i="2"/>
  <c r="AJ890" i="2"/>
  <c r="AL890" i="2"/>
  <c r="AG891" i="2"/>
  <c r="AI891" i="2"/>
  <c r="AJ891" i="2"/>
  <c r="AL891" i="2"/>
  <c r="AG892" i="2"/>
  <c r="AI892" i="2"/>
  <c r="AJ892" i="2"/>
  <c r="AL892" i="2"/>
  <c r="AG893" i="2"/>
  <c r="AI893" i="2"/>
  <c r="AJ893" i="2"/>
  <c r="AL893" i="2"/>
  <c r="AG894" i="2"/>
  <c r="AI894" i="2"/>
  <c r="AJ894" i="2"/>
  <c r="AL894" i="2"/>
  <c r="AG895" i="2"/>
  <c r="AI895" i="2"/>
  <c r="AJ895" i="2"/>
  <c r="AL895" i="2"/>
  <c r="AG896" i="2"/>
  <c r="AI896" i="2"/>
  <c r="AJ896" i="2"/>
  <c r="AL896" i="2"/>
  <c r="AG897" i="2"/>
  <c r="AI897" i="2"/>
  <c r="AJ897" i="2"/>
  <c r="AL897" i="2"/>
  <c r="AG898" i="2"/>
  <c r="AI898" i="2"/>
  <c r="AJ898" i="2"/>
  <c r="AL898" i="2"/>
  <c r="AG899" i="2"/>
  <c r="AI899" i="2"/>
  <c r="AJ899" i="2"/>
  <c r="AL899" i="2"/>
  <c r="AG900" i="2"/>
  <c r="AI900" i="2"/>
  <c r="AJ900" i="2"/>
  <c r="AL900" i="2"/>
  <c r="AG901" i="2"/>
  <c r="AI901" i="2"/>
  <c r="AJ901" i="2"/>
  <c r="AL901" i="2"/>
  <c r="AG902" i="2"/>
  <c r="AI902" i="2"/>
  <c r="AJ902" i="2"/>
  <c r="AL902" i="2"/>
  <c r="AG903" i="2"/>
  <c r="AI903" i="2"/>
  <c r="AJ903" i="2"/>
  <c r="AL903" i="2"/>
  <c r="AG904" i="2"/>
  <c r="AI904" i="2"/>
  <c r="AJ904" i="2"/>
  <c r="AL904" i="2"/>
  <c r="AG905" i="2"/>
  <c r="AI905" i="2"/>
  <c r="AJ905" i="2"/>
  <c r="AL905" i="2"/>
  <c r="AG906" i="2"/>
  <c r="AI906" i="2"/>
  <c r="AJ906" i="2"/>
  <c r="AL906" i="2"/>
  <c r="AG907" i="2"/>
  <c r="AI907" i="2"/>
  <c r="AJ907" i="2"/>
  <c r="AL907" i="2"/>
  <c r="AG908" i="2"/>
  <c r="AI908" i="2"/>
  <c r="AJ908" i="2"/>
  <c r="AL908" i="2"/>
  <c r="AG909" i="2"/>
  <c r="AI909" i="2"/>
  <c r="AJ909" i="2"/>
  <c r="AL909" i="2"/>
  <c r="AG910" i="2"/>
  <c r="AI910" i="2"/>
  <c r="AJ910" i="2"/>
  <c r="AL910" i="2"/>
  <c r="AG911" i="2"/>
  <c r="AI911" i="2"/>
  <c r="AJ911" i="2"/>
  <c r="AL911" i="2"/>
  <c r="AG912" i="2"/>
  <c r="AI912" i="2"/>
  <c r="AJ912" i="2"/>
  <c r="AL912" i="2"/>
  <c r="AG913" i="2"/>
  <c r="AI913" i="2"/>
  <c r="AJ913" i="2"/>
  <c r="AL913" i="2"/>
  <c r="AG914" i="2"/>
  <c r="AI914" i="2"/>
  <c r="AJ914" i="2"/>
  <c r="AL914" i="2"/>
  <c r="AG915" i="2"/>
  <c r="AI915" i="2"/>
  <c r="AJ915" i="2"/>
  <c r="AL915" i="2"/>
  <c r="AG916" i="2"/>
  <c r="AI916" i="2"/>
  <c r="AJ916" i="2"/>
  <c r="AL916" i="2"/>
  <c r="AG917" i="2"/>
  <c r="AI917" i="2"/>
  <c r="AJ917" i="2"/>
  <c r="AL917" i="2"/>
  <c r="AG918" i="2"/>
  <c r="AI918" i="2"/>
  <c r="AJ918" i="2"/>
  <c r="AL918" i="2"/>
  <c r="AG919" i="2"/>
  <c r="AI919" i="2"/>
  <c r="AJ919" i="2"/>
  <c r="AL919" i="2"/>
  <c r="AG920" i="2"/>
  <c r="AI920" i="2"/>
  <c r="AJ920" i="2"/>
  <c r="AL920" i="2"/>
  <c r="AG921" i="2"/>
  <c r="AI921" i="2"/>
  <c r="AJ921" i="2"/>
  <c r="AL921" i="2"/>
  <c r="AG922" i="2"/>
  <c r="AI922" i="2"/>
  <c r="AJ922" i="2"/>
  <c r="AL922" i="2"/>
  <c r="AG923" i="2"/>
  <c r="AI923" i="2"/>
  <c r="AJ923" i="2"/>
  <c r="AL923" i="2"/>
  <c r="AG924" i="2"/>
  <c r="AI924" i="2"/>
  <c r="AJ924" i="2"/>
  <c r="AL924" i="2"/>
  <c r="AG925" i="2"/>
  <c r="AI925" i="2"/>
  <c r="AJ925" i="2"/>
  <c r="AL925" i="2"/>
  <c r="AG926" i="2"/>
  <c r="AI926" i="2"/>
  <c r="AJ926" i="2"/>
  <c r="AL926" i="2"/>
  <c r="AG927" i="2"/>
  <c r="AI927" i="2"/>
  <c r="AJ927" i="2"/>
  <c r="AL927" i="2"/>
  <c r="AG928" i="2"/>
  <c r="AI928" i="2"/>
  <c r="AJ928" i="2"/>
  <c r="AL928" i="2"/>
  <c r="AG929" i="2"/>
  <c r="AI929" i="2"/>
  <c r="AJ929" i="2"/>
  <c r="AL929" i="2"/>
  <c r="AG930" i="2"/>
  <c r="AI930" i="2"/>
  <c r="AJ930" i="2"/>
  <c r="AL930" i="2"/>
  <c r="AG931" i="2"/>
  <c r="AI931" i="2"/>
  <c r="AJ931" i="2"/>
  <c r="AL931" i="2"/>
  <c r="AG932" i="2"/>
  <c r="AI932" i="2"/>
  <c r="AJ932" i="2"/>
  <c r="AL932" i="2"/>
  <c r="AG933" i="2"/>
  <c r="AI933" i="2"/>
  <c r="AJ933" i="2"/>
  <c r="AL933" i="2"/>
  <c r="AG934" i="2"/>
  <c r="AI934" i="2"/>
  <c r="AJ934" i="2"/>
  <c r="AL934" i="2"/>
  <c r="AG935" i="2"/>
  <c r="AI935" i="2"/>
  <c r="AJ935" i="2"/>
  <c r="AL935" i="2"/>
  <c r="AG936" i="2"/>
  <c r="AI936" i="2"/>
  <c r="AJ936" i="2"/>
  <c r="AL936" i="2"/>
  <c r="AG937" i="2"/>
  <c r="AI937" i="2"/>
  <c r="AJ937" i="2"/>
  <c r="AL937" i="2"/>
  <c r="AG938" i="2"/>
  <c r="AI938" i="2"/>
  <c r="AJ938" i="2"/>
  <c r="AL938" i="2"/>
  <c r="AG939" i="2"/>
  <c r="AI939" i="2"/>
  <c r="AJ939" i="2"/>
  <c r="AL939" i="2"/>
  <c r="AG940" i="2"/>
  <c r="AI940" i="2"/>
  <c r="AJ940" i="2"/>
  <c r="AL940" i="2"/>
  <c r="AG941" i="2"/>
  <c r="AI941" i="2"/>
  <c r="AJ941" i="2"/>
  <c r="AL941" i="2"/>
  <c r="AG942" i="2"/>
  <c r="AI942" i="2"/>
  <c r="AJ942" i="2"/>
  <c r="AL942" i="2"/>
  <c r="AG943" i="2"/>
  <c r="AI943" i="2"/>
  <c r="AJ943" i="2"/>
  <c r="AL943" i="2"/>
  <c r="AG944" i="2"/>
  <c r="AI944" i="2"/>
  <c r="AJ944" i="2"/>
  <c r="AL944" i="2"/>
  <c r="AG945" i="2"/>
  <c r="AI945" i="2"/>
  <c r="AJ945" i="2"/>
  <c r="AL945" i="2"/>
  <c r="AG946" i="2"/>
  <c r="AI946" i="2"/>
  <c r="AJ946" i="2"/>
  <c r="AL946" i="2"/>
  <c r="AG947" i="2"/>
  <c r="AI947" i="2"/>
  <c r="AJ947" i="2"/>
  <c r="AL947" i="2"/>
  <c r="AG948" i="2"/>
  <c r="AI948" i="2"/>
  <c r="AJ948" i="2"/>
  <c r="AL948" i="2"/>
  <c r="AG949" i="2"/>
  <c r="AI949" i="2"/>
  <c r="AJ949" i="2"/>
  <c r="AL949" i="2"/>
  <c r="AG950" i="2"/>
  <c r="AI950" i="2"/>
  <c r="AJ950" i="2"/>
  <c r="AL950" i="2"/>
  <c r="AG951" i="2"/>
  <c r="AI951" i="2"/>
  <c r="AJ951" i="2"/>
  <c r="AL951" i="2"/>
  <c r="AG952" i="2"/>
  <c r="AI952" i="2"/>
  <c r="AJ952" i="2"/>
  <c r="AL952" i="2"/>
  <c r="AG953" i="2"/>
  <c r="AI953" i="2"/>
  <c r="AJ953" i="2"/>
  <c r="AL953" i="2"/>
  <c r="AG954" i="2"/>
  <c r="AI954" i="2"/>
  <c r="AJ954" i="2"/>
  <c r="AL954" i="2"/>
  <c r="AG955" i="2"/>
  <c r="AI955" i="2"/>
  <c r="AJ955" i="2"/>
  <c r="AL955" i="2"/>
  <c r="AG956" i="2"/>
  <c r="AI956" i="2"/>
  <c r="AJ956" i="2"/>
  <c r="AL956" i="2"/>
  <c r="AG957" i="2"/>
  <c r="AI957" i="2"/>
  <c r="AJ957" i="2"/>
  <c r="AL957" i="2"/>
  <c r="AG958" i="2"/>
  <c r="AI958" i="2"/>
  <c r="AJ958" i="2"/>
  <c r="AL958" i="2"/>
  <c r="AG959" i="2"/>
  <c r="AI959" i="2"/>
  <c r="AJ959" i="2"/>
  <c r="AL959" i="2"/>
  <c r="AG960" i="2"/>
  <c r="AI960" i="2"/>
  <c r="AJ960" i="2"/>
  <c r="AL960" i="2"/>
  <c r="AG961" i="2"/>
  <c r="AI961" i="2"/>
  <c r="AJ961" i="2"/>
  <c r="AL961" i="2"/>
  <c r="AG962" i="2"/>
  <c r="AI962" i="2"/>
  <c r="AJ962" i="2"/>
  <c r="AL962" i="2"/>
  <c r="AG963" i="2"/>
  <c r="AI963" i="2"/>
  <c r="AJ963" i="2"/>
  <c r="AL963" i="2"/>
  <c r="AG964" i="2"/>
  <c r="AI964" i="2"/>
  <c r="AJ964" i="2"/>
  <c r="AL964" i="2"/>
  <c r="AG965" i="2"/>
  <c r="AI965" i="2"/>
  <c r="AJ965" i="2"/>
  <c r="AL965" i="2"/>
  <c r="AG966" i="2"/>
  <c r="AI966" i="2"/>
  <c r="AJ966" i="2"/>
  <c r="AL966" i="2"/>
  <c r="AG967" i="2"/>
  <c r="AI967" i="2"/>
  <c r="AJ967" i="2"/>
  <c r="AL967" i="2"/>
  <c r="AG968" i="2"/>
  <c r="AI968" i="2"/>
  <c r="AJ968" i="2"/>
  <c r="AL968" i="2"/>
  <c r="AG969" i="2"/>
  <c r="AI969" i="2"/>
  <c r="AJ969" i="2"/>
  <c r="AL969" i="2"/>
  <c r="AG970" i="2"/>
  <c r="AI970" i="2"/>
  <c r="AJ970" i="2"/>
  <c r="AL970" i="2"/>
  <c r="AG971" i="2"/>
  <c r="AI971" i="2"/>
  <c r="AJ971" i="2"/>
  <c r="AL971" i="2"/>
  <c r="AG972" i="2"/>
  <c r="AI972" i="2"/>
  <c r="AJ972" i="2"/>
  <c r="AL972" i="2"/>
  <c r="AG973" i="2"/>
  <c r="AI973" i="2"/>
  <c r="AJ973" i="2"/>
  <c r="AL973" i="2"/>
  <c r="AG974" i="2"/>
  <c r="AI974" i="2"/>
  <c r="AJ974" i="2"/>
  <c r="AL974" i="2"/>
  <c r="AG975" i="2"/>
  <c r="AI975" i="2"/>
  <c r="AJ975" i="2"/>
  <c r="AL975" i="2"/>
  <c r="AG976" i="2"/>
  <c r="AI976" i="2"/>
  <c r="AJ976" i="2"/>
  <c r="AL976" i="2"/>
  <c r="AG977" i="2"/>
  <c r="AI977" i="2"/>
  <c r="AJ977" i="2"/>
  <c r="AL977" i="2"/>
  <c r="AG978" i="2"/>
  <c r="AI978" i="2"/>
  <c r="AJ978" i="2"/>
  <c r="AL978" i="2"/>
  <c r="AG979" i="2"/>
  <c r="AI979" i="2"/>
  <c r="AJ979" i="2"/>
  <c r="AL979" i="2"/>
  <c r="AG980" i="2"/>
  <c r="AI980" i="2"/>
  <c r="AJ980" i="2"/>
  <c r="AL980" i="2"/>
  <c r="AG981" i="2"/>
  <c r="AI981" i="2"/>
  <c r="AJ981" i="2"/>
  <c r="AL981" i="2"/>
  <c r="AG982" i="2"/>
  <c r="AI982" i="2"/>
  <c r="AJ982" i="2"/>
  <c r="AL982" i="2"/>
  <c r="AG983" i="2"/>
  <c r="AI983" i="2"/>
  <c r="AJ983" i="2"/>
  <c r="AL983" i="2"/>
  <c r="AG984" i="2"/>
  <c r="AI984" i="2"/>
  <c r="AJ984" i="2"/>
  <c r="AL984" i="2"/>
  <c r="AG985" i="2"/>
  <c r="AI985" i="2"/>
  <c r="AJ985" i="2"/>
  <c r="AL985" i="2"/>
  <c r="AG986" i="2"/>
  <c r="AI986" i="2"/>
  <c r="AJ986" i="2"/>
  <c r="AL986" i="2"/>
  <c r="AG987" i="2"/>
  <c r="AI987" i="2"/>
  <c r="AJ987" i="2"/>
  <c r="AL987" i="2"/>
  <c r="AG988" i="2"/>
  <c r="AI988" i="2"/>
  <c r="AJ988" i="2"/>
  <c r="AL988" i="2"/>
  <c r="AG989" i="2"/>
  <c r="AI989" i="2"/>
  <c r="AJ989" i="2"/>
  <c r="AL989" i="2"/>
  <c r="AG990" i="2"/>
  <c r="AI990" i="2"/>
  <c r="AJ990" i="2"/>
  <c r="AL990" i="2"/>
  <c r="AG991" i="2"/>
  <c r="AI991" i="2"/>
  <c r="AJ991" i="2"/>
  <c r="AL991" i="2"/>
  <c r="AG992" i="2"/>
  <c r="AI992" i="2"/>
  <c r="AJ992" i="2"/>
  <c r="AL992" i="2"/>
  <c r="AG993" i="2"/>
  <c r="AI993" i="2"/>
  <c r="AJ993" i="2"/>
  <c r="AL993" i="2"/>
  <c r="AG994" i="2"/>
  <c r="AI994" i="2"/>
  <c r="AJ994" i="2"/>
  <c r="AL994" i="2"/>
  <c r="AG995" i="2"/>
  <c r="AI995" i="2"/>
  <c r="AJ995" i="2"/>
  <c r="AL995" i="2"/>
  <c r="AG996" i="2"/>
  <c r="AI996" i="2"/>
  <c r="AJ996" i="2"/>
  <c r="AL996" i="2"/>
  <c r="AG997" i="2"/>
  <c r="AI997" i="2"/>
  <c r="AJ997" i="2"/>
  <c r="AL997" i="2"/>
  <c r="AG998" i="2"/>
  <c r="AI998" i="2"/>
  <c r="AJ998" i="2"/>
  <c r="AL998" i="2"/>
  <c r="AG999" i="2"/>
  <c r="AI999" i="2"/>
  <c r="AJ999" i="2"/>
  <c r="AL999" i="2"/>
  <c r="AG1000" i="2"/>
  <c r="AI1000" i="2"/>
  <c r="AJ1000" i="2"/>
  <c r="AL1000" i="2"/>
  <c r="AG1001" i="2"/>
  <c r="AI1001" i="2"/>
  <c r="AJ1001" i="2"/>
  <c r="AL1001" i="2"/>
  <c r="AG1002" i="2"/>
  <c r="AI1002" i="2"/>
  <c r="AJ1002" i="2"/>
  <c r="AL1002" i="2"/>
  <c r="AG1003" i="2"/>
  <c r="AI1003" i="2"/>
  <c r="AJ1003" i="2"/>
  <c r="AL1003" i="2"/>
  <c r="AG1004" i="2"/>
  <c r="AI1004" i="2"/>
  <c r="AJ1004" i="2"/>
  <c r="AL1004" i="2"/>
  <c r="AG1005" i="2"/>
  <c r="AI1005" i="2"/>
  <c r="AJ1005" i="2"/>
  <c r="AL1005" i="2"/>
  <c r="AG1006" i="2"/>
  <c r="AI1006" i="2"/>
  <c r="AJ1006" i="2"/>
  <c r="AL1006" i="2"/>
  <c r="AG1007" i="2"/>
  <c r="AI1007" i="2"/>
  <c r="AJ1007" i="2"/>
  <c r="AL1007" i="2"/>
  <c r="AG1008" i="2"/>
  <c r="AI1008" i="2"/>
  <c r="AJ1008" i="2"/>
  <c r="AL1008" i="2"/>
  <c r="AG1009" i="2"/>
  <c r="AI1009" i="2"/>
  <c r="AJ1009" i="2"/>
  <c r="AL1009" i="2"/>
  <c r="AG1010" i="2"/>
  <c r="AI1010" i="2"/>
  <c r="AJ1010" i="2"/>
  <c r="AL1010" i="2"/>
  <c r="AG1011" i="2"/>
  <c r="AI1011" i="2"/>
  <c r="AJ1011" i="2"/>
  <c r="AL1011" i="2"/>
  <c r="AG1012" i="2"/>
  <c r="AI1012" i="2"/>
  <c r="AJ1012" i="2"/>
  <c r="AL1012" i="2"/>
  <c r="AG1013" i="2"/>
  <c r="AI1013" i="2"/>
  <c r="AJ1013" i="2"/>
  <c r="AL1013" i="2"/>
  <c r="AG1014" i="2"/>
  <c r="AI1014" i="2"/>
  <c r="AJ1014" i="2"/>
  <c r="AL1014" i="2"/>
  <c r="AG1015" i="2"/>
  <c r="AI1015" i="2"/>
  <c r="AJ1015" i="2"/>
  <c r="AL1015" i="2"/>
  <c r="AG1016" i="2"/>
  <c r="AI1016" i="2"/>
  <c r="AJ1016" i="2"/>
  <c r="AL1016" i="2"/>
  <c r="AG1017" i="2"/>
  <c r="AI1017" i="2"/>
  <c r="AJ1017" i="2"/>
  <c r="AL1017" i="2"/>
  <c r="AG1018" i="2"/>
  <c r="AI1018" i="2"/>
  <c r="AJ1018" i="2"/>
  <c r="AL1018" i="2"/>
  <c r="AG1019" i="2"/>
  <c r="AI1019" i="2"/>
  <c r="AJ1019" i="2"/>
  <c r="AL1019" i="2"/>
  <c r="AG1020" i="2"/>
  <c r="AI1020" i="2"/>
  <c r="AJ1020" i="2"/>
  <c r="AL1020" i="2"/>
  <c r="AG1021" i="2"/>
  <c r="AI1021" i="2"/>
  <c r="AJ1021" i="2"/>
  <c r="AL1021" i="2"/>
  <c r="AG1022" i="2"/>
  <c r="AI1022" i="2"/>
  <c r="AJ1022" i="2"/>
  <c r="AL1022" i="2"/>
  <c r="AG1023" i="2"/>
  <c r="AI1023" i="2"/>
  <c r="AJ1023" i="2"/>
  <c r="AL1023" i="2"/>
  <c r="AG1024" i="2"/>
  <c r="AI1024" i="2"/>
  <c r="AJ1024" i="2"/>
  <c r="AL1024" i="2"/>
  <c r="AG1025" i="2"/>
  <c r="AI1025" i="2"/>
  <c r="AJ1025" i="2"/>
  <c r="AL1025" i="2"/>
  <c r="AG1026" i="2"/>
  <c r="AI1026" i="2"/>
  <c r="AJ1026" i="2"/>
  <c r="AL1026" i="2"/>
  <c r="AG1027" i="2"/>
  <c r="AI1027" i="2"/>
  <c r="AJ1027" i="2"/>
  <c r="AL1027" i="2"/>
  <c r="AG1028" i="2"/>
  <c r="AI1028" i="2"/>
  <c r="AJ1028" i="2"/>
  <c r="AL1028" i="2"/>
  <c r="AG1029" i="2"/>
  <c r="AI1029" i="2"/>
  <c r="AJ1029" i="2"/>
  <c r="AL1029" i="2"/>
  <c r="AG1030" i="2"/>
  <c r="AI1030" i="2"/>
  <c r="AJ1030" i="2"/>
  <c r="AL1030" i="2"/>
  <c r="AG1031" i="2"/>
  <c r="AI1031" i="2"/>
  <c r="AJ1031" i="2"/>
  <c r="AL1031" i="2"/>
  <c r="AG1032" i="2"/>
  <c r="AI1032" i="2"/>
  <c r="AJ1032" i="2"/>
  <c r="AL1032" i="2"/>
  <c r="AG1033" i="2"/>
  <c r="AI1033" i="2"/>
  <c r="AJ1033" i="2"/>
  <c r="AL1033" i="2"/>
  <c r="AG1034" i="2"/>
  <c r="AI1034" i="2"/>
  <c r="AJ1034" i="2"/>
  <c r="AL1034" i="2"/>
  <c r="AG1035" i="2"/>
  <c r="AI1035" i="2"/>
  <c r="AJ1035" i="2"/>
  <c r="AL1035" i="2"/>
  <c r="AG1036" i="2"/>
  <c r="AI1036" i="2"/>
  <c r="AJ1036" i="2"/>
  <c r="AL1036" i="2"/>
  <c r="AG1037" i="2"/>
  <c r="AI1037" i="2"/>
  <c r="AJ1037" i="2"/>
  <c r="AL1037" i="2"/>
  <c r="AG1038" i="2"/>
  <c r="AI1038" i="2"/>
  <c r="AJ1038" i="2"/>
  <c r="AL1038" i="2"/>
  <c r="AG1039" i="2"/>
  <c r="AI1039" i="2"/>
  <c r="AJ1039" i="2"/>
  <c r="AL1039" i="2"/>
  <c r="AG1040" i="2"/>
  <c r="AI1040" i="2"/>
  <c r="AJ1040" i="2"/>
  <c r="AL1040" i="2"/>
  <c r="AG1041" i="2"/>
  <c r="AI1041" i="2"/>
  <c r="AJ1041" i="2"/>
  <c r="AL1041" i="2"/>
  <c r="AG1042" i="2"/>
  <c r="AI1042" i="2"/>
  <c r="AJ1042" i="2"/>
  <c r="AL1042" i="2"/>
  <c r="AG1043" i="2"/>
  <c r="AI1043" i="2"/>
  <c r="AJ1043" i="2"/>
  <c r="AL1043" i="2"/>
  <c r="AG1044" i="2"/>
  <c r="AI1044" i="2"/>
  <c r="AJ1044" i="2"/>
  <c r="AL1044" i="2"/>
  <c r="AG1045" i="2"/>
  <c r="AI1045" i="2"/>
  <c r="AJ1045" i="2"/>
  <c r="AL1045" i="2"/>
  <c r="AG1046" i="2"/>
  <c r="AI1046" i="2"/>
  <c r="AJ1046" i="2"/>
  <c r="AL1046" i="2"/>
  <c r="AG1047" i="2"/>
  <c r="AI1047" i="2"/>
  <c r="AJ1047" i="2"/>
  <c r="AL1047" i="2"/>
  <c r="AG1048" i="2"/>
  <c r="AI1048" i="2"/>
  <c r="AJ1048" i="2"/>
  <c r="AL1048" i="2"/>
  <c r="AG1049" i="2"/>
  <c r="AI1049" i="2"/>
  <c r="AJ1049" i="2"/>
  <c r="AL1049" i="2"/>
  <c r="AG1050" i="2"/>
  <c r="AI1050" i="2"/>
  <c r="AJ1050" i="2"/>
  <c r="AL1050" i="2"/>
  <c r="AG1051" i="2"/>
  <c r="AI1051" i="2"/>
  <c r="AJ1051" i="2"/>
  <c r="AL1051" i="2"/>
  <c r="AG1052" i="2"/>
  <c r="AI1052" i="2"/>
  <c r="AJ1052" i="2"/>
  <c r="AL1052" i="2"/>
  <c r="AG1053" i="2"/>
  <c r="AI1053" i="2"/>
  <c r="AJ1053" i="2"/>
  <c r="AL1053" i="2"/>
  <c r="AG1054" i="2"/>
  <c r="AI1054" i="2"/>
  <c r="AJ1054" i="2"/>
  <c r="AL1054" i="2"/>
  <c r="AG1055" i="2"/>
  <c r="AI1055" i="2"/>
  <c r="AJ1055" i="2"/>
  <c r="AL1055" i="2"/>
  <c r="AG1056" i="2"/>
  <c r="AI1056" i="2"/>
  <c r="AJ1056" i="2"/>
  <c r="AL1056" i="2"/>
  <c r="AG1057" i="2"/>
  <c r="AI1057" i="2"/>
  <c r="AJ1057" i="2"/>
  <c r="AL1057" i="2"/>
  <c r="AG1058" i="2"/>
  <c r="AI1058" i="2"/>
  <c r="AJ1058" i="2"/>
  <c r="AL1058" i="2"/>
  <c r="AG1059" i="2"/>
  <c r="AI1059" i="2"/>
  <c r="AJ1059" i="2"/>
  <c r="AL1059" i="2"/>
  <c r="AG1060" i="2"/>
  <c r="AI1060" i="2"/>
  <c r="AJ1060" i="2"/>
  <c r="AL1060" i="2"/>
  <c r="AG1061" i="2"/>
  <c r="AI1061" i="2"/>
  <c r="AJ1061" i="2"/>
  <c r="AL1061" i="2"/>
  <c r="AG1062" i="2"/>
  <c r="AI1062" i="2"/>
  <c r="AJ1062" i="2"/>
  <c r="AL1062" i="2"/>
  <c r="AG1063" i="2"/>
  <c r="AI1063" i="2"/>
  <c r="AJ1063" i="2"/>
  <c r="AL1063" i="2"/>
  <c r="AG1064" i="2"/>
  <c r="AI1064" i="2"/>
  <c r="AJ1064" i="2"/>
  <c r="AL1064" i="2"/>
  <c r="AG1065" i="2"/>
  <c r="AI1065" i="2"/>
  <c r="AJ1065" i="2"/>
  <c r="AL1065" i="2"/>
  <c r="AG1066" i="2"/>
  <c r="AI1066" i="2"/>
  <c r="AJ1066" i="2"/>
  <c r="AL1066" i="2"/>
  <c r="AG1067" i="2"/>
  <c r="AI1067" i="2"/>
  <c r="AJ1067" i="2"/>
  <c r="AL1067" i="2"/>
  <c r="AG1068" i="2"/>
  <c r="AI1068" i="2"/>
  <c r="AJ1068" i="2"/>
  <c r="AL1068" i="2"/>
  <c r="AG1069" i="2"/>
  <c r="AI1069" i="2"/>
  <c r="AJ1069" i="2"/>
  <c r="AL1069" i="2"/>
  <c r="AG1070" i="2"/>
  <c r="AI1070" i="2"/>
  <c r="AJ1070" i="2"/>
  <c r="AL1070" i="2"/>
  <c r="AG1071" i="2"/>
  <c r="AI1071" i="2"/>
  <c r="AJ1071" i="2"/>
  <c r="AL1071" i="2"/>
  <c r="AG1072" i="2"/>
  <c r="AI1072" i="2"/>
  <c r="AJ1072" i="2"/>
  <c r="AL1072" i="2"/>
  <c r="AG1073" i="2"/>
  <c r="AI1073" i="2"/>
  <c r="AJ1073" i="2"/>
  <c r="AL1073" i="2"/>
  <c r="AG1074" i="2"/>
  <c r="AI1074" i="2"/>
  <c r="AJ1074" i="2"/>
  <c r="AL1074" i="2"/>
  <c r="AG1075" i="2"/>
  <c r="AI1075" i="2"/>
  <c r="AJ1075" i="2"/>
  <c r="AL1075" i="2"/>
  <c r="AG1076" i="2"/>
  <c r="AI1076" i="2"/>
  <c r="AJ1076" i="2"/>
  <c r="AL1076" i="2"/>
  <c r="AG1077" i="2"/>
  <c r="AI1077" i="2"/>
  <c r="AJ1077" i="2"/>
  <c r="AL1077" i="2"/>
  <c r="AG1078" i="2"/>
  <c r="AI1078" i="2"/>
  <c r="AJ1078" i="2"/>
  <c r="AL1078" i="2"/>
  <c r="AG1079" i="2"/>
  <c r="AI1079" i="2"/>
  <c r="AJ1079" i="2"/>
  <c r="AL1079" i="2"/>
  <c r="AG1080" i="2"/>
  <c r="AI1080" i="2"/>
  <c r="AJ1080" i="2"/>
  <c r="AL1080" i="2"/>
  <c r="AG1081" i="2"/>
  <c r="AI1081" i="2"/>
  <c r="AJ1081" i="2"/>
  <c r="AL1081" i="2"/>
  <c r="AG1082" i="2"/>
  <c r="AI1082" i="2"/>
  <c r="AJ1082" i="2"/>
  <c r="AL1082" i="2"/>
  <c r="AG1083" i="2"/>
  <c r="AI1083" i="2"/>
  <c r="AJ1083" i="2"/>
  <c r="AL1083" i="2"/>
  <c r="AG1084" i="2"/>
  <c r="AI1084" i="2"/>
  <c r="AJ1084" i="2"/>
  <c r="AL1084" i="2"/>
  <c r="AG1085" i="2"/>
  <c r="AI1085" i="2"/>
  <c r="AJ1085" i="2"/>
  <c r="AL1085" i="2"/>
  <c r="AG1086" i="2"/>
  <c r="AI1086" i="2"/>
  <c r="AJ1086" i="2"/>
  <c r="AL1086" i="2"/>
  <c r="AG1087" i="2"/>
  <c r="AI1087" i="2"/>
  <c r="AJ1087" i="2"/>
  <c r="AL1087" i="2"/>
  <c r="AG1088" i="2"/>
  <c r="AI1088" i="2"/>
  <c r="AJ1088" i="2"/>
  <c r="AL1088" i="2"/>
  <c r="AG1089" i="2"/>
  <c r="AI1089" i="2"/>
  <c r="AJ1089" i="2"/>
  <c r="AL1089" i="2"/>
  <c r="AG1090" i="2"/>
  <c r="AI1090" i="2"/>
  <c r="AJ1090" i="2"/>
  <c r="AL1090" i="2"/>
  <c r="AG1091" i="2"/>
  <c r="AI1091" i="2"/>
  <c r="AJ1091" i="2"/>
  <c r="AL1091" i="2"/>
  <c r="AG1092" i="2"/>
  <c r="AI1092" i="2"/>
  <c r="AJ1092" i="2"/>
  <c r="AL1092" i="2"/>
  <c r="AG1093" i="2"/>
  <c r="AI1093" i="2"/>
  <c r="AJ1093" i="2"/>
  <c r="AL1093" i="2"/>
  <c r="AG1094" i="2"/>
  <c r="AI1094" i="2"/>
  <c r="AJ1094" i="2"/>
  <c r="AL1094" i="2"/>
  <c r="AG1095" i="2"/>
  <c r="AI1095" i="2"/>
  <c r="AJ1095" i="2"/>
  <c r="AL1095" i="2"/>
  <c r="AG1096" i="2"/>
  <c r="AI1096" i="2"/>
  <c r="AJ1096" i="2"/>
  <c r="AL1096" i="2"/>
  <c r="AG1097" i="2"/>
  <c r="AI1097" i="2"/>
  <c r="AJ1097" i="2"/>
  <c r="AL1097" i="2"/>
  <c r="AG1098" i="2"/>
  <c r="AI1098" i="2"/>
  <c r="AJ1098" i="2"/>
  <c r="AL1098" i="2"/>
  <c r="AG1099" i="2"/>
  <c r="AI1099" i="2"/>
  <c r="AJ1099" i="2"/>
  <c r="AL1099" i="2"/>
  <c r="AG1100" i="2"/>
  <c r="AI1100" i="2"/>
  <c r="AJ1100" i="2"/>
  <c r="AL1100" i="2"/>
  <c r="AG1101" i="2"/>
  <c r="AI1101" i="2"/>
  <c r="AJ1101" i="2"/>
  <c r="AL1101" i="2"/>
  <c r="AG1102" i="2"/>
  <c r="AI1102" i="2"/>
  <c r="AJ1102" i="2"/>
  <c r="AL1102" i="2"/>
  <c r="AG1103" i="2"/>
  <c r="AI1103" i="2"/>
  <c r="AJ1103" i="2"/>
  <c r="AL1103" i="2"/>
  <c r="AG1104" i="2"/>
  <c r="AI1104" i="2"/>
  <c r="AJ1104" i="2"/>
  <c r="AL1104" i="2"/>
  <c r="AG1105" i="2"/>
  <c r="AI1105" i="2"/>
  <c r="AJ1105" i="2"/>
  <c r="AL1105" i="2"/>
  <c r="AG1106" i="2"/>
  <c r="AI1106" i="2"/>
  <c r="AJ1106" i="2"/>
  <c r="AL1106" i="2"/>
  <c r="AG1107" i="2"/>
  <c r="AI1107" i="2"/>
  <c r="AJ1107" i="2"/>
  <c r="AL1107" i="2"/>
  <c r="AG1108" i="2"/>
  <c r="AI1108" i="2"/>
  <c r="AJ1108" i="2"/>
  <c r="AL1108" i="2"/>
  <c r="AG1109" i="2"/>
  <c r="AI1109" i="2"/>
  <c r="AJ1109" i="2"/>
  <c r="AL1109" i="2"/>
  <c r="AG1110" i="2"/>
  <c r="AI1110" i="2"/>
  <c r="AJ1110" i="2"/>
  <c r="AL1110" i="2"/>
  <c r="AG1111" i="2"/>
  <c r="AI1111" i="2"/>
  <c r="AJ1111" i="2"/>
  <c r="AL1111" i="2"/>
  <c r="AG1112" i="2"/>
  <c r="AI1112" i="2"/>
  <c r="AJ1112" i="2"/>
  <c r="AL1112" i="2"/>
  <c r="AG1113" i="2"/>
  <c r="AI1113" i="2"/>
  <c r="AJ1113" i="2"/>
  <c r="AL1113" i="2"/>
  <c r="AG1114" i="2"/>
  <c r="AI1114" i="2"/>
  <c r="AJ1114" i="2"/>
  <c r="AL1114" i="2"/>
  <c r="AG1115" i="2"/>
  <c r="AI1115" i="2"/>
  <c r="AJ1115" i="2"/>
  <c r="AL1115" i="2"/>
  <c r="AG1116" i="2"/>
  <c r="AI1116" i="2"/>
  <c r="AJ1116" i="2"/>
  <c r="AL1116" i="2"/>
  <c r="AG1117" i="2"/>
  <c r="AI1117" i="2"/>
  <c r="AJ1117" i="2"/>
  <c r="AL1117" i="2"/>
  <c r="AG1118" i="2"/>
  <c r="AI1118" i="2"/>
  <c r="AJ1118" i="2"/>
  <c r="AL1118" i="2"/>
  <c r="AG1119" i="2"/>
  <c r="AI1119" i="2"/>
  <c r="AJ1119" i="2"/>
  <c r="AL1119" i="2"/>
  <c r="AG1120" i="2"/>
  <c r="AI1120" i="2"/>
  <c r="AJ1120" i="2"/>
  <c r="AL1120" i="2"/>
  <c r="AG1121" i="2"/>
  <c r="AI1121" i="2"/>
  <c r="AJ1121" i="2"/>
  <c r="AL1121" i="2"/>
  <c r="AG1122" i="2"/>
  <c r="AI1122" i="2"/>
  <c r="AJ1122" i="2"/>
  <c r="AL1122" i="2"/>
  <c r="AG1123" i="2"/>
  <c r="AI1123" i="2"/>
  <c r="AJ1123" i="2"/>
  <c r="AL1123" i="2"/>
  <c r="AG1124" i="2"/>
  <c r="AI1124" i="2"/>
  <c r="AJ1124" i="2"/>
  <c r="AL1124" i="2"/>
  <c r="AG1125" i="2"/>
  <c r="AI1125" i="2"/>
  <c r="AJ1125" i="2"/>
  <c r="AL1125" i="2"/>
  <c r="AG1126" i="2"/>
  <c r="AI1126" i="2"/>
  <c r="AJ1126" i="2"/>
  <c r="AL1126" i="2"/>
  <c r="AG1127" i="2"/>
  <c r="AI1127" i="2"/>
  <c r="AJ1127" i="2"/>
  <c r="AL1127" i="2"/>
  <c r="AG1128" i="2"/>
  <c r="AI1128" i="2"/>
  <c r="AJ1128" i="2"/>
  <c r="AL1128" i="2"/>
  <c r="AG1129" i="2"/>
  <c r="AI1129" i="2"/>
  <c r="AJ1129" i="2"/>
  <c r="AL1129" i="2"/>
  <c r="AG1130" i="2"/>
  <c r="AI1130" i="2"/>
  <c r="AJ1130" i="2"/>
  <c r="AL1130" i="2"/>
  <c r="AG1131" i="2"/>
  <c r="AI1131" i="2"/>
  <c r="AJ1131" i="2"/>
  <c r="AL1131" i="2"/>
  <c r="AG1132" i="2"/>
  <c r="AI1132" i="2"/>
  <c r="AJ1132" i="2"/>
  <c r="AL1132" i="2"/>
  <c r="AG1133" i="2"/>
  <c r="AI1133" i="2"/>
  <c r="AJ1133" i="2"/>
  <c r="AL1133" i="2"/>
  <c r="AG1134" i="2"/>
  <c r="AI1134" i="2"/>
  <c r="AJ1134" i="2"/>
  <c r="AL1134" i="2"/>
  <c r="AG1135" i="2"/>
  <c r="AI1135" i="2"/>
  <c r="AJ1135" i="2"/>
  <c r="AL1135" i="2"/>
  <c r="AG1136" i="2"/>
  <c r="AI1136" i="2"/>
  <c r="AJ1136" i="2"/>
  <c r="AL1136" i="2"/>
  <c r="AG1137" i="2"/>
  <c r="AI1137" i="2"/>
  <c r="AJ1137" i="2"/>
  <c r="AL1137" i="2"/>
  <c r="AG1138" i="2"/>
  <c r="AI1138" i="2"/>
  <c r="AJ1138" i="2"/>
  <c r="AL1138" i="2"/>
  <c r="AG1139" i="2"/>
  <c r="AI1139" i="2"/>
  <c r="AJ1139" i="2"/>
  <c r="AL1139" i="2"/>
  <c r="AG1140" i="2"/>
  <c r="AI1140" i="2"/>
  <c r="AJ1140" i="2"/>
  <c r="AL1140" i="2"/>
  <c r="AG1141" i="2"/>
  <c r="AI1141" i="2"/>
  <c r="AJ1141" i="2"/>
  <c r="AL1141" i="2"/>
  <c r="AG1142" i="2"/>
  <c r="AI1142" i="2"/>
  <c r="AJ1142" i="2"/>
  <c r="AL1142" i="2"/>
  <c r="AG1143" i="2"/>
  <c r="AI1143" i="2"/>
  <c r="AJ1143" i="2"/>
  <c r="AL1143" i="2"/>
  <c r="AG1144" i="2"/>
  <c r="AI1144" i="2"/>
  <c r="AJ1144" i="2"/>
  <c r="AL1144" i="2"/>
  <c r="AG1145" i="2"/>
  <c r="AI1145" i="2"/>
  <c r="AJ1145" i="2"/>
  <c r="AL1145" i="2"/>
  <c r="AG1146" i="2"/>
  <c r="AI1146" i="2"/>
  <c r="AJ1146" i="2"/>
  <c r="AL1146" i="2"/>
  <c r="AG1147" i="2"/>
  <c r="AI1147" i="2"/>
  <c r="AJ1147" i="2"/>
  <c r="AL1147" i="2"/>
  <c r="AG1148" i="2"/>
  <c r="AI1148" i="2"/>
  <c r="AJ1148" i="2"/>
  <c r="AL1148" i="2"/>
  <c r="AG1149" i="2"/>
  <c r="AI1149" i="2"/>
  <c r="AJ1149" i="2"/>
  <c r="AL1149" i="2"/>
  <c r="AG1150" i="2"/>
  <c r="AI1150" i="2"/>
  <c r="AJ1150" i="2"/>
  <c r="AL1150" i="2"/>
  <c r="AG1151" i="2"/>
  <c r="AI1151" i="2"/>
  <c r="AJ1151" i="2"/>
  <c r="AL1151" i="2"/>
  <c r="AG1152" i="2"/>
  <c r="AI1152" i="2"/>
  <c r="AJ1152" i="2"/>
  <c r="AL1152" i="2"/>
  <c r="AG1153" i="2"/>
  <c r="AI1153" i="2"/>
  <c r="AJ1153" i="2"/>
  <c r="AL1153" i="2"/>
  <c r="AG1154" i="2"/>
  <c r="AI1154" i="2"/>
  <c r="AJ1154" i="2"/>
  <c r="AL1154" i="2"/>
  <c r="AG1155" i="2"/>
  <c r="AI1155" i="2"/>
  <c r="AJ1155" i="2"/>
  <c r="AL1155" i="2"/>
  <c r="AG1156" i="2"/>
  <c r="AI1156" i="2"/>
  <c r="AJ1156" i="2"/>
  <c r="AL1156" i="2"/>
  <c r="AG1157" i="2"/>
  <c r="AI1157" i="2"/>
  <c r="AJ1157" i="2"/>
  <c r="AL1157" i="2"/>
  <c r="AG1158" i="2"/>
  <c r="AI1158" i="2"/>
  <c r="AJ1158" i="2"/>
  <c r="AL1158" i="2"/>
  <c r="AG1159" i="2"/>
  <c r="AI1159" i="2"/>
  <c r="AJ1159" i="2"/>
  <c r="AL1159" i="2"/>
  <c r="AG1160" i="2"/>
  <c r="AI1160" i="2"/>
  <c r="AJ1160" i="2"/>
  <c r="AL1160" i="2"/>
  <c r="AG1161" i="2"/>
  <c r="AI1161" i="2"/>
  <c r="AJ1161" i="2"/>
  <c r="AL1161" i="2"/>
  <c r="AG1162" i="2"/>
  <c r="AI1162" i="2"/>
  <c r="AJ1162" i="2"/>
  <c r="AL1162" i="2"/>
  <c r="AG1163" i="2"/>
  <c r="AI1163" i="2"/>
  <c r="AJ1163" i="2"/>
  <c r="AL1163" i="2"/>
  <c r="AG1164" i="2"/>
  <c r="AI1164" i="2"/>
  <c r="AJ1164" i="2"/>
  <c r="AL1164" i="2"/>
  <c r="AG1165" i="2"/>
  <c r="AI1165" i="2"/>
  <c r="AJ1165" i="2"/>
  <c r="AL1165" i="2"/>
  <c r="AG1166" i="2"/>
  <c r="AI1166" i="2"/>
  <c r="AJ1166" i="2"/>
  <c r="AL1166" i="2"/>
  <c r="AG1167" i="2"/>
  <c r="AI1167" i="2"/>
  <c r="AJ1167" i="2"/>
  <c r="AL1167" i="2"/>
  <c r="AG1168" i="2"/>
  <c r="AI1168" i="2"/>
  <c r="AJ1168" i="2"/>
  <c r="AL1168" i="2"/>
  <c r="AG1169" i="2"/>
  <c r="AI1169" i="2"/>
  <c r="AJ1169" i="2"/>
  <c r="AL1169" i="2"/>
  <c r="AG1170" i="2"/>
  <c r="AI1170" i="2"/>
  <c r="AJ1170" i="2"/>
  <c r="AL1170" i="2"/>
  <c r="AG1171" i="2"/>
  <c r="AI1171" i="2"/>
  <c r="AJ1171" i="2"/>
  <c r="AL1171" i="2"/>
  <c r="AG1172" i="2"/>
  <c r="AI1172" i="2"/>
  <c r="AJ1172" i="2"/>
  <c r="AL1172" i="2"/>
  <c r="AG1173" i="2"/>
  <c r="AI1173" i="2"/>
  <c r="AJ1173" i="2"/>
  <c r="AL1173" i="2"/>
  <c r="AG1174" i="2"/>
  <c r="AI1174" i="2"/>
  <c r="AJ1174" i="2"/>
  <c r="AL1174" i="2"/>
  <c r="AG1175" i="2"/>
  <c r="AI1175" i="2"/>
  <c r="AJ1175" i="2"/>
  <c r="AL1175" i="2"/>
  <c r="AG1176" i="2"/>
  <c r="AI1176" i="2"/>
  <c r="AJ1176" i="2"/>
  <c r="AL1176" i="2"/>
  <c r="AG1177" i="2"/>
  <c r="AI1177" i="2"/>
  <c r="AJ1177" i="2"/>
  <c r="AL1177" i="2"/>
  <c r="AG1178" i="2"/>
  <c r="AI1178" i="2"/>
  <c r="AJ1178" i="2"/>
  <c r="AL1178" i="2"/>
  <c r="AG1179" i="2"/>
  <c r="AI1179" i="2"/>
  <c r="AJ1179" i="2"/>
  <c r="AL1179" i="2"/>
  <c r="AG1180" i="2"/>
  <c r="AI1180" i="2"/>
  <c r="AJ1180" i="2"/>
  <c r="AL1180" i="2"/>
  <c r="AG1181" i="2"/>
  <c r="AI1181" i="2"/>
  <c r="AJ1181" i="2"/>
  <c r="AL1181" i="2"/>
  <c r="AG1182" i="2"/>
  <c r="AI1182" i="2"/>
  <c r="AJ1182" i="2"/>
  <c r="AL1182" i="2"/>
  <c r="AG1183" i="2"/>
  <c r="AI1183" i="2"/>
  <c r="AJ1183" i="2"/>
  <c r="AL1183" i="2"/>
  <c r="AG1184" i="2"/>
  <c r="AI1184" i="2"/>
  <c r="AJ1184" i="2"/>
  <c r="AL1184" i="2"/>
  <c r="AG1185" i="2"/>
  <c r="AI1185" i="2"/>
  <c r="AJ1185" i="2"/>
  <c r="AL1185" i="2"/>
  <c r="AG1186" i="2"/>
  <c r="AI1186" i="2"/>
  <c r="AJ1186" i="2"/>
  <c r="AL1186" i="2"/>
  <c r="AG1187" i="2"/>
  <c r="AI1187" i="2"/>
  <c r="AJ1187" i="2"/>
  <c r="AL1187" i="2"/>
  <c r="AG1188" i="2"/>
  <c r="AI1188" i="2"/>
  <c r="AJ1188" i="2"/>
  <c r="AL1188" i="2"/>
  <c r="AG1189" i="2"/>
  <c r="AI1189" i="2"/>
  <c r="AJ1189" i="2"/>
  <c r="AL1189" i="2"/>
  <c r="AG1190" i="2"/>
  <c r="AI1190" i="2"/>
  <c r="AJ1190" i="2"/>
  <c r="AL1190" i="2"/>
  <c r="AG1191" i="2"/>
  <c r="AI1191" i="2"/>
  <c r="AJ1191" i="2"/>
  <c r="AL1191" i="2"/>
  <c r="AG1192" i="2"/>
  <c r="AI1192" i="2"/>
  <c r="AJ1192" i="2"/>
  <c r="AL1192" i="2"/>
  <c r="AG1193" i="2"/>
  <c r="AI1193" i="2"/>
  <c r="AJ1193" i="2"/>
  <c r="AL1193" i="2"/>
  <c r="AG1194" i="2"/>
  <c r="AI1194" i="2"/>
  <c r="AJ1194" i="2"/>
  <c r="AL1194" i="2"/>
  <c r="AG1195" i="2"/>
  <c r="AI1195" i="2"/>
  <c r="AJ1195" i="2"/>
  <c r="AL1195" i="2"/>
  <c r="AG1196" i="2"/>
  <c r="AI1196" i="2"/>
  <c r="AJ1196" i="2"/>
  <c r="AL1196" i="2"/>
  <c r="AG1197" i="2"/>
  <c r="AI1197" i="2"/>
  <c r="AJ1197" i="2"/>
  <c r="AL1197" i="2"/>
  <c r="AG1198" i="2"/>
  <c r="AI1198" i="2"/>
  <c r="AJ1198" i="2"/>
  <c r="AL1198" i="2"/>
  <c r="AG1199" i="2"/>
  <c r="AI1199" i="2"/>
  <c r="AJ1199" i="2"/>
  <c r="AL1199" i="2"/>
  <c r="AG1200" i="2"/>
  <c r="AI1200" i="2"/>
  <c r="AJ1200" i="2"/>
  <c r="AL1200" i="2"/>
  <c r="AG1201" i="2"/>
  <c r="AI1201" i="2"/>
  <c r="AJ1201" i="2"/>
  <c r="AL1201" i="2"/>
  <c r="AG1202" i="2"/>
  <c r="AI1202" i="2"/>
  <c r="AJ1202" i="2"/>
  <c r="AL1202" i="2"/>
  <c r="AG1203" i="2"/>
  <c r="AI1203" i="2"/>
  <c r="AJ1203" i="2"/>
  <c r="AL1203" i="2"/>
  <c r="AG1204" i="2"/>
  <c r="AI1204" i="2"/>
  <c r="AJ1204" i="2"/>
  <c r="AL1204" i="2"/>
  <c r="AG1205" i="2"/>
  <c r="AI1205" i="2"/>
  <c r="AJ1205" i="2"/>
  <c r="AL1205" i="2"/>
  <c r="AG1206" i="2"/>
  <c r="AI1206" i="2"/>
  <c r="AJ1206" i="2"/>
  <c r="AL1206" i="2"/>
  <c r="AG1207" i="2"/>
  <c r="AI1207" i="2"/>
  <c r="AJ1207" i="2"/>
  <c r="AL1207" i="2"/>
  <c r="AG1208" i="2"/>
  <c r="AI1208" i="2"/>
  <c r="AJ1208" i="2"/>
  <c r="AL1208" i="2"/>
  <c r="AG1209" i="2"/>
  <c r="AI1209" i="2"/>
  <c r="AJ1209" i="2"/>
  <c r="AL1209" i="2"/>
  <c r="AG1210" i="2"/>
  <c r="AI1210" i="2"/>
  <c r="AJ1210" i="2"/>
  <c r="AL1210" i="2"/>
  <c r="AG1211" i="2"/>
  <c r="AI1211" i="2"/>
  <c r="AJ1211" i="2"/>
  <c r="AL1211" i="2"/>
  <c r="AG1212" i="2"/>
  <c r="AI1212" i="2"/>
  <c r="AJ1212" i="2"/>
  <c r="AL1212" i="2"/>
  <c r="AG1213" i="2"/>
  <c r="AI1213" i="2"/>
  <c r="AJ1213" i="2"/>
  <c r="AL1213" i="2"/>
  <c r="AG1214" i="2"/>
  <c r="AI1214" i="2"/>
  <c r="AJ1214" i="2"/>
  <c r="AL1214" i="2"/>
  <c r="AG1215" i="2"/>
  <c r="AI1215" i="2"/>
  <c r="AJ1215" i="2"/>
  <c r="AL1215" i="2"/>
  <c r="AG1216" i="2"/>
  <c r="AI1216" i="2"/>
  <c r="AJ1216" i="2"/>
  <c r="AL1216" i="2"/>
  <c r="AG1217" i="2"/>
  <c r="AI1217" i="2"/>
  <c r="AJ1217" i="2"/>
  <c r="AL1217" i="2"/>
  <c r="AG1218" i="2"/>
  <c r="AI1218" i="2"/>
  <c r="AJ1218" i="2"/>
  <c r="AL1218" i="2"/>
  <c r="AG1219" i="2"/>
  <c r="AI1219" i="2"/>
  <c r="AJ1219" i="2"/>
  <c r="AL1219" i="2"/>
  <c r="AG1220" i="2"/>
  <c r="AI1220" i="2"/>
  <c r="AJ1220" i="2"/>
  <c r="AL1220" i="2"/>
  <c r="AG1221" i="2"/>
  <c r="AI1221" i="2"/>
  <c r="AJ1221" i="2"/>
  <c r="AL1221" i="2"/>
  <c r="AG1222" i="2"/>
  <c r="AI1222" i="2"/>
  <c r="AJ1222" i="2"/>
  <c r="AL1222" i="2"/>
  <c r="AG1223" i="2"/>
  <c r="AI1223" i="2"/>
  <c r="AJ1223" i="2"/>
  <c r="AL1223" i="2"/>
  <c r="AG1224" i="2"/>
  <c r="AI1224" i="2"/>
  <c r="AJ1224" i="2"/>
  <c r="AL1224" i="2"/>
  <c r="AG1225" i="2"/>
  <c r="AI1225" i="2"/>
  <c r="AJ1225" i="2"/>
  <c r="AL1225" i="2"/>
  <c r="AG1226" i="2"/>
  <c r="AI1226" i="2"/>
  <c r="AJ1226" i="2"/>
  <c r="AL1226" i="2"/>
  <c r="AG1227" i="2"/>
  <c r="AI1227" i="2"/>
  <c r="AJ1227" i="2"/>
  <c r="AL1227" i="2"/>
  <c r="AG1228" i="2"/>
  <c r="AI1228" i="2"/>
  <c r="AJ1228" i="2"/>
  <c r="AL1228" i="2"/>
  <c r="AG1229" i="2"/>
  <c r="AI1229" i="2"/>
  <c r="AJ1229" i="2"/>
  <c r="AL1229" i="2"/>
  <c r="AG1230" i="2"/>
  <c r="AI1230" i="2"/>
  <c r="AJ1230" i="2"/>
  <c r="AL1230" i="2"/>
  <c r="AG1231" i="2"/>
  <c r="AI1231" i="2"/>
  <c r="AJ1231" i="2"/>
  <c r="AL1231" i="2"/>
  <c r="AG1232" i="2"/>
  <c r="AI1232" i="2"/>
  <c r="AJ1232" i="2"/>
  <c r="AL1232" i="2"/>
  <c r="AG1233" i="2"/>
  <c r="AI1233" i="2"/>
  <c r="AJ1233" i="2"/>
  <c r="AL1233" i="2"/>
  <c r="AG1234" i="2"/>
  <c r="AI1234" i="2"/>
  <c r="AJ1234" i="2"/>
  <c r="AL1234" i="2"/>
  <c r="AG1235" i="2"/>
  <c r="AI1235" i="2"/>
  <c r="AJ1235" i="2"/>
  <c r="AL1235" i="2"/>
  <c r="AG1236" i="2"/>
  <c r="AI1236" i="2"/>
  <c r="AJ1236" i="2"/>
  <c r="AL1236" i="2"/>
  <c r="AG1237" i="2"/>
  <c r="AI1237" i="2"/>
  <c r="AJ1237" i="2"/>
  <c r="AL1237" i="2"/>
  <c r="AG1238" i="2"/>
  <c r="AI1238" i="2"/>
  <c r="AJ1238" i="2"/>
  <c r="AL1238" i="2"/>
  <c r="AG1239" i="2"/>
  <c r="AI1239" i="2"/>
  <c r="AJ1239" i="2"/>
  <c r="AL1239" i="2"/>
  <c r="AG1240" i="2"/>
  <c r="AI1240" i="2"/>
  <c r="AJ1240" i="2"/>
  <c r="AL1240" i="2"/>
  <c r="AG1241" i="2"/>
  <c r="AI1241" i="2"/>
  <c r="AJ1241" i="2"/>
  <c r="AL1241" i="2"/>
  <c r="AG1242" i="2"/>
  <c r="AI1242" i="2"/>
  <c r="AJ1242" i="2"/>
  <c r="AL1242" i="2"/>
  <c r="AG1243" i="2"/>
  <c r="AI1243" i="2"/>
  <c r="AJ1243" i="2"/>
  <c r="AL1243" i="2"/>
  <c r="AG1244" i="2"/>
  <c r="AI1244" i="2"/>
  <c r="AJ1244" i="2"/>
  <c r="AL1244" i="2"/>
  <c r="AG1245" i="2"/>
  <c r="AI1245" i="2"/>
  <c r="AJ1245" i="2"/>
  <c r="AL1245" i="2"/>
  <c r="AG1246" i="2"/>
  <c r="AI1246" i="2"/>
  <c r="AJ1246" i="2"/>
  <c r="AL1246" i="2"/>
  <c r="AG1247" i="2"/>
  <c r="AI1247" i="2"/>
  <c r="AJ1247" i="2"/>
  <c r="AL1247" i="2"/>
  <c r="AG1248" i="2"/>
  <c r="AI1248" i="2"/>
  <c r="AJ1248" i="2"/>
  <c r="AL1248" i="2"/>
  <c r="AG1249" i="2"/>
  <c r="AI1249" i="2"/>
  <c r="AJ1249" i="2"/>
  <c r="AL1249" i="2"/>
  <c r="AG1250" i="2"/>
  <c r="AI1250" i="2"/>
  <c r="AJ1250" i="2"/>
  <c r="AL1250" i="2"/>
  <c r="AG1251" i="2"/>
  <c r="AI1251" i="2"/>
  <c r="AJ1251" i="2"/>
  <c r="AL1251" i="2"/>
  <c r="AG1252" i="2"/>
  <c r="AI1252" i="2"/>
  <c r="AJ1252" i="2"/>
  <c r="AL1252" i="2"/>
  <c r="AG1253" i="2"/>
  <c r="AI1253" i="2"/>
  <c r="AJ1253" i="2"/>
  <c r="AL1253" i="2"/>
  <c r="AG1254" i="2"/>
  <c r="AI1254" i="2"/>
  <c r="AJ1254" i="2"/>
  <c r="AL1254" i="2"/>
  <c r="AG1255" i="2"/>
  <c r="AI1255" i="2"/>
  <c r="AJ1255" i="2"/>
  <c r="AL1255" i="2"/>
  <c r="AG1256" i="2"/>
  <c r="AI1256" i="2"/>
  <c r="AJ1256" i="2"/>
  <c r="AL1256" i="2"/>
  <c r="AG1257" i="2"/>
  <c r="AI1257" i="2"/>
  <c r="AJ1257" i="2"/>
  <c r="AL1257" i="2"/>
  <c r="AG1258" i="2"/>
  <c r="AI1258" i="2"/>
  <c r="AJ1258" i="2"/>
  <c r="AL1258" i="2"/>
  <c r="AG1259" i="2"/>
  <c r="AI1259" i="2"/>
  <c r="AJ1259" i="2"/>
  <c r="AL1259" i="2"/>
  <c r="AG1260" i="2"/>
  <c r="AI1260" i="2"/>
  <c r="AJ1260" i="2"/>
  <c r="AL1260" i="2"/>
  <c r="AG1261" i="2"/>
  <c r="AI1261" i="2"/>
  <c r="AJ1261" i="2"/>
  <c r="AL1261" i="2"/>
  <c r="AG1262" i="2"/>
  <c r="AI1262" i="2"/>
  <c r="AJ1262" i="2"/>
  <c r="AL1262" i="2"/>
  <c r="AG1263" i="2"/>
  <c r="AI1263" i="2"/>
  <c r="AJ1263" i="2"/>
  <c r="AL1263" i="2"/>
  <c r="AG1264" i="2"/>
  <c r="AI1264" i="2"/>
  <c r="AJ1264" i="2"/>
  <c r="AL1264" i="2"/>
  <c r="AG1265" i="2"/>
  <c r="AI1265" i="2"/>
  <c r="AJ1265" i="2"/>
  <c r="AL1265" i="2"/>
  <c r="AG1266" i="2"/>
  <c r="AI1266" i="2"/>
  <c r="AJ1266" i="2"/>
  <c r="AL1266" i="2"/>
  <c r="AG1267" i="2"/>
  <c r="AI1267" i="2"/>
  <c r="AJ1267" i="2"/>
  <c r="AL1267" i="2"/>
  <c r="AG1268" i="2"/>
  <c r="AI1268" i="2"/>
  <c r="AJ1268" i="2"/>
  <c r="AL1268" i="2"/>
  <c r="AG1269" i="2"/>
  <c r="AI1269" i="2"/>
  <c r="AJ1269" i="2"/>
  <c r="AL1269" i="2"/>
  <c r="AG1270" i="2"/>
  <c r="AI1270" i="2"/>
  <c r="AJ1270" i="2"/>
  <c r="AL1270" i="2"/>
  <c r="AG1271" i="2"/>
  <c r="AI1271" i="2"/>
  <c r="AJ1271" i="2"/>
  <c r="AL1271" i="2"/>
  <c r="AG1272" i="2"/>
  <c r="AI1272" i="2"/>
  <c r="AJ1272" i="2"/>
  <c r="AL1272" i="2"/>
  <c r="AG1273" i="2"/>
  <c r="AI1273" i="2"/>
  <c r="AJ1273" i="2"/>
  <c r="AL1273" i="2"/>
  <c r="AG1274" i="2"/>
  <c r="AI1274" i="2"/>
  <c r="AJ1274" i="2"/>
  <c r="AL1274" i="2"/>
  <c r="AG1275" i="2"/>
  <c r="AI1275" i="2"/>
  <c r="AJ1275" i="2"/>
  <c r="AL1275" i="2"/>
  <c r="AG1276" i="2"/>
  <c r="AI1276" i="2"/>
  <c r="AJ1276" i="2"/>
  <c r="AL1276" i="2"/>
  <c r="AG1277" i="2"/>
  <c r="AI1277" i="2"/>
  <c r="AJ1277" i="2"/>
  <c r="AL1277" i="2"/>
  <c r="AG1278" i="2"/>
  <c r="AI1278" i="2"/>
  <c r="AJ1278" i="2"/>
  <c r="AL1278" i="2"/>
  <c r="AG1279" i="2"/>
  <c r="AI1279" i="2"/>
  <c r="AJ1279" i="2"/>
  <c r="AL1279" i="2"/>
  <c r="AG1280" i="2"/>
  <c r="AI1280" i="2"/>
  <c r="AJ1280" i="2"/>
  <c r="AL1280" i="2"/>
  <c r="AG1281" i="2"/>
  <c r="AI1281" i="2"/>
  <c r="AJ1281" i="2"/>
  <c r="AL1281" i="2"/>
  <c r="AG1282" i="2"/>
  <c r="AI1282" i="2"/>
  <c r="AJ1282" i="2"/>
  <c r="AL1282" i="2"/>
  <c r="AG1283" i="2"/>
  <c r="AI1283" i="2"/>
  <c r="AJ1283" i="2"/>
  <c r="AL1283" i="2"/>
  <c r="AG1284" i="2"/>
  <c r="AI1284" i="2"/>
  <c r="AJ1284" i="2"/>
  <c r="AL1284" i="2"/>
  <c r="AG1285" i="2"/>
  <c r="AI1285" i="2"/>
  <c r="AJ1285" i="2"/>
  <c r="AL1285" i="2"/>
  <c r="AG1286" i="2"/>
  <c r="AI1286" i="2"/>
  <c r="AJ1286" i="2"/>
  <c r="AL1286" i="2"/>
  <c r="AG1287" i="2"/>
  <c r="AI1287" i="2"/>
  <c r="AJ1287" i="2"/>
  <c r="AL1287" i="2"/>
  <c r="AG1288" i="2"/>
  <c r="AI1288" i="2"/>
  <c r="AJ1288" i="2"/>
  <c r="AL1288" i="2"/>
  <c r="AG1289" i="2"/>
  <c r="AI1289" i="2"/>
  <c r="AJ1289" i="2"/>
  <c r="AL1289" i="2"/>
  <c r="AG1290" i="2"/>
  <c r="AI1290" i="2"/>
  <c r="AJ1290" i="2"/>
  <c r="AL1290" i="2"/>
  <c r="AG1291" i="2"/>
  <c r="AI1291" i="2"/>
  <c r="AJ1291" i="2"/>
  <c r="AL1291" i="2"/>
  <c r="AG1292" i="2"/>
  <c r="AI1292" i="2"/>
  <c r="AJ1292" i="2"/>
  <c r="AL1292" i="2"/>
  <c r="AG1293" i="2"/>
  <c r="AI1293" i="2"/>
  <c r="AJ1293" i="2"/>
  <c r="AL1293" i="2"/>
  <c r="AG1294" i="2"/>
  <c r="AI1294" i="2"/>
  <c r="AJ1294" i="2"/>
  <c r="AL1294" i="2"/>
  <c r="AG1295" i="2"/>
  <c r="AI1295" i="2"/>
  <c r="AJ1295" i="2"/>
  <c r="AL1295" i="2"/>
  <c r="AG1296" i="2"/>
  <c r="AI1296" i="2"/>
  <c r="AJ1296" i="2"/>
  <c r="AL1296" i="2"/>
  <c r="AG1297" i="2"/>
  <c r="AI1297" i="2"/>
  <c r="AJ1297" i="2"/>
  <c r="AL1297" i="2"/>
  <c r="AG1298" i="2"/>
  <c r="AI1298" i="2"/>
  <c r="AJ1298" i="2"/>
  <c r="AL1298" i="2"/>
  <c r="AG1299" i="2"/>
  <c r="AI1299" i="2"/>
  <c r="AJ1299" i="2"/>
  <c r="AL1299" i="2"/>
  <c r="AG1300" i="2"/>
  <c r="AI1300" i="2"/>
  <c r="AJ1300" i="2"/>
  <c r="AL1300" i="2"/>
  <c r="AG1301" i="2"/>
  <c r="AI1301" i="2"/>
  <c r="AJ1301" i="2"/>
  <c r="AL1301" i="2"/>
  <c r="AG1302" i="2"/>
  <c r="AI1302" i="2"/>
  <c r="AJ1302" i="2"/>
  <c r="AL1302" i="2"/>
  <c r="AG1303" i="2"/>
  <c r="AI1303" i="2"/>
  <c r="AJ1303" i="2"/>
  <c r="AL1303" i="2"/>
  <c r="AG1304" i="2"/>
  <c r="AI1304" i="2"/>
  <c r="AJ1304" i="2"/>
  <c r="AL1304" i="2"/>
  <c r="AG1305" i="2"/>
  <c r="AI1305" i="2"/>
  <c r="AJ1305" i="2"/>
  <c r="AL1305" i="2"/>
  <c r="AG1306" i="2"/>
  <c r="AI1306" i="2"/>
  <c r="AJ1306" i="2"/>
  <c r="AL1306" i="2"/>
  <c r="AG1307" i="2"/>
  <c r="AI1307" i="2"/>
  <c r="AJ1307" i="2"/>
  <c r="AL1307" i="2"/>
  <c r="AG1308" i="2"/>
  <c r="AI1308" i="2"/>
  <c r="AJ1308" i="2"/>
  <c r="AL1308" i="2"/>
  <c r="AG1309" i="2"/>
  <c r="AI1309" i="2"/>
  <c r="AJ1309" i="2"/>
  <c r="AL1309" i="2"/>
  <c r="AG1310" i="2"/>
  <c r="AI1310" i="2"/>
  <c r="AJ1310" i="2"/>
  <c r="AL1310" i="2"/>
  <c r="AG1311" i="2"/>
  <c r="AI1311" i="2"/>
  <c r="AJ1311" i="2"/>
  <c r="AL1311" i="2"/>
  <c r="AG1312" i="2"/>
  <c r="AI1312" i="2"/>
  <c r="AJ1312" i="2"/>
  <c r="AL1312" i="2"/>
  <c r="AG1313" i="2"/>
  <c r="AI1313" i="2"/>
  <c r="AJ1313" i="2"/>
  <c r="AL1313" i="2"/>
  <c r="AG1314" i="2"/>
  <c r="AI1314" i="2"/>
  <c r="AJ1314" i="2"/>
  <c r="AL1314" i="2"/>
  <c r="AG1315" i="2"/>
  <c r="AI1315" i="2"/>
  <c r="AJ1315" i="2"/>
  <c r="AL1315" i="2"/>
  <c r="AG1316" i="2"/>
  <c r="AI1316" i="2"/>
  <c r="AJ1316" i="2"/>
  <c r="AL1316" i="2"/>
  <c r="AG1317" i="2"/>
  <c r="AI1317" i="2"/>
  <c r="AJ1317" i="2"/>
  <c r="AL1317" i="2"/>
  <c r="AG1318" i="2"/>
  <c r="AI1318" i="2"/>
  <c r="AJ1318" i="2"/>
  <c r="AL1318" i="2"/>
  <c r="AG1319" i="2"/>
  <c r="AI1319" i="2"/>
  <c r="AJ1319" i="2"/>
  <c r="AL1319" i="2"/>
  <c r="AG1320" i="2"/>
  <c r="AI1320" i="2"/>
  <c r="AJ1320" i="2"/>
  <c r="AL1320" i="2"/>
  <c r="AG1321" i="2"/>
  <c r="AI1321" i="2"/>
  <c r="AJ1321" i="2"/>
  <c r="AL1321" i="2"/>
  <c r="AG1322" i="2"/>
  <c r="AI1322" i="2"/>
  <c r="AJ1322" i="2"/>
  <c r="AL1322" i="2"/>
  <c r="AG1323" i="2"/>
  <c r="AI1323" i="2"/>
  <c r="AJ1323" i="2"/>
  <c r="AL1323" i="2"/>
  <c r="AG1324" i="2"/>
  <c r="AI1324" i="2"/>
  <c r="AJ1324" i="2"/>
  <c r="AL1324" i="2"/>
  <c r="AG1325" i="2"/>
  <c r="AI1325" i="2"/>
  <c r="AJ1325" i="2"/>
  <c r="AL1325" i="2"/>
  <c r="AG1326" i="2"/>
  <c r="AI1326" i="2"/>
  <c r="AJ1326" i="2"/>
  <c r="AL1326" i="2"/>
  <c r="AG1327" i="2"/>
  <c r="AI1327" i="2"/>
  <c r="AJ1327" i="2"/>
  <c r="AL1327" i="2"/>
  <c r="AG1328" i="2"/>
  <c r="AI1328" i="2"/>
  <c r="AJ1328" i="2"/>
  <c r="AL1328" i="2"/>
  <c r="AG1329" i="2"/>
  <c r="AI1329" i="2"/>
  <c r="AJ1329" i="2"/>
  <c r="AL1329" i="2"/>
  <c r="AG1330" i="2"/>
  <c r="AI1330" i="2"/>
  <c r="AJ1330" i="2"/>
  <c r="AL1330" i="2"/>
  <c r="AG1331" i="2"/>
  <c r="AI1331" i="2"/>
  <c r="AJ1331" i="2"/>
  <c r="AL1331" i="2"/>
  <c r="AG1332" i="2"/>
  <c r="AI1332" i="2"/>
  <c r="AJ1332" i="2"/>
  <c r="AL1332" i="2"/>
  <c r="AG1333" i="2"/>
  <c r="AI1333" i="2"/>
  <c r="AJ1333" i="2"/>
  <c r="AL1333" i="2"/>
  <c r="AG1334" i="2"/>
  <c r="AI1334" i="2"/>
  <c r="AJ1334" i="2"/>
  <c r="AL1334" i="2"/>
  <c r="AG1335" i="2"/>
  <c r="AI1335" i="2"/>
  <c r="AJ1335" i="2"/>
  <c r="AL1335" i="2"/>
  <c r="AG1336" i="2"/>
  <c r="AI1336" i="2"/>
  <c r="AJ1336" i="2"/>
  <c r="AL1336" i="2"/>
  <c r="AG1337" i="2"/>
  <c r="AI1337" i="2"/>
  <c r="AJ1337" i="2"/>
  <c r="AL1337" i="2"/>
  <c r="AG1338" i="2"/>
  <c r="AI1338" i="2"/>
  <c r="AJ1338" i="2"/>
  <c r="AL1338" i="2"/>
  <c r="AG1339" i="2"/>
  <c r="AI1339" i="2"/>
  <c r="AJ1339" i="2"/>
  <c r="AL1339" i="2"/>
  <c r="AG1340" i="2"/>
  <c r="AI1340" i="2"/>
  <c r="AJ1340" i="2"/>
  <c r="AL1340" i="2"/>
  <c r="AG1341" i="2"/>
  <c r="AI1341" i="2"/>
  <c r="AJ1341" i="2"/>
  <c r="AL1341" i="2"/>
  <c r="AG1342" i="2"/>
  <c r="AI1342" i="2"/>
  <c r="AJ1342" i="2"/>
  <c r="AL1342" i="2"/>
  <c r="AG1343" i="2"/>
  <c r="AI1343" i="2"/>
  <c r="AJ1343" i="2"/>
  <c r="AL1343" i="2"/>
  <c r="AG1344" i="2"/>
  <c r="AI1344" i="2"/>
  <c r="AJ1344" i="2"/>
  <c r="AL1344" i="2"/>
  <c r="AG1345" i="2"/>
  <c r="AI1345" i="2"/>
  <c r="AJ1345" i="2"/>
  <c r="AL1345" i="2"/>
  <c r="AG1346" i="2"/>
  <c r="AI1346" i="2"/>
  <c r="AJ1346" i="2"/>
  <c r="AL1346" i="2"/>
  <c r="AG1347" i="2"/>
  <c r="AI1347" i="2"/>
  <c r="AJ1347" i="2"/>
  <c r="AL1347" i="2"/>
  <c r="AG1348" i="2"/>
  <c r="AI1348" i="2"/>
  <c r="AJ1348" i="2"/>
  <c r="AL1348" i="2"/>
  <c r="AG1349" i="2"/>
  <c r="AI1349" i="2"/>
  <c r="AJ1349" i="2"/>
  <c r="AL1349" i="2"/>
  <c r="AG1350" i="2"/>
  <c r="AI1350" i="2"/>
  <c r="AJ1350" i="2"/>
  <c r="AL1350" i="2"/>
  <c r="AG1351" i="2"/>
  <c r="AI1351" i="2"/>
  <c r="AJ1351" i="2"/>
  <c r="AL1351" i="2"/>
  <c r="AG1352" i="2"/>
  <c r="AI1352" i="2"/>
  <c r="AJ1352" i="2"/>
  <c r="AL1352" i="2"/>
  <c r="AG1353" i="2"/>
  <c r="AI1353" i="2"/>
  <c r="AJ1353" i="2"/>
  <c r="AL1353" i="2"/>
  <c r="AG1354" i="2"/>
  <c r="AI1354" i="2"/>
  <c r="AJ1354" i="2"/>
  <c r="AL1354" i="2"/>
  <c r="AG1355" i="2"/>
  <c r="AI1355" i="2"/>
  <c r="AJ1355" i="2"/>
  <c r="AL1355" i="2"/>
  <c r="AG1356" i="2"/>
  <c r="AI1356" i="2"/>
  <c r="AJ1356" i="2"/>
  <c r="AL1356" i="2"/>
  <c r="AG1357" i="2"/>
  <c r="AI1357" i="2"/>
  <c r="AJ1357" i="2"/>
  <c r="AL1357" i="2"/>
  <c r="AG1358" i="2"/>
  <c r="AI1358" i="2"/>
  <c r="AJ1358" i="2"/>
  <c r="AL1358" i="2"/>
  <c r="AG1359" i="2"/>
  <c r="AI1359" i="2"/>
  <c r="AJ1359" i="2"/>
  <c r="AL1359" i="2"/>
  <c r="AG1360" i="2"/>
  <c r="AI1360" i="2"/>
  <c r="AJ1360" i="2"/>
  <c r="AL1360" i="2"/>
  <c r="AG1361" i="2"/>
  <c r="AI1361" i="2"/>
  <c r="AJ1361" i="2"/>
  <c r="AL1361" i="2"/>
  <c r="AG1362" i="2"/>
  <c r="AI1362" i="2"/>
  <c r="AJ1362" i="2"/>
  <c r="AL1362" i="2"/>
  <c r="AG1363" i="2"/>
  <c r="AI1363" i="2"/>
  <c r="AJ1363" i="2"/>
  <c r="AL1363" i="2"/>
  <c r="AG1364" i="2"/>
  <c r="AI1364" i="2"/>
  <c r="AJ1364" i="2"/>
  <c r="AL1364" i="2"/>
  <c r="AG1365" i="2"/>
  <c r="AI1365" i="2"/>
  <c r="AJ1365" i="2"/>
  <c r="AL1365" i="2"/>
  <c r="AG1366" i="2"/>
  <c r="AI1366" i="2"/>
  <c r="AJ1366" i="2"/>
  <c r="AL1366" i="2"/>
  <c r="AG1367" i="2"/>
  <c r="AI1367" i="2"/>
  <c r="AJ1367" i="2"/>
  <c r="AL1367" i="2"/>
  <c r="AG1368" i="2"/>
  <c r="AI1368" i="2"/>
  <c r="AJ1368" i="2"/>
  <c r="AL1368" i="2"/>
  <c r="AG1369" i="2"/>
  <c r="AI1369" i="2"/>
  <c r="AJ1369" i="2"/>
  <c r="AL1369" i="2"/>
  <c r="AG1370" i="2"/>
  <c r="AI1370" i="2"/>
  <c r="AJ1370" i="2"/>
  <c r="AL1370" i="2"/>
  <c r="AG1371" i="2"/>
  <c r="AI1371" i="2"/>
  <c r="AJ1371" i="2"/>
  <c r="AL1371" i="2"/>
  <c r="AG1372" i="2"/>
  <c r="AI1372" i="2"/>
  <c r="AJ1372" i="2"/>
  <c r="AL1372" i="2"/>
  <c r="AG1373" i="2"/>
  <c r="AI1373" i="2"/>
  <c r="AJ1373" i="2"/>
  <c r="AL1373" i="2"/>
  <c r="AG1374" i="2"/>
  <c r="AI1374" i="2"/>
  <c r="AJ1374" i="2"/>
  <c r="AL1374" i="2"/>
  <c r="AG1375" i="2"/>
  <c r="AI1375" i="2"/>
  <c r="AJ1375" i="2"/>
  <c r="AL1375" i="2"/>
  <c r="AG1376" i="2"/>
  <c r="AI1376" i="2"/>
  <c r="AJ1376" i="2"/>
  <c r="AL1376" i="2"/>
  <c r="AG1377" i="2"/>
  <c r="AI1377" i="2"/>
  <c r="AJ1377" i="2"/>
  <c r="AL1377" i="2"/>
  <c r="AG1378" i="2"/>
  <c r="AI1378" i="2"/>
  <c r="AJ1378" i="2"/>
  <c r="AL1378" i="2"/>
  <c r="AG1379" i="2"/>
  <c r="AI1379" i="2"/>
  <c r="AJ1379" i="2"/>
  <c r="AL1379" i="2"/>
  <c r="AG1380" i="2"/>
  <c r="AI1380" i="2"/>
  <c r="AJ1380" i="2"/>
  <c r="AL1380" i="2"/>
  <c r="AG1381" i="2"/>
  <c r="AI1381" i="2"/>
  <c r="AJ1381" i="2"/>
  <c r="AL1381" i="2"/>
  <c r="AG1382" i="2"/>
  <c r="AI1382" i="2"/>
  <c r="AJ1382" i="2"/>
  <c r="AL1382" i="2"/>
  <c r="AG1383" i="2"/>
  <c r="AI1383" i="2"/>
  <c r="AJ1383" i="2"/>
  <c r="AL1383" i="2"/>
  <c r="AG1384" i="2"/>
  <c r="AI1384" i="2"/>
  <c r="AJ1384" i="2"/>
  <c r="AL1384" i="2"/>
  <c r="AG1385" i="2"/>
  <c r="AI1385" i="2"/>
  <c r="AJ1385" i="2"/>
  <c r="AL1385" i="2"/>
  <c r="AG1386" i="2"/>
  <c r="AI1386" i="2"/>
  <c r="AJ1386" i="2"/>
  <c r="AL1386" i="2"/>
  <c r="AG1387" i="2"/>
  <c r="AI1387" i="2"/>
  <c r="AJ1387" i="2"/>
  <c r="AL1387" i="2"/>
  <c r="AG1388" i="2"/>
  <c r="AI1388" i="2"/>
  <c r="AJ1388" i="2"/>
  <c r="AL1388" i="2"/>
  <c r="AG1389" i="2"/>
  <c r="AI1389" i="2"/>
  <c r="AJ1389" i="2"/>
  <c r="AL1389" i="2"/>
  <c r="AG1390" i="2"/>
  <c r="AI1390" i="2"/>
  <c r="AJ1390" i="2"/>
  <c r="AL1390" i="2"/>
  <c r="AG1391" i="2"/>
  <c r="AI1391" i="2"/>
  <c r="AJ1391" i="2"/>
  <c r="AL1391" i="2"/>
  <c r="AG1392" i="2"/>
  <c r="AI1392" i="2"/>
  <c r="AJ1392" i="2"/>
  <c r="AL1392" i="2"/>
  <c r="AG1393" i="2"/>
  <c r="AI1393" i="2"/>
  <c r="AJ1393" i="2"/>
  <c r="AL1393" i="2"/>
  <c r="AG1394" i="2"/>
  <c r="AI1394" i="2"/>
  <c r="AJ1394" i="2"/>
  <c r="AL1394" i="2"/>
  <c r="AG1395" i="2"/>
  <c r="AI1395" i="2"/>
  <c r="AJ1395" i="2"/>
  <c r="AL1395" i="2"/>
  <c r="AG1396" i="2"/>
  <c r="AI1396" i="2"/>
  <c r="AJ1396" i="2"/>
  <c r="AL1396" i="2"/>
  <c r="AG1397" i="2"/>
  <c r="AI1397" i="2"/>
  <c r="AJ1397" i="2"/>
  <c r="AL1397" i="2"/>
  <c r="AG1398" i="2"/>
  <c r="AI1398" i="2"/>
  <c r="AJ1398" i="2"/>
  <c r="AL1398" i="2"/>
  <c r="AG1399" i="2"/>
  <c r="AI1399" i="2"/>
  <c r="AJ1399" i="2"/>
  <c r="AL1399" i="2"/>
  <c r="AG1400" i="2"/>
  <c r="AI1400" i="2"/>
  <c r="AJ1400" i="2"/>
  <c r="AL1400" i="2"/>
  <c r="AG1401" i="2"/>
  <c r="AI1401" i="2"/>
  <c r="AJ1401" i="2"/>
  <c r="AL1401" i="2"/>
  <c r="AG1402" i="2"/>
  <c r="AI1402" i="2"/>
  <c r="AJ1402" i="2"/>
  <c r="AL1402" i="2"/>
  <c r="AG1403" i="2"/>
  <c r="AI1403" i="2"/>
  <c r="AJ1403" i="2"/>
  <c r="AL1403" i="2"/>
  <c r="AG1404" i="2"/>
  <c r="AI1404" i="2"/>
  <c r="AJ1404" i="2"/>
  <c r="AL1404" i="2"/>
  <c r="AG1405" i="2"/>
  <c r="AI1405" i="2"/>
  <c r="AJ1405" i="2"/>
  <c r="AL1405" i="2"/>
  <c r="AG1406" i="2"/>
  <c r="AI1406" i="2"/>
  <c r="AJ1406" i="2"/>
  <c r="AL1406" i="2"/>
  <c r="AG1407" i="2"/>
  <c r="AI1407" i="2"/>
  <c r="AJ1407" i="2"/>
  <c r="AL1407" i="2"/>
  <c r="AG1408" i="2"/>
  <c r="AI1408" i="2"/>
  <c r="AJ1408" i="2"/>
  <c r="AL1408" i="2"/>
  <c r="AG1409" i="2"/>
  <c r="AI1409" i="2"/>
  <c r="AJ1409" i="2"/>
  <c r="AL1409" i="2"/>
  <c r="AG1410" i="2"/>
  <c r="AI1410" i="2"/>
  <c r="AJ1410" i="2"/>
  <c r="AL1410" i="2"/>
  <c r="AG1411" i="2"/>
  <c r="AI1411" i="2"/>
  <c r="AJ1411" i="2"/>
  <c r="AL1411" i="2"/>
  <c r="AG1412" i="2"/>
  <c r="AI1412" i="2"/>
  <c r="AJ1412" i="2"/>
  <c r="AL1412" i="2"/>
  <c r="AG1413" i="2"/>
  <c r="AI1413" i="2"/>
  <c r="AJ1413" i="2"/>
  <c r="AL1413" i="2"/>
  <c r="AG1414" i="2"/>
  <c r="AI1414" i="2"/>
  <c r="AJ1414" i="2"/>
  <c r="AL1414" i="2"/>
  <c r="AG1415" i="2"/>
  <c r="AI1415" i="2"/>
  <c r="AJ1415" i="2"/>
  <c r="AL1415" i="2"/>
  <c r="AG1416" i="2"/>
  <c r="AI1416" i="2"/>
  <c r="AJ1416" i="2"/>
  <c r="AL1416" i="2"/>
  <c r="AG1417" i="2"/>
  <c r="AI1417" i="2"/>
  <c r="AJ1417" i="2"/>
  <c r="AL1417" i="2"/>
  <c r="AG1418" i="2"/>
  <c r="AI1418" i="2"/>
  <c r="AJ1418" i="2"/>
  <c r="AL1418" i="2"/>
  <c r="AG1419" i="2"/>
  <c r="AI1419" i="2"/>
  <c r="AJ1419" i="2"/>
  <c r="AL1419" i="2"/>
  <c r="AG1420" i="2"/>
  <c r="AI1420" i="2"/>
  <c r="AJ1420" i="2"/>
  <c r="AL1420" i="2"/>
  <c r="AG1421" i="2"/>
  <c r="AI1421" i="2"/>
  <c r="AJ1421" i="2"/>
  <c r="AL1421" i="2"/>
  <c r="AG1422" i="2"/>
  <c r="AI1422" i="2"/>
  <c r="AJ1422" i="2"/>
  <c r="AL1422" i="2"/>
  <c r="AG1423" i="2"/>
  <c r="AI1423" i="2"/>
  <c r="AJ1423" i="2"/>
  <c r="AL1423" i="2"/>
  <c r="AG1424" i="2"/>
  <c r="AI1424" i="2"/>
  <c r="AJ1424" i="2"/>
  <c r="AL1424" i="2"/>
  <c r="AG1425" i="2"/>
  <c r="AI1425" i="2"/>
  <c r="AJ1425" i="2"/>
  <c r="AL1425" i="2"/>
  <c r="AG1426" i="2"/>
  <c r="AI1426" i="2"/>
  <c r="AJ1426" i="2"/>
  <c r="AL1426" i="2"/>
  <c r="AG1427" i="2"/>
  <c r="AI1427" i="2"/>
  <c r="AJ1427" i="2"/>
  <c r="AL1427" i="2"/>
  <c r="AG1428" i="2"/>
  <c r="AI1428" i="2"/>
  <c r="AJ1428" i="2"/>
  <c r="AL1428" i="2"/>
  <c r="AG1429" i="2"/>
  <c r="AI1429" i="2"/>
  <c r="AJ1429" i="2"/>
  <c r="AL1429" i="2"/>
  <c r="AG1430" i="2"/>
  <c r="AI1430" i="2"/>
  <c r="AJ1430" i="2"/>
  <c r="AL1430" i="2"/>
  <c r="AG1431" i="2"/>
  <c r="AI1431" i="2"/>
  <c r="AJ1431" i="2"/>
  <c r="AL1431" i="2"/>
  <c r="AG1432" i="2"/>
  <c r="AI1432" i="2"/>
  <c r="AJ1432" i="2"/>
  <c r="AL1432" i="2"/>
  <c r="AG1433" i="2"/>
  <c r="AI1433" i="2"/>
  <c r="AJ1433" i="2"/>
  <c r="AL1433" i="2"/>
  <c r="AG1434" i="2"/>
  <c r="AI1434" i="2"/>
  <c r="AJ1434" i="2"/>
  <c r="AL1434" i="2"/>
  <c r="AG1435" i="2"/>
  <c r="AI1435" i="2"/>
  <c r="AJ1435" i="2"/>
  <c r="AL1435" i="2"/>
  <c r="AG1436" i="2"/>
  <c r="AI1436" i="2"/>
  <c r="AJ1436" i="2"/>
  <c r="AL1436" i="2"/>
  <c r="AG1437" i="2"/>
  <c r="AI1437" i="2"/>
  <c r="AJ1437" i="2"/>
  <c r="AL1437" i="2"/>
  <c r="AG1438" i="2"/>
  <c r="AI1438" i="2"/>
  <c r="AJ1438" i="2"/>
  <c r="AL1438" i="2"/>
  <c r="AG1439" i="2"/>
  <c r="AI1439" i="2"/>
  <c r="AJ1439" i="2"/>
  <c r="AL1439" i="2"/>
  <c r="AG1440" i="2"/>
  <c r="AI1440" i="2"/>
  <c r="AJ1440" i="2"/>
  <c r="AL1440" i="2"/>
  <c r="AG1441" i="2"/>
  <c r="AI1441" i="2"/>
  <c r="AJ1441" i="2"/>
  <c r="AL1441" i="2"/>
  <c r="AG1442" i="2"/>
  <c r="AI1442" i="2"/>
  <c r="AJ1442" i="2"/>
  <c r="AL1442" i="2"/>
  <c r="AG1443" i="2"/>
  <c r="AI1443" i="2"/>
  <c r="AJ1443" i="2"/>
  <c r="AL1443" i="2"/>
  <c r="AG1444" i="2"/>
  <c r="AI1444" i="2"/>
  <c r="AJ1444" i="2"/>
  <c r="AL1444" i="2"/>
  <c r="AG1445" i="2"/>
  <c r="AI1445" i="2"/>
  <c r="AJ1445" i="2"/>
  <c r="AL1445" i="2"/>
  <c r="AG1446" i="2"/>
  <c r="AI1446" i="2"/>
  <c r="AJ1446" i="2"/>
  <c r="AL1446" i="2"/>
  <c r="AG1447" i="2"/>
  <c r="AI1447" i="2"/>
  <c r="AJ1447" i="2"/>
  <c r="AL1447" i="2"/>
  <c r="AG1448" i="2"/>
  <c r="AI1448" i="2"/>
  <c r="AJ1448" i="2"/>
  <c r="AL1448" i="2"/>
  <c r="AG1449" i="2"/>
  <c r="AI1449" i="2"/>
  <c r="AJ1449" i="2"/>
  <c r="AL1449" i="2"/>
  <c r="AG1450" i="2"/>
  <c r="AI1450" i="2"/>
  <c r="AJ1450" i="2"/>
  <c r="AL1450" i="2"/>
  <c r="AG1451" i="2"/>
  <c r="AI1451" i="2"/>
  <c r="AJ1451" i="2"/>
  <c r="AL1451" i="2"/>
  <c r="AG1452" i="2"/>
  <c r="AI1452" i="2"/>
  <c r="AJ1452" i="2"/>
  <c r="AL1452" i="2"/>
  <c r="AG1453" i="2"/>
  <c r="AI1453" i="2"/>
  <c r="AJ1453" i="2"/>
  <c r="AL1453" i="2"/>
  <c r="AG1454" i="2"/>
  <c r="AI1454" i="2"/>
  <c r="AJ1454" i="2"/>
  <c r="AL1454" i="2"/>
  <c r="AG1455" i="2"/>
  <c r="AI1455" i="2"/>
  <c r="AJ1455" i="2"/>
  <c r="AL1455" i="2"/>
  <c r="AG1456" i="2"/>
  <c r="AI1456" i="2"/>
  <c r="AJ1456" i="2"/>
  <c r="AL1456" i="2"/>
  <c r="AG1457" i="2"/>
  <c r="AI1457" i="2"/>
  <c r="AJ1457" i="2"/>
  <c r="AL1457" i="2"/>
  <c r="AG1458" i="2"/>
  <c r="AI1458" i="2"/>
  <c r="AJ1458" i="2"/>
  <c r="AL1458" i="2"/>
  <c r="AG1459" i="2"/>
  <c r="AI1459" i="2"/>
  <c r="AJ1459" i="2"/>
  <c r="AL1459" i="2"/>
  <c r="AG1460" i="2"/>
  <c r="AI1460" i="2"/>
  <c r="AJ1460" i="2"/>
  <c r="AL1460" i="2"/>
  <c r="AG1461" i="2"/>
  <c r="AI1461" i="2"/>
  <c r="AJ1461" i="2"/>
  <c r="AL1461" i="2"/>
  <c r="AG1462" i="2"/>
  <c r="AI1462" i="2"/>
  <c r="AJ1462" i="2"/>
  <c r="AL1462" i="2"/>
  <c r="AG1463" i="2"/>
  <c r="AI1463" i="2"/>
  <c r="AJ1463" i="2"/>
  <c r="AL1463" i="2"/>
  <c r="AG1464" i="2"/>
  <c r="AI1464" i="2"/>
  <c r="AJ1464" i="2"/>
  <c r="AL1464" i="2"/>
  <c r="AG1465" i="2"/>
  <c r="AI1465" i="2"/>
  <c r="AJ1465" i="2"/>
  <c r="AL1465" i="2"/>
  <c r="AG1466" i="2"/>
  <c r="AI1466" i="2"/>
  <c r="AJ1466" i="2"/>
  <c r="AL1466" i="2"/>
  <c r="AG1467" i="2"/>
  <c r="AI1467" i="2"/>
  <c r="AJ1467" i="2"/>
  <c r="AL1467" i="2"/>
  <c r="AG1468" i="2"/>
  <c r="AI1468" i="2"/>
  <c r="AJ1468" i="2"/>
  <c r="AL1468" i="2"/>
  <c r="AG1469" i="2"/>
  <c r="AI1469" i="2"/>
  <c r="AJ1469" i="2"/>
  <c r="AL1469" i="2"/>
  <c r="AG1470" i="2"/>
  <c r="AI1470" i="2"/>
  <c r="AJ1470" i="2"/>
  <c r="AL1470" i="2"/>
  <c r="AG1471" i="2"/>
  <c r="AI1471" i="2"/>
  <c r="AJ1471" i="2"/>
  <c r="AL1471" i="2"/>
  <c r="AG1472" i="2"/>
  <c r="AI1472" i="2"/>
  <c r="AJ1472" i="2"/>
  <c r="AL1472" i="2"/>
  <c r="AG1473" i="2"/>
  <c r="AI1473" i="2"/>
  <c r="AJ1473" i="2"/>
  <c r="AL1473" i="2"/>
  <c r="AG1474" i="2"/>
  <c r="AI1474" i="2"/>
  <c r="AJ1474" i="2"/>
  <c r="AL1474" i="2"/>
  <c r="AG1475" i="2"/>
  <c r="AI1475" i="2"/>
  <c r="AJ1475" i="2"/>
  <c r="AL1475" i="2"/>
  <c r="AG1476" i="2"/>
  <c r="AI1476" i="2"/>
  <c r="AJ1476" i="2"/>
  <c r="AL1476" i="2"/>
  <c r="AG1477" i="2"/>
  <c r="AI1477" i="2"/>
  <c r="AJ1477" i="2"/>
  <c r="AL1477" i="2"/>
  <c r="AG1478" i="2"/>
  <c r="AI1478" i="2"/>
  <c r="AJ1478" i="2"/>
  <c r="AL1478" i="2"/>
  <c r="AG1479" i="2"/>
  <c r="AI1479" i="2"/>
  <c r="AJ1479" i="2"/>
  <c r="AL1479" i="2"/>
  <c r="AG1480" i="2"/>
  <c r="AI1480" i="2"/>
  <c r="AJ1480" i="2"/>
  <c r="AL1480" i="2"/>
  <c r="AG1481" i="2"/>
  <c r="AI1481" i="2"/>
  <c r="AJ1481" i="2"/>
  <c r="AL1481" i="2"/>
  <c r="AG1482" i="2"/>
  <c r="AI1482" i="2"/>
  <c r="AJ1482" i="2"/>
  <c r="AL1482" i="2"/>
  <c r="AG1483" i="2"/>
  <c r="AI1483" i="2"/>
  <c r="AJ1483" i="2"/>
  <c r="AL1483" i="2"/>
  <c r="AG1484" i="2"/>
  <c r="AI1484" i="2"/>
  <c r="AJ1484" i="2"/>
  <c r="AL1484" i="2"/>
  <c r="AG1485" i="2"/>
  <c r="AI1485" i="2"/>
  <c r="AJ1485" i="2"/>
  <c r="AL1485" i="2"/>
  <c r="AG1486" i="2"/>
  <c r="AI1486" i="2"/>
  <c r="AJ1486" i="2"/>
  <c r="AL1486" i="2"/>
  <c r="AG1487" i="2"/>
  <c r="AI1487" i="2"/>
  <c r="AJ1487" i="2"/>
  <c r="AL1487" i="2"/>
  <c r="AG1488" i="2"/>
  <c r="AI1488" i="2"/>
  <c r="AJ1488" i="2"/>
  <c r="AL1488" i="2"/>
  <c r="AG1489" i="2"/>
  <c r="AI1489" i="2"/>
  <c r="AJ1489" i="2"/>
  <c r="AL1489" i="2"/>
  <c r="AG1490" i="2"/>
  <c r="AI1490" i="2"/>
  <c r="AJ1490" i="2"/>
  <c r="AL1490" i="2"/>
  <c r="AG1491" i="2"/>
  <c r="AI1491" i="2"/>
  <c r="AJ1491" i="2"/>
  <c r="AL1491" i="2"/>
  <c r="AG1492" i="2"/>
  <c r="AI1492" i="2"/>
  <c r="AJ1492" i="2"/>
  <c r="AL1492" i="2"/>
  <c r="AG1493" i="2"/>
  <c r="AI1493" i="2"/>
  <c r="AJ1493" i="2"/>
  <c r="AL1493" i="2"/>
  <c r="AG1494" i="2"/>
  <c r="AI1494" i="2"/>
  <c r="AJ1494" i="2"/>
  <c r="AL1494" i="2"/>
  <c r="AG1495" i="2"/>
  <c r="AI1495" i="2"/>
  <c r="AJ1495" i="2"/>
  <c r="AL1495" i="2"/>
  <c r="AG1496" i="2"/>
  <c r="AI1496" i="2"/>
  <c r="AJ1496" i="2"/>
  <c r="AL1496" i="2"/>
  <c r="AG1497" i="2"/>
  <c r="AI1497" i="2"/>
  <c r="AJ1497" i="2"/>
  <c r="AL1497" i="2"/>
  <c r="AG1498" i="2"/>
  <c r="AI1498" i="2"/>
  <c r="AJ1498" i="2"/>
  <c r="AL1498" i="2"/>
  <c r="AG1499" i="2"/>
  <c r="AI1499" i="2"/>
  <c r="AJ1499" i="2"/>
  <c r="AL1499" i="2"/>
  <c r="AG1500" i="2"/>
  <c r="AI1500" i="2"/>
  <c r="AJ1500" i="2"/>
  <c r="AL1500" i="2"/>
  <c r="AG1501" i="2"/>
  <c r="AI1501" i="2"/>
  <c r="AJ1501" i="2"/>
  <c r="AL1501" i="2"/>
  <c r="AG1502" i="2"/>
  <c r="AI1502" i="2"/>
  <c r="AJ1502" i="2"/>
  <c r="AL1502" i="2"/>
  <c r="AG1503" i="2"/>
  <c r="AI1503" i="2"/>
  <c r="AJ1503" i="2"/>
  <c r="AL1503" i="2"/>
  <c r="AG1504" i="2"/>
  <c r="AI1504" i="2"/>
  <c r="AJ1504" i="2"/>
  <c r="AL1504" i="2"/>
  <c r="AG1505" i="2"/>
  <c r="AI1505" i="2"/>
  <c r="AJ1505" i="2"/>
  <c r="AL1505" i="2"/>
  <c r="AG1506" i="2"/>
  <c r="AI1506" i="2"/>
  <c r="AJ1506" i="2"/>
  <c r="AL1506" i="2"/>
  <c r="AG1507" i="2"/>
  <c r="AI1507" i="2"/>
  <c r="AJ1507" i="2"/>
  <c r="AL1507" i="2"/>
  <c r="AG1508" i="2"/>
  <c r="AI1508" i="2"/>
  <c r="AJ1508" i="2"/>
  <c r="AL1508" i="2"/>
  <c r="AG1509" i="2"/>
  <c r="AI1509" i="2"/>
  <c r="AJ1509" i="2"/>
  <c r="AL1509" i="2"/>
  <c r="AG1510" i="2"/>
  <c r="AI1510" i="2"/>
  <c r="AJ1510" i="2"/>
  <c r="AL1510" i="2"/>
  <c r="AG1511" i="2"/>
  <c r="AI1511" i="2"/>
  <c r="AJ1511" i="2"/>
  <c r="AL1511" i="2"/>
  <c r="AG1512" i="2"/>
  <c r="AI1512" i="2"/>
  <c r="AJ1512" i="2"/>
  <c r="AL1512" i="2"/>
  <c r="AG1513" i="2"/>
  <c r="AI1513" i="2"/>
  <c r="AJ1513" i="2"/>
  <c r="AL1513" i="2"/>
  <c r="AG1514" i="2"/>
  <c r="AI1514" i="2"/>
  <c r="AJ1514" i="2"/>
  <c r="AL1514" i="2"/>
  <c r="AG1515" i="2"/>
  <c r="AI1515" i="2"/>
  <c r="AJ1515" i="2"/>
  <c r="AL1515" i="2"/>
  <c r="AG1516" i="2"/>
  <c r="AI1516" i="2"/>
  <c r="AJ1516" i="2"/>
  <c r="AL1516" i="2"/>
  <c r="AG1517" i="2"/>
  <c r="AI1517" i="2"/>
  <c r="AJ1517" i="2"/>
  <c r="AL1517" i="2"/>
  <c r="AG1518" i="2"/>
  <c r="AI1518" i="2"/>
  <c r="AJ1518" i="2"/>
  <c r="AL1518" i="2"/>
  <c r="AG1519" i="2"/>
  <c r="AI1519" i="2"/>
  <c r="AJ1519" i="2"/>
  <c r="AL1519" i="2"/>
  <c r="AG1520" i="2"/>
  <c r="AI1520" i="2"/>
  <c r="AJ1520" i="2"/>
  <c r="AL1520" i="2"/>
  <c r="AG1521" i="2"/>
  <c r="AI1521" i="2"/>
  <c r="AJ1521" i="2"/>
  <c r="AL1521" i="2"/>
  <c r="AG1522" i="2"/>
  <c r="AI1522" i="2"/>
  <c r="AJ1522" i="2"/>
  <c r="AL1522" i="2"/>
  <c r="AG1523" i="2"/>
  <c r="AI1523" i="2"/>
  <c r="AJ1523" i="2"/>
  <c r="AL1523" i="2"/>
  <c r="AG1524" i="2"/>
  <c r="AI1524" i="2"/>
  <c r="AJ1524" i="2"/>
  <c r="AL1524" i="2"/>
  <c r="AG1525" i="2"/>
  <c r="AI1525" i="2"/>
  <c r="AJ1525" i="2"/>
  <c r="AL1525" i="2"/>
  <c r="AG1526" i="2"/>
  <c r="AI1526" i="2"/>
  <c r="AJ1526" i="2"/>
  <c r="AL1526" i="2"/>
  <c r="AG1527" i="2"/>
  <c r="AI1527" i="2"/>
  <c r="AJ1527" i="2"/>
  <c r="AL1527" i="2"/>
  <c r="AG1528" i="2"/>
  <c r="AI1528" i="2"/>
  <c r="AJ1528" i="2"/>
  <c r="AL1528" i="2"/>
  <c r="AG1529" i="2"/>
  <c r="AI1529" i="2"/>
  <c r="AJ1529" i="2"/>
  <c r="AL1529" i="2"/>
  <c r="AG1530" i="2"/>
  <c r="AI1530" i="2"/>
  <c r="AJ1530" i="2"/>
  <c r="AL1530" i="2"/>
  <c r="AG1531" i="2"/>
  <c r="AI1531" i="2"/>
  <c r="AJ1531" i="2"/>
  <c r="AL1531" i="2"/>
  <c r="AG1532" i="2"/>
  <c r="AI1532" i="2"/>
  <c r="AJ1532" i="2"/>
  <c r="AL1532" i="2"/>
  <c r="AG1533" i="2"/>
  <c r="AI1533" i="2"/>
  <c r="AJ1533" i="2"/>
  <c r="AL1533" i="2"/>
  <c r="AG1534" i="2"/>
  <c r="AI1534" i="2"/>
  <c r="AJ1534" i="2"/>
  <c r="AL1534" i="2"/>
  <c r="AG1535" i="2"/>
  <c r="AI1535" i="2"/>
  <c r="AJ1535" i="2"/>
  <c r="AL1535" i="2"/>
  <c r="AG1536" i="2"/>
  <c r="AI1536" i="2"/>
  <c r="AJ1536" i="2"/>
  <c r="AL1536" i="2"/>
  <c r="AG1537" i="2"/>
  <c r="AI1537" i="2"/>
  <c r="AJ1537" i="2"/>
  <c r="AL1537" i="2"/>
  <c r="AG1538" i="2"/>
  <c r="AI1538" i="2"/>
  <c r="AJ1538" i="2"/>
  <c r="AL1538" i="2"/>
  <c r="AG1539" i="2"/>
  <c r="AI1539" i="2"/>
  <c r="AJ1539" i="2"/>
  <c r="AL1539" i="2"/>
  <c r="AG1540" i="2"/>
  <c r="AI1540" i="2"/>
  <c r="AJ1540" i="2"/>
  <c r="AL1540" i="2"/>
  <c r="AG1541" i="2"/>
  <c r="AI1541" i="2"/>
  <c r="AJ1541" i="2"/>
  <c r="AL1541" i="2"/>
  <c r="AG1542" i="2"/>
  <c r="AI1542" i="2"/>
  <c r="AJ1542" i="2"/>
  <c r="AL1542" i="2"/>
  <c r="AG1543" i="2"/>
  <c r="AI1543" i="2"/>
  <c r="AJ1543" i="2"/>
  <c r="AL1543" i="2"/>
  <c r="AG1544" i="2"/>
  <c r="AI1544" i="2"/>
  <c r="AJ1544" i="2"/>
  <c r="AL1544" i="2"/>
  <c r="AG1545" i="2"/>
  <c r="AI1545" i="2"/>
  <c r="AJ1545" i="2"/>
  <c r="AL1545" i="2"/>
  <c r="AG1546" i="2"/>
  <c r="AI1546" i="2"/>
  <c r="AJ1546" i="2"/>
  <c r="AL1546" i="2"/>
  <c r="AG1547" i="2"/>
  <c r="AI1547" i="2"/>
  <c r="AJ1547" i="2"/>
  <c r="AL1547" i="2"/>
  <c r="AG1548" i="2"/>
  <c r="AI1548" i="2"/>
  <c r="AJ1548" i="2"/>
  <c r="AL1548" i="2"/>
  <c r="AG1549" i="2"/>
  <c r="AI1549" i="2"/>
  <c r="AJ1549" i="2"/>
  <c r="AL1549" i="2"/>
  <c r="AG1550" i="2"/>
  <c r="AI1550" i="2"/>
  <c r="AJ1550" i="2"/>
  <c r="AL1550" i="2"/>
  <c r="AG1551" i="2"/>
  <c r="AI1551" i="2"/>
  <c r="AJ1551" i="2"/>
  <c r="AL1551" i="2"/>
  <c r="AG1552" i="2"/>
  <c r="AI1552" i="2"/>
  <c r="AJ1552" i="2"/>
  <c r="AL1552" i="2"/>
  <c r="AG1553" i="2"/>
  <c r="AI1553" i="2"/>
  <c r="AJ1553" i="2"/>
  <c r="AL1553" i="2"/>
  <c r="AG1554" i="2"/>
  <c r="AI1554" i="2"/>
  <c r="AJ1554" i="2"/>
  <c r="AL1554" i="2"/>
  <c r="AG1555" i="2"/>
  <c r="AI1555" i="2"/>
  <c r="AJ1555" i="2"/>
  <c r="AL1555" i="2"/>
  <c r="AG1556" i="2"/>
  <c r="AI1556" i="2"/>
  <c r="AJ1556" i="2"/>
  <c r="AL1556" i="2"/>
  <c r="AG1557" i="2"/>
  <c r="AI1557" i="2"/>
  <c r="AJ1557" i="2"/>
  <c r="AL1557" i="2"/>
  <c r="AG1558" i="2"/>
  <c r="AI1558" i="2"/>
  <c r="AJ1558" i="2"/>
  <c r="AL1558" i="2"/>
  <c r="AG1559" i="2"/>
  <c r="AI1559" i="2"/>
  <c r="AJ1559" i="2"/>
  <c r="AL1559" i="2"/>
  <c r="AG1560" i="2"/>
  <c r="AI1560" i="2"/>
  <c r="AJ1560" i="2"/>
  <c r="AL1560" i="2"/>
  <c r="AG1561" i="2"/>
  <c r="AI1561" i="2"/>
  <c r="AJ1561" i="2"/>
  <c r="AL1561" i="2"/>
  <c r="AG1562" i="2"/>
  <c r="AI1562" i="2"/>
  <c r="AJ1562" i="2"/>
  <c r="AL1562" i="2"/>
  <c r="AG1563" i="2"/>
  <c r="AI1563" i="2"/>
  <c r="AJ1563" i="2"/>
  <c r="AL1563" i="2"/>
  <c r="AG1564" i="2"/>
  <c r="AI1564" i="2"/>
  <c r="AJ1564" i="2"/>
  <c r="AL1564" i="2"/>
  <c r="AG1565" i="2"/>
  <c r="AI1565" i="2"/>
  <c r="AJ1565" i="2"/>
  <c r="AL1565" i="2"/>
  <c r="AG1566" i="2"/>
  <c r="AI1566" i="2"/>
  <c r="AJ1566" i="2"/>
  <c r="AL1566" i="2"/>
  <c r="AG1567" i="2"/>
  <c r="AI1567" i="2"/>
  <c r="AJ1567" i="2"/>
  <c r="AL1567" i="2"/>
  <c r="AG1568" i="2"/>
  <c r="AI1568" i="2"/>
  <c r="AJ1568" i="2"/>
  <c r="AL1568" i="2"/>
  <c r="AG1569" i="2"/>
  <c r="AI1569" i="2"/>
  <c r="AJ1569" i="2"/>
  <c r="AL1569" i="2"/>
  <c r="AG1570" i="2"/>
  <c r="AI1570" i="2"/>
  <c r="AJ1570" i="2"/>
  <c r="AL1570" i="2"/>
  <c r="AG1571" i="2"/>
  <c r="AI1571" i="2"/>
  <c r="AJ1571" i="2"/>
  <c r="AL1571" i="2"/>
  <c r="AG1572" i="2"/>
  <c r="AI1572" i="2"/>
  <c r="AJ1572" i="2"/>
  <c r="AL1572" i="2"/>
  <c r="AG1573" i="2"/>
  <c r="AI1573" i="2"/>
  <c r="AJ1573" i="2"/>
  <c r="AL1573" i="2"/>
  <c r="AG1574" i="2"/>
  <c r="AI1574" i="2"/>
  <c r="AJ1574" i="2"/>
  <c r="AL1574" i="2"/>
  <c r="AG1575" i="2"/>
  <c r="AI1575" i="2"/>
  <c r="AJ1575" i="2"/>
  <c r="AL1575" i="2"/>
  <c r="AG1576" i="2"/>
  <c r="AI1576" i="2"/>
  <c r="AJ1576" i="2"/>
  <c r="AL1576" i="2"/>
  <c r="AG1577" i="2"/>
  <c r="AI1577" i="2"/>
  <c r="AJ1577" i="2"/>
  <c r="AL1577" i="2"/>
  <c r="AG1578" i="2"/>
  <c r="AI1578" i="2"/>
  <c r="AJ1578" i="2"/>
  <c r="AL1578" i="2"/>
  <c r="AG1579" i="2"/>
  <c r="AI1579" i="2"/>
  <c r="AJ1579" i="2"/>
  <c r="AL1579" i="2"/>
  <c r="AG1580" i="2"/>
  <c r="AI1580" i="2"/>
  <c r="AJ1580" i="2"/>
  <c r="AL1580" i="2"/>
  <c r="AG1581" i="2"/>
  <c r="AI1581" i="2"/>
  <c r="AJ1581" i="2"/>
  <c r="AL1581" i="2"/>
  <c r="AG1582" i="2"/>
  <c r="AI1582" i="2"/>
  <c r="AJ1582" i="2"/>
  <c r="AL1582" i="2"/>
  <c r="AG1583" i="2"/>
  <c r="AI1583" i="2"/>
  <c r="AJ1583" i="2"/>
  <c r="AL1583" i="2"/>
  <c r="AG1584" i="2"/>
  <c r="AI1584" i="2"/>
  <c r="AJ1584" i="2"/>
  <c r="AL1584" i="2"/>
  <c r="AG1585" i="2"/>
  <c r="AI1585" i="2"/>
  <c r="AJ1585" i="2"/>
  <c r="AL1585" i="2"/>
  <c r="AG1586" i="2"/>
  <c r="AI1586" i="2"/>
  <c r="AJ1586" i="2"/>
  <c r="AL1586" i="2"/>
  <c r="AG1587" i="2"/>
  <c r="AI1587" i="2"/>
  <c r="AJ1587" i="2"/>
  <c r="AL1587" i="2"/>
  <c r="AG1588" i="2"/>
  <c r="AI1588" i="2"/>
  <c r="AJ1588" i="2"/>
  <c r="AL1588" i="2"/>
  <c r="AG1589" i="2"/>
  <c r="AI1589" i="2"/>
  <c r="AJ1589" i="2"/>
  <c r="AL1589" i="2"/>
  <c r="AG1590" i="2"/>
  <c r="AI1590" i="2"/>
  <c r="AJ1590" i="2"/>
  <c r="AL1590" i="2"/>
  <c r="AG1591" i="2"/>
  <c r="AI1591" i="2"/>
  <c r="AJ1591" i="2"/>
  <c r="AL1591" i="2"/>
  <c r="AG1592" i="2"/>
  <c r="AI1592" i="2"/>
  <c r="AJ1592" i="2"/>
  <c r="AL1592" i="2"/>
  <c r="AG1593" i="2"/>
  <c r="AI1593" i="2"/>
  <c r="AJ1593" i="2"/>
  <c r="AL1593" i="2"/>
  <c r="AG1594" i="2"/>
  <c r="AI1594" i="2"/>
  <c r="AJ1594" i="2"/>
  <c r="AL1594" i="2"/>
  <c r="AG1595" i="2"/>
  <c r="AI1595" i="2"/>
  <c r="AJ1595" i="2"/>
  <c r="AL1595" i="2"/>
  <c r="AG1596" i="2"/>
  <c r="AI1596" i="2"/>
  <c r="AJ1596" i="2"/>
  <c r="AL1596" i="2"/>
  <c r="AG1597" i="2"/>
  <c r="AI1597" i="2"/>
  <c r="AJ1597" i="2"/>
  <c r="AL1597" i="2"/>
  <c r="AG1598" i="2"/>
  <c r="AI1598" i="2"/>
  <c r="AJ1598" i="2"/>
  <c r="AL1598" i="2"/>
  <c r="AG1599" i="2"/>
  <c r="AI1599" i="2"/>
  <c r="AJ1599" i="2"/>
  <c r="AL1599" i="2"/>
  <c r="AG1600" i="2"/>
  <c r="AI1600" i="2"/>
  <c r="AJ1600" i="2"/>
  <c r="AL1600" i="2"/>
  <c r="AG1601" i="2"/>
  <c r="AI1601" i="2"/>
  <c r="AJ1601" i="2"/>
  <c r="AL1601" i="2"/>
  <c r="AG1602" i="2"/>
  <c r="AI1602" i="2"/>
  <c r="AJ1602" i="2"/>
  <c r="AL1602" i="2"/>
  <c r="AG1603" i="2"/>
  <c r="AI1603" i="2"/>
  <c r="AJ1603" i="2"/>
  <c r="AL1603" i="2"/>
  <c r="AG1604" i="2"/>
  <c r="AI1604" i="2"/>
  <c r="AJ1604" i="2"/>
  <c r="AL1604" i="2"/>
  <c r="AG1605" i="2"/>
  <c r="AI1605" i="2"/>
  <c r="AJ1605" i="2"/>
  <c r="AL1605" i="2"/>
  <c r="AG1606" i="2"/>
  <c r="AI1606" i="2"/>
  <c r="AJ1606" i="2"/>
  <c r="AL1606" i="2"/>
  <c r="AG1607" i="2"/>
  <c r="AI1607" i="2"/>
  <c r="AJ1607" i="2"/>
  <c r="AL1607" i="2"/>
  <c r="AG1608" i="2"/>
  <c r="AI1608" i="2"/>
  <c r="AJ1608" i="2"/>
  <c r="AL1608" i="2"/>
  <c r="AG1609" i="2"/>
  <c r="AI1609" i="2"/>
  <c r="AJ1609" i="2"/>
  <c r="AL1609" i="2"/>
  <c r="AG1610" i="2"/>
  <c r="AI1610" i="2"/>
  <c r="AJ1610" i="2"/>
  <c r="AL1610" i="2"/>
  <c r="AG1611" i="2"/>
  <c r="AI1611" i="2"/>
  <c r="AJ1611" i="2"/>
  <c r="AL1611" i="2"/>
  <c r="AG1612" i="2"/>
  <c r="AI1612" i="2"/>
  <c r="AJ1612" i="2"/>
  <c r="AL1612" i="2"/>
  <c r="AG1613" i="2"/>
  <c r="AI1613" i="2"/>
  <c r="AJ1613" i="2"/>
  <c r="AL1613" i="2"/>
  <c r="AG1614" i="2"/>
  <c r="AI1614" i="2"/>
  <c r="AJ1614" i="2"/>
  <c r="AL1614" i="2"/>
  <c r="AG1615" i="2"/>
  <c r="AI1615" i="2"/>
  <c r="AJ1615" i="2"/>
  <c r="AL1615" i="2"/>
  <c r="AG1616" i="2"/>
  <c r="AI1616" i="2"/>
  <c r="AJ1616" i="2"/>
  <c r="AL1616" i="2"/>
  <c r="AG1617" i="2"/>
  <c r="AI1617" i="2"/>
  <c r="AJ1617" i="2"/>
  <c r="AL1617" i="2"/>
  <c r="AG1618" i="2"/>
  <c r="AI1618" i="2"/>
  <c r="AJ1618" i="2"/>
  <c r="AL1618" i="2"/>
  <c r="AG1619" i="2"/>
  <c r="AI1619" i="2"/>
  <c r="AJ1619" i="2"/>
  <c r="AL1619" i="2"/>
  <c r="AG1620" i="2"/>
  <c r="AI1620" i="2"/>
  <c r="AJ1620" i="2"/>
  <c r="AL1620" i="2"/>
  <c r="AG1621" i="2"/>
  <c r="AI1621" i="2"/>
  <c r="AJ1621" i="2"/>
  <c r="AL1621" i="2"/>
  <c r="AG1622" i="2"/>
  <c r="AI1622" i="2"/>
  <c r="AJ1622" i="2"/>
  <c r="AL1622" i="2"/>
  <c r="AG1623" i="2"/>
  <c r="AI1623" i="2"/>
  <c r="AJ1623" i="2"/>
  <c r="AL1623" i="2"/>
  <c r="AG1624" i="2"/>
  <c r="AI1624" i="2"/>
  <c r="AJ1624" i="2"/>
  <c r="AL1624" i="2"/>
  <c r="AG1625" i="2"/>
  <c r="AI1625" i="2"/>
  <c r="AJ1625" i="2"/>
  <c r="AL1625" i="2"/>
  <c r="AG1626" i="2"/>
  <c r="AI1626" i="2"/>
  <c r="AJ1626" i="2"/>
  <c r="AL1626" i="2"/>
  <c r="AG1627" i="2"/>
  <c r="AI1627" i="2"/>
  <c r="AJ1627" i="2"/>
  <c r="AL1627" i="2"/>
  <c r="AG1628" i="2"/>
  <c r="AI1628" i="2"/>
  <c r="AJ1628" i="2"/>
  <c r="AL1628" i="2"/>
  <c r="AG1629" i="2"/>
  <c r="AI1629" i="2"/>
  <c r="AJ1629" i="2"/>
  <c r="AL1629" i="2"/>
  <c r="AG1630" i="2"/>
  <c r="AI1630" i="2"/>
  <c r="AJ1630" i="2"/>
  <c r="AL1630" i="2"/>
  <c r="AG1631" i="2"/>
  <c r="AI1631" i="2"/>
  <c r="AJ1631" i="2"/>
  <c r="AL1631" i="2"/>
  <c r="AG1632" i="2"/>
  <c r="AI1632" i="2"/>
  <c r="AJ1632" i="2"/>
  <c r="AL1632" i="2"/>
  <c r="AG1633" i="2"/>
  <c r="AI1633" i="2"/>
  <c r="AJ1633" i="2"/>
  <c r="AL1633" i="2"/>
  <c r="AG1634" i="2"/>
  <c r="AI1634" i="2"/>
  <c r="AJ1634" i="2"/>
  <c r="AL1634" i="2"/>
  <c r="AG1635" i="2"/>
  <c r="AI1635" i="2"/>
  <c r="AJ1635" i="2"/>
  <c r="AL1635" i="2"/>
  <c r="AG1636" i="2"/>
  <c r="AI1636" i="2"/>
  <c r="AJ1636" i="2"/>
  <c r="AL1636" i="2"/>
  <c r="AG1637" i="2"/>
  <c r="AI1637" i="2"/>
  <c r="AJ1637" i="2"/>
  <c r="AL1637" i="2"/>
  <c r="AG1638" i="2"/>
  <c r="AI1638" i="2"/>
  <c r="AJ1638" i="2"/>
  <c r="AL1638" i="2"/>
  <c r="AG1639" i="2"/>
  <c r="AI1639" i="2"/>
  <c r="AJ1639" i="2"/>
  <c r="AL1639" i="2"/>
  <c r="AG1640" i="2"/>
  <c r="AI1640" i="2"/>
  <c r="AJ1640" i="2"/>
  <c r="AL1640" i="2"/>
  <c r="AG1641" i="2"/>
  <c r="AI1641" i="2"/>
  <c r="AJ1641" i="2"/>
  <c r="AL1641" i="2"/>
  <c r="AG1642" i="2"/>
  <c r="AI1642" i="2"/>
  <c r="AJ1642" i="2"/>
  <c r="AL1642" i="2"/>
  <c r="AG1643" i="2"/>
  <c r="AI1643" i="2"/>
  <c r="AJ1643" i="2"/>
  <c r="AL1643" i="2"/>
  <c r="AG1644" i="2"/>
  <c r="AI1644" i="2"/>
  <c r="AJ1644" i="2"/>
  <c r="AL1644" i="2"/>
  <c r="AG1645" i="2"/>
  <c r="AI1645" i="2"/>
  <c r="AJ1645" i="2"/>
  <c r="AL1645" i="2"/>
  <c r="AG1646" i="2"/>
  <c r="AI1646" i="2"/>
  <c r="AJ1646" i="2"/>
  <c r="AL1646" i="2"/>
  <c r="AG1647" i="2"/>
  <c r="AI1647" i="2"/>
  <c r="AJ1647" i="2"/>
  <c r="AL1647" i="2"/>
  <c r="AG1648" i="2"/>
  <c r="AI1648" i="2"/>
  <c r="AJ1648" i="2"/>
  <c r="AL1648" i="2"/>
  <c r="AG1649" i="2"/>
  <c r="AI1649" i="2"/>
  <c r="AJ1649" i="2"/>
  <c r="AL1649" i="2"/>
  <c r="AG1650" i="2"/>
  <c r="AI1650" i="2"/>
  <c r="AJ1650" i="2"/>
  <c r="AL1650" i="2"/>
  <c r="AG1651" i="2"/>
  <c r="AI1651" i="2"/>
  <c r="AJ1651" i="2"/>
  <c r="AL1651" i="2"/>
  <c r="AG1652" i="2"/>
  <c r="AI1652" i="2"/>
  <c r="AJ1652" i="2"/>
  <c r="AL1652" i="2"/>
  <c r="AG1653" i="2"/>
  <c r="AI1653" i="2"/>
  <c r="AJ1653" i="2"/>
  <c r="AL1653" i="2"/>
  <c r="AG1654" i="2"/>
  <c r="AI1654" i="2"/>
  <c r="AJ1654" i="2"/>
  <c r="AL1654" i="2"/>
  <c r="AG1655" i="2"/>
  <c r="AI1655" i="2"/>
  <c r="AJ1655" i="2"/>
  <c r="AL1655" i="2"/>
  <c r="AG1656" i="2"/>
  <c r="AI1656" i="2"/>
  <c r="AJ1656" i="2"/>
  <c r="AL1656" i="2"/>
  <c r="AG1657" i="2"/>
  <c r="AI1657" i="2"/>
  <c r="AJ1657" i="2"/>
  <c r="AL1657" i="2"/>
  <c r="AG1658" i="2"/>
  <c r="AI1658" i="2"/>
  <c r="AJ1658" i="2"/>
  <c r="AL1658" i="2"/>
  <c r="AG1659" i="2"/>
  <c r="AI1659" i="2"/>
  <c r="AJ1659" i="2"/>
  <c r="AL1659" i="2"/>
  <c r="AG1660" i="2"/>
  <c r="AI1660" i="2"/>
  <c r="AJ1660" i="2"/>
  <c r="AL1660" i="2"/>
  <c r="AG1661" i="2"/>
  <c r="AI1661" i="2"/>
  <c r="AJ1661" i="2"/>
  <c r="AL1661" i="2"/>
  <c r="AG1662" i="2"/>
  <c r="AI1662" i="2"/>
  <c r="AJ1662" i="2"/>
  <c r="AL1662" i="2"/>
  <c r="AG1663" i="2"/>
  <c r="AI1663" i="2"/>
  <c r="AJ1663" i="2"/>
  <c r="AL1663" i="2"/>
  <c r="AG1664" i="2"/>
  <c r="AI1664" i="2"/>
  <c r="AJ1664" i="2"/>
  <c r="AL1664" i="2"/>
  <c r="AG1665" i="2"/>
  <c r="AI1665" i="2"/>
  <c r="AJ1665" i="2"/>
  <c r="AL1665" i="2"/>
  <c r="AG1666" i="2"/>
  <c r="AI1666" i="2"/>
  <c r="AJ1666" i="2"/>
  <c r="AL1666" i="2"/>
  <c r="AG1667" i="2"/>
  <c r="AI1667" i="2"/>
  <c r="AJ1667" i="2"/>
  <c r="AL1667" i="2"/>
  <c r="AG1668" i="2"/>
  <c r="AI1668" i="2"/>
  <c r="AJ1668" i="2"/>
  <c r="AL1668" i="2"/>
  <c r="AG1669" i="2"/>
  <c r="AI1669" i="2"/>
  <c r="AJ1669" i="2"/>
  <c r="AL1669" i="2"/>
  <c r="AG1670" i="2"/>
  <c r="AI1670" i="2"/>
  <c r="AJ1670" i="2"/>
  <c r="AL1670" i="2"/>
  <c r="AG1671" i="2"/>
  <c r="AI1671" i="2"/>
  <c r="AJ1671" i="2"/>
  <c r="AL1671" i="2"/>
  <c r="AG1672" i="2"/>
  <c r="AI1672" i="2"/>
  <c r="AJ1672" i="2"/>
  <c r="AL1672" i="2"/>
  <c r="AG1673" i="2"/>
  <c r="AI1673" i="2"/>
  <c r="AJ1673" i="2"/>
  <c r="AL1673" i="2"/>
  <c r="AG1674" i="2"/>
  <c r="AI1674" i="2"/>
  <c r="AJ1674" i="2"/>
  <c r="AL1674" i="2"/>
  <c r="AG1675" i="2"/>
  <c r="AI1675" i="2"/>
  <c r="AJ1675" i="2"/>
  <c r="AL1675" i="2"/>
  <c r="AG1676" i="2"/>
  <c r="AI1676" i="2"/>
  <c r="AJ1676" i="2"/>
  <c r="AL1676" i="2"/>
  <c r="AG1677" i="2"/>
  <c r="AI1677" i="2"/>
  <c r="AJ1677" i="2"/>
  <c r="AL1677" i="2"/>
  <c r="AG1678" i="2"/>
  <c r="AI1678" i="2"/>
  <c r="AJ1678" i="2"/>
  <c r="AL1678" i="2"/>
  <c r="AG1679" i="2"/>
  <c r="AI1679" i="2"/>
  <c r="AJ1679" i="2"/>
  <c r="AL1679" i="2"/>
  <c r="AG1680" i="2"/>
  <c r="AI1680" i="2"/>
  <c r="AJ1680" i="2"/>
  <c r="AL1680" i="2"/>
  <c r="AG1681" i="2"/>
  <c r="AI1681" i="2"/>
  <c r="AJ1681" i="2"/>
  <c r="AL1681" i="2"/>
  <c r="AG1682" i="2"/>
  <c r="AI1682" i="2"/>
  <c r="AJ1682" i="2"/>
  <c r="AL1682" i="2"/>
  <c r="AG1683" i="2"/>
  <c r="AI1683" i="2"/>
  <c r="AJ1683" i="2"/>
  <c r="AL1683" i="2"/>
  <c r="AG1684" i="2"/>
  <c r="AI1684" i="2"/>
  <c r="AJ1684" i="2"/>
  <c r="AL1684" i="2"/>
  <c r="AG1685" i="2"/>
  <c r="AI1685" i="2"/>
  <c r="AJ1685" i="2"/>
  <c r="AL1685" i="2"/>
  <c r="AG1686" i="2"/>
  <c r="AI1686" i="2"/>
  <c r="AJ1686" i="2"/>
  <c r="AL1686" i="2"/>
  <c r="AG1687" i="2"/>
  <c r="AI1687" i="2"/>
  <c r="AJ1687" i="2"/>
  <c r="AL1687" i="2"/>
  <c r="AG1688" i="2"/>
  <c r="AI1688" i="2"/>
  <c r="AJ1688" i="2"/>
  <c r="AL1688" i="2"/>
  <c r="AG1689" i="2"/>
  <c r="AI1689" i="2"/>
  <c r="AJ1689" i="2"/>
  <c r="AL1689" i="2"/>
  <c r="AG1690" i="2"/>
  <c r="AI1690" i="2"/>
  <c r="AJ1690" i="2"/>
  <c r="AL1690" i="2"/>
  <c r="AG1691" i="2"/>
  <c r="AI1691" i="2"/>
  <c r="AJ1691" i="2"/>
  <c r="AL1691" i="2"/>
  <c r="AG1692" i="2"/>
  <c r="AI1692" i="2"/>
  <c r="AJ1692" i="2"/>
  <c r="AL1692" i="2"/>
  <c r="AG1693" i="2"/>
  <c r="AI1693" i="2"/>
  <c r="AJ1693" i="2"/>
  <c r="AL1693" i="2"/>
  <c r="AG1694" i="2"/>
  <c r="AI1694" i="2"/>
  <c r="AJ1694" i="2"/>
  <c r="AL1694" i="2"/>
  <c r="AG1695" i="2"/>
  <c r="AI1695" i="2"/>
  <c r="AJ1695" i="2"/>
  <c r="AL1695" i="2"/>
  <c r="AG1696" i="2"/>
  <c r="AI1696" i="2"/>
  <c r="AJ1696" i="2"/>
  <c r="AL1696" i="2"/>
  <c r="AG1697" i="2"/>
  <c r="AI1697" i="2"/>
  <c r="AJ1697" i="2"/>
  <c r="AL1697" i="2"/>
  <c r="AG1698" i="2"/>
  <c r="AI1698" i="2"/>
  <c r="AJ1698" i="2"/>
  <c r="AL1698" i="2"/>
  <c r="AG1699" i="2"/>
  <c r="AI1699" i="2"/>
  <c r="AJ1699" i="2"/>
  <c r="AL1699" i="2"/>
  <c r="AG1700" i="2"/>
  <c r="AI1700" i="2"/>
  <c r="AJ1700" i="2"/>
  <c r="AL1700" i="2"/>
  <c r="AG1701" i="2"/>
  <c r="AI1701" i="2"/>
  <c r="AJ1701" i="2"/>
  <c r="AL1701" i="2"/>
  <c r="AG1702" i="2"/>
  <c r="AI1702" i="2"/>
  <c r="AJ1702" i="2"/>
  <c r="AL1702" i="2"/>
  <c r="AG1703" i="2"/>
  <c r="AI1703" i="2"/>
  <c r="AJ1703" i="2"/>
  <c r="AL1703" i="2"/>
  <c r="AG1704" i="2"/>
  <c r="AI1704" i="2"/>
  <c r="AJ1704" i="2"/>
  <c r="AL1704" i="2"/>
  <c r="AG1705" i="2"/>
  <c r="AI1705" i="2"/>
  <c r="AJ1705" i="2"/>
  <c r="AL1705" i="2"/>
  <c r="AG1706" i="2"/>
  <c r="AI1706" i="2"/>
  <c r="AJ1706" i="2"/>
  <c r="AL1706" i="2"/>
  <c r="AG1707" i="2"/>
  <c r="AI1707" i="2"/>
  <c r="AJ1707" i="2"/>
  <c r="AL1707" i="2"/>
  <c r="AG1708" i="2"/>
  <c r="AI1708" i="2"/>
  <c r="AJ1708" i="2"/>
  <c r="AL1708" i="2"/>
  <c r="AG1709" i="2"/>
  <c r="AI1709" i="2"/>
  <c r="AJ1709" i="2"/>
  <c r="AL1709" i="2"/>
  <c r="AG1710" i="2"/>
  <c r="AI1710" i="2"/>
  <c r="AJ1710" i="2"/>
  <c r="AL1710" i="2"/>
  <c r="AG1711" i="2"/>
  <c r="AI1711" i="2"/>
  <c r="AJ1711" i="2"/>
  <c r="AL1711" i="2"/>
  <c r="AG1712" i="2"/>
  <c r="AI1712" i="2"/>
  <c r="AJ1712" i="2"/>
  <c r="AL1712" i="2"/>
  <c r="AG1713" i="2"/>
  <c r="AI1713" i="2"/>
  <c r="AJ1713" i="2"/>
  <c r="AL1713" i="2"/>
  <c r="AG1714" i="2"/>
  <c r="AI1714" i="2"/>
  <c r="AJ1714" i="2"/>
  <c r="AL1714" i="2"/>
  <c r="AG1715" i="2"/>
  <c r="AI1715" i="2"/>
  <c r="AJ1715" i="2"/>
  <c r="AL1715" i="2"/>
  <c r="AG1716" i="2"/>
  <c r="AI1716" i="2"/>
  <c r="AJ1716" i="2"/>
  <c r="AL1716" i="2"/>
  <c r="AG1717" i="2"/>
  <c r="AI1717" i="2"/>
  <c r="AJ1717" i="2"/>
  <c r="AL1717" i="2"/>
  <c r="AG1718" i="2"/>
  <c r="AI1718" i="2"/>
  <c r="AJ1718" i="2"/>
  <c r="AL1718" i="2"/>
  <c r="AG1719" i="2"/>
  <c r="AI1719" i="2"/>
  <c r="AJ1719" i="2"/>
  <c r="AL1719" i="2"/>
  <c r="AG1720" i="2"/>
  <c r="AI1720" i="2"/>
  <c r="AJ1720" i="2"/>
  <c r="AL1720" i="2"/>
  <c r="AG1721" i="2"/>
  <c r="AI1721" i="2"/>
  <c r="AJ1721" i="2"/>
  <c r="AL1721" i="2"/>
  <c r="AG1722" i="2"/>
  <c r="AI1722" i="2"/>
  <c r="AJ1722" i="2"/>
  <c r="AL1722" i="2"/>
  <c r="AG1723" i="2"/>
  <c r="AI1723" i="2"/>
  <c r="AJ1723" i="2"/>
  <c r="AL1723" i="2"/>
  <c r="AG1724" i="2"/>
  <c r="AI1724" i="2"/>
  <c r="AJ1724" i="2"/>
  <c r="AL1724" i="2"/>
  <c r="AG1725" i="2"/>
  <c r="AI1725" i="2"/>
  <c r="AJ1725" i="2"/>
  <c r="AL1725" i="2"/>
  <c r="AG1726" i="2"/>
  <c r="AI1726" i="2"/>
  <c r="AJ1726" i="2"/>
  <c r="AL1726" i="2"/>
  <c r="AG1727" i="2"/>
  <c r="AI1727" i="2"/>
  <c r="AJ1727" i="2"/>
  <c r="AL1727" i="2"/>
  <c r="AG1728" i="2"/>
  <c r="AI1728" i="2"/>
  <c r="AJ1728" i="2"/>
  <c r="AL1728" i="2"/>
  <c r="AG1729" i="2"/>
  <c r="AI1729" i="2"/>
  <c r="AJ1729" i="2"/>
  <c r="AL1729" i="2"/>
  <c r="AG1730" i="2"/>
  <c r="AI1730" i="2"/>
  <c r="AJ1730" i="2"/>
  <c r="AL1730" i="2"/>
  <c r="AG1731" i="2"/>
  <c r="AI1731" i="2"/>
  <c r="AJ1731" i="2"/>
  <c r="AL1731" i="2"/>
  <c r="AG1732" i="2"/>
  <c r="AI1732" i="2"/>
  <c r="AJ1732" i="2"/>
  <c r="AL1732" i="2"/>
  <c r="AG1733" i="2"/>
  <c r="AI1733" i="2"/>
  <c r="AJ1733" i="2"/>
  <c r="AL1733" i="2"/>
  <c r="AG1734" i="2"/>
  <c r="AI1734" i="2"/>
  <c r="AJ1734" i="2"/>
  <c r="AL1734" i="2"/>
  <c r="AG1735" i="2"/>
  <c r="AI1735" i="2"/>
  <c r="AJ1735" i="2"/>
  <c r="AL1735" i="2"/>
  <c r="AG1736" i="2"/>
  <c r="AI1736" i="2"/>
  <c r="AJ1736" i="2"/>
  <c r="AL1736" i="2"/>
  <c r="AG1737" i="2"/>
  <c r="AI1737" i="2"/>
  <c r="AJ1737" i="2"/>
  <c r="AL1737" i="2"/>
  <c r="AG1738" i="2"/>
  <c r="AI1738" i="2"/>
  <c r="AJ1738" i="2"/>
  <c r="AL1738" i="2"/>
  <c r="AG1739" i="2"/>
  <c r="AI1739" i="2"/>
  <c r="AJ1739" i="2"/>
  <c r="AL1739" i="2"/>
  <c r="AG1740" i="2"/>
  <c r="AI1740" i="2"/>
  <c r="AJ1740" i="2"/>
  <c r="AL1740" i="2"/>
  <c r="AG1741" i="2"/>
  <c r="AI1741" i="2"/>
  <c r="AJ1741" i="2"/>
  <c r="AL1741" i="2"/>
  <c r="AG1742" i="2"/>
  <c r="AI1742" i="2"/>
  <c r="AJ1742" i="2"/>
  <c r="AL1742" i="2"/>
  <c r="AG1743" i="2"/>
  <c r="AI1743" i="2"/>
  <c r="AJ1743" i="2"/>
  <c r="AL1743" i="2"/>
  <c r="AG1744" i="2"/>
  <c r="AI1744" i="2"/>
  <c r="AJ1744" i="2"/>
  <c r="AL1744" i="2"/>
  <c r="AG1745" i="2"/>
  <c r="AI1745" i="2"/>
  <c r="AJ1745" i="2"/>
  <c r="AL1745" i="2"/>
  <c r="AG1746" i="2"/>
  <c r="AI1746" i="2"/>
  <c r="AJ1746" i="2"/>
  <c r="AL1746" i="2"/>
  <c r="AG1747" i="2"/>
  <c r="AI1747" i="2"/>
  <c r="AJ1747" i="2"/>
  <c r="AL1747" i="2"/>
  <c r="AG1748" i="2"/>
  <c r="AI1748" i="2"/>
  <c r="AJ1748" i="2"/>
  <c r="AL1748" i="2"/>
  <c r="AG1749" i="2"/>
  <c r="AI1749" i="2"/>
  <c r="AJ1749" i="2"/>
  <c r="AL1749" i="2"/>
  <c r="AG1750" i="2"/>
  <c r="AI1750" i="2"/>
  <c r="AJ1750" i="2"/>
  <c r="AL1750" i="2"/>
  <c r="AG1751" i="2"/>
  <c r="AI1751" i="2"/>
  <c r="AJ1751" i="2"/>
  <c r="AL1751" i="2"/>
  <c r="AG1752" i="2"/>
  <c r="AI1752" i="2"/>
  <c r="AJ1752" i="2"/>
  <c r="AL1752" i="2"/>
  <c r="AG1753" i="2"/>
  <c r="AI1753" i="2"/>
  <c r="AJ1753" i="2"/>
  <c r="AL1753" i="2"/>
  <c r="AG1754" i="2"/>
  <c r="AI1754" i="2"/>
  <c r="AJ1754" i="2"/>
  <c r="AL1754" i="2"/>
  <c r="AG1755" i="2"/>
  <c r="AI1755" i="2"/>
  <c r="AJ1755" i="2"/>
  <c r="AL1755" i="2"/>
  <c r="AG1756" i="2"/>
  <c r="AI1756" i="2"/>
  <c r="AJ1756" i="2"/>
  <c r="AL1756" i="2"/>
  <c r="AG1757" i="2"/>
  <c r="AI1757" i="2"/>
  <c r="AJ1757" i="2"/>
  <c r="AL1757" i="2"/>
  <c r="AG1758" i="2"/>
  <c r="AI1758" i="2"/>
  <c r="AJ1758" i="2"/>
  <c r="AL1758" i="2"/>
  <c r="AG1759" i="2"/>
  <c r="AI1759" i="2"/>
  <c r="AJ1759" i="2"/>
  <c r="AL1759" i="2"/>
  <c r="AG1760" i="2"/>
  <c r="AI1760" i="2"/>
  <c r="AJ1760" i="2"/>
  <c r="AL1760" i="2"/>
  <c r="AG1761" i="2"/>
  <c r="AI1761" i="2"/>
  <c r="AJ1761" i="2"/>
  <c r="AL1761" i="2"/>
  <c r="AG1762" i="2"/>
  <c r="AI1762" i="2"/>
  <c r="AJ1762" i="2"/>
  <c r="AL1762" i="2"/>
  <c r="AG1763" i="2"/>
  <c r="AI1763" i="2"/>
  <c r="AJ1763" i="2"/>
  <c r="AL1763" i="2"/>
  <c r="AG1764" i="2"/>
  <c r="AI1764" i="2"/>
  <c r="AJ1764" i="2"/>
  <c r="AL1764" i="2"/>
  <c r="AG1765" i="2"/>
  <c r="AI1765" i="2"/>
  <c r="AJ1765" i="2"/>
  <c r="AL1765" i="2"/>
  <c r="AG1766" i="2"/>
  <c r="AI1766" i="2"/>
  <c r="AJ1766" i="2"/>
  <c r="AL1766" i="2"/>
  <c r="AG1767" i="2"/>
  <c r="AI1767" i="2"/>
  <c r="AJ1767" i="2"/>
  <c r="AL1767" i="2"/>
  <c r="AG1768" i="2"/>
  <c r="AI1768" i="2"/>
  <c r="AJ1768" i="2"/>
  <c r="AL1768" i="2"/>
  <c r="AG1769" i="2"/>
  <c r="AI1769" i="2"/>
  <c r="AJ1769" i="2"/>
  <c r="AL1769" i="2"/>
  <c r="AG1770" i="2"/>
  <c r="AI1770" i="2"/>
  <c r="AJ1770" i="2"/>
  <c r="AL1770" i="2"/>
  <c r="AG1771" i="2"/>
  <c r="AI1771" i="2"/>
  <c r="AJ1771" i="2"/>
  <c r="AL1771" i="2"/>
  <c r="AG1772" i="2"/>
  <c r="AI1772" i="2"/>
  <c r="AJ1772" i="2"/>
  <c r="AL1772" i="2"/>
  <c r="AG1773" i="2"/>
  <c r="AI1773" i="2"/>
  <c r="AJ1773" i="2"/>
  <c r="AL1773" i="2"/>
  <c r="AG1774" i="2"/>
  <c r="AI1774" i="2"/>
  <c r="AJ1774" i="2"/>
  <c r="AL1774" i="2"/>
  <c r="AG1775" i="2"/>
  <c r="AI1775" i="2"/>
  <c r="AJ1775" i="2"/>
  <c r="AL1775" i="2"/>
  <c r="AG1776" i="2"/>
  <c r="AI1776" i="2"/>
  <c r="AJ1776" i="2"/>
  <c r="AL1776" i="2"/>
  <c r="AG1777" i="2"/>
  <c r="AI1777" i="2"/>
  <c r="AJ1777" i="2"/>
  <c r="AL1777" i="2"/>
  <c r="AG1778" i="2"/>
  <c r="AI1778" i="2"/>
  <c r="AJ1778" i="2"/>
  <c r="AL1778" i="2"/>
  <c r="AG1779" i="2"/>
  <c r="AI1779" i="2"/>
  <c r="AJ1779" i="2"/>
  <c r="AL1779" i="2"/>
  <c r="AG1780" i="2"/>
  <c r="AI1780" i="2"/>
  <c r="AJ1780" i="2"/>
  <c r="AL1780" i="2"/>
  <c r="AG1781" i="2"/>
  <c r="AI1781" i="2"/>
  <c r="AJ1781" i="2"/>
  <c r="AL1781" i="2"/>
  <c r="AG1782" i="2"/>
  <c r="AI1782" i="2"/>
  <c r="AJ1782" i="2"/>
  <c r="AL1782" i="2"/>
  <c r="AG1783" i="2"/>
  <c r="AI1783" i="2"/>
  <c r="AJ1783" i="2"/>
  <c r="AL1783" i="2"/>
  <c r="AG1784" i="2"/>
  <c r="AI1784" i="2"/>
  <c r="AJ1784" i="2"/>
  <c r="AL1784" i="2"/>
  <c r="AG1785" i="2"/>
  <c r="AI1785" i="2"/>
  <c r="AJ1785" i="2"/>
  <c r="AL1785" i="2"/>
  <c r="AG1786" i="2"/>
  <c r="AI1786" i="2"/>
  <c r="AJ1786" i="2"/>
  <c r="AL1786" i="2"/>
  <c r="AG1787" i="2"/>
  <c r="AI1787" i="2"/>
  <c r="AJ1787" i="2"/>
  <c r="AL1787" i="2"/>
  <c r="AG1788" i="2"/>
  <c r="AI1788" i="2"/>
  <c r="AJ1788" i="2"/>
  <c r="AL1788" i="2"/>
  <c r="AG1789" i="2"/>
  <c r="AI1789" i="2"/>
  <c r="AJ1789" i="2"/>
  <c r="AL1789" i="2"/>
  <c r="AG1790" i="2"/>
  <c r="AI1790" i="2"/>
  <c r="AJ1790" i="2"/>
  <c r="AL1790" i="2"/>
  <c r="AG1791" i="2"/>
  <c r="AI1791" i="2"/>
  <c r="AJ1791" i="2"/>
  <c r="AL1791" i="2"/>
  <c r="AG1792" i="2"/>
  <c r="AI1792" i="2"/>
  <c r="AJ1792" i="2"/>
  <c r="AL1792" i="2"/>
  <c r="AG1793" i="2"/>
  <c r="AI1793" i="2"/>
  <c r="AJ1793" i="2"/>
  <c r="AL1793" i="2"/>
  <c r="AG1794" i="2"/>
  <c r="AI1794" i="2"/>
  <c r="AJ1794" i="2"/>
  <c r="AL1794" i="2"/>
  <c r="AG1795" i="2"/>
  <c r="AI1795" i="2"/>
  <c r="AJ1795" i="2"/>
  <c r="AL1795" i="2"/>
  <c r="AG1796" i="2"/>
  <c r="AI1796" i="2"/>
  <c r="AJ1796" i="2"/>
  <c r="AL1796" i="2"/>
  <c r="AG1797" i="2"/>
  <c r="AI1797" i="2"/>
  <c r="AJ1797" i="2"/>
  <c r="AL1797" i="2"/>
  <c r="AG1798" i="2"/>
  <c r="AI1798" i="2"/>
  <c r="AJ1798" i="2"/>
  <c r="AL1798" i="2"/>
  <c r="AG1799" i="2"/>
  <c r="AI1799" i="2"/>
  <c r="AJ1799" i="2"/>
  <c r="AL1799" i="2"/>
  <c r="AG1800" i="2"/>
  <c r="AI1800" i="2"/>
  <c r="AJ1800" i="2"/>
  <c r="AL1800" i="2"/>
  <c r="AG1801" i="2"/>
  <c r="AI1801" i="2"/>
  <c r="AJ1801" i="2"/>
  <c r="AL1801" i="2"/>
  <c r="AG1802" i="2"/>
  <c r="AI1802" i="2"/>
  <c r="AJ1802" i="2"/>
  <c r="AL1802" i="2"/>
  <c r="AG1803" i="2"/>
  <c r="AI1803" i="2"/>
  <c r="AJ1803" i="2"/>
  <c r="AL1803" i="2"/>
  <c r="AG1804" i="2"/>
  <c r="AI1804" i="2"/>
  <c r="AJ1804" i="2"/>
  <c r="AL1804" i="2"/>
  <c r="AG1805" i="2"/>
  <c r="AI1805" i="2"/>
  <c r="AJ1805" i="2"/>
  <c r="AL1805" i="2"/>
  <c r="AG1806" i="2"/>
  <c r="AI1806" i="2"/>
  <c r="AJ1806" i="2"/>
  <c r="AL1806" i="2"/>
  <c r="AG1807" i="2"/>
  <c r="AI1807" i="2"/>
  <c r="AJ1807" i="2"/>
  <c r="AL1807" i="2"/>
  <c r="AG1808" i="2"/>
  <c r="AI1808" i="2"/>
  <c r="AJ1808" i="2"/>
  <c r="AL1808" i="2"/>
  <c r="AG1809" i="2"/>
  <c r="AI1809" i="2"/>
  <c r="AJ1809" i="2"/>
  <c r="AL1809" i="2"/>
  <c r="AG1810" i="2"/>
  <c r="AI1810" i="2"/>
  <c r="AJ1810" i="2"/>
  <c r="AL1810" i="2"/>
  <c r="AG1811" i="2"/>
  <c r="AI1811" i="2"/>
  <c r="AJ1811" i="2"/>
  <c r="AL1811" i="2"/>
  <c r="AG1812" i="2"/>
  <c r="AI1812" i="2"/>
  <c r="AJ1812" i="2"/>
  <c r="AL1812" i="2"/>
  <c r="AG1813" i="2"/>
  <c r="AI1813" i="2"/>
  <c r="AJ1813" i="2"/>
  <c r="AL1813" i="2"/>
  <c r="AG1814" i="2"/>
  <c r="AI1814" i="2"/>
  <c r="AJ1814" i="2"/>
  <c r="AL1814" i="2"/>
  <c r="AG1815" i="2"/>
  <c r="AI1815" i="2"/>
  <c r="AJ1815" i="2"/>
  <c r="AL1815" i="2"/>
  <c r="AG1816" i="2"/>
  <c r="AI1816" i="2"/>
  <c r="AJ1816" i="2"/>
  <c r="AL1816" i="2"/>
  <c r="AG1817" i="2"/>
  <c r="AI1817" i="2"/>
  <c r="AJ1817" i="2"/>
  <c r="AL1817" i="2"/>
  <c r="AG1818" i="2"/>
  <c r="AI1818" i="2"/>
  <c r="AJ1818" i="2"/>
  <c r="AL1818" i="2"/>
  <c r="AG1819" i="2"/>
  <c r="AI1819" i="2"/>
  <c r="AJ1819" i="2"/>
  <c r="AL1819" i="2"/>
  <c r="AG1820" i="2"/>
  <c r="AI1820" i="2"/>
  <c r="AJ1820" i="2"/>
  <c r="AL1820" i="2"/>
  <c r="AG1821" i="2"/>
  <c r="AI1821" i="2"/>
  <c r="AJ1821" i="2"/>
  <c r="AL1821" i="2"/>
  <c r="AG1822" i="2"/>
  <c r="AI1822" i="2"/>
  <c r="AJ1822" i="2"/>
  <c r="AL1822" i="2"/>
  <c r="AG1823" i="2"/>
  <c r="AI1823" i="2"/>
  <c r="AJ1823" i="2"/>
  <c r="AL1823" i="2"/>
  <c r="AG1824" i="2"/>
  <c r="AI1824" i="2"/>
  <c r="AJ1824" i="2"/>
  <c r="AL1824" i="2"/>
  <c r="AG1825" i="2"/>
  <c r="AI1825" i="2"/>
  <c r="AJ1825" i="2"/>
  <c r="AL1825" i="2"/>
  <c r="AG1826" i="2"/>
  <c r="AI1826" i="2"/>
  <c r="AJ1826" i="2"/>
  <c r="AL1826" i="2"/>
  <c r="AG1827" i="2"/>
  <c r="AI1827" i="2"/>
  <c r="AJ1827" i="2"/>
  <c r="AL1827" i="2"/>
  <c r="AG1828" i="2"/>
  <c r="AI1828" i="2"/>
  <c r="AJ1828" i="2"/>
  <c r="AL1828" i="2"/>
  <c r="AG1829" i="2"/>
  <c r="AI1829" i="2"/>
  <c r="AJ1829" i="2"/>
  <c r="AL1829" i="2"/>
  <c r="AG1830" i="2"/>
  <c r="AI1830" i="2"/>
  <c r="AJ1830" i="2"/>
  <c r="AL1830" i="2"/>
  <c r="AG1831" i="2"/>
  <c r="AI1831" i="2"/>
  <c r="AJ1831" i="2"/>
  <c r="AL1831" i="2"/>
  <c r="AG1832" i="2"/>
  <c r="AI1832" i="2"/>
  <c r="AJ1832" i="2"/>
  <c r="AL1832" i="2"/>
  <c r="AG1833" i="2"/>
  <c r="AI1833" i="2"/>
  <c r="AJ1833" i="2"/>
  <c r="AL1833" i="2"/>
  <c r="AG1834" i="2"/>
  <c r="AI1834" i="2"/>
  <c r="AJ1834" i="2"/>
  <c r="AL1834" i="2"/>
  <c r="AG1835" i="2"/>
  <c r="AI1835" i="2"/>
  <c r="AJ1835" i="2"/>
  <c r="AL1835" i="2"/>
  <c r="AG1836" i="2"/>
  <c r="AI1836" i="2"/>
  <c r="AJ1836" i="2"/>
  <c r="AL1836" i="2"/>
  <c r="AG1837" i="2"/>
  <c r="AI1837" i="2"/>
  <c r="AJ1837" i="2"/>
  <c r="AL1837" i="2"/>
  <c r="AG1838" i="2"/>
  <c r="AI1838" i="2"/>
  <c r="AJ1838" i="2"/>
  <c r="AL1838" i="2"/>
  <c r="AG1839" i="2"/>
  <c r="AI1839" i="2"/>
  <c r="AJ1839" i="2"/>
  <c r="AL1839" i="2"/>
  <c r="AG1840" i="2"/>
  <c r="AI1840" i="2"/>
  <c r="AJ1840" i="2"/>
  <c r="AL1840" i="2"/>
  <c r="AG1841" i="2"/>
  <c r="AI1841" i="2"/>
  <c r="AJ1841" i="2"/>
  <c r="AL1841" i="2"/>
  <c r="AG1842" i="2"/>
  <c r="AI1842" i="2"/>
  <c r="AJ1842" i="2"/>
  <c r="AL1842" i="2"/>
  <c r="AG1843" i="2"/>
  <c r="AI1843" i="2"/>
  <c r="AJ1843" i="2"/>
  <c r="AL1843" i="2"/>
  <c r="AG1844" i="2"/>
  <c r="AI1844" i="2"/>
  <c r="AJ1844" i="2"/>
  <c r="AL1844" i="2"/>
  <c r="AG1845" i="2"/>
  <c r="AI1845" i="2"/>
  <c r="AJ1845" i="2"/>
  <c r="AL1845" i="2"/>
  <c r="AG1846" i="2"/>
  <c r="AI1846" i="2"/>
  <c r="AJ1846" i="2"/>
  <c r="AL1846" i="2"/>
  <c r="AG1847" i="2"/>
  <c r="AI1847" i="2"/>
  <c r="AJ1847" i="2"/>
  <c r="AL1847" i="2"/>
  <c r="AG1848" i="2"/>
  <c r="AI1848" i="2"/>
  <c r="AJ1848" i="2"/>
  <c r="AL1848" i="2"/>
  <c r="AG1849" i="2"/>
  <c r="AI1849" i="2"/>
  <c r="AJ1849" i="2"/>
  <c r="AL1849" i="2"/>
  <c r="AG1850" i="2"/>
  <c r="AI1850" i="2"/>
  <c r="AJ1850" i="2"/>
  <c r="AL1850" i="2"/>
  <c r="AG1851" i="2"/>
  <c r="AI1851" i="2"/>
  <c r="AJ1851" i="2"/>
  <c r="AL1851" i="2"/>
  <c r="AG1852" i="2"/>
  <c r="AI1852" i="2"/>
  <c r="AJ1852" i="2"/>
  <c r="AL1852" i="2"/>
  <c r="AG1853" i="2"/>
  <c r="AI1853" i="2"/>
  <c r="AJ1853" i="2"/>
  <c r="AL1853" i="2"/>
  <c r="AG1854" i="2"/>
  <c r="AI1854" i="2"/>
  <c r="AJ1854" i="2"/>
  <c r="AL1854" i="2"/>
  <c r="AG1855" i="2"/>
  <c r="AI1855" i="2"/>
  <c r="AJ1855" i="2"/>
  <c r="AL1855" i="2"/>
  <c r="AG1856" i="2"/>
  <c r="AI1856" i="2"/>
  <c r="AJ1856" i="2"/>
  <c r="AL1856" i="2"/>
  <c r="AG1857" i="2"/>
  <c r="AI1857" i="2"/>
  <c r="AJ1857" i="2"/>
  <c r="AL1857" i="2"/>
  <c r="AG1858" i="2"/>
  <c r="AI1858" i="2"/>
  <c r="AJ1858" i="2"/>
  <c r="AL1858" i="2"/>
  <c r="AG1859" i="2"/>
  <c r="AI1859" i="2"/>
  <c r="AJ1859" i="2"/>
  <c r="AL1859" i="2"/>
  <c r="AG1860" i="2"/>
  <c r="AI1860" i="2"/>
  <c r="AJ1860" i="2"/>
  <c r="AL1860" i="2"/>
  <c r="AG1861" i="2"/>
  <c r="AI1861" i="2"/>
  <c r="AJ1861" i="2"/>
  <c r="AL1861" i="2"/>
  <c r="AG1862" i="2"/>
  <c r="AI1862" i="2"/>
  <c r="AJ1862" i="2"/>
  <c r="AL1862" i="2"/>
  <c r="AG1863" i="2"/>
  <c r="AI1863" i="2"/>
  <c r="AJ1863" i="2"/>
  <c r="AL1863" i="2"/>
  <c r="AG1864" i="2"/>
  <c r="AI1864" i="2"/>
  <c r="AJ1864" i="2"/>
  <c r="AL1864" i="2"/>
  <c r="AG1865" i="2"/>
  <c r="AI1865" i="2"/>
  <c r="AJ1865" i="2"/>
  <c r="AL1865" i="2"/>
  <c r="AG1866" i="2"/>
  <c r="AI1866" i="2"/>
  <c r="AJ1866" i="2"/>
  <c r="AL1866" i="2"/>
  <c r="AG1867" i="2"/>
  <c r="AI1867" i="2"/>
  <c r="AJ1867" i="2"/>
  <c r="AL1867" i="2"/>
  <c r="AG1868" i="2"/>
  <c r="AI1868" i="2"/>
  <c r="AJ1868" i="2"/>
  <c r="AL1868" i="2"/>
  <c r="AG1869" i="2"/>
  <c r="AI1869" i="2"/>
  <c r="AJ1869" i="2"/>
  <c r="AL1869" i="2"/>
  <c r="AG1870" i="2"/>
  <c r="AI1870" i="2"/>
  <c r="AJ1870" i="2"/>
  <c r="AL1870" i="2"/>
  <c r="AG1871" i="2"/>
  <c r="AI1871" i="2"/>
  <c r="AJ1871" i="2"/>
  <c r="AL1871" i="2"/>
  <c r="AG1872" i="2"/>
  <c r="AI1872" i="2"/>
  <c r="AJ1872" i="2"/>
  <c r="AL1872" i="2"/>
  <c r="AG1873" i="2"/>
  <c r="AI1873" i="2"/>
  <c r="AJ1873" i="2"/>
  <c r="AL1873" i="2"/>
  <c r="AG1874" i="2"/>
  <c r="AI1874" i="2"/>
  <c r="AJ1874" i="2"/>
  <c r="AL1874" i="2"/>
  <c r="AG1875" i="2"/>
  <c r="AI1875" i="2"/>
  <c r="AJ1875" i="2"/>
  <c r="AL1875" i="2"/>
  <c r="AG1876" i="2"/>
  <c r="AI1876" i="2"/>
  <c r="AJ1876" i="2"/>
  <c r="AL1876" i="2"/>
  <c r="AG1877" i="2"/>
  <c r="AI1877" i="2"/>
  <c r="AJ1877" i="2"/>
  <c r="AL1877" i="2"/>
  <c r="AG1878" i="2"/>
  <c r="AI1878" i="2"/>
  <c r="AJ1878" i="2"/>
  <c r="AL1878" i="2"/>
  <c r="AG1879" i="2"/>
  <c r="AI1879" i="2"/>
  <c r="AJ1879" i="2"/>
  <c r="AL1879" i="2"/>
  <c r="AG1880" i="2"/>
  <c r="AI1880" i="2"/>
  <c r="AJ1880" i="2"/>
  <c r="AL1880" i="2"/>
  <c r="AG1881" i="2"/>
  <c r="AI1881" i="2"/>
  <c r="AJ1881" i="2"/>
  <c r="AL1881" i="2"/>
  <c r="AG1882" i="2"/>
  <c r="AI1882" i="2"/>
  <c r="AJ1882" i="2"/>
  <c r="AL1882" i="2"/>
  <c r="AG1883" i="2"/>
  <c r="AI1883" i="2"/>
  <c r="AJ1883" i="2"/>
  <c r="AL1883" i="2"/>
  <c r="AG1884" i="2"/>
  <c r="AI1884" i="2"/>
  <c r="AJ1884" i="2"/>
  <c r="AL1884" i="2"/>
  <c r="AG1885" i="2"/>
  <c r="AI1885" i="2"/>
  <c r="AJ1885" i="2"/>
  <c r="AL1885" i="2"/>
  <c r="AG1886" i="2"/>
  <c r="AI1886" i="2"/>
  <c r="AJ1886" i="2"/>
  <c r="AL1886" i="2"/>
  <c r="AG1887" i="2"/>
  <c r="AI1887" i="2"/>
  <c r="AJ1887" i="2"/>
  <c r="AL1887" i="2"/>
  <c r="AG1888" i="2"/>
  <c r="AI1888" i="2"/>
  <c r="AJ1888" i="2"/>
  <c r="AL1888" i="2"/>
  <c r="AG1889" i="2"/>
  <c r="AI1889" i="2"/>
  <c r="AJ1889" i="2"/>
  <c r="AL1889" i="2"/>
  <c r="AG1890" i="2"/>
  <c r="AI1890" i="2"/>
  <c r="AJ1890" i="2"/>
  <c r="AL1890" i="2"/>
  <c r="AG1891" i="2"/>
  <c r="AI1891" i="2"/>
  <c r="AJ1891" i="2"/>
  <c r="AL1891" i="2"/>
  <c r="AG1892" i="2"/>
  <c r="AI1892" i="2"/>
  <c r="AJ1892" i="2"/>
  <c r="AL1892" i="2"/>
  <c r="AG1893" i="2"/>
  <c r="AI1893" i="2"/>
  <c r="AJ1893" i="2"/>
  <c r="AL1893" i="2"/>
  <c r="AG1894" i="2"/>
  <c r="AI1894" i="2"/>
  <c r="AJ1894" i="2"/>
  <c r="AL1894" i="2"/>
  <c r="AG1895" i="2"/>
  <c r="AI1895" i="2"/>
  <c r="AJ1895" i="2"/>
  <c r="AL1895" i="2"/>
  <c r="AG1896" i="2"/>
  <c r="AI1896" i="2"/>
  <c r="AJ1896" i="2"/>
  <c r="AL1896" i="2"/>
  <c r="AG1897" i="2"/>
  <c r="AI1897" i="2"/>
  <c r="AJ1897" i="2"/>
  <c r="AL1897" i="2"/>
  <c r="AG1898" i="2"/>
  <c r="AI1898" i="2"/>
  <c r="AJ1898" i="2"/>
  <c r="AL1898" i="2"/>
  <c r="AG1899" i="2"/>
  <c r="AI1899" i="2"/>
  <c r="AJ1899" i="2"/>
  <c r="AL1899" i="2"/>
  <c r="AG1900" i="2"/>
  <c r="AI1900" i="2"/>
  <c r="AJ1900" i="2"/>
  <c r="AL1900" i="2"/>
  <c r="AG1901" i="2"/>
  <c r="AI1901" i="2"/>
  <c r="AJ1901" i="2"/>
  <c r="AL1901" i="2"/>
  <c r="AG1902" i="2"/>
  <c r="AI1902" i="2"/>
  <c r="AJ1902" i="2"/>
  <c r="AL1902" i="2"/>
  <c r="AG1903" i="2"/>
  <c r="AI1903" i="2"/>
  <c r="AJ1903" i="2"/>
  <c r="AL1903" i="2"/>
  <c r="AG1904" i="2"/>
  <c r="AI1904" i="2"/>
  <c r="AJ1904" i="2"/>
  <c r="AL1904" i="2"/>
  <c r="AG1905" i="2"/>
  <c r="AI1905" i="2"/>
  <c r="AJ1905" i="2"/>
  <c r="AL1905" i="2"/>
  <c r="AG1906" i="2"/>
  <c r="AI1906" i="2"/>
  <c r="AJ1906" i="2"/>
  <c r="AL1906" i="2"/>
  <c r="AG1907" i="2"/>
  <c r="AI1907" i="2"/>
  <c r="AJ1907" i="2"/>
  <c r="AL1907" i="2"/>
  <c r="AG1908" i="2"/>
  <c r="AI1908" i="2"/>
  <c r="AJ1908" i="2"/>
  <c r="AL1908" i="2"/>
  <c r="AG1909" i="2"/>
  <c r="AI1909" i="2"/>
  <c r="AJ1909" i="2"/>
  <c r="AL1909" i="2"/>
  <c r="AG1910" i="2"/>
  <c r="AI1910" i="2"/>
  <c r="AJ1910" i="2"/>
  <c r="AL1910" i="2"/>
  <c r="AG1911" i="2"/>
  <c r="AI1911" i="2"/>
  <c r="AJ1911" i="2"/>
  <c r="AL1911" i="2"/>
  <c r="AG1912" i="2"/>
  <c r="AI1912" i="2"/>
  <c r="AJ1912" i="2"/>
  <c r="AL1912" i="2"/>
  <c r="AG1913" i="2"/>
  <c r="AI1913" i="2"/>
  <c r="AJ1913" i="2"/>
  <c r="AL1913" i="2"/>
  <c r="AG1914" i="2"/>
  <c r="AI1914" i="2"/>
  <c r="AJ1914" i="2"/>
  <c r="AL1914" i="2"/>
  <c r="AG1915" i="2"/>
  <c r="AI1915" i="2"/>
  <c r="AJ1915" i="2"/>
  <c r="AL1915" i="2"/>
  <c r="AG1916" i="2"/>
  <c r="AI1916" i="2"/>
  <c r="AJ1916" i="2"/>
  <c r="AL1916" i="2"/>
  <c r="AG1917" i="2"/>
  <c r="AI1917" i="2"/>
  <c r="AJ1917" i="2"/>
  <c r="AL1917" i="2"/>
  <c r="AG1918" i="2"/>
  <c r="AI1918" i="2"/>
  <c r="AJ1918" i="2"/>
  <c r="AL1918" i="2"/>
  <c r="AG1919" i="2"/>
  <c r="AI1919" i="2"/>
  <c r="AJ1919" i="2"/>
  <c r="AL1919" i="2"/>
  <c r="AG1920" i="2"/>
  <c r="AI1920" i="2"/>
  <c r="AJ1920" i="2"/>
  <c r="AL1920" i="2"/>
  <c r="AG1921" i="2"/>
  <c r="AI1921" i="2"/>
  <c r="AJ1921" i="2"/>
  <c r="AL1921" i="2"/>
  <c r="AG1922" i="2"/>
  <c r="AI1922" i="2"/>
  <c r="AJ1922" i="2"/>
  <c r="AL1922" i="2"/>
  <c r="AG1923" i="2"/>
  <c r="AI1923" i="2"/>
  <c r="AJ1923" i="2"/>
  <c r="AL1923" i="2"/>
  <c r="AG1924" i="2"/>
  <c r="AI1924" i="2"/>
  <c r="AJ1924" i="2"/>
  <c r="AL1924" i="2"/>
  <c r="AG1925" i="2"/>
  <c r="AI1925" i="2"/>
  <c r="AJ1925" i="2"/>
  <c r="AL1925" i="2"/>
  <c r="AG1926" i="2"/>
  <c r="AI1926" i="2"/>
  <c r="AJ1926" i="2"/>
  <c r="AL1926" i="2"/>
  <c r="AG1927" i="2"/>
  <c r="AI1927" i="2"/>
  <c r="AJ1927" i="2"/>
  <c r="AL1927" i="2"/>
  <c r="AG1928" i="2"/>
  <c r="AI1928" i="2"/>
  <c r="AJ1928" i="2"/>
  <c r="AL1928" i="2"/>
  <c r="AG1929" i="2"/>
  <c r="AI1929" i="2"/>
  <c r="AJ1929" i="2"/>
  <c r="AL1929" i="2"/>
  <c r="AG1930" i="2"/>
  <c r="AI1930" i="2"/>
  <c r="AJ1930" i="2"/>
  <c r="AL1930" i="2"/>
  <c r="AG1931" i="2"/>
  <c r="AI1931" i="2"/>
  <c r="AJ1931" i="2"/>
  <c r="AL1931" i="2"/>
  <c r="AG1932" i="2"/>
  <c r="AI1932" i="2"/>
  <c r="AJ1932" i="2"/>
  <c r="AL1932" i="2"/>
  <c r="AG1933" i="2"/>
  <c r="AI1933" i="2"/>
  <c r="AJ1933" i="2"/>
  <c r="AL1933" i="2"/>
  <c r="AG1934" i="2"/>
  <c r="AI1934" i="2"/>
  <c r="AJ1934" i="2"/>
  <c r="AL1934" i="2"/>
  <c r="AG1935" i="2"/>
  <c r="AI1935" i="2"/>
  <c r="AJ1935" i="2"/>
  <c r="AL1935" i="2"/>
  <c r="AG1936" i="2"/>
  <c r="AI1936" i="2"/>
  <c r="AJ1936" i="2"/>
  <c r="AL1936" i="2"/>
  <c r="AG1937" i="2"/>
  <c r="AI1937" i="2"/>
  <c r="AJ1937" i="2"/>
  <c r="AL1937" i="2"/>
  <c r="AG1938" i="2"/>
  <c r="AI1938" i="2"/>
  <c r="AJ1938" i="2"/>
  <c r="AL1938" i="2"/>
  <c r="AG1939" i="2"/>
  <c r="AI1939" i="2"/>
  <c r="AJ1939" i="2"/>
  <c r="AL1939" i="2"/>
  <c r="AG1940" i="2"/>
  <c r="AI1940" i="2"/>
  <c r="AJ1940" i="2"/>
  <c r="AL1940" i="2"/>
  <c r="AG1941" i="2"/>
  <c r="AI1941" i="2"/>
  <c r="AJ1941" i="2"/>
  <c r="AL1941" i="2"/>
  <c r="AG1942" i="2"/>
  <c r="AI1942" i="2"/>
  <c r="AJ1942" i="2"/>
  <c r="AL1942" i="2"/>
  <c r="AG1943" i="2"/>
  <c r="AI1943" i="2"/>
  <c r="AJ1943" i="2"/>
  <c r="AL1943" i="2"/>
  <c r="AG1944" i="2"/>
  <c r="AI1944" i="2"/>
  <c r="AJ1944" i="2"/>
  <c r="AL1944" i="2"/>
  <c r="AG1945" i="2"/>
  <c r="AI1945" i="2"/>
  <c r="AJ1945" i="2"/>
  <c r="AL1945" i="2"/>
  <c r="AG1946" i="2"/>
  <c r="AI1946" i="2"/>
  <c r="AJ1946" i="2"/>
  <c r="AL1946" i="2"/>
  <c r="AG1947" i="2"/>
  <c r="AI1947" i="2"/>
  <c r="AJ1947" i="2"/>
  <c r="AL1947" i="2"/>
  <c r="AG1948" i="2"/>
  <c r="AI1948" i="2"/>
  <c r="AJ1948" i="2"/>
  <c r="AL1948" i="2"/>
  <c r="AG1949" i="2"/>
  <c r="AI1949" i="2"/>
  <c r="AJ1949" i="2"/>
  <c r="AL1949" i="2"/>
  <c r="AG1950" i="2"/>
  <c r="AI1950" i="2"/>
  <c r="AJ1950" i="2"/>
  <c r="AL1950" i="2"/>
  <c r="AG1951" i="2"/>
  <c r="AI1951" i="2"/>
  <c r="AJ1951" i="2"/>
  <c r="AL1951" i="2"/>
  <c r="AG1952" i="2"/>
  <c r="AI1952" i="2"/>
  <c r="AJ1952" i="2"/>
  <c r="AL1952" i="2"/>
  <c r="AG1953" i="2"/>
  <c r="AI1953" i="2"/>
  <c r="AJ1953" i="2"/>
  <c r="AL1953" i="2"/>
  <c r="AG1954" i="2"/>
  <c r="AI1954" i="2"/>
  <c r="AJ1954" i="2"/>
  <c r="AL1954" i="2"/>
  <c r="AG1955" i="2"/>
  <c r="AI1955" i="2"/>
  <c r="AJ1955" i="2"/>
  <c r="AL1955" i="2"/>
  <c r="AG1956" i="2"/>
  <c r="AI1956" i="2"/>
  <c r="AJ1956" i="2"/>
  <c r="AL1956" i="2"/>
  <c r="AG1957" i="2"/>
  <c r="AI1957" i="2"/>
  <c r="AJ1957" i="2"/>
  <c r="AL1957" i="2"/>
  <c r="AG1958" i="2"/>
  <c r="AI1958" i="2"/>
  <c r="AJ1958" i="2"/>
  <c r="AL1958" i="2"/>
  <c r="AG1959" i="2"/>
  <c r="AI1959" i="2"/>
  <c r="AJ1959" i="2"/>
  <c r="AL1959" i="2"/>
  <c r="AG1960" i="2"/>
  <c r="AI1960" i="2"/>
  <c r="AJ1960" i="2"/>
  <c r="AL1960" i="2"/>
  <c r="AG1961" i="2"/>
  <c r="AI1961" i="2"/>
  <c r="AJ1961" i="2"/>
  <c r="AL1961" i="2"/>
  <c r="AG1962" i="2"/>
  <c r="AI1962" i="2"/>
  <c r="AJ1962" i="2"/>
  <c r="AL1962" i="2"/>
  <c r="AG1963" i="2"/>
  <c r="AI1963" i="2"/>
  <c r="AJ1963" i="2"/>
  <c r="AL1963" i="2"/>
  <c r="AG1964" i="2"/>
  <c r="AI1964" i="2"/>
  <c r="AJ1964" i="2"/>
  <c r="AL1964" i="2"/>
  <c r="AG1965" i="2"/>
  <c r="AI1965" i="2"/>
  <c r="AJ1965" i="2"/>
  <c r="AL1965" i="2"/>
  <c r="AG1966" i="2"/>
  <c r="AI1966" i="2"/>
  <c r="AJ1966" i="2"/>
  <c r="AL1966" i="2"/>
  <c r="AG1967" i="2"/>
  <c r="AI1967" i="2"/>
  <c r="AJ1967" i="2"/>
  <c r="AL1967" i="2"/>
  <c r="AG1968" i="2"/>
  <c r="AI1968" i="2"/>
  <c r="AJ1968" i="2"/>
  <c r="AL1968" i="2"/>
  <c r="AG1969" i="2"/>
  <c r="AI1969" i="2"/>
  <c r="AJ1969" i="2"/>
  <c r="AL1969" i="2"/>
  <c r="AG1970" i="2"/>
  <c r="AI1970" i="2"/>
  <c r="AJ1970" i="2"/>
  <c r="AL1970" i="2"/>
  <c r="AG1971" i="2"/>
  <c r="AI1971" i="2"/>
  <c r="AJ1971" i="2"/>
  <c r="AL1971" i="2"/>
  <c r="AG1972" i="2"/>
  <c r="AI1972" i="2"/>
  <c r="AJ1972" i="2"/>
  <c r="AL1972" i="2"/>
  <c r="AG1973" i="2"/>
  <c r="AI1973" i="2"/>
  <c r="AJ1973" i="2"/>
  <c r="AL1973" i="2"/>
  <c r="AG1974" i="2"/>
  <c r="AI1974" i="2"/>
  <c r="AJ1974" i="2"/>
  <c r="AL1974" i="2"/>
  <c r="AG1975" i="2"/>
  <c r="AI1975" i="2"/>
  <c r="AJ1975" i="2"/>
  <c r="AL1975" i="2"/>
  <c r="AG1976" i="2"/>
  <c r="AI1976" i="2"/>
  <c r="AJ1976" i="2"/>
  <c r="AL1976" i="2"/>
  <c r="AG1977" i="2"/>
  <c r="AI1977" i="2"/>
  <c r="AJ1977" i="2"/>
  <c r="AL1977" i="2"/>
  <c r="AG1978" i="2"/>
  <c r="AI1978" i="2"/>
  <c r="AJ1978" i="2"/>
  <c r="AL1978" i="2"/>
  <c r="AG1979" i="2"/>
  <c r="AI1979" i="2"/>
  <c r="AJ1979" i="2"/>
  <c r="AL1979" i="2"/>
  <c r="AG1980" i="2"/>
  <c r="AI1980" i="2"/>
  <c r="AJ1980" i="2"/>
  <c r="AL1980" i="2"/>
  <c r="AG1981" i="2"/>
  <c r="AI1981" i="2"/>
  <c r="AJ1981" i="2"/>
  <c r="AL1981" i="2"/>
  <c r="AG1982" i="2"/>
  <c r="AI1982" i="2"/>
  <c r="AJ1982" i="2"/>
  <c r="AL1982" i="2"/>
  <c r="AG1983" i="2"/>
  <c r="AI1983" i="2"/>
  <c r="AJ1983" i="2"/>
  <c r="AL1983" i="2"/>
  <c r="AG1984" i="2"/>
  <c r="AI1984" i="2"/>
  <c r="AJ1984" i="2"/>
  <c r="AL1984" i="2"/>
  <c r="AG1985" i="2"/>
  <c r="AI1985" i="2"/>
  <c r="AJ1985" i="2"/>
  <c r="AL1985" i="2"/>
  <c r="AG1986" i="2"/>
  <c r="AI1986" i="2"/>
  <c r="AJ1986" i="2"/>
  <c r="AL1986" i="2"/>
  <c r="AG1987" i="2"/>
  <c r="AI1987" i="2"/>
  <c r="AJ1987" i="2"/>
  <c r="AL1987" i="2"/>
  <c r="AG1988" i="2"/>
  <c r="AI1988" i="2"/>
  <c r="AJ1988" i="2"/>
  <c r="AL1988" i="2"/>
  <c r="AG1989" i="2"/>
  <c r="AI1989" i="2"/>
  <c r="AJ1989" i="2"/>
  <c r="AL1989" i="2"/>
  <c r="AG1990" i="2"/>
  <c r="AI1990" i="2"/>
  <c r="AJ1990" i="2"/>
  <c r="AL1990" i="2"/>
  <c r="AG1991" i="2"/>
  <c r="AI1991" i="2"/>
  <c r="AJ1991" i="2"/>
  <c r="AL1991" i="2"/>
  <c r="AG1992" i="2"/>
  <c r="AI1992" i="2"/>
  <c r="AJ1992" i="2"/>
  <c r="AL1992" i="2"/>
  <c r="AG1993" i="2"/>
  <c r="AI1993" i="2"/>
  <c r="AJ1993" i="2"/>
  <c r="AL1993" i="2"/>
  <c r="AG1994" i="2"/>
  <c r="AI1994" i="2"/>
  <c r="AJ1994" i="2"/>
  <c r="AL1994" i="2"/>
  <c r="AG1995" i="2"/>
  <c r="AI1995" i="2"/>
  <c r="AJ1995" i="2"/>
  <c r="AL1995" i="2"/>
  <c r="AG1996" i="2"/>
  <c r="AI1996" i="2"/>
  <c r="AJ1996" i="2"/>
  <c r="AL1996" i="2"/>
  <c r="AG1997" i="2"/>
  <c r="AI1997" i="2"/>
  <c r="AJ1997" i="2"/>
  <c r="AL1997" i="2"/>
  <c r="AG1998" i="2"/>
  <c r="AI1998" i="2"/>
  <c r="AJ1998" i="2"/>
  <c r="AL1998" i="2"/>
  <c r="AG1999" i="2"/>
  <c r="AI1999" i="2"/>
  <c r="AJ1999" i="2"/>
  <c r="AL1999" i="2"/>
  <c r="AG2000" i="2"/>
  <c r="AI2000" i="2"/>
  <c r="AJ2000" i="2"/>
  <c r="AL2000" i="2"/>
  <c r="AG2001" i="2"/>
  <c r="AI2001" i="2"/>
  <c r="AJ2001" i="2"/>
  <c r="AL2001" i="2"/>
  <c r="AG2002" i="2"/>
  <c r="AI2002" i="2"/>
  <c r="AJ2002" i="2"/>
  <c r="AL2002" i="2"/>
  <c r="AG2003" i="2"/>
  <c r="AI2003" i="2"/>
  <c r="AJ2003" i="2"/>
  <c r="AL2003" i="2"/>
  <c r="AG2004" i="2"/>
  <c r="AI2004" i="2"/>
  <c r="AJ2004" i="2"/>
  <c r="AL2004" i="2"/>
  <c r="AG2005" i="2"/>
  <c r="AI2005" i="2"/>
  <c r="AJ2005" i="2"/>
  <c r="AL2005" i="2"/>
  <c r="AG2006" i="2"/>
  <c r="AI2006" i="2"/>
  <c r="AJ2006" i="2"/>
  <c r="AL2006" i="2"/>
  <c r="AG2007" i="2"/>
  <c r="AI2007" i="2"/>
  <c r="AJ2007" i="2"/>
  <c r="AL2007" i="2"/>
  <c r="AG2008" i="2"/>
  <c r="AI2008" i="2"/>
  <c r="AJ2008" i="2"/>
  <c r="AL2008" i="2"/>
  <c r="AG2009" i="2"/>
  <c r="AI2009" i="2"/>
  <c r="AJ2009" i="2"/>
  <c r="AL2009" i="2"/>
  <c r="AG2010" i="2"/>
  <c r="AI2010" i="2"/>
  <c r="AJ2010" i="2"/>
  <c r="AL2010" i="2"/>
  <c r="AG2011" i="2"/>
  <c r="AI2011" i="2"/>
  <c r="AJ2011" i="2"/>
  <c r="AL2011" i="2"/>
  <c r="AG2012" i="2"/>
  <c r="AI2012" i="2"/>
  <c r="AJ2012" i="2"/>
  <c r="AL2012" i="2"/>
  <c r="AG2013" i="2"/>
  <c r="AI2013" i="2"/>
  <c r="AJ2013" i="2"/>
  <c r="AL2013" i="2"/>
  <c r="AG2014" i="2"/>
  <c r="AI2014" i="2"/>
  <c r="AJ2014" i="2"/>
  <c r="AL2014" i="2"/>
  <c r="AG2015" i="2"/>
  <c r="AI2015" i="2"/>
  <c r="AJ2015" i="2"/>
  <c r="AL2015" i="2"/>
  <c r="AG2016" i="2"/>
  <c r="AI2016" i="2"/>
  <c r="AJ2016" i="2"/>
  <c r="AL2016" i="2"/>
  <c r="AG2017" i="2"/>
  <c r="AI2017" i="2"/>
  <c r="AJ2017" i="2"/>
  <c r="AL2017" i="2"/>
  <c r="AG2018" i="2"/>
  <c r="AI2018" i="2"/>
  <c r="AJ2018" i="2"/>
  <c r="AL2018" i="2"/>
  <c r="AG2019" i="2"/>
  <c r="AI2019" i="2"/>
  <c r="AJ2019" i="2"/>
  <c r="AL2019" i="2"/>
  <c r="AG2020" i="2"/>
  <c r="AI2020" i="2"/>
  <c r="AJ2020" i="2"/>
  <c r="AL2020" i="2"/>
  <c r="AG2021" i="2"/>
  <c r="AI2021" i="2"/>
  <c r="AJ2021" i="2"/>
  <c r="AL2021" i="2"/>
  <c r="AG2022" i="2"/>
  <c r="AI2022" i="2"/>
  <c r="AJ2022" i="2"/>
  <c r="AL2022" i="2"/>
  <c r="AG2023" i="2"/>
  <c r="AI2023" i="2"/>
  <c r="AJ2023" i="2"/>
  <c r="AL2023" i="2"/>
  <c r="AG2024" i="2"/>
  <c r="AI2024" i="2"/>
  <c r="AJ2024" i="2"/>
  <c r="AL2024" i="2"/>
  <c r="AG2025" i="2"/>
  <c r="AI2025" i="2"/>
  <c r="AJ2025" i="2"/>
  <c r="AL2025" i="2"/>
  <c r="AG2026" i="2"/>
  <c r="AI2026" i="2"/>
  <c r="AJ2026" i="2"/>
  <c r="AL2026" i="2"/>
  <c r="AG2027" i="2"/>
  <c r="AI2027" i="2"/>
  <c r="AJ2027" i="2"/>
  <c r="AL2027" i="2"/>
  <c r="AG2028" i="2"/>
  <c r="AI2028" i="2"/>
  <c r="AJ2028" i="2"/>
  <c r="AL2028" i="2"/>
  <c r="AG2029" i="2"/>
  <c r="AI2029" i="2"/>
  <c r="AJ2029" i="2"/>
  <c r="AL2029" i="2"/>
  <c r="AG2030" i="2"/>
  <c r="AI2030" i="2"/>
  <c r="AJ2030" i="2"/>
  <c r="AL2030" i="2"/>
  <c r="AG2031" i="2"/>
  <c r="AI2031" i="2"/>
  <c r="AJ2031" i="2"/>
  <c r="AL2031" i="2"/>
  <c r="AG2032" i="2"/>
  <c r="AI2032" i="2"/>
  <c r="AJ2032" i="2"/>
  <c r="AL2032" i="2"/>
  <c r="AG2033" i="2"/>
  <c r="AI2033" i="2"/>
  <c r="AJ2033" i="2"/>
  <c r="AL2033" i="2"/>
  <c r="AG2034" i="2"/>
  <c r="AI2034" i="2"/>
  <c r="AJ2034" i="2"/>
  <c r="AL2034" i="2"/>
  <c r="AG2035" i="2"/>
  <c r="AI2035" i="2"/>
  <c r="AJ2035" i="2"/>
  <c r="AL2035" i="2"/>
  <c r="AG2036" i="2"/>
  <c r="AI2036" i="2"/>
  <c r="AJ2036" i="2"/>
  <c r="AL2036" i="2"/>
  <c r="AG2037" i="2"/>
  <c r="AI2037" i="2"/>
  <c r="AJ2037" i="2"/>
  <c r="AL2037" i="2"/>
  <c r="AG2038" i="2"/>
  <c r="AI2038" i="2"/>
  <c r="AJ2038" i="2"/>
  <c r="AL2038" i="2"/>
  <c r="AG2039" i="2"/>
  <c r="AI2039" i="2"/>
  <c r="AJ2039" i="2"/>
  <c r="AL2039" i="2"/>
  <c r="AG2040" i="2"/>
  <c r="AI2040" i="2"/>
  <c r="AJ2040" i="2"/>
  <c r="AL2040" i="2"/>
  <c r="AG2041" i="2"/>
  <c r="AI2041" i="2"/>
  <c r="AJ2041" i="2"/>
  <c r="AL2041" i="2"/>
  <c r="AG2042" i="2"/>
  <c r="AI2042" i="2"/>
  <c r="AJ2042" i="2"/>
  <c r="AL2042" i="2"/>
  <c r="AG2043" i="2"/>
  <c r="AI2043" i="2"/>
  <c r="AJ2043" i="2"/>
  <c r="AL2043" i="2"/>
  <c r="AG2044" i="2"/>
  <c r="AI2044" i="2"/>
  <c r="AJ2044" i="2"/>
  <c r="AL2044" i="2"/>
  <c r="AG2045" i="2"/>
  <c r="AI2045" i="2"/>
  <c r="AJ2045" i="2"/>
  <c r="AL2045" i="2"/>
  <c r="AG2046" i="2"/>
  <c r="AI2046" i="2"/>
  <c r="AJ2046" i="2"/>
  <c r="AL2046" i="2"/>
  <c r="AG2047" i="2"/>
  <c r="AI2047" i="2"/>
  <c r="AJ2047" i="2"/>
  <c r="AL2047" i="2"/>
  <c r="AG2048" i="2"/>
  <c r="AI2048" i="2"/>
  <c r="AJ2048" i="2"/>
  <c r="AL2048" i="2"/>
  <c r="AG2049" i="2"/>
  <c r="AI2049" i="2"/>
  <c r="AJ2049" i="2"/>
  <c r="AL2049" i="2"/>
  <c r="AG2050" i="2"/>
  <c r="AI2050" i="2"/>
  <c r="AJ2050" i="2"/>
  <c r="AL2050" i="2"/>
  <c r="AG2051" i="2"/>
  <c r="AI2051" i="2"/>
  <c r="AJ2051" i="2"/>
  <c r="AL2051" i="2"/>
  <c r="AG2052" i="2"/>
  <c r="AI2052" i="2"/>
  <c r="AJ2052" i="2"/>
  <c r="AL2052" i="2"/>
  <c r="AG2053" i="2"/>
  <c r="AI2053" i="2"/>
  <c r="AJ2053" i="2"/>
  <c r="AL2053" i="2"/>
  <c r="AG2054" i="2"/>
  <c r="AI2054" i="2"/>
  <c r="AJ2054" i="2"/>
  <c r="AL2054" i="2"/>
  <c r="AG2055" i="2"/>
  <c r="AI2055" i="2"/>
  <c r="AJ2055" i="2"/>
  <c r="AL2055" i="2"/>
  <c r="AG2056" i="2"/>
  <c r="AI2056" i="2"/>
  <c r="AJ2056" i="2"/>
  <c r="AL2056" i="2"/>
  <c r="AG2057" i="2"/>
  <c r="AI2057" i="2"/>
  <c r="AJ2057" i="2"/>
  <c r="AL2057" i="2"/>
  <c r="AG2058" i="2"/>
  <c r="AI2058" i="2"/>
  <c r="AJ2058" i="2"/>
  <c r="AL2058" i="2"/>
  <c r="AG2059" i="2"/>
  <c r="AI2059" i="2"/>
  <c r="AJ2059" i="2"/>
  <c r="AL2059" i="2"/>
  <c r="AG2060" i="2"/>
  <c r="AI2060" i="2"/>
  <c r="AJ2060" i="2"/>
  <c r="AL2060" i="2"/>
  <c r="AG2061" i="2"/>
  <c r="AI2061" i="2"/>
  <c r="AJ2061" i="2"/>
  <c r="AL2061" i="2"/>
  <c r="AG2062" i="2"/>
  <c r="AI2062" i="2"/>
  <c r="AJ2062" i="2"/>
  <c r="AL2062" i="2"/>
  <c r="AG2063" i="2"/>
  <c r="AI2063" i="2"/>
  <c r="AJ2063" i="2"/>
  <c r="AL2063" i="2"/>
  <c r="AG2064" i="2"/>
  <c r="AI2064" i="2"/>
  <c r="AJ2064" i="2"/>
  <c r="AL2064" i="2"/>
  <c r="AG2065" i="2"/>
  <c r="AI2065" i="2"/>
  <c r="AJ2065" i="2"/>
  <c r="AL2065" i="2"/>
  <c r="AG2066" i="2"/>
  <c r="AI2066" i="2"/>
  <c r="AJ2066" i="2"/>
  <c r="AL2066" i="2"/>
  <c r="AG2067" i="2"/>
  <c r="AI2067" i="2"/>
  <c r="AJ2067" i="2"/>
  <c r="AL2067" i="2"/>
  <c r="AG2068" i="2"/>
  <c r="AI2068" i="2"/>
  <c r="AJ2068" i="2"/>
  <c r="AL2068" i="2"/>
  <c r="AG2069" i="2"/>
  <c r="AI2069" i="2"/>
  <c r="AJ2069" i="2"/>
  <c r="AL2069" i="2"/>
  <c r="AG2070" i="2"/>
  <c r="AI2070" i="2"/>
  <c r="AJ2070" i="2"/>
  <c r="AL2070" i="2"/>
  <c r="AG2071" i="2"/>
  <c r="AI2071" i="2"/>
  <c r="AJ2071" i="2"/>
  <c r="AL2071" i="2"/>
  <c r="AG2072" i="2"/>
  <c r="AI2072" i="2"/>
  <c r="AJ2072" i="2"/>
  <c r="AL2072" i="2"/>
  <c r="AG2073" i="2"/>
  <c r="AI2073" i="2"/>
  <c r="AJ2073" i="2"/>
  <c r="AL2073" i="2"/>
  <c r="AG2074" i="2"/>
  <c r="AI2074" i="2"/>
  <c r="AJ2074" i="2"/>
  <c r="AL2074" i="2"/>
  <c r="AG2075" i="2"/>
  <c r="AI2075" i="2"/>
  <c r="AJ2075" i="2"/>
  <c r="AL2075" i="2"/>
  <c r="AG2076" i="2"/>
  <c r="AI2076" i="2"/>
  <c r="AJ2076" i="2"/>
  <c r="AL2076" i="2"/>
  <c r="AG2077" i="2"/>
  <c r="AI2077" i="2"/>
  <c r="AJ2077" i="2"/>
  <c r="AL2077" i="2"/>
  <c r="AG2078" i="2"/>
  <c r="AI2078" i="2"/>
  <c r="AJ2078" i="2"/>
  <c r="AL2078" i="2"/>
  <c r="AG2079" i="2"/>
  <c r="AI2079" i="2"/>
  <c r="AJ2079" i="2"/>
  <c r="AL2079" i="2"/>
  <c r="AG2080" i="2"/>
  <c r="AI2080" i="2"/>
  <c r="AJ2080" i="2"/>
  <c r="AL2080" i="2"/>
  <c r="AG2081" i="2"/>
  <c r="AI2081" i="2"/>
  <c r="AJ2081" i="2"/>
  <c r="AL2081" i="2"/>
  <c r="AG2082" i="2"/>
  <c r="AI2082" i="2"/>
  <c r="AJ2082" i="2"/>
  <c r="AL2082" i="2"/>
  <c r="AG2083" i="2"/>
  <c r="AI2083" i="2"/>
  <c r="AJ2083" i="2"/>
  <c r="AL2083" i="2"/>
  <c r="AG2084" i="2"/>
  <c r="AI2084" i="2"/>
  <c r="AJ2084" i="2"/>
  <c r="AL2084" i="2"/>
  <c r="AG2085" i="2"/>
  <c r="AI2085" i="2"/>
  <c r="AJ2085" i="2"/>
  <c r="AL2085" i="2"/>
  <c r="AG2086" i="2"/>
  <c r="AI2086" i="2"/>
  <c r="AJ2086" i="2"/>
  <c r="AL2086" i="2"/>
  <c r="AG2087" i="2"/>
  <c r="AI2087" i="2"/>
  <c r="AJ2087" i="2"/>
  <c r="AL2087" i="2"/>
  <c r="AG2088" i="2"/>
  <c r="AI2088" i="2"/>
  <c r="AJ2088" i="2"/>
  <c r="AL2088" i="2"/>
  <c r="AG2089" i="2"/>
  <c r="AI2089" i="2"/>
  <c r="AJ2089" i="2"/>
  <c r="AL2089" i="2"/>
  <c r="AG2090" i="2"/>
  <c r="AI2090" i="2"/>
  <c r="AJ2090" i="2"/>
  <c r="AL2090" i="2"/>
  <c r="AG2091" i="2"/>
  <c r="AI2091" i="2"/>
  <c r="AJ2091" i="2"/>
  <c r="AL2091" i="2"/>
  <c r="AG2092" i="2"/>
  <c r="AI2092" i="2"/>
  <c r="AJ2092" i="2"/>
  <c r="AL2092" i="2"/>
  <c r="AG2093" i="2"/>
  <c r="AI2093" i="2"/>
  <c r="AJ2093" i="2"/>
  <c r="AL2093" i="2"/>
  <c r="AG2094" i="2"/>
  <c r="AI2094" i="2"/>
  <c r="AJ2094" i="2"/>
  <c r="AL2094" i="2"/>
  <c r="AG2095" i="2"/>
  <c r="AI2095" i="2"/>
  <c r="AJ2095" i="2"/>
  <c r="AL2095" i="2"/>
  <c r="AG2096" i="2"/>
  <c r="AI2096" i="2"/>
  <c r="AJ2096" i="2"/>
  <c r="AL2096" i="2"/>
  <c r="AG2097" i="2"/>
  <c r="AI2097" i="2"/>
  <c r="AJ2097" i="2"/>
  <c r="AL2097" i="2"/>
  <c r="AG2098" i="2"/>
  <c r="AI2098" i="2"/>
  <c r="AJ2098" i="2"/>
  <c r="AL2098" i="2"/>
  <c r="AG2099" i="2"/>
  <c r="AI2099" i="2"/>
  <c r="AJ2099" i="2"/>
  <c r="AL2099" i="2"/>
  <c r="AG2100" i="2"/>
  <c r="AI2100" i="2"/>
  <c r="AJ2100" i="2"/>
  <c r="AL2100" i="2"/>
  <c r="AG2101" i="2"/>
  <c r="AI2101" i="2"/>
  <c r="AJ2101" i="2"/>
  <c r="AL2101" i="2"/>
  <c r="AG2102" i="2"/>
  <c r="AI2102" i="2"/>
  <c r="AJ2102" i="2"/>
  <c r="AL2102" i="2"/>
  <c r="AG2103" i="2"/>
  <c r="AI2103" i="2"/>
  <c r="AJ2103" i="2"/>
  <c r="AL2103" i="2"/>
  <c r="AG2104" i="2"/>
  <c r="AI2104" i="2"/>
  <c r="AJ2104" i="2"/>
  <c r="AL2104" i="2"/>
  <c r="AG2105" i="2"/>
  <c r="AI2105" i="2"/>
  <c r="AJ2105" i="2"/>
  <c r="AL2105" i="2"/>
  <c r="AG2106" i="2"/>
  <c r="AI2106" i="2"/>
  <c r="AJ2106" i="2"/>
  <c r="AL2106" i="2"/>
  <c r="AG2107" i="2"/>
  <c r="AI2107" i="2"/>
  <c r="AJ2107" i="2"/>
  <c r="AL2107" i="2"/>
  <c r="AG2108" i="2"/>
  <c r="AI2108" i="2"/>
  <c r="AJ2108" i="2"/>
  <c r="AL2108" i="2"/>
  <c r="AG2109" i="2"/>
  <c r="AI2109" i="2"/>
  <c r="AJ2109" i="2"/>
  <c r="AL2109" i="2"/>
  <c r="AG2110" i="2"/>
  <c r="AI2110" i="2"/>
  <c r="AJ2110" i="2"/>
  <c r="AL2110" i="2"/>
  <c r="AG2111" i="2"/>
  <c r="AI2111" i="2"/>
  <c r="AJ2111" i="2"/>
  <c r="AL2111" i="2"/>
  <c r="AG2112" i="2"/>
  <c r="AI2112" i="2"/>
  <c r="AJ2112" i="2"/>
  <c r="AL2112" i="2"/>
  <c r="AG2113" i="2"/>
  <c r="AI2113" i="2"/>
  <c r="AJ2113" i="2"/>
  <c r="AL2113" i="2"/>
  <c r="AG2114" i="2"/>
  <c r="AI2114" i="2"/>
  <c r="AJ2114" i="2"/>
  <c r="AL2114" i="2"/>
  <c r="AG2115" i="2"/>
  <c r="AI2115" i="2"/>
  <c r="AJ2115" i="2"/>
  <c r="AL2115" i="2"/>
  <c r="AG2116" i="2"/>
  <c r="AI2116" i="2"/>
  <c r="AJ2116" i="2"/>
  <c r="AL2116" i="2"/>
  <c r="AG2117" i="2"/>
  <c r="AI2117" i="2"/>
  <c r="AJ2117" i="2"/>
  <c r="AL2117" i="2"/>
  <c r="AG2118" i="2"/>
  <c r="AI2118" i="2"/>
  <c r="AJ2118" i="2"/>
  <c r="AL2118" i="2"/>
  <c r="AG2119" i="2"/>
  <c r="AI2119" i="2"/>
  <c r="AJ2119" i="2"/>
  <c r="AL2119" i="2"/>
  <c r="AG2120" i="2"/>
  <c r="AI2120" i="2"/>
  <c r="AJ2120" i="2"/>
  <c r="AL2120" i="2"/>
  <c r="AG2121" i="2"/>
  <c r="AI2121" i="2"/>
  <c r="AJ2121" i="2"/>
  <c r="AL2121" i="2"/>
  <c r="AG2122" i="2"/>
  <c r="AI2122" i="2"/>
  <c r="AJ2122" i="2"/>
  <c r="AL2122" i="2"/>
  <c r="AG2123" i="2"/>
  <c r="AI2123" i="2"/>
  <c r="AJ2123" i="2"/>
  <c r="AL2123" i="2"/>
  <c r="AG2124" i="2"/>
  <c r="AI2124" i="2"/>
  <c r="AJ2124" i="2"/>
  <c r="AL2124" i="2"/>
  <c r="AG2125" i="2"/>
  <c r="AI2125" i="2"/>
  <c r="AJ2125" i="2"/>
  <c r="AL2125" i="2"/>
  <c r="AG2126" i="2"/>
  <c r="AI2126" i="2"/>
  <c r="AJ2126" i="2"/>
  <c r="AL2126" i="2"/>
  <c r="AG2127" i="2"/>
  <c r="AI2127" i="2"/>
  <c r="AJ2127" i="2"/>
  <c r="AL2127" i="2"/>
  <c r="AG2128" i="2"/>
  <c r="AI2128" i="2"/>
  <c r="AJ2128" i="2"/>
  <c r="AL2128" i="2"/>
  <c r="AG2129" i="2"/>
  <c r="AI2129" i="2"/>
  <c r="AJ2129" i="2"/>
  <c r="AL2129" i="2"/>
  <c r="AG2130" i="2"/>
  <c r="AI2130" i="2"/>
  <c r="AJ2130" i="2"/>
  <c r="AL2130" i="2"/>
  <c r="AG2131" i="2"/>
  <c r="AI2131" i="2"/>
  <c r="AJ2131" i="2"/>
  <c r="AL2131" i="2"/>
  <c r="AG2132" i="2"/>
  <c r="AI2132" i="2"/>
  <c r="AJ2132" i="2"/>
  <c r="AL2132" i="2"/>
  <c r="AG2133" i="2"/>
  <c r="AI2133" i="2"/>
  <c r="AJ2133" i="2"/>
  <c r="AL2133" i="2"/>
  <c r="AG2134" i="2"/>
  <c r="AI2134" i="2"/>
  <c r="AJ2134" i="2"/>
  <c r="AL2134" i="2"/>
  <c r="AG2135" i="2"/>
  <c r="AI2135" i="2"/>
  <c r="AJ2135" i="2"/>
  <c r="AL2135" i="2"/>
  <c r="AG2136" i="2"/>
  <c r="AI2136" i="2"/>
  <c r="AJ2136" i="2"/>
  <c r="AL2136" i="2"/>
  <c r="AG2137" i="2"/>
  <c r="AI2137" i="2"/>
  <c r="AJ2137" i="2"/>
  <c r="AL2137" i="2"/>
  <c r="AG2138" i="2"/>
  <c r="AI2138" i="2"/>
  <c r="AJ2138" i="2"/>
  <c r="AL2138" i="2"/>
  <c r="AG2139" i="2"/>
  <c r="AI2139" i="2"/>
  <c r="AJ2139" i="2"/>
  <c r="AL2139" i="2"/>
  <c r="AG2140" i="2"/>
  <c r="AI2140" i="2"/>
  <c r="AJ2140" i="2"/>
  <c r="AL2140" i="2"/>
  <c r="AG2141" i="2"/>
  <c r="AI2141" i="2"/>
  <c r="AJ2141" i="2"/>
  <c r="AL2141" i="2"/>
  <c r="AG2142" i="2"/>
  <c r="AI2142" i="2"/>
  <c r="AJ2142" i="2"/>
  <c r="AL2142" i="2"/>
  <c r="AG2143" i="2"/>
  <c r="AI2143" i="2"/>
  <c r="AJ2143" i="2"/>
  <c r="AL2143" i="2"/>
  <c r="AG2144" i="2"/>
  <c r="AI2144" i="2"/>
  <c r="AJ2144" i="2"/>
  <c r="AL2144" i="2"/>
  <c r="AG2145" i="2"/>
  <c r="AI2145" i="2"/>
  <c r="AJ2145" i="2"/>
  <c r="AL2145" i="2"/>
  <c r="AG2146" i="2"/>
  <c r="AI2146" i="2"/>
  <c r="AJ2146" i="2"/>
  <c r="AL2146" i="2"/>
  <c r="AG2147" i="2"/>
  <c r="AI2147" i="2"/>
  <c r="AJ2147" i="2"/>
  <c r="AL2147" i="2"/>
  <c r="AG2148" i="2"/>
  <c r="AI2148" i="2"/>
  <c r="AJ2148" i="2"/>
  <c r="AL2148" i="2"/>
  <c r="AG2149" i="2"/>
  <c r="AI2149" i="2"/>
  <c r="AJ2149" i="2"/>
  <c r="AL2149" i="2"/>
  <c r="AG2150" i="2"/>
  <c r="AI2150" i="2"/>
  <c r="AJ2150" i="2"/>
  <c r="AL2150" i="2"/>
  <c r="AG2151" i="2"/>
  <c r="AI2151" i="2"/>
  <c r="AJ2151" i="2"/>
  <c r="AL2151" i="2"/>
  <c r="AG2152" i="2"/>
  <c r="AI2152" i="2"/>
  <c r="AJ2152" i="2"/>
  <c r="AL2152" i="2"/>
  <c r="AG2153" i="2"/>
  <c r="AI2153" i="2"/>
  <c r="AJ2153" i="2"/>
  <c r="AL2153" i="2"/>
  <c r="AG2154" i="2"/>
  <c r="AI2154" i="2"/>
  <c r="AJ2154" i="2"/>
  <c r="AL2154" i="2"/>
  <c r="AG2155" i="2"/>
  <c r="AI2155" i="2"/>
  <c r="AJ2155" i="2"/>
  <c r="AL2155" i="2"/>
  <c r="AG2156" i="2"/>
  <c r="AI2156" i="2"/>
  <c r="AJ2156" i="2"/>
  <c r="AL2156" i="2"/>
  <c r="AG2157" i="2"/>
  <c r="AI2157" i="2"/>
  <c r="AJ2157" i="2"/>
  <c r="AL2157" i="2"/>
  <c r="AG2158" i="2"/>
  <c r="AI2158" i="2"/>
  <c r="AJ2158" i="2"/>
  <c r="AL2158" i="2"/>
  <c r="AG2159" i="2"/>
  <c r="AI2159" i="2"/>
  <c r="AJ2159" i="2"/>
  <c r="AL2159" i="2"/>
  <c r="AG2160" i="2"/>
  <c r="AI2160" i="2"/>
  <c r="AJ2160" i="2"/>
  <c r="AL2160" i="2"/>
  <c r="AG2161" i="2"/>
  <c r="AI2161" i="2"/>
  <c r="AJ2161" i="2"/>
  <c r="AL2161" i="2"/>
  <c r="AG2162" i="2"/>
  <c r="AI2162" i="2"/>
  <c r="AJ2162" i="2"/>
  <c r="AL2162" i="2"/>
  <c r="AG2163" i="2"/>
  <c r="AI2163" i="2"/>
  <c r="AJ2163" i="2"/>
  <c r="AL2163" i="2"/>
  <c r="AG2164" i="2"/>
  <c r="AI2164" i="2"/>
  <c r="AJ2164" i="2"/>
  <c r="AL2164" i="2"/>
  <c r="AG2165" i="2"/>
  <c r="AI2165" i="2"/>
  <c r="AJ2165" i="2"/>
  <c r="AL2165" i="2"/>
  <c r="AG2166" i="2"/>
  <c r="AI2166" i="2"/>
  <c r="AJ2166" i="2"/>
  <c r="AL2166" i="2"/>
  <c r="AG2167" i="2"/>
  <c r="AI2167" i="2"/>
  <c r="AJ2167" i="2"/>
  <c r="AL2167" i="2"/>
  <c r="AG2168" i="2"/>
  <c r="AI2168" i="2"/>
  <c r="AJ2168" i="2"/>
  <c r="AL2168" i="2"/>
  <c r="AG2169" i="2"/>
  <c r="AI2169" i="2"/>
  <c r="AJ2169" i="2"/>
  <c r="AL2169" i="2"/>
  <c r="AG2170" i="2"/>
  <c r="AI2170" i="2"/>
  <c r="AJ2170" i="2"/>
  <c r="AL2170" i="2"/>
  <c r="AG2171" i="2"/>
  <c r="AI2171" i="2"/>
  <c r="AJ2171" i="2"/>
  <c r="AL2171" i="2"/>
  <c r="AG2172" i="2"/>
  <c r="AI2172" i="2"/>
  <c r="AJ2172" i="2"/>
  <c r="AL2172" i="2"/>
  <c r="AG2173" i="2"/>
  <c r="AI2173" i="2"/>
  <c r="AJ2173" i="2"/>
  <c r="AL2173" i="2"/>
  <c r="AG2174" i="2"/>
  <c r="AI2174" i="2"/>
  <c r="AJ2174" i="2"/>
  <c r="AL2174" i="2"/>
  <c r="AG2175" i="2"/>
  <c r="AI2175" i="2"/>
  <c r="AJ2175" i="2"/>
  <c r="AL2175" i="2"/>
  <c r="AG2176" i="2"/>
  <c r="AI2176" i="2"/>
  <c r="AJ2176" i="2"/>
  <c r="AL2176" i="2"/>
  <c r="AG2177" i="2"/>
  <c r="AI2177" i="2"/>
  <c r="AJ2177" i="2"/>
  <c r="AL2177" i="2"/>
  <c r="AG2178" i="2"/>
  <c r="AI2178" i="2"/>
  <c r="AJ2178" i="2"/>
  <c r="AL2178" i="2"/>
  <c r="AG2179" i="2"/>
  <c r="AI2179" i="2"/>
  <c r="AJ2179" i="2"/>
  <c r="AL2179" i="2"/>
  <c r="AG2180" i="2"/>
  <c r="AI2180" i="2"/>
  <c r="AJ2180" i="2"/>
  <c r="AL2180" i="2"/>
  <c r="AG2181" i="2"/>
  <c r="AI2181" i="2"/>
  <c r="AJ2181" i="2"/>
  <c r="AL2181" i="2"/>
  <c r="AG2182" i="2"/>
  <c r="AI2182" i="2"/>
  <c r="AJ2182" i="2"/>
  <c r="AL2182" i="2"/>
  <c r="AG2183" i="2"/>
  <c r="AI2183" i="2"/>
  <c r="AJ2183" i="2"/>
  <c r="AL2183" i="2"/>
  <c r="AG2184" i="2"/>
  <c r="AI2184" i="2"/>
  <c r="AJ2184" i="2"/>
  <c r="AL2184" i="2"/>
  <c r="AG2185" i="2"/>
  <c r="AI2185" i="2"/>
  <c r="AJ2185" i="2"/>
  <c r="AL2185" i="2"/>
  <c r="AG2186" i="2"/>
  <c r="AI2186" i="2"/>
  <c r="AJ2186" i="2"/>
  <c r="AL2186" i="2"/>
  <c r="AG2187" i="2"/>
  <c r="AI2187" i="2"/>
  <c r="AJ2187" i="2"/>
  <c r="AL2187" i="2"/>
  <c r="AG2188" i="2"/>
  <c r="AI2188" i="2"/>
  <c r="AJ2188" i="2"/>
  <c r="AL2188" i="2"/>
  <c r="AG2189" i="2"/>
  <c r="AI2189" i="2"/>
  <c r="AJ2189" i="2"/>
  <c r="AL2189" i="2"/>
  <c r="AG2190" i="2"/>
  <c r="AI2190" i="2"/>
  <c r="AJ2190" i="2"/>
  <c r="AL2190" i="2"/>
  <c r="AG2191" i="2"/>
  <c r="AI2191" i="2"/>
  <c r="AJ2191" i="2"/>
  <c r="AL2191" i="2"/>
  <c r="AG2192" i="2"/>
  <c r="AI2192" i="2"/>
  <c r="AJ2192" i="2"/>
  <c r="AL2192" i="2"/>
  <c r="AG2193" i="2"/>
  <c r="AI2193" i="2"/>
  <c r="AJ2193" i="2"/>
  <c r="AL2193" i="2"/>
  <c r="AG2194" i="2"/>
  <c r="AI2194" i="2"/>
  <c r="AJ2194" i="2"/>
  <c r="AL2194" i="2"/>
  <c r="AG2195" i="2"/>
  <c r="AI2195" i="2"/>
  <c r="AJ2195" i="2"/>
  <c r="AL2195" i="2"/>
  <c r="AG2196" i="2"/>
  <c r="AI2196" i="2"/>
  <c r="AJ2196" i="2"/>
  <c r="AL2196" i="2"/>
  <c r="AG2197" i="2"/>
  <c r="AI2197" i="2"/>
  <c r="AJ2197" i="2"/>
  <c r="AL2197" i="2"/>
  <c r="AG2198" i="2"/>
  <c r="AI2198" i="2"/>
  <c r="AJ2198" i="2"/>
  <c r="AL2198" i="2"/>
  <c r="AG2199" i="2"/>
  <c r="AI2199" i="2"/>
  <c r="AJ2199" i="2"/>
  <c r="AL2199" i="2"/>
  <c r="AG2200" i="2"/>
  <c r="AI2200" i="2"/>
  <c r="AJ2200" i="2"/>
  <c r="AL2200" i="2"/>
  <c r="AG2201" i="2"/>
  <c r="AI2201" i="2"/>
  <c r="AJ2201" i="2"/>
  <c r="AL2201" i="2"/>
  <c r="AG2202" i="2"/>
  <c r="AI2202" i="2"/>
  <c r="AJ2202" i="2"/>
  <c r="AL2202" i="2"/>
  <c r="AG2203" i="2"/>
  <c r="AI2203" i="2"/>
  <c r="AJ2203" i="2"/>
  <c r="AL2203" i="2"/>
  <c r="AG2204" i="2"/>
  <c r="AI2204" i="2"/>
  <c r="AJ2204" i="2"/>
  <c r="AL2204" i="2"/>
  <c r="AG2205" i="2"/>
  <c r="AI2205" i="2"/>
  <c r="AJ2205" i="2"/>
  <c r="AL2205" i="2"/>
  <c r="AG2206" i="2"/>
  <c r="AI2206" i="2"/>
  <c r="AJ2206" i="2"/>
  <c r="AL2206" i="2"/>
  <c r="AG2207" i="2"/>
  <c r="AI2207" i="2"/>
  <c r="AJ2207" i="2"/>
  <c r="AL2207" i="2"/>
  <c r="AG2208" i="2"/>
  <c r="AI2208" i="2"/>
  <c r="AJ2208" i="2"/>
  <c r="AL2208" i="2"/>
  <c r="AG2209" i="2"/>
  <c r="AI2209" i="2"/>
  <c r="AJ2209" i="2"/>
  <c r="AL2209" i="2"/>
  <c r="AG2210" i="2"/>
  <c r="AI2210" i="2"/>
  <c r="AJ2210" i="2"/>
  <c r="AL2210" i="2"/>
  <c r="AG2211" i="2"/>
  <c r="AI2211" i="2"/>
  <c r="AJ2211" i="2"/>
  <c r="AL2211" i="2"/>
  <c r="AG2212" i="2"/>
  <c r="AI2212" i="2"/>
  <c r="AJ2212" i="2"/>
  <c r="AL2212" i="2"/>
  <c r="AG2213" i="2"/>
  <c r="AI2213" i="2"/>
  <c r="AJ2213" i="2"/>
  <c r="AL2213" i="2"/>
  <c r="AG2214" i="2"/>
  <c r="AI2214" i="2"/>
  <c r="AJ2214" i="2"/>
  <c r="AL2214" i="2"/>
  <c r="AG2215" i="2"/>
  <c r="AI2215" i="2"/>
  <c r="AJ2215" i="2"/>
  <c r="AL2215" i="2"/>
  <c r="AG2216" i="2"/>
  <c r="AI2216" i="2"/>
  <c r="AJ2216" i="2"/>
  <c r="AL2216" i="2"/>
  <c r="AG2217" i="2"/>
  <c r="AI2217" i="2"/>
  <c r="AJ2217" i="2"/>
  <c r="AL2217" i="2"/>
  <c r="AG2218" i="2"/>
  <c r="AI2218" i="2"/>
  <c r="AJ2218" i="2"/>
  <c r="AL2218" i="2"/>
  <c r="AG2219" i="2"/>
  <c r="AI2219" i="2"/>
  <c r="AJ2219" i="2"/>
  <c r="AL2219" i="2"/>
  <c r="AG2220" i="2"/>
  <c r="AI2220" i="2"/>
  <c r="AJ2220" i="2"/>
  <c r="AL2220" i="2"/>
  <c r="AG2221" i="2"/>
  <c r="AI2221" i="2"/>
  <c r="AJ2221" i="2"/>
  <c r="AL2221" i="2"/>
  <c r="AG2222" i="2"/>
  <c r="AI2222" i="2"/>
  <c r="AJ2222" i="2"/>
  <c r="AL2222" i="2"/>
  <c r="AG2223" i="2"/>
  <c r="AI2223" i="2"/>
  <c r="AJ2223" i="2"/>
  <c r="AL2223" i="2"/>
  <c r="AG2224" i="2"/>
  <c r="AI2224" i="2"/>
  <c r="AJ2224" i="2"/>
  <c r="AL2224" i="2"/>
  <c r="AG2225" i="2"/>
  <c r="AI2225" i="2"/>
  <c r="AJ2225" i="2"/>
  <c r="AL2225" i="2"/>
  <c r="AG2226" i="2"/>
  <c r="AI2226" i="2"/>
  <c r="AJ2226" i="2"/>
  <c r="AL2226" i="2"/>
  <c r="AG2227" i="2"/>
  <c r="AI2227" i="2"/>
  <c r="AJ2227" i="2"/>
  <c r="AL2227" i="2"/>
  <c r="AG2228" i="2"/>
  <c r="AI2228" i="2"/>
  <c r="AJ2228" i="2"/>
  <c r="AL2228" i="2"/>
  <c r="AG2229" i="2"/>
  <c r="AI2229" i="2"/>
  <c r="AJ2229" i="2"/>
  <c r="AL2229" i="2"/>
  <c r="AG2230" i="2"/>
  <c r="AI2230" i="2"/>
  <c r="AJ2230" i="2"/>
  <c r="AL2230" i="2"/>
  <c r="AG2231" i="2"/>
  <c r="AI2231" i="2"/>
  <c r="AJ2231" i="2"/>
  <c r="AL2231" i="2"/>
  <c r="AG2232" i="2"/>
  <c r="AI2232" i="2"/>
  <c r="AJ2232" i="2"/>
  <c r="AL2232" i="2"/>
  <c r="AG2233" i="2"/>
  <c r="AI2233" i="2"/>
  <c r="AJ2233" i="2"/>
  <c r="AL2233" i="2"/>
  <c r="AG2234" i="2"/>
  <c r="AI2234" i="2"/>
  <c r="AJ2234" i="2"/>
  <c r="AL2234" i="2"/>
  <c r="AG2235" i="2"/>
  <c r="AI2235" i="2"/>
  <c r="AJ2235" i="2"/>
  <c r="AL2235" i="2"/>
  <c r="AG2236" i="2"/>
  <c r="AI2236" i="2"/>
  <c r="AJ2236" i="2"/>
  <c r="AL2236" i="2"/>
  <c r="AG2237" i="2"/>
  <c r="AI2237" i="2"/>
  <c r="AJ2237" i="2"/>
  <c r="AL2237" i="2"/>
  <c r="AG2238" i="2"/>
  <c r="AI2238" i="2"/>
  <c r="AJ2238" i="2"/>
  <c r="AL2238" i="2"/>
  <c r="AG2239" i="2"/>
  <c r="AI2239" i="2"/>
  <c r="AJ2239" i="2"/>
  <c r="AL2239" i="2"/>
  <c r="AG2240" i="2"/>
  <c r="AI2240" i="2"/>
  <c r="AJ2240" i="2"/>
  <c r="AL2240" i="2"/>
  <c r="AG2241" i="2"/>
  <c r="AI2241" i="2"/>
  <c r="AJ2241" i="2"/>
  <c r="AL2241" i="2"/>
  <c r="AG2242" i="2"/>
  <c r="AI2242" i="2"/>
  <c r="AJ2242" i="2"/>
  <c r="AL2242" i="2"/>
  <c r="AG2243" i="2"/>
  <c r="AI2243" i="2"/>
  <c r="AJ2243" i="2"/>
  <c r="AL2243" i="2"/>
  <c r="AG2244" i="2"/>
  <c r="AI2244" i="2"/>
  <c r="AJ2244" i="2"/>
  <c r="AL2244" i="2"/>
  <c r="AG2245" i="2"/>
  <c r="AI2245" i="2"/>
  <c r="AJ2245" i="2"/>
  <c r="AL2245" i="2"/>
  <c r="AG2246" i="2"/>
  <c r="AI2246" i="2"/>
  <c r="AJ2246" i="2"/>
  <c r="AL2246" i="2"/>
  <c r="AG2247" i="2"/>
  <c r="AI2247" i="2"/>
  <c r="AJ2247" i="2"/>
  <c r="AL2247" i="2"/>
  <c r="AG2248" i="2"/>
  <c r="AI2248" i="2"/>
  <c r="AJ2248" i="2"/>
  <c r="AL2248" i="2"/>
  <c r="AG2249" i="2"/>
  <c r="AI2249" i="2"/>
  <c r="AJ2249" i="2"/>
  <c r="AL2249" i="2"/>
  <c r="AG2250" i="2"/>
  <c r="AI2250" i="2"/>
  <c r="AJ2250" i="2"/>
  <c r="AL2250" i="2"/>
  <c r="AG2251" i="2"/>
  <c r="AI2251" i="2"/>
  <c r="AJ2251" i="2"/>
  <c r="AL2251" i="2"/>
  <c r="AG2252" i="2"/>
  <c r="AI2252" i="2"/>
  <c r="AJ2252" i="2"/>
  <c r="AL2252" i="2"/>
  <c r="AG2253" i="2"/>
  <c r="AI2253" i="2"/>
  <c r="AJ2253" i="2"/>
  <c r="AL2253" i="2"/>
  <c r="AG2254" i="2"/>
  <c r="AI2254" i="2"/>
  <c r="AJ2254" i="2"/>
  <c r="AL2254" i="2"/>
  <c r="AG2255" i="2"/>
  <c r="AI2255" i="2"/>
  <c r="AJ2255" i="2"/>
  <c r="AL2255" i="2"/>
  <c r="AG2256" i="2"/>
  <c r="AI2256" i="2"/>
  <c r="AJ2256" i="2"/>
  <c r="AL2256" i="2"/>
  <c r="AG2257" i="2"/>
  <c r="AI2257" i="2"/>
  <c r="AJ2257" i="2"/>
  <c r="AL2257" i="2"/>
  <c r="AG2258" i="2"/>
  <c r="AI2258" i="2"/>
  <c r="AJ2258" i="2"/>
  <c r="AL2258" i="2"/>
  <c r="AG2259" i="2"/>
  <c r="AI2259" i="2"/>
  <c r="AJ2259" i="2"/>
  <c r="AL2259" i="2"/>
  <c r="AG2260" i="2"/>
  <c r="AI2260" i="2"/>
  <c r="AJ2260" i="2"/>
  <c r="AL2260" i="2"/>
  <c r="AG2261" i="2"/>
  <c r="AI2261" i="2"/>
  <c r="AJ2261" i="2"/>
  <c r="AL2261" i="2"/>
  <c r="AG2262" i="2"/>
  <c r="AI2262" i="2"/>
  <c r="AJ2262" i="2"/>
  <c r="AL2262" i="2"/>
  <c r="AG2263" i="2"/>
  <c r="AI2263" i="2"/>
  <c r="AJ2263" i="2"/>
  <c r="AL2263" i="2"/>
  <c r="AG2264" i="2"/>
  <c r="AI2264" i="2"/>
  <c r="AJ2264" i="2"/>
  <c r="AL2264" i="2"/>
  <c r="AG2265" i="2"/>
  <c r="AI2265" i="2"/>
  <c r="AJ2265" i="2"/>
  <c r="AL2265" i="2"/>
  <c r="AG2266" i="2"/>
  <c r="AI2266" i="2"/>
  <c r="AJ2266" i="2"/>
  <c r="AL2266" i="2"/>
  <c r="AG2267" i="2"/>
  <c r="AI2267" i="2"/>
  <c r="AJ2267" i="2"/>
  <c r="AL2267" i="2"/>
  <c r="AG2268" i="2"/>
  <c r="AI2268" i="2"/>
  <c r="AJ2268" i="2"/>
  <c r="AL2268" i="2"/>
  <c r="AG2269" i="2"/>
  <c r="AI2269" i="2"/>
  <c r="AJ2269" i="2"/>
  <c r="AL2269" i="2"/>
  <c r="AG2270" i="2"/>
  <c r="AI2270" i="2"/>
  <c r="AJ2270" i="2"/>
  <c r="AL2270" i="2"/>
  <c r="AG2271" i="2"/>
  <c r="AI2271" i="2"/>
  <c r="AJ2271" i="2"/>
  <c r="AL2271" i="2"/>
  <c r="AG2272" i="2"/>
  <c r="AI2272" i="2"/>
  <c r="AJ2272" i="2"/>
  <c r="AL2272" i="2"/>
  <c r="AG2273" i="2"/>
  <c r="AI2273" i="2"/>
  <c r="AJ2273" i="2"/>
  <c r="AL2273" i="2"/>
  <c r="AG2274" i="2"/>
  <c r="AI2274" i="2"/>
  <c r="AJ2274" i="2"/>
  <c r="AL2274" i="2"/>
  <c r="AG2275" i="2"/>
  <c r="AI2275" i="2"/>
  <c r="AJ2275" i="2"/>
  <c r="AL2275" i="2"/>
  <c r="AG2276" i="2"/>
  <c r="AI2276" i="2"/>
  <c r="AJ2276" i="2"/>
  <c r="AL2276" i="2"/>
  <c r="AG2277" i="2"/>
  <c r="AI2277" i="2"/>
  <c r="AJ2277" i="2"/>
  <c r="AL2277" i="2"/>
  <c r="AG2278" i="2"/>
  <c r="AI2278" i="2"/>
  <c r="AJ2278" i="2"/>
  <c r="AL2278" i="2"/>
  <c r="AG2279" i="2"/>
  <c r="AI2279" i="2"/>
  <c r="AJ2279" i="2"/>
  <c r="AL2279" i="2"/>
  <c r="AG2280" i="2"/>
  <c r="AI2280" i="2"/>
  <c r="AJ2280" i="2"/>
  <c r="AL2280" i="2"/>
  <c r="AG2281" i="2"/>
  <c r="AI2281" i="2"/>
  <c r="AJ2281" i="2"/>
  <c r="AL2281" i="2"/>
  <c r="AG2282" i="2"/>
  <c r="AI2282" i="2"/>
  <c r="AJ2282" i="2"/>
  <c r="AL2282" i="2"/>
  <c r="AG2283" i="2"/>
  <c r="AI2283" i="2"/>
  <c r="AJ2283" i="2"/>
  <c r="AL2283" i="2"/>
  <c r="AG2284" i="2"/>
  <c r="AI2284" i="2"/>
  <c r="AJ2284" i="2"/>
  <c r="AL2284" i="2"/>
  <c r="AG2285" i="2"/>
  <c r="AI2285" i="2"/>
  <c r="AJ2285" i="2"/>
  <c r="AL2285" i="2"/>
  <c r="AG2286" i="2"/>
  <c r="AI2286" i="2"/>
  <c r="AJ2286" i="2"/>
  <c r="AL2286" i="2"/>
  <c r="AG2287" i="2"/>
  <c r="AI2287" i="2"/>
  <c r="AJ2287" i="2"/>
  <c r="AL2287" i="2"/>
  <c r="AG2288" i="2"/>
  <c r="AI2288" i="2"/>
  <c r="AJ2288" i="2"/>
  <c r="AL2288" i="2"/>
  <c r="AG2289" i="2"/>
  <c r="AI2289" i="2"/>
  <c r="AJ2289" i="2"/>
  <c r="AL2289" i="2"/>
  <c r="AG2290" i="2"/>
  <c r="AI2290" i="2"/>
  <c r="AJ2290" i="2"/>
  <c r="AL2290" i="2"/>
  <c r="AG2291" i="2"/>
  <c r="AI2291" i="2"/>
  <c r="AJ2291" i="2"/>
  <c r="AL2291" i="2"/>
  <c r="AG2292" i="2"/>
  <c r="AI2292" i="2"/>
  <c r="AJ2292" i="2"/>
  <c r="AL2292" i="2"/>
  <c r="AG2293" i="2"/>
  <c r="AI2293" i="2"/>
  <c r="AJ2293" i="2"/>
  <c r="AL2293" i="2"/>
  <c r="AG2294" i="2"/>
  <c r="AI2294" i="2"/>
  <c r="AJ2294" i="2"/>
  <c r="AL2294" i="2"/>
  <c r="AG2295" i="2"/>
  <c r="AI2295" i="2"/>
  <c r="AJ2295" i="2"/>
  <c r="AL2295" i="2"/>
  <c r="AG2296" i="2"/>
  <c r="AI2296" i="2"/>
  <c r="AJ2296" i="2"/>
  <c r="AL2296" i="2"/>
  <c r="AG2297" i="2"/>
  <c r="AI2297" i="2"/>
  <c r="AJ2297" i="2"/>
  <c r="AL2297" i="2"/>
  <c r="AG2298" i="2"/>
  <c r="AI2298" i="2"/>
  <c r="AJ2298" i="2"/>
  <c r="AL2298" i="2"/>
  <c r="AG2299" i="2"/>
  <c r="AI2299" i="2"/>
  <c r="AJ2299" i="2"/>
  <c r="AL2299" i="2"/>
  <c r="AG2300" i="2"/>
  <c r="AI2300" i="2"/>
  <c r="AJ2300" i="2"/>
  <c r="AL2300" i="2"/>
  <c r="AG2301" i="2"/>
  <c r="AI2301" i="2"/>
  <c r="AJ2301" i="2"/>
  <c r="AL2301" i="2"/>
  <c r="AG2302" i="2"/>
  <c r="AI2302" i="2"/>
  <c r="AJ2302" i="2"/>
  <c r="AL2302" i="2"/>
  <c r="AG2303" i="2"/>
  <c r="AI2303" i="2"/>
  <c r="AJ2303" i="2"/>
  <c r="AL2303" i="2"/>
  <c r="AG2304" i="2"/>
  <c r="AI2304" i="2"/>
  <c r="AJ2304" i="2"/>
  <c r="AL2304" i="2"/>
  <c r="AG2305" i="2"/>
  <c r="AI2305" i="2"/>
  <c r="AJ2305" i="2"/>
  <c r="AL2305" i="2"/>
  <c r="AG2306" i="2"/>
  <c r="AI2306" i="2"/>
  <c r="AJ2306" i="2"/>
  <c r="AL2306" i="2"/>
  <c r="AG2307" i="2"/>
  <c r="AI2307" i="2"/>
  <c r="AJ2307" i="2"/>
  <c r="AL2307" i="2"/>
  <c r="AG2308" i="2"/>
  <c r="AI2308" i="2"/>
  <c r="AJ2308" i="2"/>
  <c r="AL2308" i="2"/>
  <c r="AG2309" i="2"/>
  <c r="AI2309" i="2"/>
  <c r="AJ2309" i="2"/>
  <c r="AL2309" i="2"/>
  <c r="AG2310" i="2"/>
  <c r="AI2310" i="2"/>
  <c r="AJ2310" i="2"/>
  <c r="AL2310" i="2"/>
  <c r="AG2311" i="2"/>
  <c r="AI2311" i="2"/>
  <c r="AJ2311" i="2"/>
  <c r="AL2311" i="2"/>
  <c r="AG2312" i="2"/>
  <c r="AI2312" i="2"/>
  <c r="AJ2312" i="2"/>
  <c r="AL2312" i="2"/>
  <c r="AG2313" i="2"/>
  <c r="AI2313" i="2"/>
  <c r="AJ2313" i="2"/>
  <c r="AL2313" i="2"/>
  <c r="AG2314" i="2"/>
  <c r="AI2314" i="2"/>
  <c r="AJ2314" i="2"/>
  <c r="AL2314" i="2"/>
  <c r="AG2315" i="2"/>
  <c r="AI2315" i="2"/>
  <c r="AJ2315" i="2"/>
  <c r="AL2315" i="2"/>
  <c r="AG2316" i="2"/>
  <c r="AI2316" i="2"/>
  <c r="AJ2316" i="2"/>
  <c r="AL2316" i="2"/>
  <c r="AG2317" i="2"/>
  <c r="AI2317" i="2"/>
  <c r="AJ2317" i="2"/>
  <c r="AL2317" i="2"/>
  <c r="AG2318" i="2"/>
  <c r="AI2318" i="2"/>
  <c r="AJ2318" i="2"/>
  <c r="AL2318" i="2"/>
  <c r="AG2319" i="2"/>
  <c r="AI2319" i="2"/>
  <c r="AJ2319" i="2"/>
  <c r="AL2319" i="2"/>
  <c r="AG2320" i="2"/>
  <c r="AI2320" i="2"/>
  <c r="AJ2320" i="2"/>
  <c r="AL2320" i="2"/>
  <c r="AG2321" i="2"/>
  <c r="AI2321" i="2"/>
  <c r="AJ2321" i="2"/>
  <c r="AL2321" i="2"/>
  <c r="AG2322" i="2"/>
  <c r="AI2322" i="2"/>
  <c r="AJ2322" i="2"/>
  <c r="AL2322" i="2"/>
  <c r="AG2323" i="2"/>
  <c r="AI2323" i="2"/>
  <c r="AJ2323" i="2"/>
  <c r="AL2323" i="2"/>
  <c r="AG2324" i="2"/>
  <c r="AI2324" i="2"/>
  <c r="AJ2324" i="2"/>
  <c r="AL2324" i="2"/>
  <c r="AG2325" i="2"/>
  <c r="AI2325" i="2"/>
  <c r="AJ2325" i="2"/>
  <c r="AL2325" i="2"/>
  <c r="AG2326" i="2"/>
  <c r="AI2326" i="2"/>
  <c r="AJ2326" i="2"/>
  <c r="AL2326" i="2"/>
  <c r="AG2327" i="2"/>
  <c r="AI2327" i="2"/>
  <c r="AJ2327" i="2"/>
  <c r="AL2327" i="2"/>
  <c r="AG2328" i="2"/>
  <c r="AI2328" i="2"/>
  <c r="AJ2328" i="2"/>
  <c r="AL2328" i="2"/>
  <c r="AG2329" i="2"/>
  <c r="AI2329" i="2"/>
  <c r="AJ2329" i="2"/>
  <c r="AL2329" i="2"/>
  <c r="AG2330" i="2"/>
  <c r="AI2330" i="2"/>
  <c r="AJ2330" i="2"/>
  <c r="AL2330" i="2"/>
  <c r="AG2331" i="2"/>
  <c r="AI2331" i="2"/>
  <c r="AJ2331" i="2"/>
  <c r="AL2331" i="2"/>
  <c r="AG2332" i="2"/>
  <c r="AI2332" i="2"/>
  <c r="AJ2332" i="2"/>
  <c r="AL2332" i="2"/>
  <c r="AG2333" i="2"/>
  <c r="AI2333" i="2"/>
  <c r="AJ2333" i="2"/>
  <c r="AL2333" i="2"/>
  <c r="AG2334" i="2"/>
  <c r="AI2334" i="2"/>
  <c r="AJ2334" i="2"/>
  <c r="AL2334" i="2"/>
  <c r="AG2335" i="2"/>
  <c r="AI2335" i="2"/>
  <c r="AJ2335" i="2"/>
  <c r="AL2335" i="2"/>
  <c r="AG2336" i="2"/>
  <c r="AI2336" i="2"/>
  <c r="AJ2336" i="2"/>
  <c r="AL2336" i="2"/>
  <c r="AG2337" i="2"/>
  <c r="AI2337" i="2"/>
  <c r="AJ2337" i="2"/>
  <c r="AL2337" i="2"/>
  <c r="AG2338" i="2"/>
  <c r="AI2338" i="2"/>
  <c r="AJ2338" i="2"/>
  <c r="AL2338" i="2"/>
  <c r="AG2339" i="2"/>
  <c r="AI2339" i="2"/>
  <c r="AJ2339" i="2"/>
  <c r="AL2339" i="2"/>
  <c r="AG2340" i="2"/>
  <c r="AI2340" i="2"/>
  <c r="AJ2340" i="2"/>
  <c r="AL2340" i="2"/>
  <c r="AG2341" i="2"/>
  <c r="AI2341" i="2"/>
  <c r="AJ2341" i="2"/>
  <c r="AL2341" i="2"/>
  <c r="AG2342" i="2"/>
  <c r="AI2342" i="2"/>
  <c r="AJ2342" i="2"/>
  <c r="AL2342" i="2"/>
  <c r="AG2343" i="2"/>
  <c r="AI2343" i="2"/>
  <c r="AJ2343" i="2"/>
  <c r="AL2343" i="2"/>
  <c r="AG2344" i="2"/>
  <c r="AI2344" i="2"/>
  <c r="AJ2344" i="2"/>
  <c r="AL2344" i="2"/>
  <c r="AG2345" i="2"/>
  <c r="AI2345" i="2"/>
  <c r="AJ2345" i="2"/>
  <c r="AL2345" i="2"/>
  <c r="AG2346" i="2"/>
  <c r="AI2346" i="2"/>
  <c r="AJ2346" i="2"/>
  <c r="AL2346" i="2"/>
  <c r="AG2347" i="2"/>
  <c r="AI2347" i="2"/>
  <c r="AJ2347" i="2"/>
  <c r="AL2347" i="2"/>
  <c r="AG2348" i="2"/>
  <c r="AI2348" i="2"/>
  <c r="AJ2348" i="2"/>
  <c r="AL2348" i="2"/>
  <c r="AG2349" i="2"/>
  <c r="AI2349" i="2"/>
  <c r="AJ2349" i="2"/>
  <c r="AL2349" i="2"/>
  <c r="AG2350" i="2"/>
  <c r="AI2350" i="2"/>
  <c r="AJ2350" i="2"/>
  <c r="AL2350" i="2"/>
  <c r="AG2351" i="2"/>
  <c r="AI2351" i="2"/>
  <c r="AJ2351" i="2"/>
  <c r="AL2351" i="2"/>
  <c r="AG2352" i="2"/>
  <c r="AI2352" i="2"/>
  <c r="AJ2352" i="2"/>
  <c r="AL2352" i="2"/>
  <c r="AG2353" i="2"/>
  <c r="AI2353" i="2"/>
  <c r="AJ2353" i="2"/>
  <c r="AL2353" i="2"/>
  <c r="AG2354" i="2"/>
  <c r="AI2354" i="2"/>
  <c r="AJ2354" i="2"/>
  <c r="AL2354" i="2"/>
  <c r="AG2355" i="2"/>
  <c r="AI2355" i="2"/>
  <c r="AJ2355" i="2"/>
  <c r="AL2355" i="2"/>
  <c r="AG2356" i="2"/>
  <c r="AI2356" i="2"/>
  <c r="AJ2356" i="2"/>
  <c r="AL2356" i="2"/>
  <c r="AG2357" i="2"/>
  <c r="AI2357" i="2"/>
  <c r="AJ2357" i="2"/>
  <c r="AL2357" i="2"/>
  <c r="AG2358" i="2"/>
  <c r="AI2358" i="2"/>
  <c r="AJ2358" i="2"/>
  <c r="AL2358" i="2"/>
  <c r="AG2359" i="2"/>
  <c r="AI2359" i="2"/>
  <c r="AJ2359" i="2"/>
  <c r="AL2359" i="2"/>
  <c r="AG2360" i="2"/>
  <c r="AI2360" i="2"/>
  <c r="AJ2360" i="2"/>
  <c r="AL2360" i="2"/>
  <c r="AG2361" i="2"/>
  <c r="AI2361" i="2"/>
  <c r="AJ2361" i="2"/>
  <c r="AL2361" i="2"/>
  <c r="AG2362" i="2"/>
  <c r="AI2362" i="2"/>
  <c r="AJ2362" i="2"/>
  <c r="AL2362" i="2"/>
  <c r="AG2363" i="2"/>
  <c r="AI2363" i="2"/>
  <c r="AJ2363" i="2"/>
  <c r="AL2363" i="2"/>
  <c r="AG2364" i="2"/>
  <c r="AI2364" i="2"/>
  <c r="AJ2364" i="2"/>
  <c r="AL2364" i="2"/>
  <c r="AG2365" i="2"/>
  <c r="AI2365" i="2"/>
  <c r="AJ2365" i="2"/>
  <c r="AL2365" i="2"/>
  <c r="AG2366" i="2"/>
  <c r="AI2366" i="2"/>
  <c r="AJ2366" i="2"/>
  <c r="AL2366" i="2"/>
  <c r="AG2367" i="2"/>
  <c r="AI2367" i="2"/>
  <c r="AJ2367" i="2"/>
  <c r="AL2367" i="2"/>
  <c r="AG2368" i="2"/>
  <c r="AI2368" i="2"/>
  <c r="AJ2368" i="2"/>
  <c r="AL2368" i="2"/>
  <c r="AG2369" i="2"/>
  <c r="AI2369" i="2"/>
  <c r="AJ2369" i="2"/>
  <c r="AL2369" i="2"/>
  <c r="AG2370" i="2"/>
  <c r="AI2370" i="2"/>
  <c r="AJ2370" i="2"/>
  <c r="AL2370" i="2"/>
  <c r="AG2371" i="2"/>
  <c r="AI2371" i="2"/>
  <c r="AJ2371" i="2"/>
  <c r="AL2371" i="2"/>
  <c r="AG2372" i="2"/>
  <c r="AI2372" i="2"/>
  <c r="AJ2372" i="2"/>
  <c r="AL2372" i="2"/>
  <c r="AG2373" i="2"/>
  <c r="AI2373" i="2"/>
  <c r="AJ2373" i="2"/>
  <c r="AL2373" i="2"/>
  <c r="AG2374" i="2"/>
  <c r="AI2374" i="2"/>
  <c r="AJ2374" i="2"/>
  <c r="AL2374" i="2"/>
  <c r="AG2375" i="2"/>
  <c r="AI2375" i="2"/>
  <c r="AJ2375" i="2"/>
  <c r="AL2375" i="2"/>
  <c r="AG2376" i="2"/>
  <c r="AI2376" i="2"/>
  <c r="AJ2376" i="2"/>
  <c r="AL2376" i="2"/>
  <c r="AG2377" i="2"/>
  <c r="AI2377" i="2"/>
  <c r="AJ2377" i="2"/>
  <c r="AL2377" i="2"/>
  <c r="AG2378" i="2"/>
  <c r="AI2378" i="2"/>
  <c r="AJ2378" i="2"/>
  <c r="AL2378" i="2"/>
  <c r="AG2379" i="2"/>
  <c r="AI2379" i="2"/>
  <c r="AJ2379" i="2"/>
  <c r="AL2379" i="2"/>
  <c r="AG2380" i="2"/>
  <c r="AI2380" i="2"/>
  <c r="AJ2380" i="2"/>
  <c r="AL2380" i="2"/>
  <c r="AG2381" i="2"/>
  <c r="AI2381" i="2"/>
  <c r="AJ2381" i="2"/>
  <c r="AL2381" i="2"/>
  <c r="AG2382" i="2"/>
  <c r="AI2382" i="2"/>
  <c r="AJ2382" i="2"/>
  <c r="AL2382" i="2"/>
  <c r="AG2383" i="2"/>
  <c r="AI2383" i="2"/>
  <c r="AJ2383" i="2"/>
  <c r="AL2383" i="2"/>
  <c r="AG2384" i="2"/>
  <c r="AI2384" i="2"/>
  <c r="AJ2384" i="2"/>
  <c r="AL2384" i="2"/>
  <c r="AG2385" i="2"/>
  <c r="AI2385" i="2"/>
  <c r="AJ2385" i="2"/>
  <c r="AL2385" i="2"/>
  <c r="AG2386" i="2"/>
  <c r="AI2386" i="2"/>
  <c r="AJ2386" i="2"/>
  <c r="AL2386" i="2"/>
  <c r="AG2387" i="2"/>
  <c r="AI2387" i="2"/>
  <c r="AJ2387" i="2"/>
  <c r="AL2387" i="2"/>
  <c r="AG2388" i="2"/>
  <c r="AI2388" i="2"/>
  <c r="AJ2388" i="2"/>
  <c r="AL2388" i="2"/>
  <c r="AG2389" i="2"/>
  <c r="AI2389" i="2"/>
  <c r="AJ2389" i="2"/>
  <c r="AL2389" i="2"/>
  <c r="AG2390" i="2"/>
  <c r="AI2390" i="2"/>
  <c r="AJ2390" i="2"/>
  <c r="AL2390" i="2"/>
  <c r="AG2391" i="2"/>
  <c r="AI2391" i="2"/>
  <c r="AJ2391" i="2"/>
  <c r="AL2391" i="2"/>
  <c r="AG2392" i="2"/>
  <c r="AI2392" i="2"/>
  <c r="AJ2392" i="2"/>
  <c r="AL2392" i="2"/>
  <c r="AG2393" i="2"/>
  <c r="AI2393" i="2"/>
  <c r="AJ2393" i="2"/>
  <c r="AL2393" i="2"/>
  <c r="AG2394" i="2"/>
  <c r="AI2394" i="2"/>
  <c r="AJ2394" i="2"/>
  <c r="AL2394" i="2"/>
  <c r="AG2395" i="2"/>
  <c r="AI2395" i="2"/>
  <c r="AJ2395" i="2"/>
  <c r="AL2395" i="2"/>
  <c r="AG2396" i="2"/>
  <c r="AI2396" i="2"/>
  <c r="AJ2396" i="2"/>
  <c r="AL2396" i="2"/>
  <c r="AG2397" i="2"/>
  <c r="AI2397" i="2"/>
  <c r="AJ2397" i="2"/>
  <c r="AL2397" i="2"/>
  <c r="AG2398" i="2"/>
  <c r="AI2398" i="2"/>
  <c r="AJ2398" i="2"/>
  <c r="AL2398" i="2"/>
  <c r="AG2399" i="2"/>
  <c r="AI2399" i="2"/>
  <c r="AJ2399" i="2"/>
  <c r="AL2399" i="2"/>
  <c r="AG2400" i="2"/>
  <c r="AI2400" i="2"/>
  <c r="AJ2400" i="2"/>
  <c r="AL2400" i="2"/>
  <c r="AG2401" i="2"/>
  <c r="AI2401" i="2"/>
  <c r="AJ2401" i="2"/>
  <c r="AL2401" i="2"/>
  <c r="AG2402" i="2"/>
  <c r="AI2402" i="2"/>
  <c r="AJ2402" i="2"/>
  <c r="AL2402" i="2"/>
  <c r="AG2403" i="2"/>
  <c r="AI2403" i="2"/>
  <c r="AJ2403" i="2"/>
  <c r="AL2403" i="2"/>
  <c r="AG2404" i="2"/>
  <c r="AI2404" i="2"/>
  <c r="AJ2404" i="2"/>
  <c r="AL2404" i="2"/>
  <c r="AG2405" i="2"/>
  <c r="AI2405" i="2"/>
  <c r="AJ2405" i="2"/>
  <c r="AL2405" i="2"/>
  <c r="AG2406" i="2"/>
  <c r="AI2406" i="2"/>
  <c r="AJ2406" i="2"/>
  <c r="AL2406" i="2"/>
  <c r="AG2407" i="2"/>
  <c r="AI2407" i="2"/>
  <c r="AJ2407" i="2"/>
  <c r="AL2407" i="2"/>
  <c r="AG2408" i="2"/>
  <c r="AI2408" i="2"/>
  <c r="AJ2408" i="2"/>
  <c r="AL2408" i="2"/>
  <c r="AG2409" i="2"/>
  <c r="AI2409" i="2"/>
  <c r="AJ2409" i="2"/>
  <c r="AL2409" i="2"/>
  <c r="AG2410" i="2"/>
  <c r="AI2410" i="2"/>
  <c r="AJ2410" i="2"/>
  <c r="AL2410" i="2"/>
  <c r="AG2411" i="2"/>
  <c r="AI2411" i="2"/>
  <c r="AJ2411" i="2"/>
  <c r="AL2411" i="2"/>
  <c r="AG2412" i="2"/>
  <c r="AI2412" i="2"/>
  <c r="AJ2412" i="2"/>
  <c r="AL2412" i="2"/>
  <c r="AG2413" i="2"/>
  <c r="AI2413" i="2"/>
  <c r="AJ2413" i="2"/>
  <c r="AL2413" i="2"/>
  <c r="AG2414" i="2"/>
  <c r="AI2414" i="2"/>
  <c r="AJ2414" i="2"/>
  <c r="AL2414" i="2"/>
  <c r="AG2415" i="2"/>
  <c r="AI2415" i="2"/>
  <c r="AJ2415" i="2"/>
  <c r="AL2415" i="2"/>
  <c r="AG2416" i="2"/>
  <c r="AI2416" i="2"/>
  <c r="AJ2416" i="2"/>
  <c r="AL2416" i="2"/>
  <c r="AG2417" i="2"/>
  <c r="AI2417" i="2"/>
  <c r="AJ2417" i="2"/>
  <c r="AL2417" i="2"/>
  <c r="AG2418" i="2"/>
  <c r="AI2418" i="2"/>
  <c r="AJ2418" i="2"/>
  <c r="AL2418" i="2"/>
  <c r="AG2419" i="2"/>
  <c r="AI2419" i="2"/>
  <c r="AJ2419" i="2"/>
  <c r="AL2419" i="2"/>
  <c r="AG2420" i="2"/>
  <c r="AI2420" i="2"/>
  <c r="AJ2420" i="2"/>
  <c r="AL2420" i="2"/>
  <c r="AG2421" i="2"/>
  <c r="AI2421" i="2"/>
  <c r="AJ2421" i="2"/>
  <c r="AL2421" i="2"/>
  <c r="AG2422" i="2"/>
  <c r="AI2422" i="2"/>
  <c r="AJ2422" i="2"/>
  <c r="AL2422" i="2"/>
  <c r="AG2423" i="2"/>
  <c r="AI2423" i="2"/>
  <c r="AJ2423" i="2"/>
  <c r="AL2423" i="2"/>
  <c r="AG2424" i="2"/>
  <c r="AI2424" i="2"/>
  <c r="AJ2424" i="2"/>
  <c r="AL2424" i="2"/>
  <c r="AG2425" i="2"/>
  <c r="AI2425" i="2"/>
  <c r="AJ2425" i="2"/>
  <c r="AL2425" i="2"/>
  <c r="AG2426" i="2"/>
  <c r="AI2426" i="2"/>
  <c r="AJ2426" i="2"/>
  <c r="AL2426" i="2"/>
  <c r="AG2427" i="2"/>
  <c r="AI2427" i="2"/>
  <c r="AJ2427" i="2"/>
  <c r="AL2427" i="2"/>
  <c r="AG2428" i="2"/>
  <c r="AI2428" i="2"/>
  <c r="AJ2428" i="2"/>
  <c r="AL2428" i="2"/>
  <c r="AG2429" i="2"/>
  <c r="AI2429" i="2"/>
  <c r="AJ2429" i="2"/>
  <c r="AL2429" i="2"/>
  <c r="AG2430" i="2"/>
  <c r="AI2430" i="2"/>
  <c r="AJ2430" i="2"/>
  <c r="AL2430" i="2"/>
  <c r="AG2431" i="2"/>
  <c r="AI2431" i="2"/>
  <c r="AJ2431" i="2"/>
  <c r="AL2431" i="2"/>
  <c r="AG2432" i="2"/>
  <c r="AI2432" i="2"/>
  <c r="AJ2432" i="2"/>
  <c r="AL2432" i="2"/>
  <c r="AG2433" i="2"/>
  <c r="AI2433" i="2"/>
  <c r="AJ2433" i="2"/>
  <c r="AL2433" i="2"/>
  <c r="AG2434" i="2"/>
  <c r="AI2434" i="2"/>
  <c r="AJ2434" i="2"/>
  <c r="AL2434" i="2"/>
  <c r="AG2435" i="2"/>
  <c r="AI2435" i="2"/>
  <c r="AJ2435" i="2"/>
  <c r="AL2435" i="2"/>
  <c r="AG2436" i="2"/>
  <c r="AI2436" i="2"/>
  <c r="AJ2436" i="2"/>
  <c r="AL2436" i="2"/>
  <c r="AG2437" i="2"/>
  <c r="AI2437" i="2"/>
  <c r="AJ2437" i="2"/>
  <c r="AL2437" i="2"/>
  <c r="AG2438" i="2"/>
  <c r="AI2438" i="2"/>
  <c r="AJ2438" i="2"/>
  <c r="AL2438" i="2"/>
  <c r="AG2439" i="2"/>
  <c r="AI2439" i="2"/>
  <c r="AJ2439" i="2"/>
  <c r="AL2439" i="2"/>
  <c r="AG2440" i="2"/>
  <c r="AI2440" i="2"/>
  <c r="AJ2440" i="2"/>
  <c r="AL2440" i="2"/>
  <c r="AG2441" i="2"/>
  <c r="AI2441" i="2"/>
  <c r="AJ2441" i="2"/>
  <c r="AL2441" i="2"/>
  <c r="AG2442" i="2"/>
  <c r="AI2442" i="2"/>
  <c r="AJ2442" i="2"/>
  <c r="AL2442" i="2"/>
  <c r="AG2443" i="2"/>
  <c r="AI2443" i="2"/>
  <c r="AJ2443" i="2"/>
  <c r="AL2443" i="2"/>
  <c r="AG2444" i="2"/>
  <c r="AI2444" i="2"/>
  <c r="AJ2444" i="2"/>
  <c r="AL2444" i="2"/>
  <c r="AG2445" i="2"/>
  <c r="AI2445" i="2"/>
  <c r="AJ2445" i="2"/>
  <c r="AL2445" i="2"/>
  <c r="AG2446" i="2"/>
  <c r="AI2446" i="2"/>
  <c r="AJ2446" i="2"/>
  <c r="AL2446" i="2"/>
  <c r="AG2447" i="2"/>
  <c r="AI2447" i="2"/>
  <c r="AJ2447" i="2"/>
  <c r="AL2447" i="2"/>
  <c r="AG2448" i="2"/>
  <c r="AI2448" i="2"/>
  <c r="AJ2448" i="2"/>
  <c r="AL2448" i="2"/>
  <c r="AG2449" i="2"/>
  <c r="AI2449" i="2"/>
  <c r="AJ2449" i="2"/>
  <c r="AL2449" i="2"/>
  <c r="AG2450" i="2"/>
  <c r="AI2450" i="2"/>
  <c r="AJ2450" i="2"/>
  <c r="AL2450" i="2"/>
  <c r="AG2451" i="2"/>
  <c r="AI2451" i="2"/>
  <c r="AJ2451" i="2"/>
  <c r="AL2451" i="2"/>
  <c r="AG2452" i="2"/>
  <c r="AI2452" i="2"/>
  <c r="AJ2452" i="2"/>
  <c r="AL2452" i="2"/>
  <c r="AG2453" i="2"/>
  <c r="AI2453" i="2"/>
  <c r="AJ2453" i="2"/>
  <c r="AL2453" i="2"/>
  <c r="AG2454" i="2"/>
  <c r="AI2454" i="2"/>
  <c r="AJ2454" i="2"/>
  <c r="AL2454" i="2"/>
  <c r="AG2455" i="2"/>
  <c r="AI2455" i="2"/>
  <c r="AJ2455" i="2"/>
  <c r="AL2455" i="2"/>
  <c r="AG2456" i="2"/>
  <c r="AI2456" i="2"/>
  <c r="AJ2456" i="2"/>
  <c r="AL2456" i="2"/>
  <c r="AG2457" i="2"/>
  <c r="AI2457" i="2"/>
  <c r="AJ2457" i="2"/>
  <c r="AL2457" i="2"/>
  <c r="AG2458" i="2"/>
  <c r="AI2458" i="2"/>
  <c r="AJ2458" i="2"/>
  <c r="AL2458" i="2"/>
  <c r="AG2459" i="2"/>
  <c r="AI2459" i="2"/>
  <c r="AJ2459" i="2"/>
  <c r="AL2459" i="2"/>
  <c r="AG2460" i="2"/>
  <c r="AI2460" i="2"/>
  <c r="AJ2460" i="2"/>
  <c r="AL2460" i="2"/>
  <c r="AG2461" i="2"/>
  <c r="AI2461" i="2"/>
  <c r="AJ2461" i="2"/>
  <c r="AL2461" i="2"/>
  <c r="AG2462" i="2"/>
  <c r="AI2462" i="2"/>
  <c r="AJ2462" i="2"/>
  <c r="AL2462" i="2"/>
  <c r="AG2463" i="2"/>
  <c r="AI2463" i="2"/>
  <c r="AJ2463" i="2"/>
  <c r="AL2463" i="2"/>
  <c r="AG2464" i="2"/>
  <c r="AI2464" i="2"/>
  <c r="AJ2464" i="2"/>
  <c r="AL2464" i="2"/>
  <c r="AG2465" i="2"/>
  <c r="AI2465" i="2"/>
  <c r="AJ2465" i="2"/>
  <c r="AL2465" i="2"/>
  <c r="AG2466" i="2"/>
  <c r="AI2466" i="2"/>
  <c r="AJ2466" i="2"/>
  <c r="AL2466" i="2"/>
  <c r="AG2467" i="2"/>
  <c r="AI2467" i="2"/>
  <c r="AJ2467" i="2"/>
  <c r="AL2467" i="2"/>
  <c r="AG2468" i="2"/>
  <c r="AI2468" i="2"/>
  <c r="AJ2468" i="2"/>
  <c r="AL2468" i="2"/>
  <c r="AG2469" i="2"/>
  <c r="AI2469" i="2"/>
  <c r="AJ2469" i="2"/>
  <c r="AL2469" i="2"/>
  <c r="AG2470" i="2"/>
  <c r="AI2470" i="2"/>
  <c r="AJ2470" i="2"/>
  <c r="AL2470" i="2"/>
  <c r="AG2471" i="2"/>
  <c r="AI2471" i="2"/>
  <c r="AJ2471" i="2"/>
  <c r="AL2471" i="2"/>
  <c r="AG2472" i="2"/>
  <c r="AI2472" i="2"/>
  <c r="AJ2472" i="2"/>
  <c r="AL2472" i="2"/>
  <c r="AG2473" i="2"/>
  <c r="AI2473" i="2"/>
  <c r="AJ2473" i="2"/>
  <c r="AL2473" i="2"/>
  <c r="AG2474" i="2"/>
  <c r="AI2474" i="2"/>
  <c r="AJ2474" i="2"/>
  <c r="AL2474" i="2"/>
  <c r="AG2475" i="2"/>
  <c r="AI2475" i="2"/>
  <c r="AJ2475" i="2"/>
  <c r="AL2475" i="2"/>
  <c r="AG2476" i="2"/>
  <c r="AI2476" i="2"/>
  <c r="AJ2476" i="2"/>
  <c r="AL2476" i="2"/>
  <c r="AG2477" i="2"/>
  <c r="AI2477" i="2"/>
  <c r="AJ2477" i="2"/>
  <c r="AL2477" i="2"/>
  <c r="AG2478" i="2"/>
  <c r="AI2478" i="2"/>
  <c r="AJ2478" i="2"/>
  <c r="AL2478" i="2"/>
  <c r="AG2479" i="2"/>
  <c r="AI2479" i="2"/>
  <c r="AJ2479" i="2"/>
  <c r="AL2479" i="2"/>
  <c r="AG2480" i="2"/>
  <c r="AI2480" i="2"/>
  <c r="AJ2480" i="2"/>
  <c r="AL2480" i="2"/>
  <c r="AG2481" i="2"/>
  <c r="AI2481" i="2"/>
  <c r="AJ2481" i="2"/>
  <c r="AL2481" i="2"/>
  <c r="AG2482" i="2"/>
  <c r="AI2482" i="2"/>
  <c r="AJ2482" i="2"/>
  <c r="AL2482" i="2"/>
  <c r="AG2483" i="2"/>
  <c r="AI2483" i="2"/>
  <c r="AJ2483" i="2"/>
  <c r="AL2483" i="2"/>
  <c r="AG2484" i="2"/>
  <c r="AI2484" i="2"/>
  <c r="AJ2484" i="2"/>
  <c r="AL2484" i="2"/>
  <c r="AG2485" i="2"/>
  <c r="AI2485" i="2"/>
  <c r="AJ2485" i="2"/>
  <c r="AL2485" i="2"/>
  <c r="AG2486" i="2"/>
  <c r="AI2486" i="2"/>
  <c r="AJ2486" i="2"/>
  <c r="AL2486" i="2"/>
  <c r="AG2487" i="2"/>
  <c r="AI2487" i="2"/>
  <c r="AJ2487" i="2"/>
  <c r="AL2487" i="2"/>
  <c r="AG2488" i="2"/>
  <c r="AI2488" i="2"/>
  <c r="AJ2488" i="2"/>
  <c r="AL2488" i="2"/>
  <c r="AG2489" i="2"/>
  <c r="AI2489" i="2"/>
  <c r="AJ2489" i="2"/>
  <c r="AL2489" i="2"/>
  <c r="AG2490" i="2"/>
  <c r="AI2490" i="2"/>
  <c r="AJ2490" i="2"/>
  <c r="AL2490" i="2"/>
  <c r="AG2491" i="2"/>
  <c r="AI2491" i="2"/>
  <c r="AJ2491" i="2"/>
  <c r="AL2491" i="2"/>
  <c r="AG2492" i="2"/>
  <c r="AI2492" i="2"/>
  <c r="AJ2492" i="2"/>
  <c r="AL2492" i="2"/>
  <c r="AG2493" i="2"/>
  <c r="AI2493" i="2"/>
  <c r="AJ2493" i="2"/>
  <c r="AL2493" i="2"/>
  <c r="AG2494" i="2"/>
  <c r="AI2494" i="2"/>
  <c r="AJ2494" i="2"/>
  <c r="AL2494" i="2"/>
  <c r="AG2495" i="2"/>
  <c r="AI2495" i="2"/>
  <c r="AJ2495" i="2"/>
  <c r="AL2495" i="2"/>
  <c r="AG2496" i="2"/>
  <c r="AI2496" i="2"/>
  <c r="AJ2496" i="2"/>
  <c r="AL2496" i="2"/>
  <c r="AG2497" i="2"/>
  <c r="AI2497" i="2"/>
  <c r="AJ2497" i="2"/>
  <c r="AL2497" i="2"/>
  <c r="AG2498" i="2"/>
  <c r="AI2498" i="2"/>
  <c r="AJ2498" i="2"/>
  <c r="AL2498" i="2"/>
  <c r="AG2499" i="2"/>
  <c r="AI2499" i="2"/>
  <c r="AJ2499" i="2"/>
  <c r="AL2499" i="2"/>
  <c r="AG2500" i="2"/>
  <c r="AI2500" i="2"/>
  <c r="AJ2500" i="2"/>
  <c r="AL2500" i="2"/>
  <c r="AG2501" i="2"/>
  <c r="AI2501" i="2"/>
  <c r="AJ2501" i="2"/>
  <c r="AL2501" i="2"/>
  <c r="AG2502" i="2"/>
  <c r="AI2502" i="2"/>
  <c r="AJ2502" i="2"/>
  <c r="AL2502" i="2"/>
  <c r="AG2503" i="2"/>
  <c r="AI2503" i="2"/>
  <c r="AJ2503" i="2"/>
  <c r="AL2503" i="2"/>
  <c r="AG2504" i="2"/>
  <c r="AI2504" i="2"/>
  <c r="AJ2504" i="2"/>
  <c r="AL2504" i="2"/>
  <c r="AG2505" i="2"/>
  <c r="AI2505" i="2"/>
  <c r="AJ2505" i="2"/>
  <c r="AL2505" i="2"/>
  <c r="AG2506" i="2"/>
  <c r="AI2506" i="2"/>
  <c r="AJ2506" i="2"/>
  <c r="AL2506" i="2"/>
  <c r="AG2507" i="2"/>
  <c r="AI2507" i="2"/>
  <c r="AJ2507" i="2"/>
  <c r="AL2507" i="2"/>
  <c r="AG2508" i="2"/>
  <c r="AI2508" i="2"/>
  <c r="AJ2508" i="2"/>
  <c r="AL2508" i="2"/>
  <c r="AG2509" i="2"/>
  <c r="AI2509" i="2"/>
  <c r="AJ2509" i="2"/>
  <c r="AL2509" i="2"/>
  <c r="AG2510" i="2"/>
  <c r="AI2510" i="2"/>
  <c r="AJ2510" i="2"/>
  <c r="AL2510" i="2"/>
  <c r="AG2511" i="2"/>
  <c r="AI2511" i="2"/>
  <c r="AJ2511" i="2"/>
  <c r="AL2511" i="2"/>
  <c r="AG2512" i="2"/>
  <c r="AI2512" i="2"/>
  <c r="AJ2512" i="2"/>
  <c r="AL2512" i="2"/>
  <c r="AG2513" i="2"/>
  <c r="AI2513" i="2"/>
  <c r="AJ2513" i="2"/>
  <c r="AL2513" i="2"/>
  <c r="AG2514" i="2"/>
  <c r="AI2514" i="2"/>
  <c r="AJ2514" i="2"/>
  <c r="AL2514" i="2"/>
  <c r="AG2515" i="2"/>
  <c r="AI2515" i="2"/>
  <c r="AJ2515" i="2"/>
  <c r="AL2515" i="2"/>
  <c r="AG2516" i="2"/>
  <c r="AI2516" i="2"/>
  <c r="AJ2516" i="2"/>
  <c r="AL2516" i="2"/>
  <c r="AG2517" i="2"/>
  <c r="AI2517" i="2"/>
  <c r="AJ2517" i="2"/>
  <c r="AL2517" i="2"/>
  <c r="AG2518" i="2"/>
  <c r="AI2518" i="2"/>
  <c r="AJ2518" i="2"/>
  <c r="AL2518" i="2"/>
  <c r="AG2519" i="2"/>
  <c r="AI2519" i="2"/>
  <c r="AJ2519" i="2"/>
  <c r="AL2519" i="2"/>
  <c r="AG2520" i="2"/>
  <c r="AI2520" i="2"/>
  <c r="AJ2520" i="2"/>
  <c r="AL2520" i="2"/>
  <c r="AG2521" i="2"/>
  <c r="AI2521" i="2"/>
  <c r="AJ2521" i="2"/>
  <c r="AL2521" i="2"/>
  <c r="AG2522" i="2"/>
  <c r="AI2522" i="2"/>
  <c r="AJ2522" i="2"/>
  <c r="AL2522" i="2"/>
  <c r="AG2523" i="2"/>
  <c r="AI2523" i="2"/>
  <c r="AJ2523" i="2"/>
  <c r="AL2523" i="2"/>
  <c r="AG2524" i="2"/>
  <c r="AI2524" i="2"/>
  <c r="AJ2524" i="2"/>
  <c r="AL2524" i="2"/>
  <c r="AG2525" i="2"/>
  <c r="AI2525" i="2"/>
  <c r="AJ2525" i="2"/>
  <c r="AL2525" i="2"/>
  <c r="AG2526" i="2"/>
  <c r="AI2526" i="2"/>
  <c r="AJ2526" i="2"/>
  <c r="AL2526" i="2"/>
  <c r="AG2527" i="2"/>
  <c r="AI2527" i="2"/>
  <c r="AJ2527" i="2"/>
  <c r="AL2527" i="2"/>
  <c r="AG2528" i="2"/>
  <c r="AI2528" i="2"/>
  <c r="AJ2528" i="2"/>
  <c r="AL2528" i="2"/>
  <c r="AG2529" i="2"/>
  <c r="AI2529" i="2"/>
  <c r="AJ2529" i="2"/>
  <c r="AL2529" i="2"/>
  <c r="AG2530" i="2"/>
  <c r="AI2530" i="2"/>
  <c r="AJ2530" i="2"/>
  <c r="AL2530" i="2"/>
  <c r="AG2531" i="2"/>
  <c r="AI2531" i="2"/>
  <c r="AJ2531" i="2"/>
  <c r="AL2531" i="2"/>
  <c r="AG2532" i="2"/>
  <c r="AI2532" i="2"/>
  <c r="AJ2532" i="2"/>
  <c r="AL2532" i="2"/>
  <c r="AG2533" i="2"/>
  <c r="AI2533" i="2"/>
  <c r="AJ2533" i="2"/>
  <c r="AL2533" i="2"/>
  <c r="AG2534" i="2"/>
  <c r="AI2534" i="2"/>
  <c r="AJ2534" i="2"/>
  <c r="AL2534" i="2"/>
  <c r="AG2535" i="2"/>
  <c r="AI2535" i="2"/>
  <c r="AJ2535" i="2"/>
  <c r="AL2535" i="2"/>
  <c r="AG2536" i="2"/>
  <c r="AI2536" i="2"/>
  <c r="AJ2536" i="2"/>
  <c r="AL2536" i="2"/>
  <c r="AG2537" i="2"/>
  <c r="AI2537" i="2"/>
  <c r="AJ2537" i="2"/>
  <c r="AL2537" i="2"/>
  <c r="AG2538" i="2"/>
  <c r="AI2538" i="2"/>
  <c r="AJ2538" i="2"/>
  <c r="AL2538" i="2"/>
  <c r="AG2539" i="2"/>
  <c r="AI2539" i="2"/>
  <c r="AJ2539" i="2"/>
  <c r="AL2539" i="2"/>
  <c r="AG2540" i="2"/>
  <c r="AI2540" i="2"/>
  <c r="AJ2540" i="2"/>
  <c r="AL2540" i="2"/>
  <c r="AG2541" i="2"/>
  <c r="AI2541" i="2"/>
  <c r="AJ2541" i="2"/>
  <c r="AL2541" i="2"/>
  <c r="AG2542" i="2"/>
  <c r="AI2542" i="2"/>
  <c r="AJ2542" i="2"/>
  <c r="AL2542" i="2"/>
  <c r="AG2543" i="2"/>
  <c r="AI2543" i="2"/>
  <c r="AJ2543" i="2"/>
  <c r="AL2543" i="2"/>
  <c r="AG2544" i="2"/>
  <c r="AI2544" i="2"/>
  <c r="AJ2544" i="2"/>
  <c r="AL2544" i="2"/>
  <c r="AG2545" i="2"/>
  <c r="AI2545" i="2"/>
  <c r="AJ2545" i="2"/>
  <c r="AL2545" i="2"/>
  <c r="AG2546" i="2"/>
  <c r="AI2546" i="2"/>
  <c r="AJ2546" i="2"/>
  <c r="AL2546" i="2"/>
  <c r="AG2547" i="2"/>
  <c r="AI2547" i="2"/>
  <c r="AJ2547" i="2"/>
  <c r="AL2547" i="2"/>
  <c r="AG2548" i="2"/>
  <c r="AI2548" i="2"/>
  <c r="AJ2548" i="2"/>
  <c r="AL2548" i="2"/>
  <c r="AG2549" i="2"/>
  <c r="AI2549" i="2"/>
  <c r="AJ2549" i="2"/>
  <c r="AL2549" i="2"/>
  <c r="AG2550" i="2"/>
  <c r="AI2550" i="2"/>
  <c r="AJ2550" i="2"/>
  <c r="AL2550" i="2"/>
  <c r="AG2551" i="2"/>
  <c r="AI2551" i="2"/>
  <c r="AJ2551" i="2"/>
  <c r="AL2551" i="2"/>
  <c r="AG2552" i="2"/>
  <c r="AI2552" i="2"/>
  <c r="AJ2552" i="2"/>
  <c r="AL2552" i="2"/>
  <c r="AG2553" i="2"/>
  <c r="AI2553" i="2"/>
  <c r="AJ2553" i="2"/>
  <c r="AL2553" i="2"/>
  <c r="AG2554" i="2"/>
  <c r="AI2554" i="2"/>
  <c r="AJ2554" i="2"/>
  <c r="AL2554" i="2"/>
  <c r="AG2555" i="2"/>
  <c r="AI2555" i="2"/>
  <c r="AJ2555" i="2"/>
  <c r="AL2555" i="2"/>
  <c r="AG2556" i="2"/>
  <c r="AI2556" i="2"/>
  <c r="AJ2556" i="2"/>
  <c r="AL2556" i="2"/>
  <c r="AG2557" i="2"/>
  <c r="AI2557" i="2"/>
  <c r="AJ2557" i="2"/>
  <c r="AL2557" i="2"/>
  <c r="AG2558" i="2"/>
  <c r="AI2558" i="2"/>
  <c r="AJ2558" i="2"/>
  <c r="AL2558" i="2"/>
  <c r="AG2559" i="2"/>
  <c r="AI2559" i="2"/>
  <c r="AJ2559" i="2"/>
  <c r="AL2559" i="2"/>
  <c r="AG2560" i="2"/>
  <c r="AI2560" i="2"/>
  <c r="AJ2560" i="2"/>
  <c r="AL2560" i="2"/>
  <c r="AG2561" i="2"/>
  <c r="AI2561" i="2"/>
  <c r="AJ2561" i="2"/>
  <c r="AL2561" i="2"/>
  <c r="AG2562" i="2"/>
  <c r="AI2562" i="2"/>
  <c r="AJ2562" i="2"/>
  <c r="AL2562" i="2"/>
  <c r="AG2563" i="2"/>
  <c r="AI2563" i="2"/>
  <c r="AJ2563" i="2"/>
  <c r="AL2563" i="2"/>
  <c r="AG2564" i="2"/>
  <c r="AI2564" i="2"/>
  <c r="AJ2564" i="2"/>
  <c r="AL2564" i="2"/>
  <c r="AG2565" i="2"/>
  <c r="AI2565" i="2"/>
  <c r="AJ2565" i="2"/>
  <c r="AL2565" i="2"/>
  <c r="AG2566" i="2"/>
  <c r="AI2566" i="2"/>
  <c r="AJ2566" i="2"/>
  <c r="AL2566" i="2"/>
  <c r="AG2567" i="2"/>
  <c r="AI2567" i="2"/>
  <c r="AJ2567" i="2"/>
  <c r="AL2567" i="2"/>
  <c r="AG2568" i="2"/>
  <c r="AI2568" i="2"/>
  <c r="AJ2568" i="2"/>
  <c r="AL2568" i="2"/>
  <c r="AG2569" i="2"/>
  <c r="AI2569" i="2"/>
  <c r="AJ2569" i="2"/>
  <c r="AL2569" i="2"/>
  <c r="AG2570" i="2"/>
  <c r="AI2570" i="2"/>
  <c r="AJ2570" i="2"/>
  <c r="AL2570" i="2"/>
  <c r="AG2571" i="2"/>
  <c r="AI2571" i="2"/>
  <c r="AJ2571" i="2"/>
  <c r="AL2571" i="2"/>
  <c r="AG2572" i="2"/>
  <c r="AI2572" i="2"/>
  <c r="AJ2572" i="2"/>
  <c r="AL2572" i="2"/>
  <c r="AG2573" i="2"/>
  <c r="AI2573" i="2"/>
  <c r="AJ2573" i="2"/>
  <c r="AL2573" i="2"/>
  <c r="AG2574" i="2"/>
  <c r="AI2574" i="2"/>
  <c r="AJ2574" i="2"/>
  <c r="AL2574" i="2"/>
  <c r="AG2575" i="2"/>
  <c r="AI2575" i="2"/>
  <c r="AJ2575" i="2"/>
  <c r="AL2575" i="2"/>
  <c r="AG2576" i="2"/>
  <c r="AI2576" i="2"/>
  <c r="AJ2576" i="2"/>
  <c r="AL2576" i="2"/>
  <c r="AG2577" i="2"/>
  <c r="AI2577" i="2"/>
  <c r="AJ2577" i="2"/>
  <c r="AL2577" i="2"/>
  <c r="AG2578" i="2"/>
  <c r="AI2578" i="2"/>
  <c r="AJ2578" i="2"/>
  <c r="AL2578" i="2"/>
  <c r="AG2579" i="2"/>
  <c r="AI2579" i="2"/>
  <c r="AJ2579" i="2"/>
  <c r="AL2579" i="2"/>
  <c r="AG2580" i="2"/>
  <c r="AI2580" i="2"/>
  <c r="AJ2580" i="2"/>
  <c r="AL2580" i="2"/>
  <c r="AG2581" i="2"/>
  <c r="AI2581" i="2"/>
  <c r="AJ2581" i="2"/>
  <c r="AL2581" i="2"/>
  <c r="AG2582" i="2"/>
  <c r="AI2582" i="2"/>
  <c r="AJ2582" i="2"/>
  <c r="AL2582" i="2"/>
  <c r="AG2583" i="2"/>
  <c r="AI2583" i="2"/>
  <c r="AJ2583" i="2"/>
  <c r="AL2583" i="2"/>
  <c r="AG2584" i="2"/>
  <c r="AI2584" i="2"/>
  <c r="AJ2584" i="2"/>
  <c r="AL2584" i="2"/>
  <c r="AG2585" i="2"/>
  <c r="AI2585" i="2"/>
  <c r="AJ2585" i="2"/>
  <c r="AL2585" i="2"/>
  <c r="AG2586" i="2"/>
  <c r="AI2586" i="2"/>
  <c r="AJ2586" i="2"/>
  <c r="AL2586" i="2"/>
  <c r="AG2587" i="2"/>
  <c r="AI2587" i="2"/>
  <c r="AJ2587" i="2"/>
  <c r="AL2587" i="2"/>
  <c r="AG2588" i="2"/>
  <c r="AI2588" i="2"/>
  <c r="AJ2588" i="2"/>
  <c r="AL2588" i="2"/>
  <c r="AG2589" i="2"/>
  <c r="AI2589" i="2"/>
  <c r="AJ2589" i="2"/>
  <c r="AL2589" i="2"/>
  <c r="AG2590" i="2"/>
  <c r="AI2590" i="2"/>
  <c r="AJ2590" i="2"/>
  <c r="AL2590" i="2"/>
  <c r="AG2591" i="2"/>
  <c r="AI2591" i="2"/>
  <c r="AJ2591" i="2"/>
  <c r="AL2591" i="2"/>
  <c r="AG2592" i="2"/>
  <c r="AI2592" i="2"/>
  <c r="AJ2592" i="2"/>
  <c r="AL2592" i="2"/>
  <c r="AG2593" i="2"/>
  <c r="AI2593" i="2"/>
  <c r="AJ2593" i="2"/>
  <c r="AL2593" i="2"/>
  <c r="AG2594" i="2"/>
  <c r="AI2594" i="2"/>
  <c r="AJ2594" i="2"/>
  <c r="AL2594" i="2"/>
  <c r="AG2595" i="2"/>
  <c r="AI2595" i="2"/>
  <c r="AJ2595" i="2"/>
  <c r="AL2595" i="2"/>
  <c r="AG2596" i="2"/>
  <c r="AI2596" i="2"/>
  <c r="AJ2596" i="2"/>
  <c r="AL2596" i="2"/>
  <c r="AG2597" i="2"/>
  <c r="AI2597" i="2"/>
  <c r="AJ2597" i="2"/>
  <c r="AL2597" i="2"/>
  <c r="AG2598" i="2"/>
  <c r="AI2598" i="2"/>
  <c r="AJ2598" i="2"/>
  <c r="AL2598" i="2"/>
  <c r="AG2599" i="2"/>
  <c r="AI2599" i="2"/>
  <c r="AJ2599" i="2"/>
  <c r="AL2599" i="2"/>
  <c r="AG2600" i="2"/>
  <c r="AI2600" i="2"/>
  <c r="AJ2600" i="2"/>
  <c r="AL2600" i="2"/>
  <c r="AG2601" i="2"/>
  <c r="AI2601" i="2"/>
  <c r="AJ2601" i="2"/>
  <c r="AL2601" i="2"/>
  <c r="AG2602" i="2"/>
  <c r="AI2602" i="2"/>
  <c r="AJ2602" i="2"/>
  <c r="AL2602" i="2"/>
  <c r="AG2603" i="2"/>
  <c r="AI2603" i="2"/>
  <c r="AJ2603" i="2"/>
  <c r="AL2603" i="2"/>
  <c r="AG2604" i="2"/>
  <c r="AI2604" i="2"/>
  <c r="AJ2604" i="2"/>
  <c r="AL2604" i="2"/>
  <c r="AG2605" i="2"/>
  <c r="AI2605" i="2"/>
  <c r="AJ2605" i="2"/>
  <c r="AL2605" i="2"/>
  <c r="AG2606" i="2"/>
  <c r="AI2606" i="2"/>
  <c r="AJ2606" i="2"/>
  <c r="AL2606" i="2"/>
  <c r="AG2607" i="2"/>
  <c r="AI2607" i="2"/>
  <c r="AJ2607" i="2"/>
  <c r="AL2607" i="2"/>
  <c r="AG2608" i="2"/>
  <c r="AI2608" i="2"/>
  <c r="AJ2608" i="2"/>
  <c r="AL2608" i="2"/>
  <c r="AG2609" i="2"/>
  <c r="AI2609" i="2"/>
  <c r="AJ2609" i="2"/>
  <c r="AL2609" i="2"/>
  <c r="AG2610" i="2"/>
  <c r="AI2610" i="2"/>
  <c r="AJ2610" i="2"/>
  <c r="AL2610" i="2"/>
  <c r="AG2611" i="2"/>
  <c r="AI2611" i="2"/>
  <c r="AJ2611" i="2"/>
  <c r="AL2611" i="2"/>
  <c r="AG2612" i="2"/>
  <c r="AI2612" i="2"/>
  <c r="AJ2612" i="2"/>
  <c r="AL2612" i="2"/>
  <c r="AG2613" i="2"/>
  <c r="AI2613" i="2"/>
  <c r="AJ2613" i="2"/>
  <c r="AL2613" i="2"/>
  <c r="AG2614" i="2"/>
  <c r="AI2614" i="2"/>
  <c r="AJ2614" i="2"/>
  <c r="AL2614" i="2"/>
  <c r="AG2615" i="2"/>
  <c r="AI2615" i="2"/>
  <c r="AJ2615" i="2"/>
  <c r="AL2615" i="2"/>
  <c r="AG2616" i="2"/>
  <c r="AI2616" i="2"/>
  <c r="AJ2616" i="2"/>
  <c r="AL2616" i="2"/>
  <c r="AG2617" i="2"/>
  <c r="AI2617" i="2"/>
  <c r="AJ2617" i="2"/>
  <c r="AL2617" i="2"/>
  <c r="AG2618" i="2"/>
  <c r="AI2618" i="2"/>
  <c r="AJ2618" i="2"/>
  <c r="AL2618" i="2"/>
  <c r="AG2619" i="2"/>
  <c r="AI2619" i="2"/>
  <c r="AJ2619" i="2"/>
  <c r="AL2619" i="2"/>
  <c r="AG2620" i="2"/>
  <c r="AI2620" i="2"/>
  <c r="AJ2620" i="2"/>
  <c r="AL2620" i="2"/>
  <c r="AG2621" i="2"/>
  <c r="AI2621" i="2"/>
  <c r="AJ2621" i="2"/>
  <c r="AL2621" i="2"/>
  <c r="AG2622" i="2"/>
  <c r="AI2622" i="2"/>
  <c r="AJ2622" i="2"/>
  <c r="AL2622" i="2"/>
  <c r="AG2623" i="2"/>
  <c r="AI2623" i="2"/>
  <c r="AJ2623" i="2"/>
  <c r="AL2623" i="2"/>
  <c r="AG2624" i="2"/>
  <c r="AI2624" i="2"/>
  <c r="AJ2624" i="2"/>
  <c r="AL2624" i="2"/>
  <c r="AG2625" i="2"/>
  <c r="AI2625" i="2"/>
  <c r="AJ2625" i="2"/>
  <c r="AL2625" i="2"/>
  <c r="AG2626" i="2"/>
  <c r="AI2626" i="2"/>
  <c r="AJ2626" i="2"/>
  <c r="AL2626" i="2"/>
  <c r="AG2627" i="2"/>
  <c r="AI2627" i="2"/>
  <c r="AJ2627" i="2"/>
  <c r="AL2627" i="2"/>
  <c r="AG2628" i="2"/>
  <c r="AI2628" i="2"/>
  <c r="AJ2628" i="2"/>
  <c r="AL2628" i="2"/>
  <c r="AG2629" i="2"/>
  <c r="AI2629" i="2"/>
  <c r="AJ2629" i="2"/>
  <c r="AL2629" i="2"/>
  <c r="AG2630" i="2"/>
  <c r="AI2630" i="2"/>
  <c r="AJ2630" i="2"/>
  <c r="AL2630" i="2"/>
  <c r="AG2631" i="2"/>
  <c r="AI2631" i="2"/>
  <c r="AJ2631" i="2"/>
  <c r="AL2631" i="2"/>
  <c r="AG2632" i="2"/>
  <c r="AI2632" i="2"/>
  <c r="AJ2632" i="2"/>
  <c r="AL2632" i="2"/>
  <c r="AG2633" i="2"/>
  <c r="AI2633" i="2"/>
  <c r="AJ2633" i="2"/>
  <c r="AL2633" i="2"/>
  <c r="AG2634" i="2"/>
  <c r="AI2634" i="2"/>
  <c r="AJ2634" i="2"/>
  <c r="AL2634" i="2"/>
  <c r="AG2635" i="2"/>
  <c r="AI2635" i="2"/>
  <c r="AJ2635" i="2"/>
  <c r="AL2635" i="2"/>
  <c r="AG2636" i="2"/>
  <c r="AI2636" i="2"/>
  <c r="AJ2636" i="2"/>
  <c r="AL2636" i="2"/>
  <c r="AG2637" i="2"/>
  <c r="AI2637" i="2"/>
  <c r="AJ2637" i="2"/>
  <c r="AL2637" i="2"/>
  <c r="AG2638" i="2"/>
  <c r="AI2638" i="2"/>
  <c r="AJ2638" i="2"/>
  <c r="AL2638" i="2"/>
  <c r="AG2639" i="2"/>
  <c r="AI2639" i="2"/>
  <c r="AJ2639" i="2"/>
  <c r="AL2639" i="2"/>
  <c r="AG2640" i="2"/>
  <c r="AI2640" i="2"/>
  <c r="AJ2640" i="2"/>
  <c r="AL2640" i="2"/>
  <c r="AG2641" i="2"/>
  <c r="AI2641" i="2"/>
  <c r="AJ2641" i="2"/>
  <c r="AL2641" i="2"/>
  <c r="AG2642" i="2"/>
  <c r="AI2642" i="2"/>
  <c r="AJ2642" i="2"/>
  <c r="AL2642" i="2"/>
  <c r="AG2643" i="2"/>
  <c r="AI2643" i="2"/>
  <c r="AJ2643" i="2"/>
  <c r="AL2643" i="2"/>
  <c r="AG2644" i="2"/>
  <c r="AI2644" i="2"/>
  <c r="AJ2644" i="2"/>
  <c r="AL2644" i="2"/>
  <c r="AG2645" i="2"/>
  <c r="AI2645" i="2"/>
  <c r="AJ2645" i="2"/>
  <c r="AL2645" i="2"/>
  <c r="AG2646" i="2"/>
  <c r="AI2646" i="2"/>
  <c r="AJ2646" i="2"/>
  <c r="AL2646" i="2"/>
  <c r="AG2647" i="2"/>
  <c r="AI2647" i="2"/>
  <c r="AJ2647" i="2"/>
  <c r="AL2647" i="2"/>
  <c r="AG2648" i="2"/>
  <c r="AI2648" i="2"/>
  <c r="AJ2648" i="2"/>
  <c r="AL2648" i="2"/>
  <c r="AG2649" i="2"/>
  <c r="AI2649" i="2"/>
  <c r="AJ2649" i="2"/>
  <c r="AL2649" i="2"/>
  <c r="AG2650" i="2"/>
  <c r="AI2650" i="2"/>
  <c r="AJ2650" i="2"/>
  <c r="AL2650" i="2"/>
  <c r="AG2651" i="2"/>
  <c r="AI2651" i="2"/>
  <c r="AJ2651" i="2"/>
  <c r="AL2651" i="2"/>
  <c r="AG2652" i="2"/>
  <c r="AI2652" i="2"/>
  <c r="AJ2652" i="2"/>
  <c r="AL2652" i="2"/>
  <c r="AG2653" i="2"/>
  <c r="AI2653" i="2"/>
  <c r="AJ2653" i="2"/>
  <c r="AL2653" i="2"/>
  <c r="AG2654" i="2"/>
  <c r="AI2654" i="2"/>
  <c r="AJ2654" i="2"/>
  <c r="AL2654" i="2"/>
  <c r="AG2655" i="2"/>
  <c r="AI2655" i="2"/>
  <c r="AJ2655" i="2"/>
  <c r="AL2655" i="2"/>
  <c r="AG2656" i="2"/>
  <c r="AI2656" i="2"/>
  <c r="AJ2656" i="2"/>
  <c r="AL2656" i="2"/>
  <c r="AG2657" i="2"/>
  <c r="AI2657" i="2"/>
  <c r="AJ2657" i="2"/>
  <c r="AL2657" i="2"/>
  <c r="AG2658" i="2"/>
  <c r="AI2658" i="2"/>
  <c r="AJ2658" i="2"/>
  <c r="AL2658" i="2"/>
  <c r="AG2659" i="2"/>
  <c r="AI2659" i="2"/>
  <c r="AJ2659" i="2"/>
  <c r="AL2659" i="2"/>
  <c r="AG2660" i="2"/>
  <c r="AI2660" i="2"/>
  <c r="AJ2660" i="2"/>
  <c r="AL2660" i="2"/>
  <c r="AG2661" i="2"/>
  <c r="AI2661" i="2"/>
  <c r="AJ2661" i="2"/>
  <c r="AL2661" i="2"/>
  <c r="AG2662" i="2"/>
  <c r="AI2662" i="2"/>
  <c r="AJ2662" i="2"/>
  <c r="AL2662" i="2"/>
  <c r="AG2663" i="2"/>
  <c r="AI2663" i="2"/>
  <c r="AJ2663" i="2"/>
  <c r="AL2663" i="2"/>
  <c r="AG2664" i="2"/>
  <c r="AI2664" i="2"/>
  <c r="AJ2664" i="2"/>
  <c r="AL2664" i="2"/>
  <c r="AG2665" i="2"/>
  <c r="AI2665" i="2"/>
  <c r="AJ2665" i="2"/>
  <c r="AL2665" i="2"/>
  <c r="AG2666" i="2"/>
  <c r="AI2666" i="2"/>
  <c r="AJ2666" i="2"/>
  <c r="AL2666" i="2"/>
  <c r="AG2667" i="2"/>
  <c r="AI2667" i="2"/>
  <c r="AJ2667" i="2"/>
  <c r="AL2667" i="2"/>
  <c r="AG2668" i="2"/>
  <c r="AI2668" i="2"/>
  <c r="AJ2668" i="2"/>
  <c r="AL2668" i="2"/>
  <c r="AG2669" i="2"/>
  <c r="AI2669" i="2"/>
  <c r="AJ2669" i="2"/>
  <c r="AL2669" i="2"/>
  <c r="AG2670" i="2"/>
  <c r="AI2670" i="2"/>
  <c r="AJ2670" i="2"/>
  <c r="AL2670" i="2"/>
  <c r="AG2671" i="2"/>
  <c r="AI2671" i="2"/>
  <c r="AJ2671" i="2"/>
  <c r="AL2671" i="2"/>
  <c r="AG2672" i="2"/>
  <c r="AI2672" i="2"/>
  <c r="AJ2672" i="2"/>
  <c r="AL2672" i="2"/>
  <c r="AG2673" i="2"/>
  <c r="AI2673" i="2"/>
  <c r="AJ2673" i="2"/>
  <c r="AL2673" i="2"/>
  <c r="AG2674" i="2"/>
  <c r="AI2674" i="2"/>
  <c r="AJ2674" i="2"/>
  <c r="AL2674" i="2"/>
  <c r="AG2675" i="2"/>
  <c r="AI2675" i="2"/>
  <c r="AJ2675" i="2"/>
  <c r="AL2675" i="2"/>
  <c r="AG2676" i="2"/>
  <c r="AI2676" i="2"/>
  <c r="AJ2676" i="2"/>
  <c r="AL2676" i="2"/>
  <c r="AG2677" i="2"/>
  <c r="AI2677" i="2"/>
  <c r="AJ2677" i="2"/>
  <c r="AL2677" i="2"/>
  <c r="AG2678" i="2"/>
  <c r="AI2678" i="2"/>
  <c r="AJ2678" i="2"/>
  <c r="AL2678" i="2"/>
  <c r="AG2679" i="2"/>
  <c r="AI2679" i="2"/>
  <c r="AJ2679" i="2"/>
  <c r="AL2679" i="2"/>
  <c r="AG2680" i="2"/>
  <c r="AI2680" i="2"/>
  <c r="AJ2680" i="2"/>
  <c r="AL2680" i="2"/>
  <c r="AG2681" i="2"/>
  <c r="AI2681" i="2"/>
  <c r="AJ2681" i="2"/>
  <c r="AL2681" i="2"/>
  <c r="AG2682" i="2"/>
  <c r="AI2682" i="2"/>
  <c r="AJ2682" i="2"/>
  <c r="AL2682" i="2"/>
  <c r="AG2683" i="2"/>
  <c r="AI2683" i="2"/>
  <c r="AJ2683" i="2"/>
  <c r="AL2683" i="2"/>
  <c r="AG2684" i="2"/>
  <c r="AI2684" i="2"/>
  <c r="AJ2684" i="2"/>
  <c r="AL2684" i="2"/>
  <c r="AG2685" i="2"/>
  <c r="AI2685" i="2"/>
  <c r="AJ2685" i="2"/>
  <c r="AL2685" i="2"/>
  <c r="AG2686" i="2"/>
  <c r="AI2686" i="2"/>
  <c r="AJ2686" i="2"/>
  <c r="AL2686" i="2"/>
  <c r="AG2687" i="2"/>
  <c r="AI2687" i="2"/>
  <c r="AJ2687" i="2"/>
  <c r="AL2687" i="2"/>
  <c r="AG2688" i="2"/>
  <c r="AI2688" i="2"/>
  <c r="AJ2688" i="2"/>
  <c r="AL2688" i="2"/>
  <c r="AG2689" i="2"/>
  <c r="AI2689" i="2"/>
  <c r="AJ2689" i="2"/>
  <c r="AL2689" i="2"/>
  <c r="AG2690" i="2"/>
  <c r="AI2690" i="2"/>
  <c r="AJ2690" i="2"/>
  <c r="AL2690" i="2"/>
  <c r="AG2691" i="2"/>
  <c r="AI2691" i="2"/>
  <c r="AJ2691" i="2"/>
  <c r="AL2691" i="2"/>
  <c r="AG2692" i="2"/>
  <c r="AI2692" i="2"/>
  <c r="AJ2692" i="2"/>
  <c r="AL2692" i="2"/>
  <c r="AG2693" i="2"/>
  <c r="AI2693" i="2"/>
  <c r="AJ2693" i="2"/>
  <c r="AL2693" i="2"/>
  <c r="AG2694" i="2"/>
  <c r="AI2694" i="2"/>
  <c r="AJ2694" i="2"/>
  <c r="AL2694" i="2"/>
  <c r="AG2695" i="2"/>
  <c r="AI2695" i="2"/>
  <c r="AJ2695" i="2"/>
  <c r="AL2695" i="2"/>
  <c r="AG2696" i="2"/>
  <c r="AI2696" i="2"/>
  <c r="AJ2696" i="2"/>
  <c r="AL2696" i="2"/>
  <c r="AG2697" i="2"/>
  <c r="AI2697" i="2"/>
  <c r="AJ2697" i="2"/>
  <c r="AL2697" i="2"/>
  <c r="AG2698" i="2"/>
  <c r="AI2698" i="2"/>
  <c r="AJ2698" i="2"/>
  <c r="AL2698" i="2"/>
  <c r="AG2699" i="2"/>
  <c r="AI2699" i="2"/>
  <c r="AJ2699" i="2"/>
  <c r="AL2699" i="2"/>
  <c r="AG2700" i="2"/>
  <c r="AI2700" i="2"/>
  <c r="AJ2700" i="2"/>
  <c r="AL2700" i="2"/>
  <c r="AG2701" i="2"/>
  <c r="AI2701" i="2"/>
  <c r="AJ2701" i="2"/>
  <c r="AL2701" i="2"/>
  <c r="AG2702" i="2"/>
  <c r="AI2702" i="2"/>
  <c r="AJ2702" i="2"/>
  <c r="AL2702" i="2"/>
  <c r="AG2703" i="2"/>
  <c r="AI2703" i="2"/>
  <c r="AJ2703" i="2"/>
  <c r="AL2703" i="2"/>
  <c r="AG2704" i="2"/>
  <c r="AI2704" i="2"/>
  <c r="AJ2704" i="2"/>
  <c r="AL2704" i="2"/>
  <c r="AG2705" i="2"/>
  <c r="AI2705" i="2"/>
  <c r="AJ2705" i="2"/>
  <c r="AL2705" i="2"/>
  <c r="AG2706" i="2"/>
  <c r="AI2706" i="2"/>
  <c r="AJ2706" i="2"/>
  <c r="AL2706" i="2"/>
  <c r="AG2707" i="2"/>
  <c r="AI2707" i="2"/>
  <c r="AJ2707" i="2"/>
  <c r="AL2707" i="2"/>
  <c r="AG2708" i="2"/>
  <c r="AI2708" i="2"/>
  <c r="AJ2708" i="2"/>
  <c r="AL2708" i="2"/>
  <c r="AG2709" i="2"/>
  <c r="AI2709" i="2"/>
  <c r="AJ2709" i="2"/>
  <c r="AL2709" i="2"/>
  <c r="AG2710" i="2"/>
  <c r="AI2710" i="2"/>
  <c r="AJ2710" i="2"/>
  <c r="AL2710" i="2"/>
  <c r="AG2711" i="2"/>
  <c r="AI2711" i="2"/>
  <c r="AJ2711" i="2"/>
  <c r="AL2711" i="2"/>
  <c r="AG2712" i="2"/>
  <c r="AI2712" i="2"/>
  <c r="AJ2712" i="2"/>
  <c r="AL2712" i="2"/>
  <c r="AG2713" i="2"/>
  <c r="AI2713" i="2"/>
  <c r="AJ2713" i="2"/>
  <c r="AL2713" i="2"/>
  <c r="AG2714" i="2"/>
  <c r="AI2714" i="2"/>
  <c r="AJ2714" i="2"/>
  <c r="AL2714" i="2"/>
  <c r="AG2715" i="2"/>
  <c r="AI2715" i="2"/>
  <c r="AJ2715" i="2"/>
  <c r="AL2715" i="2"/>
  <c r="AG2716" i="2"/>
  <c r="AI2716" i="2"/>
  <c r="AJ2716" i="2"/>
  <c r="AL2716" i="2"/>
  <c r="AG2717" i="2"/>
  <c r="AI2717" i="2"/>
  <c r="AJ2717" i="2"/>
  <c r="AL2717" i="2"/>
  <c r="AG2718" i="2"/>
  <c r="AI2718" i="2"/>
  <c r="AJ2718" i="2"/>
  <c r="AL2718" i="2"/>
  <c r="AG2719" i="2"/>
  <c r="AI2719" i="2"/>
  <c r="AJ2719" i="2"/>
  <c r="AL2719" i="2"/>
  <c r="AG2720" i="2"/>
  <c r="AI2720" i="2"/>
  <c r="AJ2720" i="2"/>
  <c r="AL2720" i="2"/>
  <c r="AG2721" i="2"/>
  <c r="AI2721" i="2"/>
  <c r="AJ2721" i="2"/>
  <c r="AL2721" i="2"/>
  <c r="AG2722" i="2"/>
  <c r="AI2722" i="2"/>
  <c r="AJ2722" i="2"/>
  <c r="AL2722" i="2"/>
  <c r="AG2723" i="2"/>
  <c r="AI2723" i="2"/>
  <c r="AJ2723" i="2"/>
  <c r="AL2723" i="2"/>
  <c r="AG2724" i="2"/>
  <c r="AI2724" i="2"/>
  <c r="AJ2724" i="2"/>
  <c r="AL2724" i="2"/>
  <c r="AG2725" i="2"/>
  <c r="AI2725" i="2"/>
  <c r="AJ2725" i="2"/>
  <c r="AL2725" i="2"/>
  <c r="AG2726" i="2"/>
  <c r="AI2726" i="2"/>
  <c r="AJ2726" i="2"/>
  <c r="AL2726" i="2"/>
  <c r="AG2727" i="2"/>
  <c r="AI2727" i="2"/>
  <c r="AJ2727" i="2"/>
  <c r="AL2727" i="2"/>
  <c r="AG2728" i="2"/>
  <c r="AI2728" i="2"/>
  <c r="AJ2728" i="2"/>
  <c r="AL2728" i="2"/>
  <c r="AG2729" i="2"/>
  <c r="AI2729" i="2"/>
  <c r="AJ2729" i="2"/>
  <c r="AL2729" i="2"/>
  <c r="AG2730" i="2"/>
  <c r="AI2730" i="2"/>
  <c r="AJ2730" i="2"/>
  <c r="AL2730" i="2"/>
  <c r="AG2731" i="2"/>
  <c r="AI2731" i="2"/>
  <c r="AJ2731" i="2"/>
  <c r="AL2731" i="2"/>
  <c r="AG2732" i="2"/>
  <c r="AI2732" i="2"/>
  <c r="AJ2732" i="2"/>
  <c r="AL2732" i="2"/>
  <c r="AG2733" i="2"/>
  <c r="AI2733" i="2"/>
  <c r="AJ2733" i="2"/>
  <c r="AL2733" i="2"/>
  <c r="AG2734" i="2"/>
  <c r="AI2734" i="2"/>
  <c r="AJ2734" i="2"/>
  <c r="AL2734" i="2"/>
  <c r="AG2735" i="2"/>
  <c r="AI2735" i="2"/>
  <c r="AJ2735" i="2"/>
  <c r="AL2735" i="2"/>
  <c r="AG2736" i="2"/>
  <c r="AI2736" i="2"/>
  <c r="AJ2736" i="2"/>
  <c r="AL2736" i="2"/>
  <c r="AG2737" i="2"/>
  <c r="AI2737" i="2"/>
  <c r="AJ2737" i="2"/>
  <c r="AL2737" i="2"/>
  <c r="AG2738" i="2"/>
  <c r="AI2738" i="2"/>
  <c r="AJ2738" i="2"/>
  <c r="AL2738" i="2"/>
  <c r="AG2739" i="2"/>
  <c r="AI2739" i="2"/>
  <c r="AJ2739" i="2"/>
  <c r="AL2739" i="2"/>
  <c r="AG2740" i="2"/>
  <c r="AI2740" i="2"/>
  <c r="AJ2740" i="2"/>
  <c r="AL2740" i="2"/>
  <c r="AG2741" i="2"/>
  <c r="AI2741" i="2"/>
  <c r="AJ2741" i="2"/>
  <c r="AL2741" i="2"/>
  <c r="AG2742" i="2"/>
  <c r="AI2742" i="2"/>
  <c r="AJ2742" i="2"/>
  <c r="AL2742" i="2"/>
  <c r="AG2743" i="2"/>
  <c r="AI2743" i="2"/>
  <c r="AJ2743" i="2"/>
  <c r="AL2743" i="2"/>
  <c r="AG2744" i="2"/>
  <c r="AI2744" i="2"/>
  <c r="AJ2744" i="2"/>
  <c r="AL2744" i="2"/>
  <c r="AG2745" i="2"/>
  <c r="AI2745" i="2"/>
  <c r="AJ2745" i="2"/>
  <c r="AL2745" i="2"/>
  <c r="AG2746" i="2"/>
  <c r="AI2746" i="2"/>
  <c r="AJ2746" i="2"/>
  <c r="AL2746" i="2"/>
  <c r="AG2747" i="2"/>
  <c r="AI2747" i="2"/>
  <c r="AJ2747" i="2"/>
  <c r="AL2747" i="2"/>
  <c r="AG2748" i="2"/>
  <c r="AI2748" i="2"/>
  <c r="AJ2748" i="2"/>
  <c r="AL2748" i="2"/>
  <c r="AG2749" i="2"/>
  <c r="AI2749" i="2"/>
  <c r="AJ2749" i="2"/>
  <c r="AL2749" i="2"/>
  <c r="AG2750" i="2"/>
  <c r="AI2750" i="2"/>
  <c r="AJ2750" i="2"/>
  <c r="AL2750" i="2"/>
  <c r="AG2751" i="2"/>
  <c r="AI2751" i="2"/>
  <c r="AJ2751" i="2"/>
  <c r="AL2751" i="2"/>
  <c r="AG2752" i="2"/>
  <c r="AI2752" i="2"/>
  <c r="AJ2752" i="2"/>
  <c r="AL2752" i="2"/>
  <c r="AG2753" i="2"/>
  <c r="AI2753" i="2"/>
  <c r="AJ2753" i="2"/>
  <c r="AL2753" i="2"/>
  <c r="AG2754" i="2"/>
  <c r="AI2754" i="2"/>
  <c r="AJ2754" i="2"/>
  <c r="AL2754" i="2"/>
  <c r="AG2755" i="2"/>
  <c r="AI2755" i="2"/>
  <c r="AJ2755" i="2"/>
  <c r="AL2755" i="2"/>
  <c r="AG2756" i="2"/>
  <c r="AI2756" i="2"/>
  <c r="AJ2756" i="2"/>
  <c r="AL2756" i="2"/>
  <c r="AG2757" i="2"/>
  <c r="AI2757" i="2"/>
  <c r="AJ2757" i="2"/>
  <c r="AL2757" i="2"/>
  <c r="AG2758" i="2"/>
  <c r="AI2758" i="2"/>
  <c r="AJ2758" i="2"/>
  <c r="AL2758" i="2"/>
  <c r="AG2759" i="2"/>
  <c r="AI2759" i="2"/>
  <c r="AJ2759" i="2"/>
  <c r="AL2759" i="2"/>
  <c r="AG2760" i="2"/>
  <c r="AI2760" i="2"/>
  <c r="AJ2760" i="2"/>
  <c r="AL2760" i="2"/>
  <c r="AG2761" i="2"/>
  <c r="AI2761" i="2"/>
  <c r="AJ2761" i="2"/>
  <c r="AL2761" i="2"/>
  <c r="AG2762" i="2"/>
  <c r="AI2762" i="2"/>
  <c r="AJ2762" i="2"/>
  <c r="AL2762" i="2"/>
  <c r="AG2763" i="2"/>
  <c r="AI2763" i="2"/>
  <c r="AJ2763" i="2"/>
  <c r="AL2763" i="2"/>
  <c r="AG2764" i="2"/>
  <c r="AI2764" i="2"/>
  <c r="AJ2764" i="2"/>
  <c r="AL2764" i="2"/>
  <c r="AG2765" i="2"/>
  <c r="AI2765" i="2"/>
  <c r="AJ2765" i="2"/>
  <c r="AL2765" i="2"/>
  <c r="AG2766" i="2"/>
  <c r="AI2766" i="2"/>
  <c r="AJ2766" i="2"/>
  <c r="AL2766" i="2"/>
  <c r="AG2767" i="2"/>
  <c r="AI2767" i="2"/>
  <c r="AJ2767" i="2"/>
  <c r="AL2767" i="2"/>
  <c r="AG2768" i="2"/>
  <c r="AI2768" i="2"/>
  <c r="AJ2768" i="2"/>
  <c r="AL2768" i="2"/>
  <c r="AG2769" i="2"/>
  <c r="AI2769" i="2"/>
  <c r="AJ2769" i="2"/>
  <c r="AL2769" i="2"/>
  <c r="AG2770" i="2"/>
  <c r="AI2770" i="2"/>
  <c r="AJ2770" i="2"/>
  <c r="AL2770" i="2"/>
  <c r="AG2771" i="2"/>
  <c r="AI2771" i="2"/>
  <c r="AJ2771" i="2"/>
  <c r="AL2771" i="2"/>
  <c r="AG2772" i="2"/>
  <c r="AI2772" i="2"/>
  <c r="AJ2772" i="2"/>
  <c r="AL2772" i="2"/>
  <c r="AG2773" i="2"/>
  <c r="AI2773" i="2"/>
  <c r="AJ2773" i="2"/>
  <c r="AL2773" i="2"/>
  <c r="AG2774" i="2"/>
  <c r="AI2774" i="2"/>
  <c r="AJ2774" i="2"/>
  <c r="AL2774" i="2"/>
  <c r="AG2775" i="2"/>
  <c r="AI2775" i="2"/>
  <c r="AJ2775" i="2"/>
  <c r="AL2775" i="2"/>
  <c r="AG2776" i="2"/>
  <c r="AI2776" i="2"/>
  <c r="AJ2776" i="2"/>
  <c r="AL2776" i="2"/>
  <c r="AG2777" i="2"/>
  <c r="AI2777" i="2"/>
  <c r="AJ2777" i="2"/>
  <c r="AL2777" i="2"/>
  <c r="AG2778" i="2"/>
  <c r="AI2778" i="2"/>
  <c r="AJ2778" i="2"/>
  <c r="AL2778" i="2"/>
  <c r="AG2779" i="2"/>
  <c r="AI2779" i="2"/>
  <c r="AJ2779" i="2"/>
  <c r="AL2779" i="2"/>
  <c r="AG2780" i="2"/>
  <c r="AI2780" i="2"/>
  <c r="AJ2780" i="2"/>
  <c r="AL2780" i="2"/>
  <c r="AG2781" i="2"/>
  <c r="AI2781" i="2"/>
  <c r="AJ2781" i="2"/>
  <c r="AL2781" i="2"/>
  <c r="AG2782" i="2"/>
  <c r="AI2782" i="2"/>
  <c r="AJ2782" i="2"/>
  <c r="AL2782" i="2"/>
  <c r="AG2783" i="2"/>
  <c r="AI2783" i="2"/>
  <c r="AJ2783" i="2"/>
  <c r="AL2783" i="2"/>
  <c r="AG2784" i="2"/>
  <c r="AI2784" i="2"/>
  <c r="AJ2784" i="2"/>
  <c r="AL2784" i="2"/>
  <c r="AG2785" i="2"/>
  <c r="AI2785" i="2"/>
  <c r="AJ2785" i="2"/>
  <c r="AL2785" i="2"/>
  <c r="AG2786" i="2"/>
  <c r="AI2786" i="2"/>
  <c r="AJ2786" i="2"/>
  <c r="AL2786" i="2"/>
  <c r="AG2787" i="2"/>
  <c r="AI2787" i="2"/>
  <c r="AJ2787" i="2"/>
  <c r="AL2787" i="2"/>
  <c r="AG2788" i="2"/>
  <c r="AI2788" i="2"/>
  <c r="AJ2788" i="2"/>
  <c r="AL2788" i="2"/>
  <c r="AG2789" i="2"/>
  <c r="AI2789" i="2"/>
  <c r="AJ2789" i="2"/>
  <c r="AL2789" i="2"/>
  <c r="AG2790" i="2"/>
  <c r="AI2790" i="2"/>
  <c r="AJ2790" i="2"/>
  <c r="AL2790" i="2"/>
  <c r="AG2791" i="2"/>
  <c r="AI2791" i="2"/>
  <c r="AJ2791" i="2"/>
  <c r="AL2791" i="2"/>
  <c r="AG2792" i="2"/>
  <c r="AI2792" i="2"/>
  <c r="AJ2792" i="2"/>
  <c r="AL2792" i="2"/>
  <c r="AG2793" i="2"/>
  <c r="AI2793" i="2"/>
  <c r="AJ2793" i="2"/>
  <c r="AL2793" i="2"/>
  <c r="AG2794" i="2"/>
  <c r="AI2794" i="2"/>
  <c r="AJ2794" i="2"/>
  <c r="AL2794" i="2"/>
  <c r="AG2795" i="2"/>
  <c r="AI2795" i="2"/>
  <c r="AJ2795" i="2"/>
  <c r="AL2795" i="2"/>
  <c r="AG2796" i="2"/>
  <c r="AI2796" i="2"/>
  <c r="AJ2796" i="2"/>
  <c r="AL2796" i="2"/>
  <c r="AG2797" i="2"/>
  <c r="AI2797" i="2"/>
  <c r="AJ2797" i="2"/>
  <c r="AL2797" i="2"/>
  <c r="AG2798" i="2"/>
  <c r="AI2798" i="2"/>
  <c r="AJ2798" i="2"/>
  <c r="AL2798" i="2"/>
  <c r="AG2799" i="2"/>
  <c r="AI2799" i="2"/>
  <c r="AJ2799" i="2"/>
  <c r="AL2799" i="2"/>
  <c r="AG2800" i="2"/>
  <c r="AI2800" i="2"/>
  <c r="AJ2800" i="2"/>
  <c r="AL2800" i="2"/>
  <c r="AG2801" i="2"/>
  <c r="AI2801" i="2"/>
  <c r="AJ2801" i="2"/>
  <c r="AL2801" i="2"/>
  <c r="AG2802" i="2"/>
  <c r="AI2802" i="2"/>
  <c r="AJ2802" i="2"/>
  <c r="AL2802" i="2"/>
  <c r="AG2803" i="2"/>
  <c r="AI2803" i="2"/>
  <c r="AJ2803" i="2"/>
  <c r="AL2803" i="2"/>
  <c r="AG2804" i="2"/>
  <c r="AI2804" i="2"/>
  <c r="AJ2804" i="2"/>
  <c r="AL2804" i="2"/>
  <c r="AG2805" i="2"/>
  <c r="AI2805" i="2"/>
  <c r="AJ2805" i="2"/>
  <c r="AL2805" i="2"/>
  <c r="AG2806" i="2"/>
  <c r="AI2806" i="2"/>
  <c r="AJ2806" i="2"/>
  <c r="AL2806" i="2"/>
  <c r="AG2807" i="2"/>
  <c r="AI2807" i="2"/>
  <c r="AJ2807" i="2"/>
  <c r="AL2807" i="2"/>
  <c r="AG2808" i="2"/>
  <c r="AI2808" i="2"/>
  <c r="AJ2808" i="2"/>
  <c r="AL2808" i="2"/>
  <c r="AG2809" i="2"/>
  <c r="AI2809" i="2"/>
  <c r="AJ2809" i="2"/>
  <c r="AL2809" i="2"/>
  <c r="AG2810" i="2"/>
  <c r="AI2810" i="2"/>
  <c r="AJ2810" i="2"/>
  <c r="AL2810" i="2"/>
  <c r="AG2811" i="2"/>
  <c r="AI2811" i="2"/>
  <c r="AJ2811" i="2"/>
  <c r="AL2811" i="2"/>
  <c r="AG2812" i="2"/>
  <c r="AI2812" i="2"/>
  <c r="AJ2812" i="2"/>
  <c r="AL2812" i="2"/>
  <c r="AG2813" i="2"/>
  <c r="AI2813" i="2"/>
  <c r="AJ2813" i="2"/>
  <c r="AL2813" i="2"/>
  <c r="AG2814" i="2"/>
  <c r="AI2814" i="2"/>
  <c r="AJ2814" i="2"/>
  <c r="AL2814" i="2"/>
  <c r="AG2815" i="2"/>
  <c r="AI2815" i="2"/>
  <c r="AJ2815" i="2"/>
  <c r="AL2815" i="2"/>
  <c r="AG2816" i="2"/>
  <c r="AI2816" i="2"/>
  <c r="AJ2816" i="2"/>
  <c r="AL2816" i="2"/>
  <c r="AG2817" i="2"/>
  <c r="AI2817" i="2"/>
  <c r="AJ2817" i="2"/>
  <c r="AL2817" i="2"/>
  <c r="AG2818" i="2"/>
  <c r="AI2818" i="2"/>
  <c r="AJ2818" i="2"/>
  <c r="AL2818" i="2"/>
  <c r="AG2819" i="2"/>
  <c r="AI2819" i="2"/>
  <c r="AJ2819" i="2"/>
  <c r="AL2819" i="2"/>
  <c r="AG2820" i="2"/>
  <c r="AI2820" i="2"/>
  <c r="AJ2820" i="2"/>
  <c r="AL2820" i="2"/>
  <c r="AG2821" i="2"/>
  <c r="AI2821" i="2"/>
  <c r="AJ2821" i="2"/>
  <c r="AL2821" i="2"/>
  <c r="AG2822" i="2"/>
  <c r="AI2822" i="2"/>
  <c r="AJ2822" i="2"/>
  <c r="AL2822" i="2"/>
  <c r="AG2823" i="2"/>
  <c r="AI2823" i="2"/>
  <c r="AJ2823" i="2"/>
  <c r="AL2823" i="2"/>
  <c r="AG2824" i="2"/>
  <c r="AI2824" i="2"/>
  <c r="AJ2824" i="2"/>
  <c r="AL2824" i="2"/>
  <c r="AG2825" i="2"/>
  <c r="AI2825" i="2"/>
  <c r="AJ2825" i="2"/>
  <c r="AL2825" i="2"/>
  <c r="AG2826" i="2"/>
  <c r="AI2826" i="2"/>
  <c r="AJ2826" i="2"/>
  <c r="AL2826" i="2"/>
  <c r="AG2827" i="2"/>
  <c r="AI2827" i="2"/>
  <c r="AJ2827" i="2"/>
  <c r="AL2827" i="2"/>
  <c r="AG2828" i="2"/>
  <c r="AI2828" i="2"/>
  <c r="AJ2828" i="2"/>
  <c r="AL2828" i="2"/>
  <c r="AG2829" i="2"/>
  <c r="AI2829" i="2"/>
  <c r="AJ2829" i="2"/>
  <c r="AL2829" i="2"/>
  <c r="AG2830" i="2"/>
  <c r="AI2830" i="2"/>
  <c r="AJ2830" i="2"/>
  <c r="AL2830" i="2"/>
  <c r="AG2831" i="2"/>
  <c r="AI2831" i="2"/>
  <c r="AJ2831" i="2"/>
  <c r="AL2831" i="2"/>
  <c r="AG2832" i="2"/>
  <c r="AI2832" i="2"/>
  <c r="AJ2832" i="2"/>
  <c r="AL2832" i="2"/>
  <c r="AG2833" i="2"/>
  <c r="AI2833" i="2"/>
  <c r="AJ2833" i="2"/>
  <c r="AL2833" i="2"/>
  <c r="AG2834" i="2"/>
  <c r="AI2834" i="2"/>
  <c r="AJ2834" i="2"/>
  <c r="AL2834" i="2"/>
  <c r="AG2835" i="2"/>
  <c r="AI2835" i="2"/>
  <c r="AJ2835" i="2"/>
  <c r="AL2835" i="2"/>
  <c r="AG2836" i="2"/>
  <c r="AI2836" i="2"/>
  <c r="AJ2836" i="2"/>
  <c r="AL2836" i="2"/>
  <c r="AG2837" i="2"/>
  <c r="AI2837" i="2"/>
  <c r="AJ2837" i="2"/>
  <c r="AL2837" i="2"/>
  <c r="AG2838" i="2"/>
  <c r="AI2838" i="2"/>
  <c r="AJ2838" i="2"/>
  <c r="AL2838" i="2"/>
  <c r="AG2839" i="2"/>
  <c r="AI2839" i="2"/>
  <c r="AJ2839" i="2"/>
  <c r="AL2839" i="2"/>
  <c r="AG2840" i="2"/>
  <c r="AI2840" i="2"/>
  <c r="AJ2840" i="2"/>
  <c r="AL2840" i="2"/>
  <c r="AG2841" i="2"/>
  <c r="AI2841" i="2"/>
  <c r="AJ2841" i="2"/>
  <c r="AL2841" i="2"/>
  <c r="AG2842" i="2"/>
  <c r="AI2842" i="2"/>
  <c r="AJ2842" i="2"/>
  <c r="AL2842" i="2"/>
  <c r="AG2843" i="2"/>
  <c r="AI2843" i="2"/>
  <c r="AJ2843" i="2"/>
  <c r="AL2843" i="2"/>
  <c r="AG2844" i="2"/>
  <c r="AI2844" i="2"/>
  <c r="AJ2844" i="2"/>
  <c r="AL2844" i="2"/>
  <c r="AG2845" i="2"/>
  <c r="AI2845" i="2"/>
  <c r="AJ2845" i="2"/>
  <c r="AL2845" i="2"/>
  <c r="AG2846" i="2"/>
  <c r="AI2846" i="2"/>
  <c r="AJ2846" i="2"/>
  <c r="AL2846" i="2"/>
  <c r="AG2847" i="2"/>
  <c r="AI2847" i="2"/>
  <c r="AJ2847" i="2"/>
  <c r="AL2847" i="2"/>
  <c r="AG2848" i="2"/>
  <c r="AI2848" i="2"/>
  <c r="AJ2848" i="2"/>
  <c r="AL2848" i="2"/>
  <c r="AG2849" i="2"/>
  <c r="AI2849" i="2"/>
  <c r="AJ2849" i="2"/>
  <c r="AL2849" i="2"/>
  <c r="AG2850" i="2"/>
  <c r="AI2850" i="2"/>
  <c r="AJ2850" i="2"/>
  <c r="AL2850" i="2"/>
  <c r="AG2851" i="2"/>
  <c r="AI2851" i="2"/>
  <c r="AJ2851" i="2"/>
  <c r="AL2851" i="2"/>
  <c r="AG2852" i="2"/>
  <c r="AI2852" i="2"/>
  <c r="AJ2852" i="2"/>
  <c r="AL2852" i="2"/>
  <c r="AG2853" i="2"/>
  <c r="AI2853" i="2"/>
  <c r="AJ2853" i="2"/>
  <c r="AL2853" i="2"/>
  <c r="AG2854" i="2"/>
  <c r="AI2854" i="2"/>
  <c r="AJ2854" i="2"/>
  <c r="AL2854" i="2"/>
  <c r="AG2855" i="2"/>
  <c r="AI2855" i="2"/>
  <c r="AJ2855" i="2"/>
  <c r="AL2855" i="2"/>
  <c r="AG2856" i="2"/>
  <c r="AI2856" i="2"/>
  <c r="AJ2856" i="2"/>
  <c r="AL2856" i="2"/>
  <c r="AG2857" i="2"/>
  <c r="AI2857" i="2"/>
  <c r="AJ2857" i="2"/>
  <c r="AL2857" i="2"/>
  <c r="AG2858" i="2"/>
  <c r="AI2858" i="2"/>
  <c r="AJ2858" i="2"/>
  <c r="AL2858" i="2"/>
  <c r="AG2859" i="2"/>
  <c r="AI2859" i="2"/>
  <c r="AJ2859" i="2"/>
  <c r="AL2859" i="2"/>
  <c r="AG2860" i="2"/>
  <c r="AI2860" i="2"/>
  <c r="AJ2860" i="2"/>
  <c r="AL2860" i="2"/>
  <c r="AG2861" i="2"/>
  <c r="AI2861" i="2"/>
  <c r="AJ2861" i="2"/>
  <c r="AL2861" i="2"/>
  <c r="AG2862" i="2"/>
  <c r="AI2862" i="2"/>
  <c r="AJ2862" i="2"/>
  <c r="AL2862" i="2"/>
  <c r="AG2863" i="2"/>
  <c r="AI2863" i="2"/>
  <c r="AJ2863" i="2"/>
  <c r="AL2863" i="2"/>
  <c r="AG2864" i="2"/>
  <c r="AI2864" i="2"/>
  <c r="AJ2864" i="2"/>
  <c r="AL2864" i="2"/>
  <c r="AG2865" i="2"/>
  <c r="AI2865" i="2"/>
  <c r="AJ2865" i="2"/>
  <c r="AL2865" i="2"/>
  <c r="AG2866" i="2"/>
  <c r="AI2866" i="2"/>
  <c r="AJ2866" i="2"/>
  <c r="AL2866" i="2"/>
  <c r="AG2867" i="2"/>
  <c r="AI2867" i="2"/>
  <c r="AJ2867" i="2"/>
  <c r="AL2867" i="2"/>
  <c r="AG2868" i="2"/>
  <c r="AI2868" i="2"/>
  <c r="AJ2868" i="2"/>
  <c r="AL2868" i="2"/>
  <c r="AG2869" i="2"/>
  <c r="AI2869" i="2"/>
  <c r="AJ2869" i="2"/>
  <c r="AL2869" i="2"/>
  <c r="AG2870" i="2"/>
  <c r="AI2870" i="2"/>
  <c r="AJ2870" i="2"/>
  <c r="AL2870" i="2"/>
  <c r="AG2871" i="2"/>
  <c r="AI2871" i="2"/>
  <c r="AJ2871" i="2"/>
  <c r="AL2871" i="2"/>
  <c r="AG2872" i="2"/>
  <c r="AI2872" i="2"/>
  <c r="AJ2872" i="2"/>
  <c r="AL2872" i="2"/>
  <c r="AG2873" i="2"/>
  <c r="AI2873" i="2"/>
  <c r="AJ2873" i="2"/>
  <c r="AL2873" i="2"/>
  <c r="AG2874" i="2"/>
  <c r="AI2874" i="2"/>
  <c r="AJ2874" i="2"/>
  <c r="AL2874" i="2"/>
  <c r="AG2875" i="2"/>
  <c r="AI2875" i="2"/>
  <c r="AJ2875" i="2"/>
  <c r="AL2875" i="2"/>
  <c r="AG2876" i="2"/>
  <c r="AI2876" i="2"/>
  <c r="AJ2876" i="2"/>
  <c r="AL2876" i="2"/>
  <c r="AG2877" i="2"/>
  <c r="AI2877" i="2"/>
  <c r="AJ2877" i="2"/>
  <c r="AL2877" i="2"/>
  <c r="AG2878" i="2"/>
  <c r="AI2878" i="2"/>
  <c r="AJ2878" i="2"/>
  <c r="AL2878" i="2"/>
  <c r="AG2879" i="2"/>
  <c r="AI2879" i="2"/>
  <c r="AJ2879" i="2"/>
  <c r="AL2879" i="2"/>
  <c r="AG2880" i="2"/>
  <c r="AI2880" i="2"/>
  <c r="AJ2880" i="2"/>
  <c r="AL2880" i="2"/>
  <c r="AG2881" i="2"/>
  <c r="AI2881" i="2"/>
  <c r="AJ2881" i="2"/>
  <c r="AL2881" i="2"/>
  <c r="AG2882" i="2"/>
  <c r="AI2882" i="2"/>
  <c r="AJ2882" i="2"/>
  <c r="AL2882" i="2"/>
  <c r="AG2883" i="2"/>
  <c r="AI2883" i="2"/>
  <c r="AJ2883" i="2"/>
  <c r="AL2883" i="2"/>
  <c r="AG2884" i="2"/>
  <c r="AI2884" i="2"/>
  <c r="AJ2884" i="2"/>
  <c r="AL2884" i="2"/>
  <c r="AG2885" i="2"/>
  <c r="AI2885" i="2"/>
  <c r="AJ2885" i="2"/>
  <c r="AL2885" i="2"/>
  <c r="AG2886" i="2"/>
  <c r="AI2886" i="2"/>
  <c r="AJ2886" i="2"/>
  <c r="AL2886" i="2"/>
  <c r="AG2887" i="2"/>
  <c r="AI2887" i="2"/>
  <c r="AJ2887" i="2"/>
  <c r="AL2887" i="2"/>
  <c r="AG2888" i="2"/>
  <c r="AI2888" i="2"/>
  <c r="AJ2888" i="2"/>
  <c r="AL2888" i="2"/>
  <c r="AG2889" i="2"/>
  <c r="AI2889" i="2"/>
  <c r="AJ2889" i="2"/>
  <c r="AL2889" i="2"/>
  <c r="AG2890" i="2"/>
  <c r="AI2890" i="2"/>
  <c r="AJ2890" i="2"/>
  <c r="AL2890" i="2"/>
  <c r="AG2891" i="2"/>
  <c r="AI2891" i="2"/>
  <c r="AJ2891" i="2"/>
  <c r="AL2891" i="2"/>
  <c r="AG2892" i="2"/>
  <c r="AI2892" i="2"/>
  <c r="AJ2892" i="2"/>
  <c r="AL2892" i="2"/>
  <c r="AG2893" i="2"/>
  <c r="AI2893" i="2"/>
  <c r="AJ2893" i="2"/>
  <c r="AL2893" i="2"/>
  <c r="AG2894" i="2"/>
  <c r="AI2894" i="2"/>
  <c r="AJ2894" i="2"/>
  <c r="AL2894" i="2"/>
  <c r="AG2895" i="2"/>
  <c r="AI2895" i="2"/>
  <c r="AJ2895" i="2"/>
  <c r="AL2895" i="2"/>
  <c r="AG2896" i="2"/>
  <c r="AI2896" i="2"/>
  <c r="AJ2896" i="2"/>
  <c r="AL2896" i="2"/>
  <c r="AG2897" i="2"/>
  <c r="AI2897" i="2"/>
  <c r="AJ2897" i="2"/>
  <c r="AL2897" i="2"/>
  <c r="AG2898" i="2"/>
  <c r="AI2898" i="2"/>
  <c r="AJ2898" i="2"/>
  <c r="AL2898" i="2"/>
  <c r="AG2899" i="2"/>
  <c r="AI2899" i="2"/>
  <c r="AJ2899" i="2"/>
  <c r="AL2899" i="2"/>
  <c r="AG2900" i="2"/>
  <c r="AI2900" i="2"/>
  <c r="AJ2900" i="2"/>
  <c r="AL2900" i="2"/>
  <c r="AG2901" i="2"/>
  <c r="AI2901" i="2"/>
  <c r="AJ2901" i="2"/>
  <c r="AL2901" i="2"/>
  <c r="AG2902" i="2"/>
  <c r="AI2902" i="2"/>
  <c r="AJ2902" i="2"/>
  <c r="AL2902" i="2"/>
  <c r="AG2903" i="2"/>
  <c r="AI2903" i="2"/>
  <c r="AJ2903" i="2"/>
  <c r="AL2903" i="2"/>
  <c r="AG2904" i="2"/>
  <c r="AI2904" i="2"/>
  <c r="AJ2904" i="2"/>
  <c r="AL2904" i="2"/>
  <c r="AG2905" i="2"/>
  <c r="AI2905" i="2"/>
  <c r="AJ2905" i="2"/>
  <c r="AL2905" i="2"/>
  <c r="AG2906" i="2"/>
  <c r="AI2906" i="2"/>
  <c r="AJ2906" i="2"/>
  <c r="AL2906" i="2"/>
  <c r="AG2907" i="2"/>
  <c r="AI2907" i="2"/>
  <c r="AJ2907" i="2"/>
  <c r="AL2907" i="2"/>
  <c r="AG2908" i="2"/>
  <c r="AI2908" i="2"/>
  <c r="AJ2908" i="2"/>
  <c r="AL2908" i="2"/>
  <c r="AG2909" i="2"/>
  <c r="AI2909" i="2"/>
  <c r="AJ2909" i="2"/>
  <c r="AL2909" i="2"/>
  <c r="AG2910" i="2"/>
  <c r="AI2910" i="2"/>
  <c r="AJ2910" i="2"/>
  <c r="AL2910" i="2"/>
  <c r="AG2911" i="2"/>
  <c r="AI2911" i="2"/>
  <c r="AJ2911" i="2"/>
  <c r="AL2911" i="2"/>
  <c r="AG2912" i="2"/>
  <c r="AI2912" i="2"/>
  <c r="AJ2912" i="2"/>
  <c r="AL2912" i="2"/>
  <c r="AG2913" i="2"/>
  <c r="AI2913" i="2"/>
  <c r="AJ2913" i="2"/>
  <c r="AL2913" i="2"/>
  <c r="AG2914" i="2"/>
  <c r="AI2914" i="2"/>
  <c r="AJ2914" i="2"/>
  <c r="AL2914" i="2"/>
  <c r="AG2915" i="2"/>
  <c r="AI2915" i="2"/>
  <c r="AJ2915" i="2"/>
  <c r="AL2915" i="2"/>
  <c r="AG2916" i="2"/>
  <c r="AI2916" i="2"/>
  <c r="AJ2916" i="2"/>
  <c r="AL2916" i="2"/>
  <c r="AG2917" i="2"/>
  <c r="AI2917" i="2"/>
  <c r="AJ2917" i="2"/>
  <c r="AL2917" i="2"/>
  <c r="AG2918" i="2"/>
  <c r="AI2918" i="2"/>
  <c r="AJ2918" i="2"/>
  <c r="AL2918" i="2"/>
  <c r="AG2919" i="2"/>
  <c r="AI2919" i="2"/>
  <c r="AJ2919" i="2"/>
  <c r="AL2919" i="2"/>
  <c r="AG2920" i="2"/>
  <c r="AI2920" i="2"/>
  <c r="AJ2920" i="2"/>
  <c r="AL2920" i="2"/>
  <c r="AG2921" i="2"/>
  <c r="AI2921" i="2"/>
  <c r="AJ2921" i="2"/>
  <c r="AL2921" i="2"/>
  <c r="AG2922" i="2"/>
  <c r="AI2922" i="2"/>
  <c r="AJ2922" i="2"/>
  <c r="AL2922" i="2"/>
  <c r="AG2923" i="2"/>
  <c r="AI2923" i="2"/>
  <c r="AJ2923" i="2"/>
  <c r="AL2923" i="2"/>
  <c r="AG2924" i="2"/>
  <c r="AI2924" i="2"/>
  <c r="AJ2924" i="2"/>
  <c r="AL2924" i="2"/>
  <c r="AG2925" i="2"/>
  <c r="AI2925" i="2"/>
  <c r="AJ2925" i="2"/>
  <c r="AL2925" i="2"/>
  <c r="AG2926" i="2"/>
  <c r="AI2926" i="2"/>
  <c r="AJ2926" i="2"/>
  <c r="AL2926" i="2"/>
  <c r="AG2927" i="2"/>
  <c r="AI2927" i="2"/>
  <c r="AJ2927" i="2"/>
  <c r="AL2927" i="2"/>
  <c r="AG2928" i="2"/>
  <c r="AI2928" i="2"/>
  <c r="AJ2928" i="2"/>
  <c r="AL2928" i="2"/>
  <c r="AG2929" i="2"/>
  <c r="AI2929" i="2"/>
  <c r="AJ2929" i="2"/>
  <c r="AL2929" i="2"/>
  <c r="AG2930" i="2"/>
  <c r="AI2930" i="2"/>
  <c r="AJ2930" i="2"/>
  <c r="AL2930" i="2"/>
  <c r="AG2931" i="2"/>
  <c r="AI2931" i="2"/>
  <c r="AJ2931" i="2"/>
  <c r="AL2931" i="2"/>
  <c r="AG2932" i="2"/>
  <c r="AI2932" i="2"/>
  <c r="AJ2932" i="2"/>
  <c r="AL2932" i="2"/>
  <c r="AG2933" i="2"/>
  <c r="AI2933" i="2"/>
  <c r="AJ2933" i="2"/>
  <c r="AL2933" i="2"/>
  <c r="AG2934" i="2"/>
  <c r="AI2934" i="2"/>
  <c r="AJ2934" i="2"/>
  <c r="AL2934" i="2"/>
  <c r="AG2935" i="2"/>
  <c r="AI2935" i="2"/>
  <c r="AJ2935" i="2"/>
  <c r="AL2935" i="2"/>
  <c r="AG2936" i="2"/>
  <c r="AI2936" i="2"/>
  <c r="AJ2936" i="2"/>
  <c r="AL2936" i="2"/>
  <c r="AG2937" i="2"/>
  <c r="AI2937" i="2"/>
  <c r="AJ2937" i="2"/>
  <c r="AL2937" i="2"/>
  <c r="AG2938" i="2"/>
  <c r="AI2938" i="2"/>
  <c r="AJ2938" i="2"/>
  <c r="AL2938" i="2"/>
  <c r="AG2939" i="2"/>
  <c r="AI2939" i="2"/>
  <c r="AJ2939" i="2"/>
  <c r="AL2939" i="2"/>
  <c r="AG2940" i="2"/>
  <c r="AI2940" i="2"/>
  <c r="AJ2940" i="2"/>
  <c r="AL2940" i="2"/>
  <c r="AG2941" i="2"/>
  <c r="AI2941" i="2"/>
  <c r="AJ2941" i="2"/>
  <c r="AL2941" i="2"/>
  <c r="AG2942" i="2"/>
  <c r="AI2942" i="2"/>
  <c r="AJ2942" i="2"/>
  <c r="AL2942" i="2"/>
  <c r="AG2943" i="2"/>
  <c r="AI2943" i="2"/>
  <c r="AJ2943" i="2"/>
  <c r="AL2943" i="2"/>
  <c r="AG2944" i="2"/>
  <c r="AI2944" i="2"/>
  <c r="AJ2944" i="2"/>
  <c r="AL2944" i="2"/>
  <c r="AG2945" i="2"/>
  <c r="AI2945" i="2"/>
  <c r="AJ2945" i="2"/>
  <c r="AL2945" i="2"/>
  <c r="AG2946" i="2"/>
  <c r="AI2946" i="2"/>
  <c r="AJ2946" i="2"/>
  <c r="AL2946" i="2"/>
  <c r="AG2947" i="2"/>
  <c r="AI2947" i="2"/>
  <c r="AJ2947" i="2"/>
  <c r="AL2947" i="2"/>
  <c r="AG2948" i="2"/>
  <c r="AI2948" i="2"/>
  <c r="AJ2948" i="2"/>
  <c r="AL2948" i="2"/>
  <c r="AG2949" i="2"/>
  <c r="AI2949" i="2"/>
  <c r="AJ2949" i="2"/>
  <c r="AL2949" i="2"/>
  <c r="AG2950" i="2"/>
  <c r="AI2950" i="2"/>
  <c r="AJ2950" i="2"/>
  <c r="AL2950" i="2"/>
  <c r="AG2951" i="2"/>
  <c r="AI2951" i="2"/>
  <c r="AJ2951" i="2"/>
  <c r="AL2951" i="2"/>
  <c r="AG2952" i="2"/>
  <c r="AI2952" i="2"/>
  <c r="AJ2952" i="2"/>
  <c r="AL2952" i="2"/>
  <c r="AG2953" i="2"/>
  <c r="AI2953" i="2"/>
  <c r="AJ2953" i="2"/>
  <c r="AL2953" i="2"/>
  <c r="AG2954" i="2"/>
  <c r="AI2954" i="2"/>
  <c r="AJ2954" i="2"/>
  <c r="AL2954" i="2"/>
  <c r="AG2955" i="2"/>
  <c r="AI2955" i="2"/>
  <c r="AJ2955" i="2"/>
  <c r="AL2955" i="2"/>
  <c r="AG2956" i="2"/>
  <c r="AI2956" i="2"/>
  <c r="AJ2956" i="2"/>
  <c r="AL2956" i="2"/>
  <c r="AG2957" i="2"/>
  <c r="AI2957" i="2"/>
  <c r="AJ2957" i="2"/>
  <c r="AL2957" i="2"/>
  <c r="AG2958" i="2"/>
  <c r="AI2958" i="2"/>
  <c r="AJ2958" i="2"/>
  <c r="AL2958" i="2"/>
  <c r="AG2959" i="2"/>
  <c r="AI2959" i="2"/>
  <c r="AJ2959" i="2"/>
  <c r="AL2959" i="2"/>
  <c r="AG2960" i="2"/>
  <c r="AI2960" i="2"/>
  <c r="AJ2960" i="2"/>
  <c r="AL2960" i="2"/>
  <c r="AG2961" i="2"/>
  <c r="AI2961" i="2"/>
  <c r="AJ2961" i="2"/>
  <c r="AL2961" i="2"/>
  <c r="AG2962" i="2"/>
  <c r="AI2962" i="2"/>
  <c r="AJ2962" i="2"/>
  <c r="AL2962" i="2"/>
  <c r="AG2963" i="2"/>
  <c r="AI2963" i="2"/>
  <c r="AJ2963" i="2"/>
  <c r="AL2963" i="2"/>
  <c r="AG2964" i="2"/>
  <c r="AI2964" i="2"/>
  <c r="AJ2964" i="2"/>
  <c r="AL2964" i="2"/>
  <c r="AG2965" i="2"/>
  <c r="AI2965" i="2"/>
  <c r="AJ2965" i="2"/>
  <c r="AL2965" i="2"/>
  <c r="AG2966" i="2"/>
  <c r="AI2966" i="2"/>
  <c r="AJ2966" i="2"/>
  <c r="AL2966" i="2"/>
  <c r="AG2967" i="2"/>
  <c r="AI2967" i="2"/>
  <c r="AJ2967" i="2"/>
  <c r="AL2967" i="2"/>
  <c r="AG2968" i="2"/>
  <c r="AI2968" i="2"/>
  <c r="AJ2968" i="2"/>
  <c r="AL2968" i="2"/>
  <c r="AG2969" i="2"/>
  <c r="AI2969" i="2"/>
  <c r="AJ2969" i="2"/>
  <c r="AL2969" i="2"/>
  <c r="AG2970" i="2"/>
  <c r="AI2970" i="2"/>
  <c r="AJ2970" i="2"/>
  <c r="AL2970" i="2"/>
  <c r="AG2971" i="2"/>
  <c r="AI2971" i="2"/>
  <c r="AJ2971" i="2"/>
  <c r="AL2971" i="2"/>
  <c r="AG2972" i="2"/>
  <c r="AI2972" i="2"/>
  <c r="AJ2972" i="2"/>
  <c r="AL2972" i="2"/>
  <c r="AG2973" i="2"/>
  <c r="AI2973" i="2"/>
  <c r="AJ2973" i="2"/>
  <c r="AL2973" i="2"/>
  <c r="AG2974" i="2"/>
  <c r="AI2974" i="2"/>
  <c r="AJ2974" i="2"/>
  <c r="AL2974" i="2"/>
  <c r="AG2975" i="2"/>
  <c r="AI2975" i="2"/>
  <c r="AJ2975" i="2"/>
  <c r="AL2975" i="2"/>
  <c r="AG2976" i="2"/>
  <c r="AI2976" i="2"/>
  <c r="AJ2976" i="2"/>
  <c r="AL2976" i="2"/>
  <c r="AG2977" i="2"/>
  <c r="AI2977" i="2"/>
  <c r="AJ2977" i="2"/>
  <c r="AL2977" i="2"/>
  <c r="AG2978" i="2"/>
  <c r="AI2978" i="2"/>
  <c r="AJ2978" i="2"/>
  <c r="AL2978" i="2"/>
  <c r="AG2979" i="2"/>
  <c r="AI2979" i="2"/>
  <c r="AJ2979" i="2"/>
  <c r="AL2979" i="2"/>
  <c r="AG2980" i="2"/>
  <c r="AI2980" i="2"/>
  <c r="AJ2980" i="2"/>
  <c r="AL2980" i="2"/>
  <c r="AG2981" i="2"/>
  <c r="AI2981" i="2"/>
  <c r="AJ2981" i="2"/>
  <c r="AL2981" i="2"/>
  <c r="AG2982" i="2"/>
  <c r="AI2982" i="2"/>
  <c r="AJ2982" i="2"/>
  <c r="AL2982" i="2"/>
  <c r="AG2983" i="2"/>
  <c r="AI2983" i="2"/>
  <c r="AJ2983" i="2"/>
  <c r="AL2983" i="2"/>
  <c r="AG2984" i="2"/>
  <c r="AI2984" i="2"/>
  <c r="AJ2984" i="2"/>
  <c r="AL2984" i="2"/>
  <c r="AG2985" i="2"/>
  <c r="AI2985" i="2"/>
  <c r="AJ2985" i="2"/>
  <c r="AL2985" i="2"/>
  <c r="AG2986" i="2"/>
  <c r="AI2986" i="2"/>
  <c r="AJ2986" i="2"/>
  <c r="AL2986" i="2"/>
  <c r="AG2987" i="2"/>
  <c r="AI2987" i="2"/>
  <c r="AJ2987" i="2"/>
  <c r="AL2987" i="2"/>
  <c r="AG2988" i="2"/>
  <c r="AI2988" i="2"/>
  <c r="AJ2988" i="2"/>
  <c r="AL2988" i="2"/>
  <c r="AG2989" i="2"/>
  <c r="AI2989" i="2"/>
  <c r="AJ2989" i="2"/>
  <c r="AL2989" i="2"/>
  <c r="AG2990" i="2"/>
  <c r="AI2990" i="2"/>
  <c r="AJ2990" i="2"/>
  <c r="AL2990" i="2"/>
  <c r="AG2991" i="2"/>
  <c r="AI2991" i="2"/>
  <c r="AJ2991" i="2"/>
  <c r="AL2991" i="2"/>
  <c r="AG2992" i="2"/>
  <c r="AI2992" i="2"/>
  <c r="AJ2992" i="2"/>
  <c r="AL2992" i="2"/>
  <c r="AG2993" i="2"/>
  <c r="AI2993" i="2"/>
  <c r="AJ2993" i="2"/>
  <c r="AL2993" i="2"/>
  <c r="AG2994" i="2"/>
  <c r="AI2994" i="2"/>
  <c r="AJ2994" i="2"/>
  <c r="AL2994" i="2"/>
  <c r="AG2995" i="2"/>
  <c r="AI2995" i="2"/>
  <c r="AJ2995" i="2"/>
  <c r="AL2995" i="2"/>
  <c r="AG2996" i="2"/>
  <c r="AI2996" i="2"/>
  <c r="AJ2996" i="2"/>
  <c r="AL2996" i="2"/>
  <c r="AG2997" i="2"/>
  <c r="AI2997" i="2"/>
  <c r="AJ2997" i="2"/>
  <c r="AL2997" i="2"/>
  <c r="AG2998" i="2"/>
  <c r="AI2998" i="2"/>
  <c r="AJ2998" i="2"/>
  <c r="AL2998" i="2"/>
  <c r="AG2999" i="2"/>
  <c r="AI2999" i="2"/>
  <c r="AJ2999" i="2"/>
  <c r="AL2999" i="2"/>
  <c r="AG3000" i="2"/>
  <c r="AI3000" i="2"/>
  <c r="AJ3000" i="2"/>
  <c r="AL3000" i="2"/>
  <c r="AG3001" i="2"/>
  <c r="AI3001" i="2"/>
  <c r="AJ3001" i="2"/>
  <c r="AL3001" i="2"/>
  <c r="AG3002" i="2"/>
  <c r="AI3002" i="2"/>
  <c r="AJ3002" i="2"/>
  <c r="AL3002" i="2"/>
  <c r="AG3003" i="2"/>
  <c r="AI3003" i="2"/>
  <c r="AJ3003" i="2"/>
  <c r="AL3003" i="2"/>
  <c r="AG3004" i="2"/>
  <c r="AI3004" i="2"/>
  <c r="AJ3004" i="2"/>
  <c r="AL3004" i="2"/>
  <c r="AG3005" i="2"/>
  <c r="AI3005" i="2"/>
  <c r="AJ3005" i="2"/>
  <c r="AL3005" i="2"/>
  <c r="AG3006" i="2"/>
  <c r="AI3006" i="2"/>
  <c r="AJ3006" i="2"/>
  <c r="AL3006" i="2"/>
  <c r="AG3007" i="2"/>
  <c r="AI3007" i="2"/>
  <c r="AJ3007" i="2"/>
  <c r="AL3007" i="2"/>
  <c r="AG3008" i="2"/>
  <c r="AI3008" i="2"/>
  <c r="AJ3008" i="2"/>
  <c r="AL3008" i="2"/>
  <c r="AG3009" i="2"/>
  <c r="AI3009" i="2"/>
  <c r="AJ3009" i="2"/>
  <c r="AL3009" i="2"/>
  <c r="AG3010" i="2"/>
  <c r="AI3010" i="2"/>
  <c r="AJ3010" i="2"/>
  <c r="AL3010" i="2"/>
  <c r="AG3011" i="2"/>
  <c r="AI3011" i="2"/>
  <c r="AJ3011" i="2"/>
  <c r="AL3011" i="2"/>
  <c r="AG3012" i="2"/>
  <c r="AI3012" i="2"/>
  <c r="AJ3012" i="2"/>
  <c r="AL3012" i="2"/>
  <c r="AG3013" i="2"/>
  <c r="AI3013" i="2"/>
  <c r="AJ3013" i="2"/>
  <c r="AL3013" i="2"/>
  <c r="AG3014" i="2"/>
  <c r="AI3014" i="2"/>
  <c r="AJ3014" i="2"/>
  <c r="AL3014" i="2"/>
  <c r="AG3015" i="2"/>
  <c r="AI3015" i="2"/>
  <c r="AJ3015" i="2"/>
  <c r="AL3015" i="2"/>
  <c r="AG3016" i="2"/>
  <c r="AI3016" i="2"/>
  <c r="AJ3016" i="2"/>
  <c r="AL3016" i="2"/>
  <c r="AG3017" i="2"/>
  <c r="AI3017" i="2"/>
  <c r="AJ3017" i="2"/>
  <c r="AL3017" i="2"/>
  <c r="AG3018" i="2"/>
  <c r="AI3018" i="2"/>
  <c r="AJ3018" i="2"/>
  <c r="AL3018" i="2"/>
  <c r="AG3019" i="2"/>
  <c r="AI3019" i="2"/>
  <c r="AJ3019" i="2"/>
  <c r="AL3019" i="2"/>
  <c r="AG3020" i="2"/>
  <c r="AI3020" i="2"/>
  <c r="AJ3020" i="2"/>
  <c r="AL3020" i="2"/>
  <c r="AG3021" i="2"/>
  <c r="AI3021" i="2"/>
  <c r="AJ3021" i="2"/>
  <c r="AL3021" i="2"/>
  <c r="AG3022" i="2"/>
  <c r="AI3022" i="2"/>
  <c r="AJ3022" i="2"/>
  <c r="AL3022" i="2"/>
  <c r="AG3023" i="2"/>
  <c r="AI3023" i="2"/>
  <c r="AJ3023" i="2"/>
  <c r="AL3023" i="2"/>
  <c r="AG3024" i="2"/>
  <c r="AI3024" i="2"/>
  <c r="AJ3024" i="2"/>
  <c r="AL3024" i="2"/>
  <c r="AG3025" i="2"/>
  <c r="AI3025" i="2"/>
  <c r="AJ3025" i="2"/>
  <c r="AL3025" i="2"/>
  <c r="AG3026" i="2"/>
  <c r="AI3026" i="2"/>
  <c r="AJ3026" i="2"/>
  <c r="AL3026" i="2"/>
  <c r="AG3027" i="2"/>
  <c r="AI3027" i="2"/>
  <c r="AJ3027" i="2"/>
  <c r="AL3027" i="2"/>
  <c r="AG3028" i="2"/>
  <c r="AI3028" i="2"/>
  <c r="AJ3028" i="2"/>
  <c r="AL3028" i="2"/>
  <c r="AG3029" i="2"/>
  <c r="AI3029" i="2"/>
  <c r="AJ3029" i="2"/>
  <c r="AL3029" i="2"/>
  <c r="AG3030" i="2"/>
  <c r="AI3030" i="2"/>
  <c r="AJ3030" i="2"/>
  <c r="AL3030" i="2"/>
  <c r="AG3031" i="2"/>
  <c r="AI3031" i="2"/>
  <c r="AJ3031" i="2"/>
  <c r="AL3031" i="2"/>
  <c r="AG3032" i="2"/>
  <c r="AI3032" i="2"/>
  <c r="AJ3032" i="2"/>
  <c r="AL3032" i="2"/>
  <c r="AG3033" i="2"/>
  <c r="AI3033" i="2"/>
  <c r="AJ3033" i="2"/>
  <c r="AL3033" i="2"/>
  <c r="AG3034" i="2"/>
  <c r="AI3034" i="2"/>
  <c r="AJ3034" i="2"/>
  <c r="AL3034" i="2"/>
  <c r="AG3035" i="2"/>
  <c r="AI3035" i="2"/>
  <c r="AJ3035" i="2"/>
  <c r="AL3035" i="2"/>
  <c r="AG3036" i="2"/>
  <c r="AI3036" i="2"/>
  <c r="AJ3036" i="2"/>
  <c r="AL3036" i="2"/>
  <c r="AG3037" i="2"/>
  <c r="AI3037" i="2"/>
  <c r="AJ3037" i="2"/>
  <c r="AL3037" i="2"/>
  <c r="AG3038" i="2"/>
  <c r="AI3038" i="2"/>
  <c r="AJ3038" i="2"/>
  <c r="AL3038" i="2"/>
  <c r="AG3039" i="2"/>
  <c r="AI3039" i="2"/>
  <c r="AJ3039" i="2"/>
  <c r="AL3039" i="2"/>
  <c r="AG3040" i="2"/>
  <c r="AI3040" i="2"/>
  <c r="AJ3040" i="2"/>
  <c r="AL3040" i="2"/>
  <c r="AG3041" i="2"/>
  <c r="AI3041" i="2"/>
  <c r="AJ3041" i="2"/>
  <c r="AL3041" i="2"/>
  <c r="AG3042" i="2"/>
  <c r="AI3042" i="2"/>
  <c r="AJ3042" i="2"/>
  <c r="AL3042" i="2"/>
  <c r="AG3043" i="2"/>
  <c r="AI3043" i="2"/>
  <c r="AJ3043" i="2"/>
  <c r="AL3043" i="2"/>
  <c r="AG3044" i="2"/>
  <c r="AI3044" i="2"/>
  <c r="AJ3044" i="2"/>
  <c r="AL3044" i="2"/>
  <c r="AG3045" i="2"/>
  <c r="AI3045" i="2"/>
  <c r="AJ3045" i="2"/>
  <c r="AL3045" i="2"/>
  <c r="AG3046" i="2"/>
  <c r="AI3046" i="2"/>
  <c r="AJ3046" i="2"/>
  <c r="AL3046" i="2"/>
  <c r="AG3047" i="2"/>
  <c r="AI3047" i="2"/>
  <c r="AJ3047" i="2"/>
  <c r="AL3047" i="2"/>
  <c r="AG3048" i="2"/>
  <c r="AI3048" i="2"/>
  <c r="AJ3048" i="2"/>
  <c r="AL3048" i="2"/>
  <c r="AG3049" i="2"/>
  <c r="AI3049" i="2"/>
  <c r="AJ3049" i="2"/>
  <c r="AL3049" i="2"/>
  <c r="AG3050" i="2"/>
  <c r="AI3050" i="2"/>
  <c r="AJ3050" i="2"/>
  <c r="AL3050" i="2"/>
  <c r="AG3051" i="2"/>
  <c r="AI3051" i="2"/>
  <c r="AJ3051" i="2"/>
  <c r="AL3051" i="2"/>
  <c r="AG3052" i="2"/>
  <c r="AI3052" i="2"/>
  <c r="AJ3052" i="2"/>
  <c r="AL3052" i="2"/>
  <c r="AG3053" i="2"/>
  <c r="AI3053" i="2"/>
  <c r="AJ3053" i="2"/>
  <c r="AL3053" i="2"/>
  <c r="AG3054" i="2"/>
  <c r="AI3054" i="2"/>
  <c r="AJ3054" i="2"/>
  <c r="AL3054" i="2"/>
  <c r="AG3055" i="2"/>
  <c r="AI3055" i="2"/>
  <c r="AJ3055" i="2"/>
  <c r="AL3055" i="2"/>
  <c r="AG3056" i="2"/>
  <c r="AI3056" i="2"/>
  <c r="AJ3056" i="2"/>
  <c r="AL3056" i="2"/>
  <c r="AG3057" i="2"/>
  <c r="AI3057" i="2"/>
  <c r="AJ3057" i="2"/>
  <c r="AL3057" i="2"/>
  <c r="AG3058" i="2"/>
  <c r="AI3058" i="2"/>
  <c r="AJ3058" i="2"/>
  <c r="AL3058" i="2"/>
  <c r="AG3059" i="2"/>
  <c r="AI3059" i="2"/>
  <c r="AJ3059" i="2"/>
  <c r="AL3059" i="2"/>
  <c r="AG3060" i="2"/>
  <c r="AI3060" i="2"/>
  <c r="AJ3060" i="2"/>
  <c r="AL3060" i="2"/>
  <c r="AG3061" i="2"/>
  <c r="AI3061" i="2"/>
  <c r="AJ3061" i="2"/>
  <c r="AL3061" i="2"/>
  <c r="AG3062" i="2"/>
  <c r="AI3062" i="2"/>
  <c r="AJ3062" i="2"/>
  <c r="AL3062" i="2"/>
  <c r="AG3063" i="2"/>
  <c r="AI3063" i="2"/>
  <c r="AJ3063" i="2"/>
  <c r="AL3063" i="2"/>
  <c r="AG3064" i="2"/>
  <c r="AI3064" i="2"/>
  <c r="AJ3064" i="2"/>
  <c r="AL3064" i="2"/>
  <c r="AG3065" i="2"/>
  <c r="AI3065" i="2"/>
  <c r="AJ3065" i="2"/>
  <c r="AL3065" i="2"/>
  <c r="AG3066" i="2"/>
  <c r="AI3066" i="2"/>
  <c r="AJ3066" i="2"/>
  <c r="AL3066" i="2"/>
  <c r="AG3067" i="2"/>
  <c r="AI3067" i="2"/>
  <c r="AJ3067" i="2"/>
  <c r="AL3067" i="2"/>
  <c r="AG3068" i="2"/>
  <c r="AI3068" i="2"/>
  <c r="AJ3068" i="2"/>
  <c r="AL3068" i="2"/>
  <c r="AG3069" i="2"/>
  <c r="AI3069" i="2"/>
  <c r="AJ3069" i="2"/>
  <c r="AL3069" i="2"/>
  <c r="AG3070" i="2"/>
  <c r="AI3070" i="2"/>
  <c r="AJ3070" i="2"/>
  <c r="AL3070" i="2"/>
  <c r="AG3071" i="2"/>
  <c r="AI3071" i="2"/>
  <c r="AJ3071" i="2"/>
  <c r="AL3071" i="2"/>
  <c r="AG3072" i="2"/>
  <c r="AI3072" i="2"/>
  <c r="AJ3072" i="2"/>
  <c r="AL3072" i="2"/>
  <c r="AG3073" i="2"/>
  <c r="AI3073" i="2"/>
  <c r="AJ3073" i="2"/>
  <c r="AL3073" i="2"/>
  <c r="AG3074" i="2"/>
  <c r="AI3074" i="2"/>
  <c r="AJ3074" i="2"/>
  <c r="AL3074" i="2"/>
  <c r="AG3075" i="2"/>
  <c r="AI3075" i="2"/>
  <c r="AJ3075" i="2"/>
  <c r="AL3075" i="2"/>
  <c r="AG3076" i="2"/>
  <c r="AI3076" i="2"/>
  <c r="AJ3076" i="2"/>
  <c r="AL3076" i="2"/>
  <c r="AG3077" i="2"/>
  <c r="AI3077" i="2"/>
  <c r="AJ3077" i="2"/>
  <c r="AL3077" i="2"/>
  <c r="AG3078" i="2"/>
  <c r="AI3078" i="2"/>
  <c r="AJ3078" i="2"/>
  <c r="AL3078" i="2"/>
  <c r="AG3079" i="2"/>
  <c r="AI3079" i="2"/>
  <c r="AJ3079" i="2"/>
  <c r="AL3079" i="2"/>
  <c r="AG3080" i="2"/>
  <c r="AI3080" i="2"/>
  <c r="AJ3080" i="2"/>
  <c r="AL3080" i="2"/>
  <c r="AG3081" i="2"/>
  <c r="AI3081" i="2"/>
  <c r="AJ3081" i="2"/>
  <c r="AL3081" i="2"/>
  <c r="AG3082" i="2"/>
  <c r="AI3082" i="2"/>
  <c r="AJ3082" i="2"/>
  <c r="AL3082" i="2"/>
  <c r="AG3083" i="2"/>
  <c r="AI3083" i="2"/>
  <c r="AJ3083" i="2"/>
  <c r="AL3083" i="2"/>
  <c r="AG3084" i="2"/>
  <c r="AI3084" i="2"/>
  <c r="AJ3084" i="2"/>
  <c r="AL3084" i="2"/>
  <c r="AG3085" i="2"/>
  <c r="AI3085" i="2"/>
  <c r="AJ3085" i="2"/>
  <c r="AL3085" i="2"/>
  <c r="AG3086" i="2"/>
  <c r="AI3086" i="2"/>
  <c r="AJ3086" i="2"/>
  <c r="AL3086" i="2"/>
  <c r="AG3087" i="2"/>
  <c r="AI3087" i="2"/>
  <c r="AJ3087" i="2"/>
  <c r="AL3087" i="2"/>
  <c r="AG3088" i="2"/>
  <c r="AI3088" i="2"/>
  <c r="AJ3088" i="2"/>
  <c r="AL3088" i="2"/>
  <c r="AG3089" i="2"/>
  <c r="AI3089" i="2"/>
  <c r="AJ3089" i="2"/>
  <c r="AL3089" i="2"/>
  <c r="AG3090" i="2"/>
  <c r="AI3090" i="2"/>
  <c r="AJ3090" i="2"/>
  <c r="AL3090" i="2"/>
  <c r="AG3091" i="2"/>
  <c r="AI3091" i="2"/>
  <c r="AJ3091" i="2"/>
  <c r="AL3091" i="2"/>
  <c r="AG3092" i="2"/>
  <c r="AI3092" i="2"/>
  <c r="AJ3092" i="2"/>
  <c r="AL3092" i="2"/>
  <c r="AG3093" i="2"/>
  <c r="AI3093" i="2"/>
  <c r="AJ3093" i="2"/>
  <c r="AL3093" i="2"/>
  <c r="AG3094" i="2"/>
  <c r="AI3094" i="2"/>
  <c r="AJ3094" i="2"/>
  <c r="AL3094" i="2"/>
  <c r="AG3095" i="2"/>
  <c r="AI3095" i="2"/>
  <c r="AJ3095" i="2"/>
  <c r="AL3095" i="2"/>
  <c r="AG3096" i="2"/>
  <c r="AI3096" i="2"/>
  <c r="AJ3096" i="2"/>
  <c r="AL3096" i="2"/>
  <c r="AG3097" i="2"/>
  <c r="AI3097" i="2"/>
  <c r="AJ3097" i="2"/>
  <c r="AL3097" i="2"/>
  <c r="AG3098" i="2"/>
  <c r="AI3098" i="2"/>
  <c r="AJ3098" i="2"/>
  <c r="AL3098" i="2"/>
  <c r="AG3099" i="2"/>
  <c r="AI3099" i="2"/>
  <c r="AJ3099" i="2"/>
  <c r="AL3099" i="2"/>
  <c r="AG3100" i="2"/>
  <c r="AI3100" i="2"/>
  <c r="AJ3100" i="2"/>
  <c r="AL3100" i="2"/>
  <c r="AG3101" i="2"/>
  <c r="AI3101" i="2"/>
  <c r="AJ3101" i="2"/>
  <c r="AL3101" i="2"/>
  <c r="AG3102" i="2"/>
  <c r="AI3102" i="2"/>
  <c r="AJ3102" i="2"/>
  <c r="AL3102" i="2"/>
  <c r="AG3103" i="2"/>
  <c r="AI3103" i="2"/>
  <c r="AJ3103" i="2"/>
  <c r="AL3103" i="2"/>
  <c r="AG3104" i="2"/>
  <c r="AI3104" i="2"/>
  <c r="AJ3104" i="2"/>
  <c r="AL3104" i="2"/>
  <c r="AG3105" i="2"/>
  <c r="AI3105" i="2"/>
  <c r="AJ3105" i="2"/>
  <c r="AL3105" i="2"/>
  <c r="AG3106" i="2"/>
  <c r="AI3106" i="2"/>
  <c r="AJ3106" i="2"/>
  <c r="AL3106" i="2"/>
  <c r="AG3107" i="2"/>
  <c r="AI3107" i="2"/>
  <c r="AJ3107" i="2"/>
  <c r="AL3107" i="2"/>
  <c r="AG3108" i="2"/>
  <c r="AI3108" i="2"/>
  <c r="AJ3108" i="2"/>
  <c r="AL3108" i="2"/>
  <c r="AG3109" i="2"/>
  <c r="AI3109" i="2"/>
  <c r="AJ3109" i="2"/>
  <c r="AL3109" i="2"/>
  <c r="AG3110" i="2"/>
  <c r="AI3110" i="2"/>
  <c r="AJ3110" i="2"/>
  <c r="AL3110" i="2"/>
  <c r="AG3111" i="2"/>
  <c r="AI3111" i="2"/>
  <c r="AJ3111" i="2"/>
  <c r="AL3111" i="2"/>
  <c r="AG3112" i="2"/>
  <c r="AI3112" i="2"/>
  <c r="AJ3112" i="2"/>
  <c r="AL3112" i="2"/>
  <c r="AG3113" i="2"/>
  <c r="AI3113" i="2"/>
  <c r="AJ3113" i="2"/>
  <c r="AL3113" i="2"/>
  <c r="AG3114" i="2"/>
  <c r="AI3114" i="2"/>
  <c r="AJ3114" i="2"/>
  <c r="AL3114" i="2"/>
  <c r="AG3115" i="2"/>
  <c r="AI3115" i="2"/>
  <c r="AJ3115" i="2"/>
  <c r="AL3115" i="2"/>
  <c r="AG3116" i="2"/>
  <c r="AI3116" i="2"/>
  <c r="AJ3116" i="2"/>
  <c r="AL3116" i="2"/>
  <c r="AG3117" i="2"/>
  <c r="AI3117" i="2"/>
  <c r="AJ3117" i="2"/>
  <c r="AL3117" i="2"/>
  <c r="AG3118" i="2"/>
  <c r="AI3118" i="2"/>
  <c r="AJ3118" i="2"/>
  <c r="AL3118" i="2"/>
  <c r="AG3119" i="2"/>
  <c r="AI3119" i="2"/>
  <c r="AJ3119" i="2"/>
  <c r="AL3119" i="2"/>
  <c r="AG3120" i="2"/>
  <c r="AI3120" i="2"/>
  <c r="AJ3120" i="2"/>
  <c r="AL3120" i="2"/>
  <c r="AG3121" i="2"/>
  <c r="AI3121" i="2"/>
  <c r="AJ3121" i="2"/>
  <c r="AL3121" i="2"/>
  <c r="AG3122" i="2"/>
  <c r="AI3122" i="2"/>
  <c r="AJ3122" i="2"/>
  <c r="AL3122" i="2"/>
  <c r="AG3123" i="2"/>
  <c r="AI3123" i="2"/>
  <c r="AJ3123" i="2"/>
  <c r="AL3123" i="2"/>
  <c r="AG3124" i="2"/>
  <c r="AI3124" i="2"/>
  <c r="AJ3124" i="2"/>
  <c r="AL3124" i="2"/>
  <c r="AG3125" i="2"/>
  <c r="AI3125" i="2"/>
  <c r="AJ3125" i="2"/>
  <c r="AL3125" i="2"/>
  <c r="AG3126" i="2"/>
  <c r="AI3126" i="2"/>
  <c r="AJ3126" i="2"/>
  <c r="AL3126" i="2"/>
  <c r="AG3127" i="2"/>
  <c r="AI3127" i="2"/>
  <c r="AJ3127" i="2"/>
  <c r="AL3127" i="2"/>
  <c r="AG3128" i="2"/>
  <c r="AI3128" i="2"/>
  <c r="AJ3128" i="2"/>
  <c r="AL3128" i="2"/>
  <c r="AG3129" i="2"/>
  <c r="AI3129" i="2"/>
  <c r="AJ3129" i="2"/>
  <c r="AL3129" i="2"/>
  <c r="AG3130" i="2"/>
  <c r="AI3130" i="2"/>
  <c r="AJ3130" i="2"/>
  <c r="AL3130" i="2"/>
  <c r="AG3131" i="2"/>
  <c r="AI3131" i="2"/>
  <c r="AJ3131" i="2"/>
  <c r="AL3131" i="2"/>
  <c r="AG3132" i="2"/>
  <c r="AI3132" i="2"/>
  <c r="AJ3132" i="2"/>
  <c r="AL3132" i="2"/>
  <c r="AG3133" i="2"/>
  <c r="AI3133" i="2"/>
  <c r="AJ3133" i="2"/>
  <c r="AL3133" i="2"/>
  <c r="AG3134" i="2"/>
  <c r="AI3134" i="2"/>
  <c r="AJ3134" i="2"/>
  <c r="AL3134" i="2"/>
  <c r="AG3135" i="2"/>
  <c r="AI3135" i="2"/>
  <c r="AJ3135" i="2"/>
  <c r="AL3135" i="2"/>
  <c r="AG3136" i="2"/>
  <c r="AI3136" i="2"/>
  <c r="AJ3136" i="2"/>
  <c r="AL3136" i="2"/>
  <c r="AG3137" i="2"/>
  <c r="AI3137" i="2"/>
  <c r="AJ3137" i="2"/>
  <c r="AL3137" i="2"/>
  <c r="AG3138" i="2"/>
  <c r="AI3138" i="2"/>
  <c r="AJ3138" i="2"/>
  <c r="AL3138" i="2"/>
  <c r="AG3139" i="2"/>
  <c r="AI3139" i="2"/>
  <c r="AJ3139" i="2"/>
  <c r="AL3139" i="2"/>
  <c r="AG3140" i="2"/>
  <c r="AI3140" i="2"/>
  <c r="AJ3140" i="2"/>
  <c r="AL3140" i="2"/>
  <c r="AG3141" i="2"/>
  <c r="AI3141" i="2"/>
  <c r="AJ3141" i="2"/>
  <c r="AL3141" i="2"/>
  <c r="AG3142" i="2"/>
  <c r="AI3142" i="2"/>
  <c r="AJ3142" i="2"/>
  <c r="AL3142" i="2"/>
  <c r="AG3143" i="2"/>
  <c r="AI3143" i="2"/>
  <c r="AJ3143" i="2"/>
  <c r="AL3143" i="2"/>
  <c r="AG3144" i="2"/>
  <c r="AI3144" i="2"/>
  <c r="AJ3144" i="2"/>
  <c r="AL3144" i="2"/>
  <c r="AG3145" i="2"/>
  <c r="AI3145" i="2"/>
  <c r="AJ3145" i="2"/>
  <c r="AL3145" i="2"/>
  <c r="AG3146" i="2"/>
  <c r="AI3146" i="2"/>
  <c r="AJ3146" i="2"/>
  <c r="AL3146" i="2"/>
  <c r="AG3147" i="2"/>
  <c r="AI3147" i="2"/>
  <c r="AJ3147" i="2"/>
  <c r="AL3147" i="2"/>
  <c r="AG3148" i="2"/>
  <c r="AI3148" i="2"/>
  <c r="AJ3148" i="2"/>
  <c r="AL3148" i="2"/>
  <c r="AG3149" i="2"/>
  <c r="AI3149" i="2"/>
  <c r="AJ3149" i="2"/>
  <c r="AL3149" i="2"/>
  <c r="AG3150" i="2"/>
  <c r="AI3150" i="2"/>
  <c r="AJ3150" i="2"/>
  <c r="AL3150" i="2"/>
  <c r="AG3151" i="2"/>
  <c r="AI3151" i="2"/>
  <c r="AJ3151" i="2"/>
  <c r="AL3151" i="2"/>
  <c r="AG3152" i="2"/>
  <c r="AI3152" i="2"/>
  <c r="AJ3152" i="2"/>
  <c r="AL3152" i="2"/>
  <c r="AG3153" i="2"/>
  <c r="AI3153" i="2"/>
  <c r="AJ3153" i="2"/>
  <c r="AL3153" i="2"/>
  <c r="AG3154" i="2"/>
  <c r="AI3154" i="2"/>
  <c r="AJ3154" i="2"/>
  <c r="AL3154" i="2"/>
  <c r="AG3155" i="2"/>
  <c r="AI3155" i="2"/>
  <c r="AJ3155" i="2"/>
  <c r="AL3155" i="2"/>
  <c r="AG3156" i="2"/>
  <c r="AI3156" i="2"/>
  <c r="AJ3156" i="2"/>
  <c r="AL3156" i="2"/>
  <c r="AG3157" i="2"/>
  <c r="AI3157" i="2"/>
  <c r="AJ3157" i="2"/>
  <c r="AL3157" i="2"/>
  <c r="AG3158" i="2"/>
  <c r="AI3158" i="2"/>
  <c r="AJ3158" i="2"/>
  <c r="AL3158" i="2"/>
  <c r="AG3159" i="2"/>
  <c r="AI3159" i="2"/>
  <c r="AJ3159" i="2"/>
  <c r="AL3159" i="2"/>
  <c r="AG3160" i="2"/>
  <c r="AI3160" i="2"/>
  <c r="AJ3160" i="2"/>
  <c r="AL3160" i="2"/>
  <c r="AG3161" i="2"/>
  <c r="AI3161" i="2"/>
  <c r="AJ3161" i="2"/>
  <c r="AL3161" i="2"/>
  <c r="AG3162" i="2"/>
  <c r="AI3162" i="2"/>
  <c r="AJ3162" i="2"/>
  <c r="AL3162" i="2"/>
  <c r="AG3163" i="2"/>
  <c r="AI3163" i="2"/>
  <c r="AJ3163" i="2"/>
  <c r="AL3163" i="2"/>
  <c r="AG3164" i="2"/>
  <c r="AI3164" i="2"/>
  <c r="AJ3164" i="2"/>
  <c r="AL3164" i="2"/>
  <c r="AG3165" i="2"/>
  <c r="AI3165" i="2"/>
  <c r="AJ3165" i="2"/>
  <c r="AL3165" i="2"/>
  <c r="AG3166" i="2"/>
  <c r="AI3166" i="2"/>
  <c r="AJ3166" i="2"/>
  <c r="AL3166" i="2"/>
  <c r="AG3167" i="2"/>
  <c r="AI3167" i="2"/>
  <c r="AJ3167" i="2"/>
  <c r="AL3167" i="2"/>
  <c r="AG3168" i="2"/>
  <c r="AI3168" i="2"/>
  <c r="AJ3168" i="2"/>
  <c r="AL3168" i="2"/>
  <c r="AG3169" i="2"/>
  <c r="AI3169" i="2"/>
  <c r="AJ3169" i="2"/>
  <c r="AL3169" i="2"/>
  <c r="AG3170" i="2"/>
  <c r="AI3170" i="2"/>
  <c r="AJ3170" i="2"/>
  <c r="AL3170" i="2"/>
  <c r="AG3171" i="2"/>
  <c r="AI3171" i="2"/>
  <c r="AJ3171" i="2"/>
  <c r="AL3171" i="2"/>
  <c r="AG3172" i="2"/>
  <c r="AI3172" i="2"/>
  <c r="AJ3172" i="2"/>
  <c r="AL3172" i="2"/>
  <c r="AG3173" i="2"/>
  <c r="AI3173" i="2"/>
  <c r="AJ3173" i="2"/>
  <c r="AL3173" i="2"/>
  <c r="AG3174" i="2"/>
  <c r="AI3174" i="2"/>
  <c r="AJ3174" i="2"/>
  <c r="AL3174" i="2"/>
  <c r="AG3175" i="2"/>
  <c r="AI3175" i="2"/>
  <c r="AJ3175" i="2"/>
  <c r="AL3175" i="2"/>
  <c r="AG3176" i="2"/>
  <c r="AI3176" i="2"/>
  <c r="AJ3176" i="2"/>
  <c r="AL3176" i="2"/>
  <c r="AG3177" i="2"/>
  <c r="AI3177" i="2"/>
  <c r="AJ3177" i="2"/>
  <c r="AL3177" i="2"/>
  <c r="AG3178" i="2"/>
  <c r="AI3178" i="2"/>
  <c r="AJ3178" i="2"/>
  <c r="AL3178" i="2"/>
  <c r="AG3179" i="2"/>
  <c r="AI3179" i="2"/>
  <c r="AJ3179" i="2"/>
  <c r="AL3179" i="2"/>
  <c r="AG3180" i="2"/>
  <c r="AI3180" i="2"/>
  <c r="AJ3180" i="2"/>
  <c r="AL3180" i="2"/>
  <c r="AG3181" i="2"/>
  <c r="AI3181" i="2"/>
  <c r="AJ3181" i="2"/>
  <c r="AL3181" i="2"/>
  <c r="AG3182" i="2"/>
  <c r="AI3182" i="2"/>
  <c r="AJ3182" i="2"/>
  <c r="AL3182" i="2"/>
  <c r="AG3183" i="2"/>
  <c r="AI3183" i="2"/>
  <c r="AJ3183" i="2"/>
  <c r="AL3183" i="2"/>
  <c r="AG3184" i="2"/>
  <c r="AI3184" i="2"/>
  <c r="AJ3184" i="2"/>
  <c r="AL3184" i="2"/>
  <c r="AG3185" i="2"/>
  <c r="AI3185" i="2"/>
  <c r="AJ3185" i="2"/>
  <c r="AL3185" i="2"/>
  <c r="AG3186" i="2"/>
  <c r="AI3186" i="2"/>
  <c r="AJ3186" i="2"/>
  <c r="AL3186" i="2"/>
  <c r="AG3187" i="2"/>
  <c r="AI3187" i="2"/>
  <c r="AJ3187" i="2"/>
  <c r="AL3187" i="2"/>
  <c r="AG3188" i="2"/>
  <c r="AI3188" i="2"/>
  <c r="AJ3188" i="2"/>
  <c r="AL3188" i="2"/>
  <c r="AG3189" i="2"/>
  <c r="AI3189" i="2"/>
  <c r="AJ3189" i="2"/>
  <c r="AL3189" i="2"/>
  <c r="AG3190" i="2"/>
  <c r="AI3190" i="2"/>
  <c r="AJ3190" i="2"/>
  <c r="AL3190" i="2"/>
  <c r="AG3191" i="2"/>
  <c r="AI3191" i="2"/>
  <c r="AJ3191" i="2"/>
  <c r="AL3191" i="2"/>
  <c r="AG3192" i="2"/>
  <c r="AI3192" i="2"/>
  <c r="AJ3192" i="2"/>
  <c r="AL3192" i="2"/>
  <c r="AG3193" i="2"/>
  <c r="AI3193" i="2"/>
  <c r="AJ3193" i="2"/>
  <c r="AL3193" i="2"/>
  <c r="AG3194" i="2"/>
  <c r="AI3194" i="2"/>
  <c r="AJ3194" i="2"/>
  <c r="AL3194" i="2"/>
  <c r="AG3195" i="2"/>
  <c r="AI3195" i="2"/>
  <c r="AJ3195" i="2"/>
  <c r="AL3195" i="2"/>
  <c r="AG3196" i="2"/>
  <c r="AI3196" i="2"/>
  <c r="AJ3196" i="2"/>
  <c r="AL3196" i="2"/>
  <c r="AG3197" i="2"/>
  <c r="AI3197" i="2"/>
  <c r="AJ3197" i="2"/>
  <c r="AL3197" i="2"/>
  <c r="AG3198" i="2"/>
  <c r="AI3198" i="2"/>
  <c r="AJ3198" i="2"/>
  <c r="AL3198" i="2"/>
  <c r="AG3199" i="2"/>
  <c r="AI3199" i="2"/>
  <c r="AJ3199" i="2"/>
  <c r="AL3199" i="2"/>
  <c r="AG3200" i="2"/>
  <c r="AI3200" i="2"/>
  <c r="AJ3200" i="2"/>
  <c r="AL3200" i="2"/>
  <c r="AG3201" i="2"/>
  <c r="AI3201" i="2"/>
  <c r="AJ3201" i="2"/>
  <c r="AL3201" i="2"/>
  <c r="AG3202" i="2"/>
  <c r="AI3202" i="2"/>
  <c r="AJ3202" i="2"/>
  <c r="AL3202" i="2"/>
  <c r="AG3203" i="2"/>
  <c r="AI3203" i="2"/>
  <c r="AJ3203" i="2"/>
  <c r="AL3203" i="2"/>
  <c r="AG3204" i="2"/>
  <c r="AI3204" i="2"/>
  <c r="AJ3204" i="2"/>
  <c r="AL3204" i="2"/>
  <c r="AG3205" i="2"/>
  <c r="AI3205" i="2"/>
  <c r="AJ3205" i="2"/>
  <c r="AL3205" i="2"/>
  <c r="AG3206" i="2"/>
  <c r="AI3206" i="2"/>
  <c r="AJ3206" i="2"/>
  <c r="AL3206" i="2"/>
  <c r="AG3207" i="2"/>
  <c r="AI3207" i="2"/>
  <c r="AJ3207" i="2"/>
  <c r="AL3207" i="2"/>
  <c r="AG3208" i="2"/>
  <c r="AI3208" i="2"/>
  <c r="AJ3208" i="2"/>
  <c r="AL3208" i="2"/>
  <c r="AG3209" i="2"/>
  <c r="AI3209" i="2"/>
  <c r="AJ3209" i="2"/>
  <c r="AL3209" i="2"/>
  <c r="AG3210" i="2"/>
  <c r="AI3210" i="2"/>
  <c r="AJ3210" i="2"/>
  <c r="AL3210" i="2"/>
  <c r="AG3211" i="2"/>
  <c r="AI3211" i="2"/>
  <c r="AJ3211" i="2"/>
  <c r="AL3211" i="2"/>
  <c r="AG3212" i="2"/>
  <c r="AI3212" i="2"/>
  <c r="AJ3212" i="2"/>
  <c r="AL3212" i="2"/>
  <c r="AG3213" i="2"/>
  <c r="AI3213" i="2"/>
  <c r="AJ3213" i="2"/>
  <c r="AL3213" i="2"/>
  <c r="AG3214" i="2"/>
  <c r="AI3214" i="2"/>
  <c r="AJ3214" i="2"/>
  <c r="AL3214" i="2"/>
  <c r="AG3215" i="2"/>
  <c r="AI3215" i="2"/>
  <c r="AJ3215" i="2"/>
  <c r="AL3215" i="2"/>
  <c r="AG3216" i="2"/>
  <c r="AI3216" i="2"/>
  <c r="AJ3216" i="2"/>
  <c r="AL3216" i="2"/>
  <c r="AG3217" i="2"/>
  <c r="AI3217" i="2"/>
  <c r="AJ3217" i="2"/>
  <c r="AL3217" i="2"/>
  <c r="AG3218" i="2"/>
  <c r="AI3218" i="2"/>
  <c r="AJ3218" i="2"/>
  <c r="AL3218" i="2"/>
  <c r="AG3219" i="2"/>
  <c r="AI3219" i="2"/>
  <c r="AJ3219" i="2"/>
  <c r="AL3219" i="2"/>
  <c r="AG3220" i="2"/>
  <c r="AI3220" i="2"/>
  <c r="AJ3220" i="2"/>
  <c r="AL3220" i="2"/>
  <c r="AG3221" i="2"/>
  <c r="AI3221" i="2"/>
  <c r="AJ3221" i="2"/>
  <c r="AL3221" i="2"/>
  <c r="AG3222" i="2"/>
  <c r="AI3222" i="2"/>
  <c r="AJ3222" i="2"/>
  <c r="AL3222" i="2"/>
  <c r="AG3223" i="2"/>
  <c r="AI3223" i="2"/>
  <c r="AJ3223" i="2"/>
  <c r="AL3223" i="2"/>
  <c r="AG3224" i="2"/>
  <c r="AI3224" i="2"/>
  <c r="AJ3224" i="2"/>
  <c r="AL3224" i="2"/>
  <c r="AG3225" i="2"/>
  <c r="AI3225" i="2"/>
  <c r="AJ3225" i="2"/>
  <c r="AL3225" i="2"/>
  <c r="AG3226" i="2"/>
  <c r="AI3226" i="2"/>
  <c r="AJ3226" i="2"/>
  <c r="AL3226" i="2"/>
  <c r="AG3227" i="2"/>
  <c r="AI3227" i="2"/>
  <c r="AJ3227" i="2"/>
  <c r="AL3227" i="2"/>
  <c r="AG3228" i="2"/>
  <c r="AI3228" i="2"/>
  <c r="AJ3228" i="2"/>
  <c r="AL3228" i="2"/>
  <c r="AG3229" i="2"/>
  <c r="AI3229" i="2"/>
  <c r="AJ3229" i="2"/>
  <c r="AL3229" i="2"/>
  <c r="AG3230" i="2"/>
  <c r="AI3230" i="2"/>
  <c r="AJ3230" i="2"/>
  <c r="AL3230" i="2"/>
  <c r="AG3231" i="2"/>
  <c r="AI3231" i="2"/>
  <c r="AJ3231" i="2"/>
  <c r="AL3231" i="2"/>
  <c r="AG3232" i="2"/>
  <c r="AI3232" i="2"/>
  <c r="AJ3232" i="2"/>
  <c r="AL3232" i="2"/>
  <c r="AG3233" i="2"/>
  <c r="AI3233" i="2"/>
  <c r="AJ3233" i="2"/>
  <c r="AL3233" i="2"/>
  <c r="AG3234" i="2"/>
  <c r="AI3234" i="2"/>
  <c r="AJ3234" i="2"/>
  <c r="AL3234" i="2"/>
  <c r="AG3235" i="2"/>
  <c r="AI3235" i="2"/>
  <c r="AJ3235" i="2"/>
  <c r="AL3235" i="2"/>
  <c r="AG3236" i="2"/>
  <c r="AI3236" i="2"/>
  <c r="AJ3236" i="2"/>
  <c r="AL3236" i="2"/>
  <c r="AG3237" i="2"/>
  <c r="AI3237" i="2"/>
  <c r="AJ3237" i="2"/>
  <c r="AL3237" i="2"/>
  <c r="AG3238" i="2"/>
  <c r="AI3238" i="2"/>
  <c r="AJ3238" i="2"/>
  <c r="AL3238" i="2"/>
  <c r="AG3239" i="2"/>
  <c r="AI3239" i="2"/>
  <c r="AJ3239" i="2"/>
  <c r="AL3239" i="2"/>
  <c r="AG3240" i="2"/>
  <c r="AI3240" i="2"/>
  <c r="AJ3240" i="2"/>
  <c r="AL3240" i="2"/>
  <c r="AG3241" i="2"/>
  <c r="AI3241" i="2"/>
  <c r="AJ3241" i="2"/>
  <c r="AL3241" i="2"/>
  <c r="AG3242" i="2"/>
  <c r="AI3242" i="2"/>
  <c r="AJ3242" i="2"/>
  <c r="AL3242" i="2"/>
  <c r="AG3243" i="2"/>
  <c r="AI3243" i="2"/>
  <c r="AJ3243" i="2"/>
  <c r="AL3243" i="2"/>
  <c r="AG3244" i="2"/>
  <c r="AI3244" i="2"/>
  <c r="AJ3244" i="2"/>
  <c r="AL3244" i="2"/>
  <c r="AG3245" i="2"/>
  <c r="AI3245" i="2"/>
  <c r="AJ3245" i="2"/>
  <c r="AL3245" i="2"/>
  <c r="AG3246" i="2"/>
  <c r="AI3246" i="2"/>
  <c r="AJ3246" i="2"/>
  <c r="AL3246" i="2"/>
  <c r="AG3247" i="2"/>
  <c r="AI3247" i="2"/>
  <c r="AJ3247" i="2"/>
  <c r="AL3247" i="2"/>
  <c r="AG3248" i="2"/>
  <c r="AI3248" i="2"/>
  <c r="AJ3248" i="2"/>
  <c r="AL3248" i="2"/>
  <c r="AG3249" i="2"/>
  <c r="AI3249" i="2"/>
  <c r="AJ3249" i="2"/>
  <c r="AL3249" i="2"/>
  <c r="AG3250" i="2"/>
  <c r="AI3250" i="2"/>
  <c r="AJ3250" i="2"/>
  <c r="AL3250" i="2"/>
  <c r="AG3251" i="2"/>
  <c r="AI3251" i="2"/>
  <c r="AJ3251" i="2"/>
  <c r="AL3251" i="2"/>
  <c r="AG3252" i="2"/>
  <c r="AI3252" i="2"/>
  <c r="AJ3252" i="2"/>
  <c r="AL3252" i="2"/>
  <c r="AG3253" i="2"/>
  <c r="AI3253" i="2"/>
  <c r="AJ3253" i="2"/>
  <c r="AL3253" i="2"/>
  <c r="AG3254" i="2"/>
  <c r="AI3254" i="2"/>
  <c r="AJ3254" i="2"/>
  <c r="AL3254" i="2"/>
  <c r="AG3255" i="2"/>
  <c r="AI3255" i="2"/>
  <c r="AJ3255" i="2"/>
  <c r="AL3255" i="2"/>
  <c r="AG3256" i="2"/>
  <c r="AI3256" i="2"/>
  <c r="AJ3256" i="2"/>
  <c r="AL3256" i="2"/>
  <c r="AG3257" i="2"/>
  <c r="AI3257" i="2"/>
  <c r="AJ3257" i="2"/>
  <c r="AL3257" i="2"/>
  <c r="AG3258" i="2"/>
  <c r="AI3258" i="2"/>
  <c r="AJ3258" i="2"/>
  <c r="AL3258" i="2"/>
  <c r="AG3259" i="2"/>
  <c r="AI3259" i="2"/>
  <c r="AJ3259" i="2"/>
  <c r="AL3259" i="2"/>
  <c r="AG3260" i="2"/>
  <c r="AI3260" i="2"/>
  <c r="AJ3260" i="2"/>
  <c r="AL3260" i="2"/>
  <c r="AG3261" i="2"/>
  <c r="AI3261" i="2"/>
  <c r="AJ3261" i="2"/>
  <c r="AL3261" i="2"/>
  <c r="AG3262" i="2"/>
  <c r="AI3262" i="2"/>
  <c r="AJ3262" i="2"/>
  <c r="AL3262" i="2"/>
  <c r="AG3263" i="2"/>
  <c r="AI3263" i="2"/>
  <c r="AJ3263" i="2"/>
  <c r="AL3263" i="2"/>
  <c r="AG3264" i="2"/>
  <c r="AI3264" i="2"/>
  <c r="AJ3264" i="2"/>
  <c r="AL3264" i="2"/>
  <c r="AG3265" i="2"/>
  <c r="AI3265" i="2"/>
  <c r="AJ3265" i="2"/>
  <c r="AL3265" i="2"/>
  <c r="AG3266" i="2"/>
  <c r="AI3266" i="2"/>
  <c r="AJ3266" i="2"/>
  <c r="AL3266" i="2"/>
  <c r="AG3267" i="2"/>
  <c r="AI3267" i="2"/>
  <c r="AJ3267" i="2"/>
  <c r="AL3267" i="2"/>
  <c r="AG3268" i="2"/>
  <c r="AI3268" i="2"/>
  <c r="AJ3268" i="2"/>
  <c r="AL3268" i="2"/>
  <c r="AG3269" i="2"/>
  <c r="AI3269" i="2"/>
  <c r="AJ3269" i="2"/>
  <c r="AL3269" i="2"/>
  <c r="AG3270" i="2"/>
  <c r="AI3270" i="2"/>
  <c r="AJ3270" i="2"/>
  <c r="AL3270" i="2"/>
  <c r="AG3271" i="2"/>
  <c r="AI3271" i="2"/>
  <c r="AJ3271" i="2"/>
  <c r="AL3271" i="2"/>
  <c r="AG3272" i="2"/>
  <c r="AI3272" i="2"/>
  <c r="AJ3272" i="2"/>
  <c r="AL3272" i="2"/>
  <c r="AG3273" i="2"/>
  <c r="AI3273" i="2"/>
  <c r="AJ3273" i="2"/>
  <c r="AL3273" i="2"/>
  <c r="AG3274" i="2"/>
  <c r="AI3274" i="2"/>
  <c r="AJ3274" i="2"/>
  <c r="AL3274" i="2"/>
  <c r="AG3275" i="2"/>
  <c r="AI3275" i="2"/>
  <c r="AJ3275" i="2"/>
  <c r="AL3275" i="2"/>
  <c r="AG3276" i="2"/>
  <c r="AI3276" i="2"/>
  <c r="AJ3276" i="2"/>
  <c r="AL3276" i="2"/>
  <c r="AG3277" i="2"/>
  <c r="AI3277" i="2"/>
  <c r="AJ3277" i="2"/>
  <c r="AL3277" i="2"/>
  <c r="AG3278" i="2"/>
  <c r="AI3278" i="2"/>
  <c r="AJ3278" i="2"/>
  <c r="AL3278" i="2"/>
  <c r="AG3279" i="2"/>
  <c r="AI3279" i="2"/>
  <c r="AJ3279" i="2"/>
  <c r="AL3279" i="2"/>
  <c r="AG3280" i="2"/>
  <c r="AI3280" i="2"/>
  <c r="AJ3280" i="2"/>
  <c r="AL3280" i="2"/>
  <c r="AG3281" i="2"/>
  <c r="AI3281" i="2"/>
  <c r="AJ3281" i="2"/>
  <c r="AL3281" i="2"/>
  <c r="AG3282" i="2"/>
  <c r="AI3282" i="2"/>
  <c r="AJ3282" i="2"/>
  <c r="AL3282" i="2"/>
  <c r="AG3283" i="2"/>
  <c r="AI3283" i="2"/>
  <c r="AJ3283" i="2"/>
  <c r="AL3283" i="2"/>
  <c r="AG3284" i="2"/>
  <c r="AI3284" i="2"/>
  <c r="AJ3284" i="2"/>
  <c r="AL3284" i="2"/>
  <c r="AG3285" i="2"/>
  <c r="AI3285" i="2"/>
  <c r="AJ3285" i="2"/>
  <c r="AL3285" i="2"/>
  <c r="AG3286" i="2"/>
  <c r="AI3286" i="2"/>
  <c r="AJ3286" i="2"/>
  <c r="AL3286" i="2"/>
  <c r="AG3287" i="2"/>
  <c r="AI3287" i="2"/>
  <c r="AJ3287" i="2"/>
  <c r="AL3287" i="2"/>
  <c r="AG3288" i="2"/>
  <c r="AI3288" i="2"/>
  <c r="AJ3288" i="2"/>
  <c r="AL3288" i="2"/>
  <c r="AG3289" i="2"/>
  <c r="AI3289" i="2"/>
  <c r="AJ3289" i="2"/>
  <c r="AL3289" i="2"/>
  <c r="AG3290" i="2"/>
  <c r="AI3290" i="2"/>
  <c r="AJ3290" i="2"/>
  <c r="AL3290" i="2"/>
  <c r="AG3291" i="2"/>
  <c r="AI3291" i="2"/>
  <c r="AJ3291" i="2"/>
  <c r="AL3291" i="2"/>
  <c r="AG3292" i="2"/>
  <c r="AI3292" i="2"/>
  <c r="AJ3292" i="2"/>
  <c r="AL3292" i="2"/>
  <c r="AG3293" i="2"/>
  <c r="AI3293" i="2"/>
  <c r="AJ3293" i="2"/>
  <c r="AL3293" i="2"/>
  <c r="AG3294" i="2"/>
  <c r="AI3294" i="2"/>
  <c r="AJ3294" i="2"/>
  <c r="AL3294" i="2"/>
  <c r="AG3295" i="2"/>
  <c r="AI3295" i="2"/>
  <c r="AJ3295" i="2"/>
  <c r="AL3295" i="2"/>
  <c r="AG3296" i="2"/>
  <c r="AI3296" i="2"/>
  <c r="AJ3296" i="2"/>
  <c r="AL3296" i="2"/>
  <c r="AG3297" i="2"/>
  <c r="AI3297" i="2"/>
  <c r="AJ3297" i="2"/>
  <c r="AL3297" i="2"/>
  <c r="AG3298" i="2"/>
  <c r="AI3298" i="2"/>
  <c r="AJ3298" i="2"/>
  <c r="AL3298" i="2"/>
  <c r="AG3299" i="2"/>
  <c r="AI3299" i="2"/>
  <c r="AJ3299" i="2"/>
  <c r="AL3299" i="2"/>
  <c r="AG3300" i="2"/>
  <c r="AI3300" i="2"/>
  <c r="AJ3300" i="2"/>
  <c r="AL3300" i="2"/>
  <c r="AG3301" i="2"/>
  <c r="AI3301" i="2"/>
  <c r="AJ3301" i="2"/>
  <c r="AL3301" i="2"/>
  <c r="AG3302" i="2"/>
  <c r="AI3302" i="2"/>
  <c r="AJ3302" i="2"/>
  <c r="AL3302" i="2"/>
  <c r="AG3303" i="2"/>
  <c r="AI3303" i="2"/>
  <c r="AJ3303" i="2"/>
  <c r="AL3303" i="2"/>
  <c r="AG3304" i="2"/>
  <c r="AI3304" i="2"/>
  <c r="AJ3304" i="2"/>
  <c r="AL3304" i="2"/>
  <c r="AG3305" i="2"/>
  <c r="AI3305" i="2"/>
  <c r="AJ3305" i="2"/>
  <c r="AL3305" i="2"/>
  <c r="AG3306" i="2"/>
  <c r="AI3306" i="2"/>
  <c r="AJ3306" i="2"/>
  <c r="AL3306" i="2"/>
  <c r="AG3307" i="2"/>
  <c r="AI3307" i="2"/>
  <c r="AJ3307" i="2"/>
  <c r="AL3307" i="2"/>
  <c r="AG3308" i="2"/>
  <c r="AI3308" i="2"/>
  <c r="AJ3308" i="2"/>
  <c r="AL3308" i="2"/>
  <c r="AG3309" i="2"/>
  <c r="AI3309" i="2"/>
  <c r="AJ3309" i="2"/>
  <c r="AL3309" i="2"/>
  <c r="AG3310" i="2"/>
  <c r="AI3310" i="2"/>
  <c r="AJ3310" i="2"/>
  <c r="AL3310" i="2"/>
  <c r="AG3311" i="2"/>
  <c r="AI3311" i="2"/>
  <c r="AJ3311" i="2"/>
  <c r="AL3311" i="2"/>
  <c r="AG3312" i="2"/>
  <c r="AI3312" i="2"/>
  <c r="AJ3312" i="2"/>
  <c r="AL3312" i="2"/>
  <c r="AG3313" i="2"/>
  <c r="AI3313" i="2"/>
  <c r="AJ3313" i="2"/>
  <c r="AL3313" i="2"/>
  <c r="AG3314" i="2"/>
  <c r="AI3314" i="2"/>
  <c r="AJ3314" i="2"/>
  <c r="AL3314" i="2"/>
  <c r="AG3315" i="2"/>
  <c r="AI3315" i="2"/>
  <c r="AJ3315" i="2"/>
  <c r="AL3315" i="2"/>
  <c r="AG3316" i="2"/>
  <c r="AI3316" i="2"/>
  <c r="AJ3316" i="2"/>
  <c r="AL3316" i="2"/>
  <c r="AG3317" i="2"/>
  <c r="AI3317" i="2"/>
  <c r="AJ3317" i="2"/>
  <c r="AL3317" i="2"/>
  <c r="AG3318" i="2"/>
  <c r="AI3318" i="2"/>
  <c r="AJ3318" i="2"/>
  <c r="AL3318" i="2"/>
  <c r="AG3319" i="2"/>
  <c r="AI3319" i="2"/>
  <c r="AJ3319" i="2"/>
  <c r="AL3319" i="2"/>
  <c r="AG3320" i="2"/>
  <c r="AI3320" i="2"/>
  <c r="AJ3320" i="2"/>
  <c r="AL3320" i="2"/>
  <c r="AG3321" i="2"/>
  <c r="AI3321" i="2"/>
  <c r="AJ3321" i="2"/>
  <c r="AL3321" i="2"/>
  <c r="AG3322" i="2"/>
  <c r="AI3322" i="2"/>
  <c r="AJ3322" i="2"/>
  <c r="AL3322" i="2"/>
  <c r="AG3323" i="2"/>
  <c r="AI3323" i="2"/>
  <c r="AJ3323" i="2"/>
  <c r="AL3323" i="2"/>
  <c r="AG3324" i="2"/>
  <c r="AI3324" i="2"/>
  <c r="AJ3324" i="2"/>
  <c r="AL3324" i="2"/>
  <c r="AG3325" i="2"/>
  <c r="AI3325" i="2"/>
  <c r="AJ3325" i="2"/>
  <c r="AL3325" i="2"/>
  <c r="AG3326" i="2"/>
  <c r="AI3326" i="2"/>
  <c r="AJ3326" i="2"/>
  <c r="AL3326" i="2"/>
  <c r="AG3327" i="2"/>
  <c r="AI3327" i="2"/>
  <c r="AJ3327" i="2"/>
  <c r="AL3327" i="2"/>
  <c r="AG3328" i="2"/>
  <c r="AI3328" i="2"/>
  <c r="AJ3328" i="2"/>
  <c r="AL3328" i="2"/>
  <c r="AG3329" i="2"/>
  <c r="AI3329" i="2"/>
  <c r="AJ3329" i="2"/>
  <c r="AL3329" i="2"/>
  <c r="AG3330" i="2"/>
  <c r="AI3330" i="2"/>
  <c r="AJ3330" i="2"/>
  <c r="AL3330" i="2"/>
  <c r="AG3331" i="2"/>
  <c r="AI3331" i="2"/>
  <c r="AJ3331" i="2"/>
  <c r="AL3331" i="2"/>
  <c r="AG3332" i="2"/>
  <c r="AI3332" i="2"/>
  <c r="AJ3332" i="2"/>
  <c r="AL3332" i="2"/>
  <c r="AG3333" i="2"/>
  <c r="AI3333" i="2"/>
  <c r="AJ3333" i="2"/>
  <c r="AL3333" i="2"/>
  <c r="AG3334" i="2"/>
  <c r="AI3334" i="2"/>
  <c r="AJ3334" i="2"/>
  <c r="AL3334" i="2"/>
  <c r="AG3335" i="2"/>
  <c r="AI3335" i="2"/>
  <c r="AJ3335" i="2"/>
  <c r="AL3335" i="2"/>
  <c r="AG3336" i="2"/>
  <c r="AI3336" i="2"/>
  <c r="AJ3336" i="2"/>
  <c r="AL3336" i="2"/>
  <c r="AG3337" i="2"/>
  <c r="AI3337" i="2"/>
  <c r="AJ3337" i="2"/>
  <c r="AL3337" i="2"/>
  <c r="AG3338" i="2"/>
  <c r="AI3338" i="2"/>
  <c r="AJ3338" i="2"/>
  <c r="AL3338" i="2"/>
  <c r="AG3339" i="2"/>
  <c r="AI3339" i="2"/>
  <c r="AJ3339" i="2"/>
  <c r="AL3339" i="2"/>
  <c r="AG3340" i="2"/>
  <c r="AI3340" i="2"/>
  <c r="AJ3340" i="2"/>
  <c r="AL3340" i="2"/>
  <c r="AG3341" i="2"/>
  <c r="AI3341" i="2"/>
  <c r="AJ3341" i="2"/>
  <c r="AL3341" i="2"/>
  <c r="AG3342" i="2"/>
  <c r="AI3342" i="2"/>
  <c r="AJ3342" i="2"/>
  <c r="AL3342" i="2"/>
  <c r="AG3343" i="2"/>
  <c r="AI3343" i="2"/>
  <c r="AJ3343" i="2"/>
  <c r="AL3343" i="2"/>
  <c r="AG3344" i="2"/>
  <c r="AI3344" i="2"/>
  <c r="AJ3344" i="2"/>
  <c r="AL3344" i="2"/>
  <c r="AG3345" i="2"/>
  <c r="AI3345" i="2"/>
  <c r="AJ3345" i="2"/>
  <c r="AL3345" i="2"/>
  <c r="AG3346" i="2"/>
  <c r="AI3346" i="2"/>
  <c r="AJ3346" i="2"/>
  <c r="AL3346" i="2"/>
  <c r="AG3347" i="2"/>
  <c r="AI3347" i="2"/>
  <c r="AJ3347" i="2"/>
  <c r="AL3347" i="2"/>
  <c r="AG3348" i="2"/>
  <c r="AI3348" i="2"/>
  <c r="AJ3348" i="2"/>
  <c r="AL3348" i="2"/>
  <c r="AG3349" i="2"/>
  <c r="AI3349" i="2"/>
  <c r="AJ3349" i="2"/>
  <c r="AL3349" i="2"/>
  <c r="AG3350" i="2"/>
  <c r="AI3350" i="2"/>
  <c r="AJ3350" i="2"/>
  <c r="AL3350" i="2"/>
  <c r="AG3351" i="2"/>
  <c r="AI3351" i="2"/>
  <c r="AJ3351" i="2"/>
  <c r="AL3351" i="2"/>
  <c r="AG3352" i="2"/>
  <c r="AI3352" i="2"/>
  <c r="AJ3352" i="2"/>
  <c r="AL3352" i="2"/>
  <c r="AG3353" i="2"/>
  <c r="AI3353" i="2"/>
  <c r="AJ3353" i="2"/>
  <c r="AL3353" i="2"/>
  <c r="AG3354" i="2"/>
  <c r="AI3354" i="2"/>
  <c r="AJ3354" i="2"/>
  <c r="AL3354" i="2"/>
  <c r="AG3355" i="2"/>
  <c r="AI3355" i="2"/>
  <c r="AJ3355" i="2"/>
  <c r="AL3355" i="2"/>
  <c r="AG3356" i="2"/>
  <c r="AI3356" i="2"/>
  <c r="AJ3356" i="2"/>
  <c r="AL3356" i="2"/>
  <c r="AG3357" i="2"/>
  <c r="AI3357" i="2"/>
  <c r="AJ3357" i="2"/>
  <c r="AL3357" i="2"/>
  <c r="AG3358" i="2"/>
  <c r="AI3358" i="2"/>
  <c r="AJ3358" i="2"/>
  <c r="AL3358" i="2"/>
  <c r="AG3359" i="2"/>
  <c r="AI3359" i="2"/>
  <c r="AJ3359" i="2"/>
  <c r="AL3359" i="2"/>
  <c r="AG3360" i="2"/>
  <c r="AI3360" i="2"/>
  <c r="AJ3360" i="2"/>
  <c r="AL3360" i="2"/>
  <c r="AG3361" i="2"/>
  <c r="AI3361" i="2"/>
  <c r="AJ3361" i="2"/>
  <c r="AL3361" i="2"/>
  <c r="AG3362" i="2"/>
  <c r="AI3362" i="2"/>
  <c r="AJ3362" i="2"/>
  <c r="AL3362" i="2"/>
  <c r="AG3363" i="2"/>
  <c r="AI3363" i="2"/>
  <c r="AJ3363" i="2"/>
  <c r="AL3363" i="2"/>
  <c r="AG3364" i="2"/>
  <c r="AI3364" i="2"/>
  <c r="AJ3364" i="2"/>
  <c r="AL3364" i="2"/>
  <c r="AG3365" i="2"/>
  <c r="AI3365" i="2"/>
  <c r="AJ3365" i="2"/>
  <c r="AL3365" i="2"/>
  <c r="AG3366" i="2"/>
  <c r="AI3366" i="2"/>
  <c r="AJ3366" i="2"/>
  <c r="AL3366" i="2"/>
  <c r="AG3367" i="2"/>
  <c r="AI3367" i="2"/>
  <c r="AJ3367" i="2"/>
  <c r="AL3367" i="2"/>
  <c r="AG3368" i="2"/>
  <c r="AI3368" i="2"/>
  <c r="AJ3368" i="2"/>
  <c r="AL3368" i="2"/>
  <c r="AG3369" i="2"/>
  <c r="AI3369" i="2"/>
  <c r="AJ3369" i="2"/>
  <c r="AL3369" i="2"/>
  <c r="AG3370" i="2"/>
  <c r="AI3370" i="2"/>
  <c r="AJ3370" i="2"/>
  <c r="AL3370" i="2"/>
  <c r="AG3371" i="2"/>
  <c r="AI3371" i="2"/>
  <c r="AJ3371" i="2"/>
  <c r="AL3371" i="2"/>
  <c r="AG3372" i="2"/>
  <c r="AI3372" i="2"/>
  <c r="AJ3372" i="2"/>
  <c r="AL3372" i="2"/>
  <c r="AG3373" i="2"/>
  <c r="AI3373" i="2"/>
  <c r="AJ3373" i="2"/>
  <c r="AL3373" i="2"/>
  <c r="AG3374" i="2"/>
  <c r="AI3374" i="2"/>
  <c r="AJ3374" i="2"/>
  <c r="AL3374" i="2"/>
  <c r="AG3375" i="2"/>
  <c r="AI3375" i="2"/>
  <c r="AJ3375" i="2"/>
  <c r="AL3375" i="2"/>
  <c r="AG3376" i="2"/>
  <c r="AI3376" i="2"/>
  <c r="AJ3376" i="2"/>
  <c r="AL3376" i="2"/>
  <c r="AG3377" i="2"/>
  <c r="AI3377" i="2"/>
  <c r="AJ3377" i="2"/>
  <c r="AL3377" i="2"/>
  <c r="AG3378" i="2"/>
  <c r="AI3378" i="2"/>
  <c r="AJ3378" i="2"/>
  <c r="AL3378" i="2"/>
  <c r="AG3379" i="2"/>
  <c r="AI3379" i="2"/>
  <c r="AJ3379" i="2"/>
  <c r="AL3379" i="2"/>
  <c r="AG3380" i="2"/>
  <c r="AI3380" i="2"/>
  <c r="AJ3380" i="2"/>
  <c r="AL3380" i="2"/>
  <c r="AG3381" i="2"/>
  <c r="AI3381" i="2"/>
  <c r="AJ3381" i="2"/>
  <c r="AL3381" i="2"/>
  <c r="AG3382" i="2"/>
  <c r="AI3382" i="2"/>
  <c r="AJ3382" i="2"/>
  <c r="AL3382" i="2"/>
  <c r="AG3383" i="2"/>
  <c r="AI3383" i="2"/>
  <c r="AJ3383" i="2"/>
  <c r="AL3383" i="2"/>
  <c r="AG3384" i="2"/>
  <c r="AI3384" i="2"/>
  <c r="AJ3384" i="2"/>
  <c r="AL3384" i="2"/>
  <c r="AG3385" i="2"/>
  <c r="AI3385" i="2"/>
  <c r="AJ3385" i="2"/>
  <c r="AL3385" i="2"/>
  <c r="AG3386" i="2"/>
  <c r="AI3386" i="2"/>
  <c r="AJ3386" i="2"/>
  <c r="AL3386" i="2"/>
  <c r="AG3387" i="2"/>
  <c r="AI3387" i="2"/>
  <c r="AJ3387" i="2"/>
  <c r="AL3387" i="2"/>
  <c r="AG3388" i="2"/>
  <c r="AI3388" i="2"/>
  <c r="AJ3388" i="2"/>
  <c r="AL3388" i="2"/>
  <c r="AG3389" i="2"/>
  <c r="AI3389" i="2"/>
  <c r="AJ3389" i="2"/>
  <c r="AL3389" i="2"/>
  <c r="AG3390" i="2"/>
  <c r="AI3390" i="2"/>
  <c r="AJ3390" i="2"/>
  <c r="AL3390" i="2"/>
  <c r="AG3391" i="2"/>
  <c r="AI3391" i="2"/>
  <c r="AJ3391" i="2"/>
  <c r="AL3391" i="2"/>
  <c r="AG3392" i="2"/>
  <c r="AI3392" i="2"/>
  <c r="AJ3392" i="2"/>
  <c r="AL3392" i="2"/>
  <c r="AG3393" i="2"/>
  <c r="AI3393" i="2"/>
  <c r="AJ3393" i="2"/>
  <c r="AL3393" i="2"/>
  <c r="AG3394" i="2"/>
  <c r="AI3394" i="2"/>
  <c r="AJ3394" i="2"/>
  <c r="AL3394" i="2"/>
  <c r="AG3395" i="2"/>
  <c r="AI3395" i="2"/>
  <c r="AJ3395" i="2"/>
  <c r="AL3395" i="2"/>
  <c r="AG3396" i="2"/>
  <c r="AI3396" i="2"/>
  <c r="AJ3396" i="2"/>
  <c r="AL3396" i="2"/>
  <c r="AG3397" i="2"/>
  <c r="AI3397" i="2"/>
  <c r="AJ3397" i="2"/>
  <c r="AL3397" i="2"/>
  <c r="AG3398" i="2"/>
  <c r="AI3398" i="2"/>
  <c r="AJ3398" i="2"/>
  <c r="AL3398" i="2"/>
  <c r="AG3399" i="2"/>
  <c r="AI3399" i="2"/>
  <c r="AJ3399" i="2"/>
  <c r="AL3399" i="2"/>
  <c r="AG3400" i="2"/>
  <c r="AI3400" i="2"/>
  <c r="AJ3400" i="2"/>
  <c r="AL3400" i="2"/>
  <c r="AG3401" i="2"/>
  <c r="AI3401" i="2"/>
  <c r="AJ3401" i="2"/>
  <c r="AL3401" i="2"/>
  <c r="AG3402" i="2"/>
  <c r="AI3402" i="2"/>
  <c r="AJ3402" i="2"/>
  <c r="AL3402" i="2"/>
  <c r="AG3403" i="2"/>
  <c r="AI3403" i="2"/>
  <c r="AJ3403" i="2"/>
  <c r="AL3403" i="2"/>
  <c r="AG3404" i="2"/>
  <c r="AI3404" i="2"/>
  <c r="AJ3404" i="2"/>
  <c r="AL3404" i="2"/>
  <c r="AG3405" i="2"/>
  <c r="AI3405" i="2"/>
  <c r="AJ3405" i="2"/>
  <c r="AL3405" i="2"/>
  <c r="AG3406" i="2"/>
  <c r="AI3406" i="2"/>
  <c r="AJ3406" i="2"/>
  <c r="AL3406" i="2"/>
  <c r="AG3407" i="2"/>
  <c r="AI3407" i="2"/>
  <c r="AJ3407" i="2"/>
  <c r="AL3407" i="2"/>
  <c r="AG3408" i="2"/>
  <c r="AI3408" i="2"/>
  <c r="AJ3408" i="2"/>
  <c r="AL3408" i="2"/>
  <c r="AG3409" i="2"/>
  <c r="AI3409" i="2"/>
  <c r="AJ3409" i="2"/>
  <c r="AL3409" i="2"/>
  <c r="AG3410" i="2"/>
  <c r="AI3410" i="2"/>
  <c r="AJ3410" i="2"/>
  <c r="AL3410" i="2"/>
  <c r="AG3411" i="2"/>
  <c r="AI3411" i="2"/>
  <c r="AJ3411" i="2"/>
  <c r="AL3411" i="2"/>
  <c r="AG3412" i="2"/>
  <c r="AI3412" i="2"/>
  <c r="AJ3412" i="2"/>
  <c r="AL3412" i="2"/>
  <c r="AG3413" i="2"/>
  <c r="AI3413" i="2"/>
  <c r="AJ3413" i="2"/>
  <c r="AL3413" i="2"/>
  <c r="AG3414" i="2"/>
  <c r="AI3414" i="2"/>
  <c r="AJ3414" i="2"/>
  <c r="AL3414" i="2"/>
  <c r="AG3415" i="2"/>
  <c r="AI3415" i="2"/>
  <c r="AJ3415" i="2"/>
  <c r="AL3415" i="2"/>
  <c r="AG3416" i="2"/>
  <c r="AI3416" i="2"/>
  <c r="AJ3416" i="2"/>
  <c r="AL3416" i="2"/>
  <c r="AG3417" i="2"/>
  <c r="AI3417" i="2"/>
  <c r="AJ3417" i="2"/>
  <c r="AL3417" i="2"/>
  <c r="AG3418" i="2"/>
  <c r="AI3418" i="2"/>
  <c r="AJ3418" i="2"/>
  <c r="AL3418" i="2"/>
  <c r="AG3419" i="2"/>
  <c r="AI3419" i="2"/>
  <c r="AJ3419" i="2"/>
  <c r="AL3419" i="2"/>
  <c r="AG3420" i="2"/>
  <c r="AI3420" i="2"/>
  <c r="AJ3420" i="2"/>
  <c r="AL3420" i="2"/>
  <c r="AG3421" i="2"/>
  <c r="AI3421" i="2"/>
  <c r="AJ3421" i="2"/>
  <c r="AL3421" i="2"/>
  <c r="AG3422" i="2"/>
  <c r="AI3422" i="2"/>
  <c r="AJ3422" i="2"/>
  <c r="AL3422" i="2"/>
  <c r="AG3423" i="2"/>
  <c r="AI3423" i="2"/>
  <c r="AJ3423" i="2"/>
  <c r="AL3423" i="2"/>
  <c r="AG3424" i="2"/>
  <c r="AI3424" i="2"/>
  <c r="AJ3424" i="2"/>
  <c r="AL3424" i="2"/>
  <c r="AG3425" i="2"/>
  <c r="AI3425" i="2"/>
  <c r="AJ3425" i="2"/>
  <c r="AL3425" i="2"/>
  <c r="AG3426" i="2"/>
  <c r="AI3426" i="2"/>
  <c r="AJ3426" i="2"/>
  <c r="AL3426" i="2"/>
  <c r="AG3427" i="2"/>
  <c r="AI3427" i="2"/>
  <c r="AJ3427" i="2"/>
  <c r="AL3427" i="2"/>
  <c r="AG3428" i="2"/>
  <c r="AI3428" i="2"/>
  <c r="AJ3428" i="2"/>
  <c r="AL3428" i="2"/>
  <c r="AG3429" i="2"/>
  <c r="AI3429" i="2"/>
  <c r="AJ3429" i="2"/>
  <c r="AL3429" i="2"/>
  <c r="AG3430" i="2"/>
  <c r="AI3430" i="2"/>
  <c r="AJ3430" i="2"/>
  <c r="AL3430" i="2"/>
  <c r="AG3431" i="2"/>
  <c r="AI3431" i="2"/>
  <c r="AJ3431" i="2"/>
  <c r="AL3431" i="2"/>
  <c r="AG3432" i="2"/>
  <c r="AI3432" i="2"/>
  <c r="AJ3432" i="2"/>
  <c r="AL3432" i="2"/>
  <c r="AG3433" i="2"/>
  <c r="AI3433" i="2"/>
  <c r="AJ3433" i="2"/>
  <c r="AL3433" i="2"/>
  <c r="AG3434" i="2"/>
  <c r="AI3434" i="2"/>
  <c r="AJ3434" i="2"/>
  <c r="AL3434" i="2"/>
  <c r="AG3435" i="2"/>
  <c r="AI3435" i="2"/>
  <c r="AJ3435" i="2"/>
  <c r="AL3435" i="2"/>
  <c r="AG3436" i="2"/>
  <c r="AI3436" i="2"/>
  <c r="AJ3436" i="2"/>
  <c r="AL3436" i="2"/>
  <c r="AG3437" i="2"/>
  <c r="AI3437" i="2"/>
  <c r="AJ3437" i="2"/>
  <c r="AL3437" i="2"/>
  <c r="AG3438" i="2"/>
  <c r="AI3438" i="2"/>
  <c r="AJ3438" i="2"/>
  <c r="AL3438" i="2"/>
  <c r="AG3439" i="2"/>
  <c r="AI3439" i="2"/>
  <c r="AJ3439" i="2"/>
  <c r="AL3439" i="2"/>
  <c r="AG3440" i="2"/>
  <c r="AI3440" i="2"/>
  <c r="AJ3440" i="2"/>
  <c r="AL3440" i="2"/>
  <c r="AG3441" i="2"/>
  <c r="AI3441" i="2"/>
  <c r="AJ3441" i="2"/>
  <c r="AL3441" i="2"/>
  <c r="AG3442" i="2"/>
  <c r="AI3442" i="2"/>
  <c r="AJ3442" i="2"/>
  <c r="AL3442" i="2"/>
  <c r="AG3443" i="2"/>
  <c r="AI3443" i="2"/>
  <c r="AJ3443" i="2"/>
  <c r="AL3443" i="2"/>
  <c r="AG3444" i="2"/>
  <c r="AI3444" i="2"/>
  <c r="AJ3444" i="2"/>
  <c r="AL3444" i="2"/>
  <c r="AG3445" i="2"/>
  <c r="AI3445" i="2"/>
  <c r="AJ3445" i="2"/>
  <c r="AL3445" i="2"/>
  <c r="AG3446" i="2"/>
  <c r="AI3446" i="2"/>
  <c r="AJ3446" i="2"/>
  <c r="AL3446" i="2"/>
  <c r="AG3447" i="2"/>
  <c r="AI3447" i="2"/>
  <c r="AJ3447" i="2"/>
  <c r="AL3447" i="2"/>
  <c r="AG3448" i="2"/>
  <c r="AI3448" i="2"/>
  <c r="AJ3448" i="2"/>
  <c r="AL3448" i="2"/>
  <c r="AG3449" i="2"/>
  <c r="AI3449" i="2"/>
  <c r="AJ3449" i="2"/>
  <c r="AL3449" i="2"/>
  <c r="AG3450" i="2"/>
  <c r="AI3450" i="2"/>
  <c r="AJ3450" i="2"/>
  <c r="AL3450" i="2"/>
  <c r="AG3451" i="2"/>
  <c r="AI3451" i="2"/>
  <c r="AJ3451" i="2"/>
  <c r="AL3451" i="2"/>
  <c r="AG3452" i="2"/>
  <c r="AI3452" i="2"/>
  <c r="AJ3452" i="2"/>
  <c r="AL3452" i="2"/>
  <c r="AG3453" i="2"/>
  <c r="AI3453" i="2"/>
  <c r="AJ3453" i="2"/>
  <c r="AL3453" i="2"/>
  <c r="AG3454" i="2"/>
  <c r="AI3454" i="2"/>
  <c r="AJ3454" i="2"/>
  <c r="AL3454" i="2"/>
  <c r="AG3455" i="2"/>
  <c r="AI3455" i="2"/>
  <c r="AJ3455" i="2"/>
  <c r="AL3455" i="2"/>
  <c r="AG3456" i="2"/>
  <c r="AI3456" i="2"/>
  <c r="AJ3456" i="2"/>
  <c r="AL3456" i="2"/>
  <c r="AG3457" i="2"/>
  <c r="AI3457" i="2"/>
  <c r="AJ3457" i="2"/>
  <c r="AL3457" i="2"/>
  <c r="AG3458" i="2"/>
  <c r="AI3458" i="2"/>
  <c r="AJ3458" i="2"/>
  <c r="AL3458" i="2"/>
  <c r="AG3459" i="2"/>
  <c r="AI3459" i="2"/>
  <c r="AJ3459" i="2"/>
  <c r="AL3459" i="2"/>
  <c r="AG3460" i="2"/>
  <c r="AI3460" i="2"/>
  <c r="AJ3460" i="2"/>
  <c r="AL3460" i="2"/>
  <c r="AG3461" i="2"/>
  <c r="AI3461" i="2"/>
  <c r="AJ3461" i="2"/>
  <c r="AL3461" i="2"/>
  <c r="AG3462" i="2"/>
  <c r="AI3462" i="2"/>
  <c r="AJ3462" i="2"/>
  <c r="AL3462" i="2"/>
  <c r="AG3463" i="2"/>
  <c r="AI3463" i="2"/>
  <c r="AJ3463" i="2"/>
  <c r="AL3463" i="2"/>
  <c r="AG3464" i="2"/>
  <c r="AI3464" i="2"/>
  <c r="AJ3464" i="2"/>
  <c r="AL3464" i="2"/>
  <c r="AG3465" i="2"/>
  <c r="AI3465" i="2"/>
  <c r="AJ3465" i="2"/>
  <c r="AL3465" i="2"/>
  <c r="AG3466" i="2"/>
  <c r="AI3466" i="2"/>
  <c r="AJ3466" i="2"/>
  <c r="AL3466" i="2"/>
  <c r="AG3467" i="2"/>
  <c r="AI3467" i="2"/>
  <c r="AJ3467" i="2"/>
  <c r="AL3467" i="2"/>
  <c r="AG3468" i="2"/>
  <c r="AI3468" i="2"/>
  <c r="AJ3468" i="2"/>
  <c r="AL3468" i="2"/>
  <c r="AG3469" i="2"/>
  <c r="AI3469" i="2"/>
  <c r="AJ3469" i="2"/>
  <c r="AL3469" i="2"/>
  <c r="AG3470" i="2"/>
  <c r="AI3470" i="2"/>
  <c r="AJ3470" i="2"/>
  <c r="AL3470" i="2"/>
  <c r="AG3471" i="2"/>
  <c r="AI3471" i="2"/>
  <c r="AJ3471" i="2"/>
  <c r="AL3471" i="2"/>
  <c r="AG3472" i="2"/>
  <c r="AI3472" i="2"/>
  <c r="AJ3472" i="2"/>
  <c r="AL3472" i="2"/>
  <c r="AG3473" i="2"/>
  <c r="AI3473" i="2"/>
  <c r="AJ3473" i="2"/>
  <c r="AL3473" i="2"/>
  <c r="AG3474" i="2"/>
  <c r="AI3474" i="2"/>
  <c r="AJ3474" i="2"/>
  <c r="AL3474" i="2"/>
  <c r="AG3475" i="2"/>
  <c r="AI3475" i="2"/>
  <c r="AJ3475" i="2"/>
  <c r="AL3475" i="2"/>
  <c r="AG3476" i="2"/>
  <c r="AI3476" i="2"/>
  <c r="AJ3476" i="2"/>
  <c r="AL3476" i="2"/>
  <c r="AG3477" i="2"/>
  <c r="AI3477" i="2"/>
  <c r="AJ3477" i="2"/>
  <c r="AL3477" i="2"/>
  <c r="AG3478" i="2"/>
  <c r="AI3478" i="2"/>
  <c r="AJ3478" i="2"/>
  <c r="AL3478" i="2"/>
  <c r="AG3479" i="2"/>
  <c r="AI3479" i="2"/>
  <c r="AJ3479" i="2"/>
  <c r="AL3479" i="2"/>
  <c r="AG3480" i="2"/>
  <c r="AI3480" i="2"/>
  <c r="AJ3480" i="2"/>
  <c r="AL3480" i="2"/>
  <c r="AG3481" i="2"/>
  <c r="AI3481" i="2"/>
  <c r="AJ3481" i="2"/>
  <c r="AL3481" i="2"/>
  <c r="AG3482" i="2"/>
  <c r="AI3482" i="2"/>
  <c r="AJ3482" i="2"/>
  <c r="AL3482" i="2"/>
  <c r="AG3483" i="2"/>
  <c r="AI3483" i="2"/>
  <c r="AJ3483" i="2"/>
  <c r="AL3483" i="2"/>
  <c r="AG3484" i="2"/>
  <c r="AI3484" i="2"/>
  <c r="AJ3484" i="2"/>
  <c r="AL3484" i="2"/>
  <c r="AG3485" i="2"/>
  <c r="AI3485" i="2"/>
  <c r="AJ3485" i="2"/>
  <c r="AL3485" i="2"/>
  <c r="AG3486" i="2"/>
  <c r="AI3486" i="2"/>
  <c r="AJ3486" i="2"/>
  <c r="AL3486" i="2"/>
  <c r="AG3487" i="2"/>
  <c r="AI3487" i="2"/>
  <c r="AJ3487" i="2"/>
  <c r="AL3487" i="2"/>
  <c r="AG3488" i="2"/>
  <c r="AI3488" i="2"/>
  <c r="AJ3488" i="2"/>
  <c r="AL3488" i="2"/>
  <c r="AG3489" i="2"/>
  <c r="AI3489" i="2"/>
  <c r="AJ3489" i="2"/>
  <c r="AL3489" i="2"/>
  <c r="AG3490" i="2"/>
  <c r="AI3490" i="2"/>
  <c r="AJ3490" i="2"/>
  <c r="AL3490" i="2"/>
  <c r="AG3491" i="2"/>
  <c r="AI3491" i="2"/>
  <c r="AJ3491" i="2"/>
  <c r="AL3491" i="2"/>
  <c r="AG3492" i="2"/>
  <c r="AI3492" i="2"/>
  <c r="AJ3492" i="2"/>
  <c r="AL3492" i="2"/>
  <c r="AG3493" i="2"/>
  <c r="AI3493" i="2"/>
  <c r="AJ3493" i="2"/>
  <c r="AL3493" i="2"/>
  <c r="AG3494" i="2"/>
  <c r="AI3494" i="2"/>
  <c r="AJ3494" i="2"/>
  <c r="AL3494" i="2"/>
  <c r="AG3495" i="2"/>
  <c r="AI3495" i="2"/>
  <c r="AJ3495" i="2"/>
  <c r="AL3495" i="2"/>
  <c r="AG3496" i="2"/>
  <c r="AI3496" i="2"/>
  <c r="AJ3496" i="2"/>
  <c r="AL3496" i="2"/>
  <c r="AG3497" i="2"/>
  <c r="AI3497" i="2"/>
  <c r="AJ3497" i="2"/>
  <c r="AL3497" i="2"/>
  <c r="AG3498" i="2"/>
  <c r="AI3498" i="2"/>
  <c r="AJ3498" i="2"/>
  <c r="AL3498" i="2"/>
  <c r="AG3499" i="2"/>
  <c r="AI3499" i="2"/>
  <c r="AJ3499" i="2"/>
  <c r="AL3499" i="2"/>
  <c r="AG3500" i="2"/>
  <c r="AI3500" i="2"/>
  <c r="AJ3500" i="2"/>
  <c r="AL3500" i="2"/>
  <c r="AG3501" i="2"/>
  <c r="AI3501" i="2"/>
  <c r="AJ3501" i="2"/>
  <c r="AL3501" i="2"/>
  <c r="AG3502" i="2"/>
  <c r="AI3502" i="2"/>
  <c r="AJ3502" i="2"/>
  <c r="AL3502" i="2"/>
  <c r="AG3503" i="2"/>
  <c r="AI3503" i="2"/>
  <c r="AJ3503" i="2"/>
  <c r="AL3503" i="2"/>
  <c r="AG3504" i="2"/>
  <c r="AI3504" i="2"/>
  <c r="AJ3504" i="2"/>
  <c r="AL3504" i="2"/>
  <c r="AG3505" i="2"/>
  <c r="AI3505" i="2"/>
  <c r="AJ3505" i="2"/>
  <c r="AL3505" i="2"/>
  <c r="AG3506" i="2"/>
  <c r="AI3506" i="2"/>
  <c r="AJ3506" i="2"/>
  <c r="AL3506" i="2"/>
  <c r="AG3507" i="2"/>
  <c r="AI3507" i="2"/>
  <c r="AJ3507" i="2"/>
  <c r="AL3507" i="2"/>
  <c r="AG3508" i="2"/>
  <c r="AI3508" i="2"/>
  <c r="AJ3508" i="2"/>
  <c r="AL3508" i="2"/>
  <c r="AG3509" i="2"/>
  <c r="AI3509" i="2"/>
  <c r="AJ3509" i="2"/>
  <c r="AL3509" i="2"/>
  <c r="AG3510" i="2"/>
  <c r="AI3510" i="2"/>
  <c r="AJ3510" i="2"/>
  <c r="AL3510" i="2"/>
  <c r="AG3511" i="2"/>
  <c r="AI3511" i="2"/>
  <c r="AJ3511" i="2"/>
  <c r="AL3511" i="2"/>
  <c r="AG3512" i="2"/>
  <c r="AI3512" i="2"/>
  <c r="AJ3512" i="2"/>
  <c r="AL3512" i="2"/>
  <c r="AG3513" i="2"/>
  <c r="AI3513" i="2"/>
  <c r="AJ3513" i="2"/>
  <c r="AL3513" i="2"/>
  <c r="AG3514" i="2"/>
  <c r="AI3514" i="2"/>
  <c r="AJ3514" i="2"/>
  <c r="AL3514" i="2"/>
  <c r="AG3515" i="2"/>
  <c r="AI3515" i="2"/>
  <c r="AJ3515" i="2"/>
  <c r="AL3515" i="2"/>
  <c r="AG3516" i="2"/>
  <c r="AI3516" i="2"/>
  <c r="AJ3516" i="2"/>
  <c r="AL3516" i="2"/>
  <c r="AG3517" i="2"/>
  <c r="AI3517" i="2"/>
  <c r="AJ3517" i="2"/>
  <c r="AL3517" i="2"/>
  <c r="AG3518" i="2"/>
  <c r="AI3518" i="2"/>
  <c r="AJ3518" i="2"/>
  <c r="AL3518" i="2"/>
  <c r="AG3519" i="2"/>
  <c r="AI3519" i="2"/>
  <c r="AJ3519" i="2"/>
  <c r="AL3519" i="2"/>
  <c r="AG3520" i="2"/>
  <c r="AI3520" i="2"/>
  <c r="AJ3520" i="2"/>
  <c r="AL3520" i="2"/>
  <c r="AG3521" i="2"/>
  <c r="AI3521" i="2"/>
  <c r="AJ3521" i="2"/>
  <c r="AL3521" i="2"/>
  <c r="AG3522" i="2"/>
  <c r="AI3522" i="2"/>
  <c r="AJ3522" i="2"/>
  <c r="AL3522" i="2"/>
  <c r="AG3523" i="2"/>
  <c r="AI3523" i="2"/>
  <c r="AJ3523" i="2"/>
  <c r="AL3523" i="2"/>
  <c r="AG3524" i="2"/>
  <c r="AI3524" i="2"/>
  <c r="AJ3524" i="2"/>
  <c r="AL3524" i="2"/>
  <c r="AG3525" i="2"/>
  <c r="AI3525" i="2"/>
  <c r="AJ3525" i="2"/>
  <c r="AL3525" i="2"/>
  <c r="AG3526" i="2"/>
  <c r="AI3526" i="2"/>
  <c r="AJ3526" i="2"/>
  <c r="AL3526" i="2"/>
  <c r="AG3527" i="2"/>
  <c r="AI3527" i="2"/>
  <c r="AJ3527" i="2"/>
  <c r="AL3527" i="2"/>
  <c r="AG3528" i="2"/>
  <c r="AI3528" i="2"/>
  <c r="AJ3528" i="2"/>
  <c r="AL3528" i="2"/>
  <c r="AG3529" i="2"/>
  <c r="AI3529" i="2"/>
  <c r="AJ3529" i="2"/>
  <c r="AL3529" i="2"/>
  <c r="AG3530" i="2"/>
  <c r="AI3530" i="2"/>
  <c r="AJ3530" i="2"/>
  <c r="AL3530" i="2"/>
  <c r="AG3531" i="2"/>
  <c r="AI3531" i="2"/>
  <c r="AJ3531" i="2"/>
  <c r="AL3531" i="2"/>
  <c r="AG3532" i="2"/>
  <c r="AI3532" i="2"/>
  <c r="AJ3532" i="2"/>
  <c r="AL3532" i="2"/>
  <c r="AG3533" i="2"/>
  <c r="AI3533" i="2"/>
  <c r="AJ3533" i="2"/>
  <c r="AL3533" i="2"/>
  <c r="AG3534" i="2"/>
  <c r="AI3534" i="2"/>
  <c r="AJ3534" i="2"/>
  <c r="AL3534" i="2"/>
  <c r="AG3535" i="2"/>
  <c r="AI3535" i="2"/>
  <c r="AJ3535" i="2"/>
  <c r="AL3535" i="2"/>
  <c r="AG3536" i="2"/>
  <c r="AI3536" i="2"/>
  <c r="AJ3536" i="2"/>
  <c r="AL3536" i="2"/>
  <c r="AG3537" i="2"/>
  <c r="AI3537" i="2"/>
  <c r="AJ3537" i="2"/>
  <c r="AL3537" i="2"/>
  <c r="AG3538" i="2"/>
  <c r="AI3538" i="2"/>
  <c r="AJ3538" i="2"/>
  <c r="AL3538" i="2"/>
  <c r="AG3539" i="2"/>
  <c r="AI3539" i="2"/>
  <c r="AJ3539" i="2"/>
  <c r="AL3539" i="2"/>
  <c r="AG3540" i="2"/>
  <c r="AI3540" i="2"/>
  <c r="AJ3540" i="2"/>
  <c r="AL3540" i="2"/>
  <c r="AG3541" i="2"/>
  <c r="AI3541" i="2"/>
  <c r="AJ3541" i="2"/>
  <c r="AL3541" i="2"/>
  <c r="AG3542" i="2"/>
  <c r="AI3542" i="2"/>
  <c r="AJ3542" i="2"/>
  <c r="AL3542" i="2"/>
  <c r="AG3543" i="2"/>
  <c r="AI3543" i="2"/>
  <c r="AJ3543" i="2"/>
  <c r="AL3543" i="2"/>
  <c r="AG3544" i="2"/>
  <c r="AI3544" i="2"/>
  <c r="AJ3544" i="2"/>
  <c r="AL3544" i="2"/>
  <c r="AG3545" i="2"/>
  <c r="AI3545" i="2"/>
  <c r="AJ3545" i="2"/>
  <c r="AL3545" i="2"/>
  <c r="AG3546" i="2"/>
  <c r="AI3546" i="2"/>
  <c r="AJ3546" i="2"/>
  <c r="AL3546" i="2"/>
  <c r="AG3547" i="2"/>
  <c r="AI3547" i="2"/>
  <c r="AJ3547" i="2"/>
  <c r="AL3547" i="2"/>
  <c r="AG3548" i="2"/>
  <c r="AI3548" i="2"/>
  <c r="AJ3548" i="2"/>
  <c r="AL3548" i="2"/>
  <c r="AG3549" i="2"/>
  <c r="AI3549" i="2"/>
  <c r="AJ3549" i="2"/>
  <c r="AL3549" i="2"/>
  <c r="AG3550" i="2"/>
  <c r="AI3550" i="2"/>
  <c r="AJ3550" i="2"/>
  <c r="AL3550" i="2"/>
  <c r="AG3551" i="2"/>
  <c r="AI3551" i="2"/>
  <c r="AJ3551" i="2"/>
  <c r="AL3551" i="2"/>
  <c r="AG3552" i="2"/>
  <c r="AI3552" i="2"/>
  <c r="AJ3552" i="2"/>
  <c r="AL3552" i="2"/>
  <c r="AG3553" i="2"/>
  <c r="AI3553" i="2"/>
  <c r="AJ3553" i="2"/>
  <c r="AL3553" i="2"/>
  <c r="AG3554" i="2"/>
  <c r="AI3554" i="2"/>
  <c r="AJ3554" i="2"/>
  <c r="AL3554" i="2"/>
  <c r="AG3555" i="2"/>
  <c r="AI3555" i="2"/>
  <c r="AJ3555" i="2"/>
  <c r="AL3555" i="2"/>
  <c r="AG3556" i="2"/>
  <c r="AI3556" i="2"/>
  <c r="AJ3556" i="2"/>
  <c r="AL3556" i="2"/>
  <c r="AG3557" i="2"/>
  <c r="AI3557" i="2"/>
  <c r="AJ3557" i="2"/>
  <c r="AL3557" i="2"/>
  <c r="AG3558" i="2"/>
  <c r="AI3558" i="2"/>
  <c r="AJ3558" i="2"/>
  <c r="AL3558" i="2"/>
  <c r="AG3559" i="2"/>
  <c r="AI3559" i="2"/>
  <c r="AJ3559" i="2"/>
  <c r="AL3559" i="2"/>
  <c r="AG3560" i="2"/>
  <c r="AI3560" i="2"/>
  <c r="AJ3560" i="2"/>
  <c r="AL3560" i="2"/>
  <c r="AG3561" i="2"/>
  <c r="AI3561" i="2"/>
  <c r="AJ3561" i="2"/>
  <c r="AL3561" i="2"/>
  <c r="AG3562" i="2"/>
  <c r="AI3562" i="2"/>
  <c r="AJ3562" i="2"/>
  <c r="AL3562" i="2"/>
  <c r="AG3563" i="2"/>
  <c r="AI3563" i="2"/>
  <c r="AJ3563" i="2"/>
  <c r="AL3563" i="2"/>
  <c r="AG3564" i="2"/>
  <c r="AI3564" i="2"/>
  <c r="AJ3564" i="2"/>
  <c r="AL3564" i="2"/>
  <c r="AG3565" i="2"/>
  <c r="AI3565" i="2"/>
  <c r="AJ3565" i="2"/>
  <c r="AL3565" i="2"/>
  <c r="AG3566" i="2"/>
  <c r="AI3566" i="2"/>
  <c r="AJ3566" i="2"/>
  <c r="AL3566" i="2"/>
  <c r="AG3567" i="2"/>
  <c r="AI3567" i="2"/>
  <c r="AJ3567" i="2"/>
  <c r="AL3567" i="2"/>
  <c r="AG3568" i="2"/>
  <c r="AI3568" i="2"/>
  <c r="AJ3568" i="2"/>
  <c r="AL3568" i="2"/>
  <c r="AG3569" i="2"/>
  <c r="AI3569" i="2"/>
  <c r="AJ3569" i="2"/>
  <c r="AL3569" i="2"/>
  <c r="AG3570" i="2"/>
  <c r="AI3570" i="2"/>
  <c r="AJ3570" i="2"/>
  <c r="AL3570" i="2"/>
  <c r="AG3571" i="2"/>
  <c r="AI3571" i="2"/>
  <c r="AJ3571" i="2"/>
  <c r="AL3571" i="2"/>
  <c r="AG3572" i="2"/>
  <c r="AI3572" i="2"/>
  <c r="AJ3572" i="2"/>
  <c r="AL3572" i="2"/>
  <c r="AG3573" i="2"/>
  <c r="AI3573" i="2"/>
  <c r="AJ3573" i="2"/>
  <c r="AL3573" i="2"/>
  <c r="AG3574" i="2"/>
  <c r="AI3574" i="2"/>
  <c r="AJ3574" i="2"/>
  <c r="AL3574" i="2"/>
  <c r="AG3575" i="2"/>
  <c r="AI3575" i="2"/>
  <c r="AJ3575" i="2"/>
  <c r="AL3575" i="2"/>
  <c r="AG3576" i="2"/>
  <c r="AI3576" i="2"/>
  <c r="AJ3576" i="2"/>
  <c r="AL3576" i="2"/>
  <c r="AG3577" i="2"/>
  <c r="AI3577" i="2"/>
  <c r="AJ3577" i="2"/>
  <c r="AL3577" i="2"/>
  <c r="AG3578" i="2"/>
  <c r="AI3578" i="2"/>
  <c r="AJ3578" i="2"/>
  <c r="AL3578" i="2"/>
  <c r="AG3579" i="2"/>
  <c r="AI3579" i="2"/>
  <c r="AJ3579" i="2"/>
  <c r="AL3579" i="2"/>
  <c r="AG3580" i="2"/>
  <c r="AI3580" i="2"/>
  <c r="AJ3580" i="2"/>
  <c r="AL3580" i="2"/>
  <c r="AG3581" i="2"/>
  <c r="AI3581" i="2"/>
  <c r="AJ3581" i="2"/>
  <c r="AL3581" i="2"/>
  <c r="AG3582" i="2"/>
  <c r="AI3582" i="2"/>
  <c r="AJ3582" i="2"/>
  <c r="AL3582" i="2"/>
  <c r="AG3583" i="2"/>
  <c r="AI3583" i="2"/>
  <c r="AJ3583" i="2"/>
  <c r="AL3583" i="2"/>
  <c r="AG3584" i="2"/>
  <c r="AI3584" i="2"/>
  <c r="AJ3584" i="2"/>
  <c r="AL3584" i="2"/>
  <c r="AG3585" i="2"/>
  <c r="AI3585" i="2"/>
  <c r="AJ3585" i="2"/>
  <c r="AL3585" i="2"/>
  <c r="AG3586" i="2"/>
  <c r="AI3586" i="2"/>
  <c r="AJ3586" i="2"/>
  <c r="AL3586" i="2"/>
  <c r="AG3587" i="2"/>
  <c r="AI3587" i="2"/>
  <c r="AJ3587" i="2"/>
  <c r="AL3587" i="2"/>
  <c r="AG3588" i="2"/>
  <c r="AI3588" i="2"/>
  <c r="AJ3588" i="2"/>
  <c r="AL3588" i="2"/>
  <c r="AG3589" i="2"/>
  <c r="AI3589" i="2"/>
  <c r="AJ3589" i="2"/>
  <c r="AL3589" i="2"/>
  <c r="AG3590" i="2"/>
  <c r="AI3590" i="2"/>
  <c r="AJ3590" i="2"/>
  <c r="AL3590" i="2"/>
  <c r="AG3591" i="2"/>
  <c r="AI3591" i="2"/>
  <c r="AJ3591" i="2"/>
  <c r="AL3591" i="2"/>
  <c r="AG3592" i="2"/>
  <c r="AI3592" i="2"/>
  <c r="AJ3592" i="2"/>
  <c r="AL3592" i="2"/>
  <c r="AG3593" i="2"/>
  <c r="AI3593" i="2"/>
  <c r="AJ3593" i="2"/>
  <c r="AL3593" i="2"/>
  <c r="AG3594" i="2"/>
  <c r="AI3594" i="2"/>
  <c r="AJ3594" i="2"/>
  <c r="AL3594" i="2"/>
  <c r="AG3595" i="2"/>
  <c r="AI3595" i="2"/>
  <c r="AJ3595" i="2"/>
  <c r="AL3595" i="2"/>
  <c r="AG3596" i="2"/>
  <c r="AI3596" i="2"/>
  <c r="AJ3596" i="2"/>
  <c r="AL3596" i="2"/>
  <c r="AG3597" i="2"/>
  <c r="AI3597" i="2"/>
  <c r="AJ3597" i="2"/>
  <c r="AL3597" i="2"/>
  <c r="AG3598" i="2"/>
  <c r="AI3598" i="2"/>
  <c r="AJ3598" i="2"/>
  <c r="AL3598" i="2"/>
  <c r="AG3599" i="2"/>
  <c r="AI3599" i="2"/>
  <c r="AJ3599" i="2"/>
  <c r="AL3599" i="2"/>
  <c r="AG3600" i="2"/>
  <c r="AI3600" i="2"/>
  <c r="AJ3600" i="2"/>
  <c r="AL3600" i="2"/>
  <c r="AG3601" i="2"/>
  <c r="AI3601" i="2"/>
  <c r="AJ3601" i="2"/>
  <c r="AL3601" i="2"/>
  <c r="AG3602" i="2"/>
  <c r="AI3602" i="2"/>
  <c r="AJ3602" i="2"/>
  <c r="AL3602" i="2"/>
  <c r="AG3603" i="2"/>
  <c r="AI3603" i="2"/>
  <c r="AJ3603" i="2"/>
  <c r="AL3603" i="2"/>
  <c r="AG3604" i="2"/>
  <c r="AI3604" i="2"/>
  <c r="AJ3604" i="2"/>
  <c r="AL3604" i="2"/>
  <c r="AG3605" i="2"/>
  <c r="AI3605" i="2"/>
  <c r="AJ3605" i="2"/>
  <c r="AL3605" i="2"/>
  <c r="AG3606" i="2"/>
  <c r="AI3606" i="2"/>
  <c r="AJ3606" i="2"/>
  <c r="AL3606" i="2"/>
  <c r="AG3607" i="2"/>
  <c r="AI3607" i="2"/>
  <c r="AJ3607" i="2"/>
  <c r="AL3607" i="2"/>
  <c r="AG3608" i="2"/>
  <c r="AI3608" i="2"/>
  <c r="AJ3608" i="2"/>
  <c r="AL3608" i="2"/>
  <c r="AG3609" i="2"/>
  <c r="AI3609" i="2"/>
  <c r="AJ3609" i="2"/>
  <c r="AL3609" i="2"/>
  <c r="AG3610" i="2"/>
  <c r="AI3610" i="2"/>
  <c r="AJ3610" i="2"/>
  <c r="AL3610" i="2"/>
  <c r="AG3611" i="2"/>
  <c r="AI3611" i="2"/>
  <c r="AJ3611" i="2"/>
  <c r="AL3611" i="2"/>
  <c r="AG3612" i="2"/>
  <c r="AI3612" i="2"/>
  <c r="AJ3612" i="2"/>
  <c r="AL3612" i="2"/>
  <c r="AG3613" i="2"/>
  <c r="AI3613" i="2"/>
  <c r="AJ3613" i="2"/>
  <c r="AL3613" i="2"/>
  <c r="AG3614" i="2"/>
  <c r="AI3614" i="2"/>
  <c r="AJ3614" i="2"/>
  <c r="AL3614" i="2"/>
  <c r="AG3615" i="2"/>
  <c r="AI3615" i="2"/>
  <c r="AJ3615" i="2"/>
  <c r="AL3615" i="2"/>
  <c r="AG3616" i="2"/>
  <c r="AI3616" i="2"/>
  <c r="AJ3616" i="2"/>
  <c r="AL3616" i="2"/>
  <c r="AG3617" i="2"/>
  <c r="AI3617" i="2"/>
  <c r="AJ3617" i="2"/>
  <c r="AL3617" i="2"/>
  <c r="AG3618" i="2"/>
  <c r="AI3618" i="2"/>
  <c r="AJ3618" i="2"/>
  <c r="AL3618" i="2"/>
  <c r="AG3619" i="2"/>
  <c r="AI3619" i="2"/>
  <c r="AJ3619" i="2"/>
  <c r="AL3619" i="2"/>
  <c r="AG3620" i="2"/>
  <c r="AI3620" i="2"/>
  <c r="AJ3620" i="2"/>
  <c r="AL3620" i="2"/>
  <c r="AG3621" i="2"/>
  <c r="AI3621" i="2"/>
  <c r="AJ3621" i="2"/>
  <c r="AL3621" i="2"/>
  <c r="AG3622" i="2"/>
  <c r="AI3622" i="2"/>
  <c r="AJ3622" i="2"/>
  <c r="AL3622" i="2"/>
  <c r="AG3623" i="2"/>
  <c r="AI3623" i="2"/>
  <c r="AJ3623" i="2"/>
  <c r="AL3623" i="2"/>
  <c r="AG3624" i="2"/>
  <c r="AI3624" i="2"/>
  <c r="AJ3624" i="2"/>
  <c r="AL3624" i="2"/>
  <c r="AG3625" i="2"/>
  <c r="AI3625" i="2"/>
  <c r="AJ3625" i="2"/>
  <c r="AL3625" i="2"/>
  <c r="AG3626" i="2"/>
  <c r="AI3626" i="2"/>
  <c r="AJ3626" i="2"/>
  <c r="AL3626" i="2"/>
  <c r="AG3627" i="2"/>
  <c r="AI3627" i="2"/>
  <c r="AJ3627" i="2"/>
  <c r="AL3627" i="2"/>
  <c r="AG3628" i="2"/>
  <c r="AI3628" i="2"/>
  <c r="AJ3628" i="2"/>
  <c r="AL3628" i="2"/>
  <c r="AG3629" i="2"/>
  <c r="AI3629" i="2"/>
  <c r="AJ3629" i="2"/>
  <c r="AL3629" i="2"/>
  <c r="AG3630" i="2"/>
  <c r="AI3630" i="2"/>
  <c r="AJ3630" i="2"/>
  <c r="AL3630" i="2"/>
  <c r="AG3631" i="2"/>
  <c r="AI3631" i="2"/>
  <c r="AJ3631" i="2"/>
  <c r="AL3631" i="2"/>
  <c r="AG3632" i="2"/>
  <c r="AI3632" i="2"/>
  <c r="AJ3632" i="2"/>
  <c r="AL3632" i="2"/>
  <c r="AG3633" i="2"/>
  <c r="AI3633" i="2"/>
  <c r="AJ3633" i="2"/>
  <c r="AL3633" i="2"/>
  <c r="AG3634" i="2"/>
  <c r="AI3634" i="2"/>
  <c r="AJ3634" i="2"/>
  <c r="AL3634" i="2"/>
  <c r="AG3635" i="2"/>
  <c r="AI3635" i="2"/>
  <c r="AJ3635" i="2"/>
  <c r="AL3635" i="2"/>
  <c r="AG3636" i="2"/>
  <c r="AI3636" i="2"/>
  <c r="AJ3636" i="2"/>
  <c r="AL3636" i="2"/>
  <c r="AG3637" i="2"/>
  <c r="AI3637" i="2"/>
  <c r="AJ3637" i="2"/>
  <c r="AL3637" i="2"/>
  <c r="AG3638" i="2"/>
  <c r="AI3638" i="2"/>
  <c r="AJ3638" i="2"/>
  <c r="AL3638" i="2"/>
  <c r="AG3639" i="2"/>
  <c r="AI3639" i="2"/>
  <c r="AJ3639" i="2"/>
  <c r="AL3639" i="2"/>
  <c r="AG3640" i="2"/>
  <c r="AI3640" i="2"/>
  <c r="AJ3640" i="2"/>
  <c r="AL3640" i="2"/>
  <c r="AG3641" i="2"/>
  <c r="AI3641" i="2"/>
  <c r="AJ3641" i="2"/>
  <c r="AL3641" i="2"/>
  <c r="AG3642" i="2"/>
  <c r="AI3642" i="2"/>
  <c r="AJ3642" i="2"/>
  <c r="AL3642" i="2"/>
  <c r="AG3643" i="2"/>
  <c r="AI3643" i="2"/>
  <c r="AJ3643" i="2"/>
  <c r="AL3643" i="2"/>
  <c r="AG3644" i="2"/>
  <c r="AI3644" i="2"/>
  <c r="AJ3644" i="2"/>
  <c r="AL3644" i="2"/>
  <c r="AG3645" i="2"/>
  <c r="AI3645" i="2"/>
  <c r="AJ3645" i="2"/>
  <c r="AL3645" i="2"/>
  <c r="AG3646" i="2"/>
  <c r="AI3646" i="2"/>
  <c r="AJ3646" i="2"/>
  <c r="AL3646" i="2"/>
  <c r="AG3647" i="2"/>
  <c r="AI3647" i="2"/>
  <c r="AJ3647" i="2"/>
  <c r="AL3647" i="2"/>
  <c r="AG3648" i="2"/>
  <c r="AI3648" i="2"/>
  <c r="AJ3648" i="2"/>
  <c r="AL3648" i="2"/>
  <c r="AG3649" i="2"/>
  <c r="AI3649" i="2"/>
  <c r="AJ3649" i="2"/>
  <c r="AL3649" i="2"/>
  <c r="AG3650" i="2"/>
  <c r="AI3650" i="2"/>
  <c r="AJ3650" i="2"/>
  <c r="AL3650" i="2"/>
  <c r="AG3651" i="2"/>
  <c r="AI3651" i="2"/>
  <c r="AJ3651" i="2"/>
  <c r="AL3651" i="2"/>
  <c r="AG3652" i="2"/>
  <c r="AI3652" i="2"/>
  <c r="AJ3652" i="2"/>
  <c r="AL3652" i="2"/>
  <c r="AG3653" i="2"/>
  <c r="AI3653" i="2"/>
  <c r="AJ3653" i="2"/>
  <c r="AL3653" i="2"/>
  <c r="AG3654" i="2"/>
  <c r="AI3654" i="2"/>
  <c r="AJ3654" i="2"/>
  <c r="AL3654" i="2"/>
  <c r="AG3655" i="2"/>
  <c r="AI3655" i="2"/>
  <c r="AJ3655" i="2"/>
  <c r="AL3655" i="2"/>
  <c r="AG3656" i="2"/>
  <c r="AI3656" i="2"/>
  <c r="AJ3656" i="2"/>
  <c r="AL3656" i="2"/>
  <c r="AG3657" i="2"/>
  <c r="AI3657" i="2"/>
  <c r="AJ3657" i="2"/>
  <c r="AL3657" i="2"/>
  <c r="AG3658" i="2"/>
  <c r="AI3658" i="2"/>
  <c r="AJ3658" i="2"/>
  <c r="AL3658" i="2"/>
  <c r="AG3659" i="2"/>
  <c r="AI3659" i="2"/>
  <c r="AJ3659" i="2"/>
  <c r="AL3659" i="2"/>
  <c r="AG3660" i="2"/>
  <c r="AI3660" i="2"/>
  <c r="AJ3660" i="2"/>
  <c r="AL3660" i="2"/>
  <c r="AG3661" i="2"/>
  <c r="AI3661" i="2"/>
  <c r="AJ3661" i="2"/>
  <c r="AL3661" i="2"/>
  <c r="AG3662" i="2"/>
  <c r="AI3662" i="2"/>
  <c r="AJ3662" i="2"/>
  <c r="AL3662" i="2"/>
  <c r="AG3663" i="2"/>
  <c r="AI3663" i="2"/>
  <c r="AJ3663" i="2"/>
  <c r="AL3663" i="2"/>
  <c r="AG3664" i="2"/>
  <c r="AI3664" i="2"/>
  <c r="AJ3664" i="2"/>
  <c r="AL3664" i="2"/>
  <c r="AG3665" i="2"/>
  <c r="AI3665" i="2"/>
  <c r="AJ3665" i="2"/>
  <c r="AL3665" i="2"/>
  <c r="AG3666" i="2"/>
  <c r="AI3666" i="2"/>
  <c r="AJ3666" i="2"/>
  <c r="AL3666" i="2"/>
  <c r="AG3667" i="2"/>
  <c r="AI3667" i="2"/>
  <c r="AJ3667" i="2"/>
  <c r="AL3667" i="2"/>
  <c r="AG3668" i="2"/>
  <c r="AI3668" i="2"/>
  <c r="AJ3668" i="2"/>
  <c r="AL3668" i="2"/>
  <c r="AG3669" i="2"/>
  <c r="AI3669" i="2"/>
  <c r="AJ3669" i="2"/>
  <c r="AL3669" i="2"/>
  <c r="AG3670" i="2"/>
  <c r="AI3670" i="2"/>
  <c r="AJ3670" i="2"/>
  <c r="AL3670" i="2"/>
  <c r="AG3671" i="2"/>
  <c r="AI3671" i="2"/>
  <c r="AJ3671" i="2"/>
  <c r="AL3671" i="2"/>
  <c r="AG3672" i="2"/>
  <c r="AI3672" i="2"/>
  <c r="AJ3672" i="2"/>
  <c r="AL3672" i="2"/>
  <c r="AG3673" i="2"/>
  <c r="AI3673" i="2"/>
  <c r="AJ3673" i="2"/>
  <c r="AL3673" i="2"/>
  <c r="AG3674" i="2"/>
  <c r="AI3674" i="2"/>
  <c r="AJ3674" i="2"/>
  <c r="AL3674" i="2"/>
  <c r="AG3675" i="2"/>
  <c r="AI3675" i="2"/>
  <c r="AJ3675" i="2"/>
  <c r="AL3675" i="2"/>
  <c r="AG3676" i="2"/>
  <c r="AI3676" i="2"/>
  <c r="AJ3676" i="2"/>
  <c r="AL3676" i="2"/>
  <c r="AG3677" i="2"/>
  <c r="AI3677" i="2"/>
  <c r="AJ3677" i="2"/>
  <c r="AL3677" i="2"/>
  <c r="AG3678" i="2"/>
  <c r="AI3678" i="2"/>
  <c r="AJ3678" i="2"/>
  <c r="AL3678" i="2"/>
  <c r="AG3679" i="2"/>
  <c r="AI3679" i="2"/>
  <c r="AJ3679" i="2"/>
  <c r="AL3679" i="2"/>
  <c r="AG3680" i="2"/>
  <c r="AI3680" i="2"/>
  <c r="AJ3680" i="2"/>
  <c r="AL3680" i="2"/>
  <c r="AG3681" i="2"/>
  <c r="AI3681" i="2"/>
  <c r="AJ3681" i="2"/>
  <c r="AL3681" i="2"/>
  <c r="AG3682" i="2"/>
  <c r="AI3682" i="2"/>
  <c r="AJ3682" i="2"/>
  <c r="AL3682" i="2"/>
  <c r="AG3683" i="2"/>
  <c r="AI3683" i="2"/>
  <c r="AJ3683" i="2"/>
  <c r="AL3683" i="2"/>
  <c r="AG3684" i="2"/>
  <c r="AI3684" i="2"/>
  <c r="AJ3684" i="2"/>
  <c r="AL3684" i="2"/>
  <c r="AG3685" i="2"/>
  <c r="AI3685" i="2"/>
  <c r="AJ3685" i="2"/>
  <c r="AL3685" i="2"/>
  <c r="AG3686" i="2"/>
  <c r="AI3686" i="2"/>
  <c r="AJ3686" i="2"/>
  <c r="AL3686" i="2"/>
  <c r="AG3687" i="2"/>
  <c r="AI3687" i="2"/>
  <c r="AJ3687" i="2"/>
  <c r="AL3687" i="2"/>
  <c r="AG3688" i="2"/>
  <c r="AI3688" i="2"/>
  <c r="AJ3688" i="2"/>
  <c r="AL3688" i="2"/>
  <c r="AG3689" i="2"/>
  <c r="AI3689" i="2"/>
  <c r="AJ3689" i="2"/>
  <c r="AL3689" i="2"/>
  <c r="AG3690" i="2"/>
  <c r="AI3690" i="2"/>
  <c r="AJ3690" i="2"/>
  <c r="AL3690" i="2"/>
  <c r="AG3691" i="2"/>
  <c r="AI3691" i="2"/>
  <c r="AJ3691" i="2"/>
  <c r="AL3691" i="2"/>
  <c r="AG3692" i="2"/>
  <c r="AI3692" i="2"/>
  <c r="AJ3692" i="2"/>
  <c r="AL3692" i="2"/>
  <c r="AG3693" i="2"/>
  <c r="AI3693" i="2"/>
  <c r="AJ3693" i="2"/>
  <c r="AL3693" i="2"/>
  <c r="AG3694" i="2"/>
  <c r="AI3694" i="2"/>
  <c r="AJ3694" i="2"/>
  <c r="AL3694" i="2"/>
  <c r="AG3695" i="2"/>
  <c r="AI3695" i="2"/>
  <c r="AJ3695" i="2"/>
  <c r="AL3695" i="2"/>
  <c r="AG3696" i="2"/>
  <c r="AI3696" i="2"/>
  <c r="AJ3696" i="2"/>
  <c r="AL3696" i="2"/>
  <c r="AG3697" i="2"/>
  <c r="AI3697" i="2"/>
  <c r="AJ3697" i="2"/>
  <c r="AL3697" i="2"/>
  <c r="AG3698" i="2"/>
  <c r="AI3698" i="2"/>
  <c r="AJ3698" i="2"/>
  <c r="AL3698" i="2"/>
  <c r="AG3699" i="2"/>
  <c r="AI3699" i="2"/>
  <c r="AJ3699" i="2"/>
  <c r="AL3699" i="2"/>
  <c r="AG3700" i="2"/>
  <c r="AI3700" i="2"/>
  <c r="AJ3700" i="2"/>
  <c r="AL3700" i="2"/>
  <c r="AG3701" i="2"/>
  <c r="AI3701" i="2"/>
  <c r="AJ3701" i="2"/>
  <c r="AL3701" i="2"/>
  <c r="AG3702" i="2"/>
  <c r="AI3702" i="2"/>
  <c r="AJ3702" i="2"/>
  <c r="AL3702" i="2"/>
  <c r="AG3703" i="2"/>
  <c r="AI3703" i="2"/>
  <c r="AJ3703" i="2"/>
  <c r="AL3703" i="2"/>
  <c r="AG3704" i="2"/>
  <c r="AI3704" i="2"/>
  <c r="AJ3704" i="2"/>
  <c r="AL3704" i="2"/>
  <c r="AG3705" i="2"/>
  <c r="AI3705" i="2"/>
  <c r="AJ3705" i="2"/>
  <c r="AL3705" i="2"/>
  <c r="AG3706" i="2"/>
  <c r="AI3706" i="2"/>
  <c r="AJ3706" i="2"/>
  <c r="AL3706" i="2"/>
  <c r="AG3707" i="2"/>
  <c r="AI3707" i="2"/>
  <c r="AJ3707" i="2"/>
  <c r="AL3707" i="2"/>
  <c r="AG3708" i="2"/>
  <c r="AI3708" i="2"/>
  <c r="AJ3708" i="2"/>
  <c r="AL3708" i="2"/>
  <c r="AG3709" i="2"/>
  <c r="AI3709" i="2"/>
  <c r="AJ3709" i="2"/>
  <c r="AL3709" i="2"/>
  <c r="AG3710" i="2"/>
  <c r="AI3710" i="2"/>
  <c r="AJ3710" i="2"/>
  <c r="AL3710" i="2"/>
  <c r="AG3711" i="2"/>
  <c r="AI3711" i="2"/>
  <c r="AJ3711" i="2"/>
  <c r="AL3711" i="2"/>
  <c r="AG3712" i="2"/>
  <c r="AI3712" i="2"/>
  <c r="AJ3712" i="2"/>
  <c r="AL3712" i="2"/>
  <c r="AG3713" i="2"/>
  <c r="AI3713" i="2"/>
  <c r="AJ3713" i="2"/>
  <c r="AL3713" i="2"/>
  <c r="AG3714" i="2"/>
  <c r="AI3714" i="2"/>
  <c r="AJ3714" i="2"/>
  <c r="AL3714" i="2"/>
  <c r="AG3715" i="2"/>
  <c r="AI3715" i="2"/>
  <c r="AJ3715" i="2"/>
  <c r="AL3715" i="2"/>
  <c r="AG3716" i="2"/>
  <c r="AI3716" i="2"/>
  <c r="AJ3716" i="2"/>
  <c r="AL3716" i="2"/>
  <c r="AG3717" i="2"/>
  <c r="AI3717" i="2"/>
  <c r="AJ3717" i="2"/>
  <c r="AL3717" i="2"/>
  <c r="AG3718" i="2"/>
  <c r="AI3718" i="2"/>
  <c r="AJ3718" i="2"/>
  <c r="AL3718" i="2"/>
  <c r="AG3719" i="2"/>
  <c r="AI3719" i="2"/>
  <c r="AJ3719" i="2"/>
  <c r="AL3719" i="2"/>
  <c r="AG3720" i="2"/>
  <c r="AI3720" i="2"/>
  <c r="AJ3720" i="2"/>
  <c r="AL3720" i="2"/>
  <c r="AG3721" i="2"/>
  <c r="AI3721" i="2"/>
  <c r="AJ3721" i="2"/>
  <c r="AL3721" i="2"/>
  <c r="AG3722" i="2"/>
  <c r="AI3722" i="2"/>
  <c r="AJ3722" i="2"/>
  <c r="AL3722" i="2"/>
  <c r="AG3723" i="2"/>
  <c r="AI3723" i="2"/>
  <c r="AJ3723" i="2"/>
  <c r="AL3723" i="2"/>
  <c r="AG3724" i="2"/>
  <c r="AI3724" i="2"/>
  <c r="AJ3724" i="2"/>
  <c r="AL3724" i="2"/>
  <c r="AG3725" i="2"/>
  <c r="AI3725" i="2"/>
  <c r="AJ3725" i="2"/>
  <c r="AL3725" i="2"/>
  <c r="AG3726" i="2"/>
  <c r="AI3726" i="2"/>
  <c r="AJ3726" i="2"/>
  <c r="AL3726" i="2"/>
  <c r="AG3727" i="2"/>
  <c r="AI3727" i="2"/>
  <c r="AJ3727" i="2"/>
  <c r="AL3727" i="2"/>
  <c r="AG3728" i="2"/>
  <c r="AI3728" i="2"/>
  <c r="AJ3728" i="2"/>
  <c r="AL3728" i="2"/>
  <c r="AG3729" i="2"/>
  <c r="AI3729" i="2"/>
  <c r="AJ3729" i="2"/>
  <c r="AL3729" i="2"/>
  <c r="AG3730" i="2"/>
  <c r="AI3730" i="2"/>
  <c r="AJ3730" i="2"/>
  <c r="AL3730" i="2"/>
  <c r="AG3731" i="2"/>
  <c r="AI3731" i="2"/>
  <c r="AJ3731" i="2"/>
  <c r="AL3731" i="2"/>
  <c r="AG3732" i="2"/>
  <c r="AI3732" i="2"/>
  <c r="AJ3732" i="2"/>
  <c r="AL3732" i="2"/>
  <c r="AG3733" i="2"/>
  <c r="AI3733" i="2"/>
  <c r="AJ3733" i="2"/>
  <c r="AL3733" i="2"/>
  <c r="AG3734" i="2"/>
  <c r="AI3734" i="2"/>
  <c r="AJ3734" i="2"/>
  <c r="AL3734" i="2"/>
  <c r="AG3735" i="2"/>
  <c r="AI3735" i="2"/>
  <c r="AJ3735" i="2"/>
  <c r="AL3735" i="2"/>
  <c r="AG3736" i="2"/>
  <c r="AI3736" i="2"/>
  <c r="AJ3736" i="2"/>
  <c r="AL3736" i="2"/>
  <c r="AG3737" i="2"/>
  <c r="AI3737" i="2"/>
  <c r="AJ3737" i="2"/>
  <c r="AL3737" i="2"/>
  <c r="AG3738" i="2"/>
  <c r="AI3738" i="2"/>
  <c r="AJ3738" i="2"/>
  <c r="AL3738" i="2"/>
  <c r="AG3739" i="2"/>
  <c r="AI3739" i="2"/>
  <c r="AJ3739" i="2"/>
  <c r="AL3739" i="2"/>
  <c r="AG3740" i="2"/>
  <c r="AI3740" i="2"/>
  <c r="AJ3740" i="2"/>
  <c r="AL3740" i="2"/>
  <c r="AG3741" i="2"/>
  <c r="AI3741" i="2"/>
  <c r="AJ3741" i="2"/>
  <c r="AL3741" i="2"/>
  <c r="AG3742" i="2"/>
  <c r="AI3742" i="2"/>
  <c r="AJ3742" i="2"/>
  <c r="AL3742" i="2"/>
  <c r="AG3743" i="2"/>
  <c r="AI3743" i="2"/>
  <c r="AJ3743" i="2"/>
  <c r="AL3743" i="2"/>
  <c r="AG3744" i="2"/>
  <c r="AI3744" i="2"/>
  <c r="AJ3744" i="2"/>
  <c r="AL3744" i="2"/>
  <c r="AG3745" i="2"/>
  <c r="AI3745" i="2"/>
  <c r="AJ3745" i="2"/>
  <c r="AL3745" i="2"/>
  <c r="AG3746" i="2"/>
  <c r="AI3746" i="2"/>
  <c r="AJ3746" i="2"/>
  <c r="AL3746" i="2"/>
  <c r="AG3747" i="2"/>
  <c r="AI3747" i="2"/>
  <c r="AJ3747" i="2"/>
  <c r="AL3747" i="2"/>
  <c r="AG3748" i="2"/>
  <c r="AI3748" i="2"/>
  <c r="AJ3748" i="2"/>
  <c r="AL3748" i="2"/>
  <c r="AG3749" i="2"/>
  <c r="AI3749" i="2"/>
  <c r="AJ3749" i="2"/>
  <c r="AL3749" i="2"/>
  <c r="AG3750" i="2"/>
  <c r="AI3750" i="2"/>
  <c r="AJ3750" i="2"/>
  <c r="AL3750" i="2"/>
  <c r="AG3751" i="2"/>
  <c r="AI3751" i="2"/>
  <c r="AJ3751" i="2"/>
  <c r="AL3751" i="2"/>
  <c r="AG3752" i="2"/>
  <c r="AI3752" i="2"/>
  <c r="AJ3752" i="2"/>
  <c r="AL3752" i="2"/>
  <c r="AG3753" i="2"/>
  <c r="AI3753" i="2"/>
  <c r="AJ3753" i="2"/>
  <c r="AL3753" i="2"/>
  <c r="AG3754" i="2"/>
  <c r="AI3754" i="2"/>
  <c r="AJ3754" i="2"/>
  <c r="AL3754" i="2"/>
  <c r="AG3755" i="2"/>
  <c r="AI3755" i="2"/>
  <c r="AJ3755" i="2"/>
  <c r="AL3755" i="2"/>
  <c r="AG3756" i="2"/>
  <c r="AI3756" i="2"/>
  <c r="AJ3756" i="2"/>
  <c r="AL3756" i="2"/>
  <c r="AG3757" i="2"/>
  <c r="AI3757" i="2"/>
  <c r="AJ3757" i="2"/>
  <c r="AL3757" i="2"/>
  <c r="AG3758" i="2"/>
  <c r="AI3758" i="2"/>
  <c r="AJ3758" i="2"/>
  <c r="AL3758" i="2"/>
  <c r="AG3759" i="2"/>
  <c r="AI3759" i="2"/>
  <c r="AJ3759" i="2"/>
  <c r="AL3759" i="2"/>
  <c r="AG3760" i="2"/>
  <c r="AI3760" i="2"/>
  <c r="AJ3760" i="2"/>
  <c r="AL3760" i="2"/>
  <c r="AG3761" i="2"/>
  <c r="AI3761" i="2"/>
  <c r="AJ3761" i="2"/>
  <c r="AL3761" i="2"/>
  <c r="AG3762" i="2"/>
  <c r="AI3762" i="2"/>
  <c r="AJ3762" i="2"/>
  <c r="AL3762" i="2"/>
  <c r="AG3763" i="2"/>
  <c r="AI3763" i="2"/>
  <c r="AJ3763" i="2"/>
  <c r="AL3763" i="2"/>
  <c r="AG3764" i="2"/>
  <c r="AI3764" i="2"/>
  <c r="AJ3764" i="2"/>
  <c r="AL3764" i="2"/>
  <c r="AG3765" i="2"/>
  <c r="AI3765" i="2"/>
  <c r="AJ3765" i="2"/>
  <c r="AL3765" i="2"/>
  <c r="AG3766" i="2"/>
  <c r="AI3766" i="2"/>
  <c r="AJ3766" i="2"/>
  <c r="AL3766" i="2"/>
  <c r="AG3767" i="2"/>
  <c r="AI3767" i="2"/>
  <c r="AJ3767" i="2"/>
  <c r="AL3767" i="2"/>
  <c r="AG3768" i="2"/>
  <c r="AI3768" i="2"/>
  <c r="AJ3768" i="2"/>
  <c r="AL3768" i="2"/>
  <c r="AG3769" i="2"/>
  <c r="AI3769" i="2"/>
  <c r="AJ3769" i="2"/>
  <c r="AL3769" i="2"/>
  <c r="AG3770" i="2"/>
  <c r="AI3770" i="2"/>
  <c r="AJ3770" i="2"/>
  <c r="AL3770" i="2"/>
  <c r="AG3771" i="2"/>
  <c r="AI3771" i="2"/>
  <c r="AJ3771" i="2"/>
  <c r="AL3771" i="2"/>
  <c r="AG3772" i="2"/>
  <c r="AI3772" i="2"/>
  <c r="AJ3772" i="2"/>
  <c r="AL3772" i="2"/>
  <c r="AG3773" i="2"/>
  <c r="AI3773" i="2"/>
  <c r="AJ3773" i="2"/>
  <c r="AL3773" i="2"/>
  <c r="AG3774" i="2"/>
  <c r="AI3774" i="2"/>
  <c r="AJ3774" i="2"/>
  <c r="AL3774" i="2"/>
  <c r="AG3775" i="2"/>
  <c r="AI3775" i="2"/>
  <c r="AJ3775" i="2"/>
  <c r="AL3775" i="2"/>
  <c r="AG3776" i="2"/>
  <c r="AI3776" i="2"/>
  <c r="AJ3776" i="2"/>
  <c r="AL3776" i="2"/>
  <c r="AG3777" i="2"/>
  <c r="AI3777" i="2"/>
  <c r="AJ3777" i="2"/>
  <c r="AL3777" i="2"/>
  <c r="AG3778" i="2"/>
  <c r="AI3778" i="2"/>
  <c r="AJ3778" i="2"/>
  <c r="AL3778" i="2"/>
  <c r="AG3779" i="2"/>
  <c r="AI3779" i="2"/>
  <c r="AJ3779" i="2"/>
  <c r="AL3779" i="2"/>
  <c r="AG3780" i="2"/>
  <c r="AI3780" i="2"/>
  <c r="AJ3780" i="2"/>
  <c r="AL3780" i="2"/>
  <c r="AG3781" i="2"/>
  <c r="AI3781" i="2"/>
  <c r="AJ3781" i="2"/>
  <c r="AL3781" i="2"/>
  <c r="AG3782" i="2"/>
  <c r="AI3782" i="2"/>
  <c r="AJ3782" i="2"/>
  <c r="AL3782" i="2"/>
  <c r="AG3783" i="2"/>
  <c r="AI3783" i="2"/>
  <c r="AJ3783" i="2"/>
  <c r="AL3783" i="2"/>
  <c r="AG3784" i="2"/>
  <c r="AI3784" i="2"/>
  <c r="AJ3784" i="2"/>
  <c r="AL3784" i="2"/>
  <c r="AG3785" i="2"/>
  <c r="AI3785" i="2"/>
  <c r="AJ3785" i="2"/>
  <c r="AL3785" i="2"/>
  <c r="AG3786" i="2"/>
  <c r="AI3786" i="2"/>
  <c r="AJ3786" i="2"/>
  <c r="AL3786" i="2"/>
  <c r="AG3787" i="2"/>
  <c r="AI3787" i="2"/>
  <c r="AJ3787" i="2"/>
  <c r="AL3787" i="2"/>
  <c r="AG3788" i="2"/>
  <c r="AI3788" i="2"/>
  <c r="AJ3788" i="2"/>
  <c r="AL3788" i="2"/>
  <c r="AG3789" i="2"/>
  <c r="AI3789" i="2"/>
  <c r="AJ3789" i="2"/>
  <c r="AL3789" i="2"/>
  <c r="AG3790" i="2"/>
  <c r="AI3790" i="2"/>
  <c r="AJ3790" i="2"/>
  <c r="AL3790" i="2"/>
  <c r="AG3791" i="2"/>
  <c r="AI3791" i="2"/>
  <c r="AJ3791" i="2"/>
  <c r="AL3791" i="2"/>
  <c r="AG3792" i="2"/>
  <c r="AI3792" i="2"/>
  <c r="AJ3792" i="2"/>
  <c r="AL3792" i="2"/>
  <c r="AG3793" i="2"/>
  <c r="AI3793" i="2"/>
  <c r="AJ3793" i="2"/>
  <c r="AL3793" i="2"/>
  <c r="AG3794" i="2"/>
  <c r="AI3794" i="2"/>
  <c r="AJ3794" i="2"/>
  <c r="AL3794" i="2"/>
  <c r="AG3795" i="2"/>
  <c r="AI3795" i="2"/>
  <c r="AJ3795" i="2"/>
  <c r="AL3795" i="2"/>
  <c r="AG3796" i="2"/>
  <c r="AI3796" i="2"/>
  <c r="AJ3796" i="2"/>
  <c r="AL3796" i="2"/>
  <c r="AG3797" i="2"/>
  <c r="AI3797" i="2"/>
  <c r="AJ3797" i="2"/>
  <c r="AL3797" i="2"/>
  <c r="AG3798" i="2"/>
  <c r="AI3798" i="2"/>
  <c r="AJ3798" i="2"/>
  <c r="AL3798" i="2"/>
  <c r="AG3799" i="2"/>
  <c r="AI3799" i="2"/>
  <c r="AJ3799" i="2"/>
  <c r="AL3799" i="2"/>
  <c r="AG3800" i="2"/>
  <c r="AI3800" i="2"/>
  <c r="AJ3800" i="2"/>
  <c r="AL3800" i="2"/>
  <c r="AG3801" i="2"/>
  <c r="AI3801" i="2"/>
  <c r="AJ3801" i="2"/>
  <c r="AL3801" i="2"/>
  <c r="AG3802" i="2"/>
  <c r="AI3802" i="2"/>
  <c r="AJ3802" i="2"/>
  <c r="AL3802" i="2"/>
  <c r="AG3803" i="2"/>
  <c r="AI3803" i="2"/>
  <c r="AJ3803" i="2"/>
  <c r="AL3803" i="2"/>
  <c r="AG3804" i="2"/>
  <c r="AI3804" i="2"/>
  <c r="AJ3804" i="2"/>
  <c r="AL3804" i="2"/>
  <c r="AG3805" i="2"/>
  <c r="AI3805" i="2"/>
  <c r="AJ3805" i="2"/>
  <c r="AL3805" i="2"/>
  <c r="AG3806" i="2"/>
  <c r="AI3806" i="2"/>
  <c r="AJ3806" i="2"/>
  <c r="AL3806" i="2"/>
  <c r="AG3807" i="2"/>
  <c r="AI3807" i="2"/>
  <c r="AJ3807" i="2"/>
  <c r="AL3807" i="2"/>
  <c r="AG3808" i="2"/>
  <c r="AI3808" i="2"/>
  <c r="AJ3808" i="2"/>
  <c r="AL3808" i="2"/>
  <c r="AG3809" i="2"/>
  <c r="AI3809" i="2"/>
  <c r="AJ3809" i="2"/>
  <c r="AL3809" i="2"/>
  <c r="AG3810" i="2"/>
  <c r="AI3810" i="2"/>
  <c r="AJ3810" i="2"/>
  <c r="AL3810" i="2"/>
  <c r="AG3811" i="2"/>
  <c r="AI3811" i="2"/>
  <c r="AJ3811" i="2"/>
  <c r="AL3811" i="2"/>
  <c r="AG3812" i="2"/>
  <c r="AI3812" i="2"/>
  <c r="AJ3812" i="2"/>
  <c r="AL3812" i="2"/>
  <c r="AG3813" i="2"/>
  <c r="AI3813" i="2"/>
  <c r="AJ3813" i="2"/>
  <c r="AL3813" i="2"/>
  <c r="AG3814" i="2"/>
  <c r="AI3814" i="2"/>
  <c r="AJ3814" i="2"/>
  <c r="AL3814" i="2"/>
  <c r="AG3815" i="2"/>
  <c r="AI3815" i="2"/>
  <c r="AJ3815" i="2"/>
  <c r="AL3815" i="2"/>
  <c r="AG3816" i="2"/>
  <c r="AI3816" i="2"/>
  <c r="AJ3816" i="2"/>
  <c r="AL3816" i="2"/>
  <c r="AG3817" i="2"/>
  <c r="AI3817" i="2"/>
  <c r="AJ3817" i="2"/>
  <c r="AL3817" i="2"/>
  <c r="AG3818" i="2"/>
  <c r="AI3818" i="2"/>
  <c r="AJ3818" i="2"/>
  <c r="AL3818" i="2"/>
  <c r="AG3819" i="2"/>
  <c r="AI3819" i="2"/>
  <c r="AJ3819" i="2"/>
  <c r="AL3819" i="2"/>
  <c r="AG3820" i="2"/>
  <c r="AI3820" i="2"/>
  <c r="AJ3820" i="2"/>
  <c r="AL3820" i="2"/>
  <c r="AG3821" i="2"/>
  <c r="AI3821" i="2"/>
  <c r="AJ3821" i="2"/>
  <c r="AL3821" i="2"/>
  <c r="AG3822" i="2"/>
  <c r="AI3822" i="2"/>
  <c r="AJ3822" i="2"/>
  <c r="AL3822" i="2"/>
  <c r="AG3823" i="2"/>
  <c r="AI3823" i="2"/>
  <c r="AJ3823" i="2"/>
  <c r="AL3823" i="2"/>
  <c r="AG3824" i="2"/>
  <c r="AI3824" i="2"/>
  <c r="AJ3824" i="2"/>
  <c r="AL3824" i="2"/>
  <c r="AG3825" i="2"/>
  <c r="AI3825" i="2"/>
  <c r="AJ3825" i="2"/>
  <c r="AL3825" i="2"/>
  <c r="AG3826" i="2"/>
  <c r="AI3826" i="2"/>
  <c r="AJ3826" i="2"/>
  <c r="AL3826" i="2"/>
  <c r="AG3827" i="2"/>
  <c r="AI3827" i="2"/>
  <c r="AJ3827" i="2"/>
  <c r="AL3827" i="2"/>
  <c r="AG3828" i="2"/>
  <c r="AI3828" i="2"/>
  <c r="AJ3828" i="2"/>
  <c r="AL3828" i="2"/>
  <c r="AG3829" i="2"/>
  <c r="AI3829" i="2"/>
  <c r="AJ3829" i="2"/>
  <c r="AL3829" i="2"/>
  <c r="AG3830" i="2"/>
  <c r="AI3830" i="2"/>
  <c r="AJ3830" i="2"/>
  <c r="AL3830" i="2"/>
  <c r="AG3831" i="2"/>
  <c r="AI3831" i="2"/>
  <c r="AJ3831" i="2"/>
  <c r="AL3831" i="2"/>
  <c r="AG3832" i="2"/>
  <c r="AI3832" i="2"/>
  <c r="AJ3832" i="2"/>
  <c r="AL3832" i="2"/>
  <c r="AG3833" i="2"/>
  <c r="AI3833" i="2"/>
  <c r="AJ3833" i="2"/>
  <c r="AL3833" i="2"/>
  <c r="AG3834" i="2"/>
  <c r="AI3834" i="2"/>
  <c r="AJ3834" i="2"/>
  <c r="AL3834" i="2"/>
  <c r="AG3835" i="2"/>
  <c r="AI3835" i="2"/>
  <c r="AJ3835" i="2"/>
  <c r="AL3835" i="2"/>
  <c r="AG3836" i="2"/>
  <c r="AI3836" i="2"/>
  <c r="AJ3836" i="2"/>
  <c r="AL3836" i="2"/>
  <c r="AG3837" i="2"/>
  <c r="AI3837" i="2"/>
  <c r="AJ3837" i="2"/>
  <c r="AL3837" i="2"/>
  <c r="AG3838" i="2"/>
  <c r="AI3838" i="2"/>
  <c r="AJ3838" i="2"/>
  <c r="AL3838" i="2"/>
  <c r="AG3839" i="2"/>
  <c r="AI3839" i="2"/>
  <c r="AJ3839" i="2"/>
  <c r="AL3839" i="2"/>
  <c r="AG3840" i="2"/>
  <c r="AI3840" i="2"/>
  <c r="AJ3840" i="2"/>
  <c r="AL3840" i="2"/>
  <c r="AG3841" i="2"/>
  <c r="AI3841" i="2"/>
  <c r="AJ3841" i="2"/>
  <c r="AL3841" i="2"/>
  <c r="AG3842" i="2"/>
  <c r="AI3842" i="2"/>
  <c r="AJ3842" i="2"/>
  <c r="AL3842" i="2"/>
  <c r="AG3843" i="2"/>
  <c r="AI3843" i="2"/>
  <c r="AJ3843" i="2"/>
  <c r="AL3843" i="2"/>
  <c r="AG3844" i="2"/>
  <c r="AI3844" i="2"/>
  <c r="AJ3844" i="2"/>
  <c r="AL3844" i="2"/>
  <c r="AG3845" i="2"/>
  <c r="AI3845" i="2"/>
  <c r="AJ3845" i="2"/>
  <c r="AL3845" i="2"/>
  <c r="AG3846" i="2"/>
  <c r="AI3846" i="2"/>
  <c r="AJ3846" i="2"/>
  <c r="AL3846" i="2"/>
  <c r="AG3847" i="2"/>
  <c r="AI3847" i="2"/>
  <c r="AJ3847" i="2"/>
  <c r="AL3847" i="2"/>
  <c r="AG3848" i="2"/>
  <c r="AI3848" i="2"/>
  <c r="AJ3848" i="2"/>
  <c r="AL3848" i="2"/>
  <c r="AG3849" i="2"/>
  <c r="AI3849" i="2"/>
  <c r="AJ3849" i="2"/>
  <c r="AL3849" i="2"/>
  <c r="AG3850" i="2"/>
  <c r="AI3850" i="2"/>
  <c r="AJ3850" i="2"/>
  <c r="AL3850" i="2"/>
  <c r="AG3851" i="2"/>
  <c r="AI3851" i="2"/>
  <c r="AJ3851" i="2"/>
  <c r="AL3851" i="2"/>
  <c r="AG3852" i="2"/>
  <c r="AI3852" i="2"/>
  <c r="AJ3852" i="2"/>
  <c r="AL3852" i="2"/>
  <c r="AG3853" i="2"/>
  <c r="AI3853" i="2"/>
  <c r="AJ3853" i="2"/>
  <c r="AL3853" i="2"/>
  <c r="AG3854" i="2"/>
  <c r="AI3854" i="2"/>
  <c r="AJ3854" i="2"/>
  <c r="AL3854" i="2"/>
  <c r="AG3855" i="2"/>
  <c r="AI3855" i="2"/>
  <c r="AJ3855" i="2"/>
  <c r="AL3855" i="2"/>
  <c r="AG3856" i="2"/>
  <c r="AI3856" i="2"/>
  <c r="AJ3856" i="2"/>
  <c r="AL3856" i="2"/>
  <c r="AG3857" i="2"/>
  <c r="AI3857" i="2"/>
  <c r="AJ3857" i="2"/>
  <c r="AL3857" i="2"/>
  <c r="AG3858" i="2"/>
  <c r="AI3858" i="2"/>
  <c r="AJ3858" i="2"/>
  <c r="AL3858" i="2"/>
  <c r="AG3859" i="2"/>
  <c r="AI3859" i="2"/>
  <c r="AJ3859" i="2"/>
  <c r="AL3859" i="2"/>
  <c r="AG3860" i="2"/>
  <c r="AI3860" i="2"/>
  <c r="AJ3860" i="2"/>
  <c r="AL3860" i="2"/>
  <c r="AG3861" i="2"/>
  <c r="AI3861" i="2"/>
  <c r="AJ3861" i="2"/>
  <c r="AL3861" i="2"/>
  <c r="AG3862" i="2"/>
  <c r="AI3862" i="2"/>
  <c r="AJ3862" i="2"/>
  <c r="AL3862" i="2"/>
  <c r="AG3863" i="2"/>
  <c r="AI3863" i="2"/>
  <c r="AJ3863" i="2"/>
  <c r="AL3863" i="2"/>
  <c r="AG3864" i="2"/>
  <c r="AI3864" i="2"/>
  <c r="AJ3864" i="2"/>
  <c r="AL3864" i="2"/>
  <c r="AG3865" i="2"/>
  <c r="AI3865" i="2"/>
  <c r="AJ3865" i="2"/>
  <c r="AL3865" i="2"/>
  <c r="AG3866" i="2"/>
  <c r="AI3866" i="2"/>
  <c r="AJ3866" i="2"/>
  <c r="AL3866" i="2"/>
  <c r="AG3867" i="2"/>
  <c r="AI3867" i="2"/>
  <c r="AJ3867" i="2"/>
  <c r="AL3867" i="2"/>
  <c r="AG3868" i="2"/>
  <c r="AI3868" i="2"/>
  <c r="AJ3868" i="2"/>
  <c r="AL3868" i="2"/>
  <c r="AG3869" i="2"/>
  <c r="AI3869" i="2"/>
  <c r="AJ3869" i="2"/>
  <c r="AL3869" i="2"/>
  <c r="AG3870" i="2"/>
  <c r="AI3870" i="2"/>
  <c r="AJ3870" i="2"/>
  <c r="AL3870" i="2"/>
  <c r="AG3871" i="2"/>
  <c r="AI3871" i="2"/>
  <c r="AJ3871" i="2"/>
  <c r="AL3871" i="2"/>
  <c r="AG3872" i="2"/>
  <c r="AI3872" i="2"/>
  <c r="AJ3872" i="2"/>
  <c r="AL3872" i="2"/>
  <c r="AG3873" i="2"/>
  <c r="AI3873" i="2"/>
  <c r="AJ3873" i="2"/>
  <c r="AL3873" i="2"/>
  <c r="AG3874" i="2"/>
  <c r="AI3874" i="2"/>
  <c r="AJ3874" i="2"/>
  <c r="AL3874" i="2"/>
  <c r="AG3875" i="2"/>
  <c r="AI3875" i="2"/>
  <c r="AJ3875" i="2"/>
  <c r="AL3875" i="2"/>
  <c r="AG3876" i="2"/>
  <c r="AI3876" i="2"/>
  <c r="AJ3876" i="2"/>
  <c r="AL3876" i="2"/>
  <c r="AG3877" i="2"/>
  <c r="AI3877" i="2"/>
  <c r="AJ3877" i="2"/>
  <c r="AL3877" i="2"/>
  <c r="AG3878" i="2"/>
  <c r="AI3878" i="2"/>
  <c r="AJ3878" i="2"/>
  <c r="AL3878" i="2"/>
  <c r="AG3879" i="2"/>
  <c r="AI3879" i="2"/>
  <c r="AJ3879" i="2"/>
  <c r="AL3879" i="2"/>
  <c r="AG3880" i="2"/>
  <c r="AI3880" i="2"/>
  <c r="AJ3880" i="2"/>
  <c r="AL3880" i="2"/>
  <c r="AG3881" i="2"/>
  <c r="AI3881" i="2"/>
  <c r="AJ3881" i="2"/>
  <c r="AL3881" i="2"/>
  <c r="AG3882" i="2"/>
  <c r="AI3882" i="2"/>
  <c r="AJ3882" i="2"/>
  <c r="AL3882" i="2"/>
  <c r="AG3883" i="2"/>
  <c r="AI3883" i="2"/>
  <c r="AJ3883" i="2"/>
  <c r="AL3883" i="2"/>
  <c r="AG3884" i="2"/>
  <c r="AI3884" i="2"/>
  <c r="AJ3884" i="2"/>
  <c r="AL3884" i="2"/>
  <c r="AG3885" i="2"/>
  <c r="AI3885" i="2"/>
  <c r="AJ3885" i="2"/>
  <c r="AL3885" i="2"/>
  <c r="AG3886" i="2"/>
  <c r="AI3886" i="2"/>
  <c r="AJ3886" i="2"/>
  <c r="AL3886" i="2"/>
  <c r="AG3887" i="2"/>
  <c r="AI3887" i="2"/>
  <c r="AJ3887" i="2"/>
  <c r="AL3887" i="2"/>
  <c r="AG3888" i="2"/>
  <c r="AI3888" i="2"/>
  <c r="AJ3888" i="2"/>
  <c r="AL3888" i="2"/>
  <c r="AG3889" i="2"/>
  <c r="AI3889" i="2"/>
  <c r="AJ3889" i="2"/>
  <c r="AL3889" i="2"/>
  <c r="AG3890" i="2"/>
  <c r="AI3890" i="2"/>
  <c r="AJ3890" i="2"/>
  <c r="AL3890" i="2"/>
  <c r="AG3891" i="2"/>
  <c r="AI3891" i="2"/>
  <c r="AJ3891" i="2"/>
  <c r="AL3891" i="2"/>
  <c r="AG3892" i="2"/>
  <c r="AI3892" i="2"/>
  <c r="AJ3892" i="2"/>
  <c r="AL3892" i="2"/>
  <c r="AG3893" i="2"/>
  <c r="AI3893" i="2"/>
  <c r="AJ3893" i="2"/>
  <c r="AL3893" i="2"/>
  <c r="AG3894" i="2"/>
  <c r="AI3894" i="2"/>
  <c r="AJ3894" i="2"/>
  <c r="AL3894" i="2"/>
  <c r="AG3895" i="2"/>
  <c r="AI3895" i="2"/>
  <c r="AJ3895" i="2"/>
  <c r="AL3895" i="2"/>
  <c r="AG3896" i="2"/>
  <c r="AI3896" i="2"/>
  <c r="AJ3896" i="2"/>
  <c r="AL3896" i="2"/>
  <c r="AG3897" i="2"/>
  <c r="AI3897" i="2"/>
  <c r="AJ3897" i="2"/>
  <c r="AL3897" i="2"/>
  <c r="AG3898" i="2"/>
  <c r="AI3898" i="2"/>
  <c r="AJ3898" i="2"/>
  <c r="AL3898" i="2"/>
  <c r="AG3899" i="2"/>
  <c r="AI3899" i="2"/>
  <c r="AJ3899" i="2"/>
  <c r="AL3899" i="2"/>
  <c r="AG3900" i="2"/>
  <c r="AI3900" i="2"/>
  <c r="AJ3900" i="2"/>
  <c r="AL3900" i="2"/>
  <c r="AG3901" i="2"/>
  <c r="AI3901" i="2"/>
  <c r="AJ3901" i="2"/>
  <c r="AL3901" i="2"/>
  <c r="AG3902" i="2"/>
  <c r="AI3902" i="2"/>
  <c r="AJ3902" i="2"/>
  <c r="AL3902" i="2"/>
  <c r="AG3903" i="2"/>
  <c r="AI3903" i="2"/>
  <c r="AJ3903" i="2"/>
  <c r="AL3903" i="2"/>
  <c r="AG3904" i="2"/>
  <c r="AI3904" i="2"/>
  <c r="AJ3904" i="2"/>
  <c r="AL3904" i="2"/>
  <c r="AG3905" i="2"/>
  <c r="AI3905" i="2"/>
  <c r="AJ3905" i="2"/>
  <c r="AL3905" i="2"/>
  <c r="AG3906" i="2"/>
  <c r="AI3906" i="2"/>
  <c r="AJ3906" i="2"/>
  <c r="AL3906" i="2"/>
  <c r="AG3907" i="2"/>
  <c r="AI3907" i="2"/>
  <c r="AJ3907" i="2"/>
  <c r="AL3907" i="2"/>
  <c r="AG3908" i="2"/>
  <c r="AI3908" i="2"/>
  <c r="AJ3908" i="2"/>
  <c r="AL3908" i="2"/>
  <c r="AG3909" i="2"/>
  <c r="AI3909" i="2"/>
  <c r="AJ3909" i="2"/>
  <c r="AL3909" i="2"/>
  <c r="AG3910" i="2"/>
  <c r="AI3910" i="2"/>
  <c r="AJ3910" i="2"/>
  <c r="AL3910" i="2"/>
  <c r="AG3911" i="2"/>
  <c r="AI3911" i="2"/>
  <c r="AJ3911" i="2"/>
  <c r="AL3911" i="2"/>
  <c r="AG3912" i="2"/>
  <c r="AI3912" i="2"/>
  <c r="AJ3912" i="2"/>
  <c r="AL3912" i="2"/>
  <c r="AG3913" i="2"/>
  <c r="AI3913" i="2"/>
  <c r="AJ3913" i="2"/>
  <c r="AL3913" i="2"/>
  <c r="AG3914" i="2"/>
  <c r="AI3914" i="2"/>
  <c r="AJ3914" i="2"/>
  <c r="AL3914" i="2"/>
  <c r="AG3915" i="2"/>
  <c r="AI3915" i="2"/>
  <c r="AJ3915" i="2"/>
  <c r="AL3915" i="2"/>
  <c r="AG3916" i="2"/>
  <c r="AI3916" i="2"/>
  <c r="AJ3916" i="2"/>
  <c r="AL3916" i="2"/>
  <c r="AG3917" i="2"/>
  <c r="AI3917" i="2"/>
  <c r="AJ3917" i="2"/>
  <c r="AL3917" i="2"/>
  <c r="AG3918" i="2"/>
  <c r="AI3918" i="2"/>
  <c r="AJ3918" i="2"/>
  <c r="AL3918" i="2"/>
  <c r="AG3919" i="2"/>
  <c r="AI3919" i="2"/>
  <c r="AJ3919" i="2"/>
  <c r="AL3919" i="2"/>
  <c r="AG3920" i="2"/>
  <c r="AI3920" i="2"/>
  <c r="AJ3920" i="2"/>
  <c r="AL3920" i="2"/>
  <c r="AG3921" i="2"/>
  <c r="AI3921" i="2"/>
  <c r="AJ3921" i="2"/>
  <c r="AL3921" i="2"/>
  <c r="AG3922" i="2"/>
  <c r="AI3922" i="2"/>
  <c r="AJ3922" i="2"/>
  <c r="AL3922" i="2"/>
  <c r="AG3923" i="2"/>
  <c r="AI3923" i="2"/>
  <c r="AJ3923" i="2"/>
  <c r="AL3923" i="2"/>
  <c r="AG3924" i="2"/>
  <c r="AI3924" i="2"/>
  <c r="AJ3924" i="2"/>
  <c r="AL3924" i="2"/>
  <c r="AG3925" i="2"/>
  <c r="AI3925" i="2"/>
  <c r="AJ3925" i="2"/>
  <c r="AL3925" i="2"/>
  <c r="AG3926" i="2"/>
  <c r="AI3926" i="2"/>
  <c r="AJ3926" i="2"/>
  <c r="AL3926" i="2"/>
  <c r="AG3927" i="2"/>
  <c r="AI3927" i="2"/>
  <c r="AJ3927" i="2"/>
  <c r="AL3927" i="2"/>
  <c r="AG3928" i="2"/>
  <c r="AI3928" i="2"/>
  <c r="AJ3928" i="2"/>
  <c r="AL3928" i="2"/>
  <c r="AG3929" i="2"/>
  <c r="AI3929" i="2"/>
  <c r="AJ3929" i="2"/>
  <c r="AL3929" i="2"/>
  <c r="AG3930" i="2"/>
  <c r="AI3930" i="2"/>
  <c r="AJ3930" i="2"/>
  <c r="AL3930" i="2"/>
  <c r="AG3931" i="2"/>
  <c r="AI3931" i="2"/>
  <c r="AJ3931" i="2"/>
  <c r="AL3931" i="2"/>
  <c r="AG3932" i="2"/>
  <c r="AI3932" i="2"/>
  <c r="AJ3932" i="2"/>
  <c r="AL3932" i="2"/>
  <c r="AG3933" i="2"/>
  <c r="AI3933" i="2"/>
  <c r="AJ3933" i="2"/>
  <c r="AL3933" i="2"/>
  <c r="AG3934" i="2"/>
  <c r="AI3934" i="2"/>
  <c r="AJ3934" i="2"/>
  <c r="AL3934" i="2"/>
  <c r="AG3935" i="2"/>
  <c r="AI3935" i="2"/>
  <c r="AJ3935" i="2"/>
  <c r="AL3935" i="2"/>
  <c r="AG3936" i="2"/>
  <c r="AI3936" i="2"/>
  <c r="AJ3936" i="2"/>
  <c r="AL3936" i="2"/>
  <c r="AG3937" i="2"/>
  <c r="AI3937" i="2"/>
  <c r="AJ3937" i="2"/>
  <c r="AL3937" i="2"/>
  <c r="AG3938" i="2"/>
  <c r="AI3938" i="2"/>
  <c r="AJ3938" i="2"/>
  <c r="AL3938" i="2"/>
  <c r="AG3939" i="2"/>
  <c r="AI3939" i="2"/>
  <c r="AJ3939" i="2"/>
  <c r="AL3939" i="2"/>
  <c r="AG3940" i="2"/>
  <c r="AI3940" i="2"/>
  <c r="AJ3940" i="2"/>
  <c r="AL3940" i="2"/>
  <c r="AG3941" i="2"/>
  <c r="AI3941" i="2"/>
  <c r="AJ3941" i="2"/>
  <c r="AL3941" i="2"/>
  <c r="AG3942" i="2"/>
  <c r="AI3942" i="2"/>
  <c r="AJ3942" i="2"/>
  <c r="AL3942" i="2"/>
  <c r="AG3943" i="2"/>
  <c r="AI3943" i="2"/>
  <c r="AJ3943" i="2"/>
  <c r="AL3943" i="2"/>
  <c r="AG3944" i="2"/>
  <c r="AI3944" i="2"/>
  <c r="AJ3944" i="2"/>
  <c r="AL3944" i="2"/>
  <c r="AG3945" i="2"/>
  <c r="AI3945" i="2"/>
  <c r="AJ3945" i="2"/>
  <c r="AL3945" i="2"/>
  <c r="AG3946" i="2"/>
  <c r="AI3946" i="2"/>
  <c r="AJ3946" i="2"/>
  <c r="AL3946" i="2"/>
  <c r="AG3947" i="2"/>
  <c r="AI3947" i="2"/>
  <c r="AJ3947" i="2"/>
  <c r="AL3947" i="2"/>
  <c r="AG3948" i="2"/>
  <c r="AI3948" i="2"/>
  <c r="AJ3948" i="2"/>
  <c r="AL3948" i="2"/>
  <c r="AG3949" i="2"/>
  <c r="AI3949" i="2"/>
  <c r="AJ3949" i="2"/>
  <c r="AL3949" i="2"/>
  <c r="AG3950" i="2"/>
  <c r="AI3950" i="2"/>
  <c r="AJ3950" i="2"/>
  <c r="AL3950" i="2"/>
  <c r="AG3951" i="2"/>
  <c r="AI3951" i="2"/>
  <c r="AJ3951" i="2"/>
  <c r="AL3951" i="2"/>
  <c r="AG3952" i="2"/>
  <c r="AI3952" i="2"/>
  <c r="AJ3952" i="2"/>
  <c r="AL3952" i="2"/>
  <c r="AG3953" i="2"/>
  <c r="AI3953" i="2"/>
  <c r="AJ3953" i="2"/>
  <c r="AL3953" i="2"/>
  <c r="AG3954" i="2"/>
  <c r="AI3954" i="2"/>
  <c r="AJ3954" i="2"/>
  <c r="AL3954" i="2"/>
  <c r="AG3955" i="2"/>
  <c r="AI3955" i="2"/>
  <c r="AJ3955" i="2"/>
  <c r="AL3955" i="2"/>
  <c r="AG3956" i="2"/>
  <c r="AI3956" i="2"/>
  <c r="AJ3956" i="2"/>
  <c r="AL3956" i="2"/>
  <c r="AG3957" i="2"/>
  <c r="AI3957" i="2"/>
  <c r="AJ3957" i="2"/>
  <c r="AL3957" i="2"/>
  <c r="AG3958" i="2"/>
  <c r="AI3958" i="2"/>
  <c r="AJ3958" i="2"/>
  <c r="AL3958" i="2"/>
  <c r="AG3959" i="2"/>
  <c r="AI3959" i="2"/>
  <c r="AJ3959" i="2"/>
  <c r="AL3959" i="2"/>
  <c r="AG3960" i="2"/>
  <c r="AI3960" i="2"/>
  <c r="AJ3960" i="2"/>
  <c r="AL3960" i="2"/>
  <c r="AG3961" i="2"/>
  <c r="AI3961" i="2"/>
  <c r="AJ3961" i="2"/>
  <c r="AL3961" i="2"/>
  <c r="AG3962" i="2"/>
  <c r="AI3962" i="2"/>
  <c r="AJ3962" i="2"/>
  <c r="AL3962" i="2"/>
  <c r="AG3963" i="2"/>
  <c r="AI3963" i="2"/>
  <c r="AJ3963" i="2"/>
  <c r="AL3963" i="2"/>
  <c r="AG3964" i="2"/>
  <c r="AI3964" i="2"/>
  <c r="AJ3964" i="2"/>
  <c r="AL3964" i="2"/>
  <c r="AG3965" i="2"/>
  <c r="AI3965" i="2"/>
  <c r="AJ3965" i="2"/>
  <c r="AL3965" i="2"/>
  <c r="AG3966" i="2"/>
  <c r="AI3966" i="2"/>
  <c r="AJ3966" i="2"/>
  <c r="AL3966" i="2"/>
  <c r="AG3967" i="2"/>
  <c r="AI3967" i="2"/>
  <c r="AJ3967" i="2"/>
  <c r="AL3967" i="2"/>
  <c r="AG3968" i="2"/>
  <c r="AI3968" i="2"/>
  <c r="AJ3968" i="2"/>
  <c r="AL3968" i="2"/>
  <c r="AG3969" i="2"/>
  <c r="AI3969" i="2"/>
  <c r="AJ3969" i="2"/>
  <c r="AL3969" i="2"/>
  <c r="AG3970" i="2"/>
  <c r="AI3970" i="2"/>
  <c r="AJ3970" i="2"/>
  <c r="AL3970" i="2"/>
  <c r="AG3971" i="2"/>
  <c r="AI3971" i="2"/>
  <c r="AJ3971" i="2"/>
  <c r="AL3971" i="2"/>
  <c r="AG3972" i="2"/>
  <c r="AI3972" i="2"/>
  <c r="AJ3972" i="2"/>
  <c r="AL3972" i="2"/>
  <c r="AG3973" i="2"/>
  <c r="AI3973" i="2"/>
  <c r="AJ3973" i="2"/>
  <c r="AL3973" i="2"/>
  <c r="AG3974" i="2"/>
  <c r="AI3974" i="2"/>
  <c r="AJ3974" i="2"/>
  <c r="AL3974" i="2"/>
  <c r="AG3975" i="2"/>
  <c r="AI3975" i="2"/>
  <c r="AJ3975" i="2"/>
  <c r="AL3975" i="2"/>
  <c r="AG3976" i="2"/>
  <c r="AI3976" i="2"/>
  <c r="AJ3976" i="2"/>
  <c r="AL3976" i="2"/>
  <c r="AG3977" i="2"/>
  <c r="AI3977" i="2"/>
  <c r="AJ3977" i="2"/>
  <c r="AL3977" i="2"/>
  <c r="AG3978" i="2"/>
  <c r="AI3978" i="2"/>
  <c r="AJ3978" i="2"/>
  <c r="AL3978" i="2"/>
  <c r="AG3979" i="2"/>
  <c r="AI3979" i="2"/>
  <c r="AJ3979" i="2"/>
  <c r="AL3979" i="2"/>
  <c r="AG3980" i="2"/>
  <c r="AI3980" i="2"/>
  <c r="AJ3980" i="2"/>
  <c r="AL3980" i="2"/>
  <c r="AG3981" i="2"/>
  <c r="AI3981" i="2"/>
  <c r="AJ3981" i="2"/>
  <c r="AL3981" i="2"/>
  <c r="AG3982" i="2"/>
  <c r="AI3982" i="2"/>
  <c r="AJ3982" i="2"/>
  <c r="AL3982" i="2"/>
  <c r="AG3983" i="2"/>
  <c r="AI3983" i="2"/>
  <c r="AJ3983" i="2"/>
  <c r="AL3983" i="2"/>
  <c r="AG3984" i="2"/>
  <c r="AI3984" i="2"/>
  <c r="AJ3984" i="2"/>
  <c r="AL3984" i="2"/>
  <c r="AG3985" i="2"/>
  <c r="AI3985" i="2"/>
  <c r="AJ3985" i="2"/>
  <c r="AL3985" i="2"/>
  <c r="AG3986" i="2"/>
  <c r="AI3986" i="2"/>
  <c r="AJ3986" i="2"/>
  <c r="AL3986" i="2"/>
  <c r="AG3987" i="2"/>
  <c r="AI3987" i="2"/>
  <c r="AJ3987" i="2"/>
  <c r="AL3987" i="2"/>
  <c r="AG3988" i="2"/>
  <c r="AI3988" i="2"/>
  <c r="AJ3988" i="2"/>
  <c r="AL3988" i="2"/>
  <c r="AG3989" i="2"/>
  <c r="AI3989" i="2"/>
  <c r="AJ3989" i="2"/>
  <c r="AL3989" i="2"/>
  <c r="AG3990" i="2"/>
  <c r="AI3990" i="2"/>
  <c r="AJ3990" i="2"/>
  <c r="AL3990" i="2"/>
  <c r="AG3991" i="2"/>
  <c r="AI3991" i="2"/>
  <c r="AJ3991" i="2"/>
  <c r="AL3991" i="2"/>
  <c r="AG3992" i="2"/>
  <c r="AI3992" i="2"/>
  <c r="AJ3992" i="2"/>
  <c r="AL3992" i="2"/>
  <c r="AG3993" i="2"/>
  <c r="AI3993" i="2"/>
  <c r="AJ3993" i="2"/>
  <c r="AL3993" i="2"/>
  <c r="AG3994" i="2"/>
  <c r="AI3994" i="2"/>
  <c r="AJ3994" i="2"/>
  <c r="AL3994" i="2"/>
  <c r="AG3995" i="2"/>
  <c r="AI3995" i="2"/>
  <c r="AJ3995" i="2"/>
  <c r="AL3995" i="2"/>
  <c r="AG3996" i="2"/>
  <c r="AI3996" i="2"/>
  <c r="AJ3996" i="2"/>
  <c r="AL3996" i="2"/>
  <c r="AG3997" i="2"/>
  <c r="AI3997" i="2"/>
  <c r="AJ3997" i="2"/>
  <c r="AL3997" i="2"/>
  <c r="AG3998" i="2"/>
  <c r="AI3998" i="2"/>
  <c r="AJ3998" i="2"/>
  <c r="AL3998" i="2"/>
  <c r="AG3999" i="2"/>
  <c r="AI3999" i="2"/>
  <c r="AJ3999" i="2"/>
  <c r="AL3999" i="2"/>
  <c r="AG4000" i="2"/>
  <c r="AI4000" i="2"/>
  <c r="AJ4000" i="2"/>
  <c r="AL4000" i="2"/>
  <c r="AG4001" i="2"/>
  <c r="AI4001" i="2"/>
  <c r="AJ4001" i="2"/>
  <c r="AL4001" i="2"/>
  <c r="AG4002" i="2"/>
  <c r="AI4002" i="2"/>
  <c r="AJ4002" i="2"/>
  <c r="AL4002" i="2"/>
  <c r="AG4003" i="2"/>
  <c r="AI4003" i="2"/>
  <c r="AJ4003" i="2"/>
  <c r="AL4003" i="2"/>
  <c r="AG4004" i="2"/>
  <c r="AI4004" i="2"/>
  <c r="AJ4004" i="2"/>
  <c r="AL4004" i="2"/>
  <c r="AG4005" i="2"/>
  <c r="AI4005" i="2"/>
  <c r="AJ4005" i="2"/>
  <c r="AL4005" i="2"/>
  <c r="AG4006" i="2"/>
  <c r="AI4006" i="2"/>
  <c r="AJ4006" i="2"/>
  <c r="AL4006" i="2"/>
  <c r="AG4007" i="2"/>
  <c r="AI4007" i="2"/>
  <c r="AJ4007" i="2"/>
  <c r="AL4007" i="2"/>
  <c r="AG4008" i="2"/>
  <c r="AI4008" i="2"/>
  <c r="AJ4008" i="2"/>
  <c r="AL4008" i="2"/>
  <c r="AG4009" i="2"/>
  <c r="AI4009" i="2"/>
  <c r="AJ4009" i="2"/>
  <c r="AL4009" i="2"/>
  <c r="AG4010" i="2"/>
  <c r="AI4010" i="2"/>
  <c r="AJ4010" i="2"/>
  <c r="AL4010" i="2"/>
  <c r="AG4011" i="2"/>
  <c r="AI4011" i="2"/>
  <c r="AJ4011" i="2"/>
  <c r="AL4011" i="2"/>
  <c r="AG4012" i="2"/>
  <c r="AI4012" i="2"/>
  <c r="AJ4012" i="2"/>
  <c r="AL4012" i="2"/>
  <c r="AG4013" i="2"/>
  <c r="AI4013" i="2"/>
  <c r="AJ4013" i="2"/>
  <c r="AL4013" i="2"/>
  <c r="AG4014" i="2"/>
  <c r="AI4014" i="2"/>
  <c r="AJ4014" i="2"/>
  <c r="AL4014" i="2"/>
  <c r="AG4015" i="2"/>
  <c r="AI4015" i="2"/>
  <c r="AJ4015" i="2"/>
  <c r="AL4015" i="2"/>
  <c r="AG4016" i="2"/>
  <c r="AI4016" i="2"/>
  <c r="AJ4016" i="2"/>
  <c r="AL4016" i="2"/>
  <c r="AG4017" i="2"/>
  <c r="AI4017" i="2"/>
  <c r="AJ4017" i="2"/>
  <c r="AL4017" i="2"/>
  <c r="AG4018" i="2"/>
  <c r="AI4018" i="2"/>
  <c r="AJ4018" i="2"/>
  <c r="AL4018" i="2"/>
  <c r="AG4019" i="2"/>
  <c r="AI4019" i="2"/>
  <c r="AJ4019" i="2"/>
  <c r="AL4019" i="2"/>
  <c r="AG4020" i="2"/>
  <c r="AI4020" i="2"/>
  <c r="AJ4020" i="2"/>
  <c r="AL4020" i="2"/>
  <c r="AG4021" i="2"/>
  <c r="AI4021" i="2"/>
  <c r="AJ4021" i="2"/>
  <c r="AL4021" i="2"/>
  <c r="AG4022" i="2"/>
  <c r="AI4022" i="2"/>
  <c r="AJ4022" i="2"/>
  <c r="AL4022" i="2"/>
  <c r="AG4023" i="2"/>
  <c r="AI4023" i="2"/>
  <c r="AJ4023" i="2"/>
  <c r="AL4023" i="2"/>
  <c r="AG4024" i="2"/>
  <c r="AI4024" i="2"/>
  <c r="AJ4024" i="2"/>
  <c r="AL4024" i="2"/>
  <c r="AG4025" i="2"/>
  <c r="AI4025" i="2"/>
  <c r="AJ4025" i="2"/>
  <c r="AL4025" i="2"/>
  <c r="AG4026" i="2"/>
  <c r="AI4026" i="2"/>
  <c r="AJ4026" i="2"/>
  <c r="AL4026" i="2"/>
  <c r="AG4027" i="2"/>
  <c r="AI4027" i="2"/>
  <c r="AJ4027" i="2"/>
  <c r="AL4027" i="2"/>
  <c r="AG4028" i="2"/>
  <c r="AI4028" i="2"/>
  <c r="AJ4028" i="2"/>
  <c r="AL4028" i="2"/>
  <c r="AG4029" i="2"/>
  <c r="AI4029" i="2"/>
  <c r="AJ4029" i="2"/>
  <c r="AL4029" i="2"/>
  <c r="AG4030" i="2"/>
  <c r="AI4030" i="2"/>
  <c r="AJ4030" i="2"/>
  <c r="AL4030" i="2"/>
  <c r="AG4031" i="2"/>
  <c r="AI4031" i="2"/>
  <c r="AJ4031" i="2"/>
  <c r="AL4031" i="2"/>
  <c r="AG4032" i="2"/>
  <c r="AI4032" i="2"/>
  <c r="AJ4032" i="2"/>
  <c r="AL4032" i="2"/>
  <c r="AG4033" i="2"/>
  <c r="AI4033" i="2"/>
  <c r="AJ4033" i="2"/>
  <c r="AL4033" i="2"/>
  <c r="AG4034" i="2"/>
  <c r="AI4034" i="2"/>
  <c r="AJ4034" i="2"/>
  <c r="AL4034" i="2"/>
  <c r="AG4035" i="2"/>
  <c r="AI4035" i="2"/>
  <c r="AJ4035" i="2"/>
  <c r="AL4035" i="2"/>
  <c r="AG4036" i="2"/>
  <c r="AI4036" i="2"/>
  <c r="AJ4036" i="2"/>
  <c r="AL4036" i="2"/>
  <c r="AG4037" i="2"/>
  <c r="AI4037" i="2"/>
  <c r="AJ4037" i="2"/>
  <c r="AL4037" i="2"/>
  <c r="AG4038" i="2"/>
  <c r="AI4038" i="2"/>
  <c r="AJ4038" i="2"/>
  <c r="AL4038" i="2"/>
  <c r="AG4039" i="2"/>
  <c r="AI4039" i="2"/>
  <c r="AJ4039" i="2"/>
  <c r="AL4039" i="2"/>
  <c r="AG4040" i="2"/>
  <c r="AI4040" i="2"/>
  <c r="AJ4040" i="2"/>
  <c r="AL4040" i="2"/>
  <c r="AG4041" i="2"/>
  <c r="AI4041" i="2"/>
  <c r="AJ4041" i="2"/>
  <c r="AL4041" i="2"/>
  <c r="AG4042" i="2"/>
  <c r="AI4042" i="2"/>
  <c r="AJ4042" i="2"/>
  <c r="AL4042" i="2"/>
  <c r="AG4043" i="2"/>
  <c r="AI4043" i="2"/>
  <c r="AJ4043" i="2"/>
  <c r="AL4043" i="2"/>
  <c r="AG4044" i="2"/>
  <c r="AI4044" i="2"/>
  <c r="AJ4044" i="2"/>
  <c r="AL4044" i="2"/>
  <c r="AG4045" i="2"/>
  <c r="AI4045" i="2"/>
  <c r="AJ4045" i="2"/>
  <c r="AL4045" i="2"/>
  <c r="AG4046" i="2"/>
  <c r="AI4046" i="2"/>
  <c r="AJ4046" i="2"/>
  <c r="AL4046" i="2"/>
  <c r="AG4047" i="2"/>
  <c r="AI4047" i="2"/>
  <c r="AJ4047" i="2"/>
  <c r="AL4047" i="2"/>
  <c r="AG4048" i="2"/>
  <c r="AI4048" i="2"/>
  <c r="AJ4048" i="2"/>
  <c r="AL4048" i="2"/>
  <c r="AG4049" i="2"/>
  <c r="AI4049" i="2"/>
  <c r="AJ4049" i="2"/>
  <c r="AL4049" i="2"/>
  <c r="AG4050" i="2"/>
  <c r="AI4050" i="2"/>
  <c r="AJ4050" i="2"/>
  <c r="AL4050" i="2"/>
  <c r="AG4051" i="2"/>
  <c r="AI4051" i="2"/>
  <c r="AJ4051" i="2"/>
  <c r="AL4051" i="2"/>
  <c r="AG4052" i="2"/>
  <c r="AI4052" i="2"/>
  <c r="AJ4052" i="2"/>
  <c r="AL4052" i="2"/>
  <c r="AG4053" i="2"/>
  <c r="AI4053" i="2"/>
  <c r="AJ4053" i="2"/>
  <c r="AL4053" i="2"/>
  <c r="AG4054" i="2"/>
  <c r="AI4054" i="2"/>
  <c r="AJ4054" i="2"/>
  <c r="AL4054" i="2"/>
  <c r="AG4055" i="2"/>
  <c r="AI4055" i="2"/>
  <c r="AJ4055" i="2"/>
  <c r="AL4055" i="2"/>
  <c r="AG4056" i="2"/>
  <c r="AI4056" i="2"/>
  <c r="AJ4056" i="2"/>
  <c r="AL4056" i="2"/>
  <c r="AG4057" i="2"/>
  <c r="AI4057" i="2"/>
  <c r="AJ4057" i="2"/>
  <c r="AL4057" i="2"/>
  <c r="AG4058" i="2"/>
  <c r="AI4058" i="2"/>
  <c r="AJ4058" i="2"/>
  <c r="AL4058" i="2"/>
  <c r="AG4059" i="2"/>
  <c r="AI4059" i="2"/>
  <c r="AJ4059" i="2"/>
  <c r="AL4059" i="2"/>
  <c r="AG4060" i="2"/>
  <c r="AI4060" i="2"/>
  <c r="AJ4060" i="2"/>
  <c r="AL4060" i="2"/>
  <c r="AG4061" i="2"/>
  <c r="AI4061" i="2"/>
  <c r="AJ4061" i="2"/>
  <c r="AL4061" i="2"/>
  <c r="AG4062" i="2"/>
  <c r="AI4062" i="2"/>
  <c r="AJ4062" i="2"/>
  <c r="AL4062" i="2"/>
  <c r="AG4063" i="2"/>
  <c r="AI4063" i="2"/>
  <c r="AJ4063" i="2"/>
  <c r="AL4063" i="2"/>
  <c r="AG4064" i="2"/>
  <c r="AI4064" i="2"/>
  <c r="AJ4064" i="2"/>
  <c r="AL4064" i="2"/>
  <c r="AG4065" i="2"/>
  <c r="AI4065" i="2"/>
  <c r="AJ4065" i="2"/>
  <c r="AL4065" i="2"/>
  <c r="AG4066" i="2"/>
  <c r="AI4066" i="2"/>
  <c r="AJ4066" i="2"/>
  <c r="AL4066" i="2"/>
  <c r="AG4067" i="2"/>
  <c r="AI4067" i="2"/>
  <c r="AJ4067" i="2"/>
  <c r="AL4067" i="2"/>
  <c r="AG4068" i="2"/>
  <c r="AI4068" i="2"/>
  <c r="AJ4068" i="2"/>
  <c r="AL4068" i="2"/>
  <c r="AG4069" i="2"/>
  <c r="AI4069" i="2"/>
  <c r="AJ4069" i="2"/>
  <c r="AL4069" i="2"/>
  <c r="AG4070" i="2"/>
  <c r="AI4070" i="2"/>
  <c r="AJ4070" i="2"/>
  <c r="AL4070" i="2"/>
  <c r="AG4071" i="2"/>
  <c r="AI4071" i="2"/>
  <c r="AJ4071" i="2"/>
  <c r="AL4071" i="2"/>
  <c r="AG4072" i="2"/>
  <c r="AI4072" i="2"/>
  <c r="AJ4072" i="2"/>
  <c r="AL4072" i="2"/>
  <c r="AG4073" i="2"/>
  <c r="AI4073" i="2"/>
  <c r="AJ4073" i="2"/>
  <c r="AL4073" i="2"/>
  <c r="AG4074" i="2"/>
  <c r="AI4074" i="2"/>
  <c r="AJ4074" i="2"/>
  <c r="AL4074" i="2"/>
  <c r="AG4075" i="2"/>
  <c r="AI4075" i="2"/>
  <c r="AJ4075" i="2"/>
  <c r="AL4075" i="2"/>
  <c r="AG4076" i="2"/>
  <c r="AI4076" i="2"/>
  <c r="AJ4076" i="2"/>
  <c r="AL4076" i="2"/>
  <c r="AG4077" i="2"/>
  <c r="AI4077" i="2"/>
  <c r="AJ4077" i="2"/>
  <c r="AL4077" i="2"/>
  <c r="AG4078" i="2"/>
  <c r="AI4078" i="2"/>
  <c r="AJ4078" i="2"/>
  <c r="AL4078" i="2"/>
  <c r="AG4079" i="2"/>
  <c r="AI4079" i="2"/>
  <c r="AJ4079" i="2"/>
  <c r="AL4079" i="2"/>
  <c r="AJ2" i="2"/>
  <c r="AL2" i="2"/>
  <c r="AI2" i="2"/>
  <c r="I10" i="7"/>
  <c r="H10" i="7"/>
  <c r="F10" i="7"/>
  <c r="D10" i="7"/>
  <c r="C10" i="7"/>
  <c r="AG2" i="2"/>
  <c r="E10" i="7"/>
  <c r="G10" i="7"/>
  <c r="B11" i="7"/>
  <c r="H11" i="7"/>
  <c r="C11" i="7"/>
  <c r="I11" i="7"/>
  <c r="D11" i="7"/>
  <c r="F11" i="7"/>
  <c r="E11" i="7"/>
  <c r="B12" i="7"/>
  <c r="C12" i="7"/>
  <c r="B13" i="7"/>
  <c r="H13" i="7"/>
  <c r="H12" i="7"/>
  <c r="I12" i="7"/>
  <c r="D12" i="7"/>
  <c r="F12" i="7"/>
  <c r="E12" i="7"/>
  <c r="B14" i="7"/>
  <c r="H14" i="7"/>
  <c r="B15" i="7"/>
  <c r="D15" i="7"/>
  <c r="H15" i="7"/>
  <c r="F14" i="7"/>
  <c r="I14" i="7"/>
  <c r="D14" i="7"/>
  <c r="F13" i="7"/>
  <c r="D13" i="7"/>
  <c r="I13" i="7"/>
  <c r="G13" i="7"/>
  <c r="G15" i="7"/>
  <c r="F15" i="7"/>
  <c r="C13" i="7"/>
  <c r="G14" i="7"/>
  <c r="C14" i="7"/>
  <c r="E15" i="7"/>
  <c r="C15" i="7"/>
  <c r="E13" i="7"/>
  <c r="B16" i="7"/>
  <c r="E14" i="7"/>
  <c r="I15" i="7"/>
  <c r="G12" i="7"/>
  <c r="G11" i="7"/>
  <c r="D16" i="7"/>
  <c r="B17" i="7"/>
  <c r="C16" i="7"/>
  <c r="F16" i="7"/>
  <c r="I16" i="7"/>
  <c r="G16" i="7"/>
  <c r="H16" i="7"/>
  <c r="E16" i="7"/>
  <c r="F17" i="7"/>
  <c r="B18" i="7"/>
  <c r="H17" i="7"/>
  <c r="I17" i="7"/>
  <c r="C17" i="7"/>
  <c r="E17" i="7"/>
  <c r="D17" i="7"/>
  <c r="G17" i="7"/>
  <c r="I18" i="7"/>
  <c r="B19" i="7"/>
  <c r="H18" i="7"/>
  <c r="D18" i="7"/>
  <c r="F18" i="7"/>
  <c r="G18" i="7"/>
  <c r="C18" i="7"/>
  <c r="E18" i="7"/>
  <c r="I19" i="7"/>
  <c r="B20" i="7"/>
  <c r="F19" i="7"/>
  <c r="D19" i="7"/>
  <c r="H19" i="7"/>
  <c r="G19" i="7"/>
  <c r="C19" i="7"/>
  <c r="E19" i="7"/>
  <c r="H20" i="7"/>
  <c r="B21" i="7"/>
  <c r="D20" i="7"/>
  <c r="I20" i="7"/>
  <c r="C20" i="7"/>
  <c r="E20" i="7"/>
  <c r="F20" i="7"/>
  <c r="G20" i="7"/>
  <c r="C3" i="7"/>
  <c r="C4" i="7"/>
  <c r="F21" i="7"/>
  <c r="I21" i="7"/>
  <c r="F6" i="7"/>
  <c r="D21" i="7"/>
  <c r="C21" i="7"/>
  <c r="H21" i="7"/>
  <c r="G21" i="7"/>
  <c r="C7" i="7"/>
  <c r="E21" i="7"/>
  <c r="C6" i="7"/>
</calcChain>
</file>

<file path=xl/connections.xml><?xml version="1.0" encoding="utf-8"?>
<connections xmlns="http://schemas.openxmlformats.org/spreadsheetml/2006/main">
  <connection id="1" name="A3_mensajes" type="6" refreshedVersion="6" background="1" saveData="1">
    <textPr prompt="0" codePage="65001" firstRow="2" sourceFile="D:\Mis Documentos\INFORMES SF\INFORMES\A3 - altas con mensajes 02-05\20171124\A3_mensajes.dsv" decimal="," thousands="." semicolon="1" delimiter="|">
      <textFields count="2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A3_mensajes1" type="6" refreshedVersion="6" background="1" saveData="1">
    <textPr prompt="0" codePage="65001" firstRow="2" sourceFile="D:\Mis Documentos\INFORMES SF\INFORMES\A3 - altas con mensajes 02-05\20171127\A3_mensajes.dsv" decimal="," thousands="." semicolon="1" delimiter="|">
      <textFields count="2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A3_mensajes10" type="6" refreshedVersion="6" background="1" saveData="1">
    <textPr prompt="0" codePage="65001" firstRow="2" sourceFile="D:\Mis Documentos\INFORMES SF\INFORMES\A3 - altas con mensajes 02-05\20171128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A3_mensajes11" type="6" refreshedVersion="6" background="1" saveData="1">
    <textPr prompt="0" codePage="65001" firstRow="2" sourceFile="D:\Mis Documentos\INFORMES SF\INFORMES\A3 - altas con mensajes 02-05\20171128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A3_mensajes12" type="6" refreshedVersion="6" background="1" saveData="1">
    <textPr prompt="0" codePage="65001" firstRow="2" sourceFile="D:\Mis Documentos\INFORMES SF\INFORMES\A3 - altas con mensajes 02-05\20171129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A3_mensajes13" type="6" refreshedVersion="6" background="1" saveData="1">
    <textPr prompt="0" codePage="65001" firstRow="2" sourceFile="D:\Mis Documentos\INFORMES SF\INFORMES\A3 - altas con mensajes 02-05\20171129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A3_mensajes14" type="6" refreshedVersion="6" background="1" saveData="1">
    <textPr prompt="0" codePage="65001" firstRow="2" sourceFile="D:\Mis Documentos\INFORMES SF\INFORMES\A3 - altas con mensajes 02-05\20171130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A3_mensajes15" type="6" refreshedVersion="6" background="1" saveData="1">
    <textPr prompt="0" codePage="65001" firstRow="2" sourceFile="D:\Mis Documentos\INFORMES SF\INFORMES\A3 - altas con mensajes 02-05\20171130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A3_mensajes16" type="6" refreshedVersion="6" background="1" saveData="1">
    <textPr prompt="0" codePage="65001" firstRow="2" sourceFile="D:\Mis Documentos\INFORMES SF\INFORMES\A3 - altas con mensajes 02-05\20171205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A3_mensajes17" type="6" refreshedVersion="6" background="1" saveData="1">
    <textPr prompt="0" codePage="65001" firstRow="2" sourceFile="D:\Mis Documentos\INFORMES SF\INFORMES\A3 - altas con mensajes 02-05\20171211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A3_mensajes18" type="6" refreshedVersion="6" background="1" saveData="1">
    <textPr prompt="0" codePage="65001" firstRow="2" sourceFile="D:\Mis Documentos\INFORMES SF\INFORMES\A3 - altas con mensajes 02-05\20171213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A3_mensajes19" type="6" refreshedVersion="6" background="1" saveData="1">
    <textPr prompt="0" codePage="65001" firstRow="2" sourceFile="D:\Mis Documentos\INFORMES SF\INFORMES\A3 - altas con mensajes 02-05\20171214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A3_mensajes2" type="6" refreshedVersion="6" background="1" saveData="1">
    <textPr prompt="0" codePage="65001" firstRow="2" sourceFile="D:\Mis Documentos\INFORMES SF\INFORMES\A3 - altas con mensajes 02-05\20171124\A3_mensajes.dsv" decimal="," thousands="." semicolon="1" delimiter="|">
      <textFields count="2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A3_mensajes20" type="6" refreshedVersion="6" background="1" saveData="1">
    <textPr prompt="0" codePage="65001" firstRow="2" sourceFile="D:\Mis Documentos\INFORMES SF\INFORMES\A3 - altas con mensajes 02-05\20171215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A3_mensajes21" type="6" refreshedVersion="6" background="1" saveData="1">
    <textPr prompt="0" codePage="65001" firstRow="2" sourceFile="D:\Mis Documentos\INFORMES SF\INFORMES\A3 - altas con mensajes 02-05\20171218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A3_mensajes22" type="6" refreshedVersion="6" background="1" saveData="1">
    <textPr prompt="0" codePage="65001" firstRow="2" sourceFile="D:\Mis Documentos\INFORMES SF\INFORMES\A3 - altas con mensajes 02-05\20171220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A3_mensajes23" type="6" refreshedVersion="6" background="1" saveData="1">
    <textPr prompt="0" codePage="65001" firstRow="2" sourceFile="D:\Mis Documentos\INFORMES SF\INFORMES\A3 - altas con mensajes 02-05\20171221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A3_mensajes24" type="6" refreshedVersion="6" background="1" saveData="1">
    <textPr prompt="0" codePage="65001" firstRow="2" sourceFile="D:\Mis Documentos\INFORMES SF\INFORMES\A3 - altas con mensajes 02-05\20171222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A3_mensajes25" type="6" refreshedVersion="6" background="1" saveData="1">
    <textPr prompt="0" codePage="65001" firstRow="2" sourceFile="D:\Mis Documentos\INFORMES SF\INFORMES\A3 - altas con mensajes 02-05\20171222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A3_mensajes26" type="6" refreshedVersion="6" background="1" saveData="1">
    <textPr prompt="0" codePage="65001" firstRow="2" sourceFile="D:\Mis Documentos\INFORMES SF\INFORMES\A3 - altas con mensajes 02-05\20180102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A3_mensajes27" type="6" refreshedVersion="6" background="1" saveData="1">
    <textPr prompt="0" codePage="65001" firstRow="2" sourceFile="D:\Mis Documentos\INFORMES SF\INFORMES\A3 - altas con mensajes 02-05\20180103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A3_mensajes28" type="6" refreshedVersion="6" background="1" saveData="1">
    <textPr prompt="0" codePage="65001" firstRow="2" sourceFile="Y:\Mis Documentos\INFORMES SF\INFORMES\A3 - altas con mensajes 02-05\20180104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A3_mensajes29" type="6" refreshedVersion="6" background="1" saveData="1">
    <textPr prompt="0" codePage="65001" firstRow="2" sourceFile="D:\Mis Documentos\INFORMES SF\INFORMES\A3 - altas con mensajes 02-05\20180105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A3_mensajes3" type="6" refreshedVersion="6" background="1" saveData="1">
    <textPr prompt="0" codePage="65001" firstRow="2" sourceFile="D:\Mis Documentos\INFORMES SF\INFORMES\A3 - altas con mensajes 02-05\20171127\A3_mensajes.dsv" decimal="," thousands="." semicolon="1" delimiter="|">
      <textFields count="2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A3_mensajes30" type="6" refreshedVersion="6" background="1" saveData="1">
    <textPr prompt="0" codePage="65001" firstRow="2" sourceFile="D:\Mis Documentos\INFORMES SF\INFORMES\A3 - altas con mensajes 02-05\20180108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A3_mensajes31" type="6" refreshedVersion="6" background="1" saveData="1">
    <textPr prompt="0" codePage="65001" firstRow="2" sourceFile="D:\Mis Documentos\INFORMES SF\INFORMES\A3 - altas con mensajes 02-05\20180108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A3_mensajes32" type="6" refreshedVersion="6" background="1" saveData="1">
    <textPr prompt="0" codePage="65001" firstRow="2" sourceFile="D:\Mis Documentos\INFORMES SF\INFORMES\A3 - altas con mensajes 02-05\20180109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A3_mensajes33" type="6" refreshedVersion="6" background="1" saveData="1">
    <textPr prompt="0" codePage="65001" firstRow="2" sourceFile="D:\Mis Documentos\INFORMES SF\INFORMES\A3 - altas con mensajes 02-05\20180110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A3_mensajes34" type="6" refreshedVersion="6" background="1" saveData="1">
    <textPr prompt="0" codePage="65001" firstRow="2" sourceFile="D:\Mis Documentos\INFORMES SF\INFORMES\A3 - altas con mensajes 02-05\20180111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A3_mensajes35" type="6" refreshedVersion="6" background="1" saveData="1">
    <textPr prompt="0" codePage="65001" firstRow="2" sourceFile="D:\Mis Documentos\INFORMES SF\INFORMES\A3 - altas con mensajes 02-05\20180112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A3_mensajes36" type="6" refreshedVersion="6" background="1" saveData="1">
    <textPr prompt="0" codePage="65001" firstRow="2" sourceFile="D:\Mis Documentos\INFORMES SF\INFORMES\A3 - altas con mensajes 02-05\20180115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A3_mensajes37" type="6" refreshedVersion="6" background="1" saveData="1">
    <textPr prompt="0" codePage="65001" firstRow="2" sourceFile="D:\Mis Documentos\INFORMES SF\INFORMES\A3 - altas con mensajes 02-05\20180116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A3_mensajes4" type="6" refreshedVersion="6" background="1" saveData="1">
    <textPr prompt="0" codePage="65001" firstRow="2" sourceFile="D:\Mis Documentos\INFORMES SF\INFORMES\A3 - altas con mensajes 02-05\20171127\A3_mensajes.dsv" decimal="," thousands="." semicolon="1" delimiter="|">
      <textFields count="2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A3_mensajes5" type="6" refreshedVersion="6" background="1" saveData="1">
    <textPr prompt="0" codePage="65001" firstRow="2" sourceFile="D:\Mis Documentos\INFORMES SF\INFORMES\A3 - altas con mensajes 02-05\20171127\A3_mensajes.dsv" decimal="," thousands="." semicolon="1" delimiter="|">
      <textFields count="2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A3_mensajes6" type="6" refreshedVersion="6" background="1" saveData="1">
    <textPr prompt="0" codePage="65001" firstRow="2" sourceFile="D:\Mis Documentos\INFORMES SF\INFORMES\A3 - altas con mensajes 02-05\20171127\A3_mensajes.dsv" decimal="," thousands="." semicolon="1" delimiter="|">
      <textFields count="2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A3_mensajes7" type="6" refreshedVersion="6" background="1" saveData="1">
    <textPr prompt="0" codePage="65001" firstRow="2" sourceFile="D:\Mis Documentos\INFORMES SF\INFORMES\A3 - altas con mensajes 02-05\20171128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A3_mensajes8" type="6" refreshedVersion="6" background="1" saveData="1">
    <textPr prompt="0" codePage="65001" firstRow="2" sourceFile="D:\Mis Documentos\INFORMES SF\INFORMES\A3 - altas con mensajes 02-05\20171128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A3_mensajes9" type="6" refreshedVersion="6" background="1" saveData="1">
    <textPr prompt="0" codePage="65001" firstRow="2" sourceFile="D:\Mis Documentos\INFORMES SF\INFORMES\A3 - altas con mensajes 02-05\20171128\A3_mensajes.dsv" decimal="," thousands="." semicolon="1" delimiter="|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<sst xmlns="http://schemas.openxmlformats.org/spreadsheetml/2006/main" count="32827" uniqueCount="8207">
  <si>
    <t>CUPS</t>
  </si>
  <si>
    <t>Código interno de solicitud</t>
  </si>
  <si>
    <t>Fecha recepción</t>
  </si>
  <si>
    <t>Fecha aceptación INFORMES</t>
  </si>
  <si>
    <t>Fecha activación</t>
  </si>
  <si>
    <t>Fecha anulación</t>
  </si>
  <si>
    <t>Estado solicitud</t>
  </si>
  <si>
    <t>Fecha rechazo</t>
  </si>
  <si>
    <t>Proceso</t>
  </si>
  <si>
    <t>Estado plazo aceptación legal</t>
  </si>
  <si>
    <t>Estado plazo activación legal</t>
  </si>
  <si>
    <t>Desde</t>
  </si>
  <si>
    <t>Hasta</t>
  </si>
  <si>
    <t>02 Perdidos</t>
  </si>
  <si>
    <t>05 Perdidos</t>
  </si>
  <si>
    <t>Fecha</t>
  </si>
  <si>
    <t>Recibidas</t>
  </si>
  <si>
    <t>Aceptadas</t>
  </si>
  <si>
    <t>Sin_02</t>
  </si>
  <si>
    <t>Activadas</t>
  </si>
  <si>
    <t>Sin_05</t>
  </si>
  <si>
    <t>Correctivo VU</t>
  </si>
  <si>
    <t>Estado Procesamiento</t>
  </si>
  <si>
    <t>No Enviar Comunicación</t>
  </si>
  <si>
    <t>ATR Directo</t>
  </si>
  <si>
    <t>En plazo</t>
  </si>
  <si>
    <t>ES0031104360992016JT0F</t>
  </si>
  <si>
    <t>pm</t>
  </si>
  <si>
    <t>id</t>
  </si>
  <si>
    <t>Subtipos</t>
  </si>
  <si>
    <t>Motivo</t>
  </si>
  <si>
    <t>SOL</t>
  </si>
  <si>
    <t>MENSAJES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</si>
  <si>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</si>
  <si>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</si>
  <si>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</si>
  <si>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</si>
  <si>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</si>
  <si>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</si>
  <si>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</si>
  <si>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</si>
  <si>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</si>
  <si>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</si>
  <si>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</si>
  <si>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</si>
  <si>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chk01</t>
  </si>
  <si>
    <t>chk02</t>
  </si>
  <si>
    <t>chk03</t>
  </si>
  <si>
    <t>chk04</t>
  </si>
  <si>
    <t>chk05</t>
  </si>
  <si>
    <t>chk06</t>
  </si>
  <si>
    <t>chk07</t>
  </si>
  <si>
    <t>chk08</t>
  </si>
  <si>
    <t>chk09</t>
  </si>
  <si>
    <t>chk10</t>
  </si>
  <si>
    <t>chk11</t>
  </si>
  <si>
    <t>chk12</t>
  </si>
  <si>
    <t>TDC pending</t>
  </si>
  <si>
    <t>Finished</t>
  </si>
  <si>
    <t>A3</t>
  </si>
  <si>
    <t>Rejected</t>
  </si>
  <si>
    <t>Canceled</t>
  </si>
  <si>
    <t>Pending management</t>
  </si>
  <si>
    <t>Reevaluable</t>
  </si>
  <si>
    <t>Rechazadas</t>
  </si>
  <si>
    <t>Sin 04</t>
  </si>
  <si>
    <t>AV9 Existe TDC Pendiente</t>
  </si>
  <si>
    <t>04 Perdidos</t>
  </si>
  <si>
    <t>Chequeo de generación Mesajes para proceso A3</t>
  </si>
  <si>
    <t>ES0031406212484031KQ0F</t>
  </si>
  <si>
    <t>ES0031105022787004HA0F</t>
  </si>
  <si>
    <t>ES0031500105436003NP0F</t>
  </si>
  <si>
    <t>ES0031103114904001SM0F</t>
  </si>
  <si>
    <t>ES0031105306827001DM0F</t>
  </si>
  <si>
    <t>ES0031405285245008AJ0F</t>
  </si>
  <si>
    <t>ES0031101316638020RH0F</t>
  </si>
  <si>
    <t>Administrator</t>
  </si>
  <si>
    <t>ES0031102021729001YD0F</t>
  </si>
  <si>
    <t>ES0031102074484008GP0F</t>
  </si>
  <si>
    <t>ES0031102245296003GL0F</t>
  </si>
  <si>
    <t>ES0031102287063266FH0F</t>
  </si>
  <si>
    <t>ES0031103370387002YH0F</t>
  </si>
  <si>
    <t>ES0031104130665001VE0F</t>
  </si>
  <si>
    <t>ES0031105304535006QY0F</t>
  </si>
  <si>
    <t>ES0031105332184001MB0F</t>
  </si>
  <si>
    <t>ES0031405430356003RY0F</t>
  </si>
  <si>
    <t>ES0031405433603075GF0F</t>
  </si>
  <si>
    <t>ES0031405454789021MD0F</t>
  </si>
  <si>
    <t>ES0031405460455002ED0F</t>
  </si>
  <si>
    <t>ES0031405590355009ZH0F</t>
  </si>
  <si>
    <t>ES0031405973688006SL0F</t>
  </si>
  <si>
    <t>ES0031405973742007VQ0F</t>
  </si>
  <si>
    <t>ES0031405978175005QV0F</t>
  </si>
  <si>
    <t>ES0031408534593006KB0F</t>
  </si>
  <si>
    <t>ES0031101901275001KE0F</t>
  </si>
  <si>
    <t>ES0031103044840001NP0F</t>
  </si>
  <si>
    <t>ES0031103480043001BK0F</t>
  </si>
  <si>
    <t>ES0031103480889016HG0F</t>
  </si>
  <si>
    <t>ES0031103509621001NK0F</t>
  </si>
  <si>
    <t>ES0031104150705027ZX0F</t>
  </si>
  <si>
    <t>ES0031104659107017EH0F</t>
  </si>
  <si>
    <t>ES0031300118261001VR0F</t>
  </si>
  <si>
    <t>ES0031405030415001KR0F</t>
  </si>
  <si>
    <t>ES0031405289787001AN0F</t>
  </si>
  <si>
    <t>ES0031405427478013ZY0F</t>
  </si>
  <si>
    <t>ES0031405435924007JD0F</t>
  </si>
  <si>
    <t>ES0031405469533016SS0F</t>
  </si>
  <si>
    <t>ES0031405706328017YB0F</t>
  </si>
  <si>
    <t>ES0031405871172021SW0F</t>
  </si>
  <si>
    <t>ES0031405871263017SX0F</t>
  </si>
  <si>
    <t>ES0031405974605013AQ0F</t>
  </si>
  <si>
    <t>ES0031405977277011GN0F</t>
  </si>
  <si>
    <t>ES0031405992425012PY0F</t>
  </si>
  <si>
    <t>ES0031406168556004GB0F</t>
  </si>
  <si>
    <t>ES0031408567539001QR0F</t>
  </si>
  <si>
    <t>ES0031601337566001JH0F</t>
  </si>
  <si>
    <t>ES0031101485874017CZ0F</t>
  </si>
  <si>
    <t>ES0031104887271005CG0F</t>
  </si>
  <si>
    <t>ES0031105278330001LM0F</t>
  </si>
  <si>
    <t>ES0031105335243001LB0F</t>
  </si>
  <si>
    <t>ES0031300838749001LY0F</t>
  </si>
  <si>
    <t>ES0031405032779004QH0F</t>
  </si>
  <si>
    <t>ES0031405424680025DZ0F</t>
  </si>
  <si>
    <t>ES0031405489201010ML0F</t>
  </si>
  <si>
    <t>ES0031405490177018ME0F</t>
  </si>
  <si>
    <t>ES0031405533219007RH0F</t>
  </si>
  <si>
    <t>ES0031405871252004LZ0F</t>
  </si>
  <si>
    <t>ES0031405979065014AH0F</t>
  </si>
  <si>
    <t>ES0031408485016001JN0F</t>
  </si>
  <si>
    <t>ES0031408517068001PV0F</t>
  </si>
  <si>
    <t>ES0031607271274007KD0F</t>
  </si>
  <si>
    <t>ES0031607604698001TH0F</t>
  </si>
  <si>
    <t>ES0031102004298007XW0F</t>
  </si>
  <si>
    <t>ES0031102886394014QD0F</t>
  </si>
  <si>
    <t>ES0031104857243005AE0F</t>
  </si>
  <si>
    <t>ES0031405422734013VD0F</t>
  </si>
  <si>
    <t>ES0031405890171203KB0F</t>
  </si>
  <si>
    <t>ES0031405968182001PF0F</t>
  </si>
  <si>
    <t>ES0031406178962004YY0F</t>
  </si>
  <si>
    <t>ES0031408544418001QG0F</t>
  </si>
  <si>
    <t>ES0031408569261001CZ0F</t>
  </si>
  <si>
    <t>ES0031601158504067MF0F</t>
  </si>
  <si>
    <t>ES0031607327020018KT0F</t>
  </si>
  <si>
    <t>ES0030320845739001JA0F-30818377</t>
  </si>
  <si>
    <t>ES0030320845739001JA0F</t>
  </si>
  <si>
    <t>Riesgo de incumplimiento</t>
  </si>
  <si>
    <t>08/01/20188</t>
  </si>
  <si>
    <t>ES0031101316948002RY0F-30818589</t>
  </si>
  <si>
    <t>ES0031101316948002RY0F</t>
  </si>
  <si>
    <t>ES0031101317178001LM0F-30815560</t>
  </si>
  <si>
    <t>ES0031101317178001LM0F</t>
  </si>
  <si>
    <t>ES0031101317183005YH0F-30824542</t>
  </si>
  <si>
    <t>ES0031101317183005YH0F</t>
  </si>
  <si>
    <t>ES0031101317988017RF0F-30815142</t>
  </si>
  <si>
    <t>ES0031101317988017RF0F</t>
  </si>
  <si>
    <t>ES0031101327518013AE0F-30821265</t>
  </si>
  <si>
    <t>ES0031101327518013AE0F</t>
  </si>
  <si>
    <t>ES0031101387944001EL0F-30815196</t>
  </si>
  <si>
    <t>ES0031101387944001EL0F</t>
  </si>
  <si>
    <t>ES0031101407863002RP0F-30827008</t>
  </si>
  <si>
    <t>ES0031101407863002RP0F</t>
  </si>
  <si>
    <t>ES0031101475734012ZL0F-30806913</t>
  </si>
  <si>
    <t>ES0031101475734012ZL0F</t>
  </si>
  <si>
    <t>ES0031101501596004WY0F-30818378</t>
  </si>
  <si>
    <t>ES0031101501596004WY0F</t>
  </si>
  <si>
    <t>ES0031101529478036AN0F-30828594</t>
  </si>
  <si>
    <t>ES0031101529478036AN0F</t>
  </si>
  <si>
    <t>ES0031101531934001HZ0F-30827242</t>
  </si>
  <si>
    <t>ES0031101531934001HZ0F</t>
  </si>
  <si>
    <t>ES0031101532866017SR0F-30809165</t>
  </si>
  <si>
    <t>ES0031101532866017SR0F</t>
  </si>
  <si>
    <t>ES0031101543537001ZC0F-30823450</t>
  </si>
  <si>
    <t>ES0031101543537001ZC0F</t>
  </si>
  <si>
    <t>ES0031101552648001QF0F-30806848</t>
  </si>
  <si>
    <t>ES0031101552648001QF0F</t>
  </si>
  <si>
    <t>ES0031101563167001DA0F-30826266</t>
  </si>
  <si>
    <t>ES0031101563167001DA0F</t>
  </si>
  <si>
    <t>ES0031101631231021LP0F-30819170</t>
  </si>
  <si>
    <t>ES0031101631231021LP0F</t>
  </si>
  <si>
    <t>ES0031101637982020SR0F-30820648</t>
  </si>
  <si>
    <t>ES0031101637982020SR0F</t>
  </si>
  <si>
    <t>ES0031101643574001BS0F-30827302</t>
  </si>
  <si>
    <t>ES0031101643574001BS0F</t>
  </si>
  <si>
    <t>ES0031101801263003PM0F-30819574</t>
  </si>
  <si>
    <t>ES0031101801263003PM0F</t>
  </si>
  <si>
    <t>ES0031101899562003VH0F-30814170</t>
  </si>
  <si>
    <t>ES0031101899562003VH0F</t>
  </si>
  <si>
    <t>ES0031101901275001KE0F-30816422</t>
  </si>
  <si>
    <t>ES0031101906585009VC0F-30824494</t>
  </si>
  <si>
    <t>ES0031101906585009VC0F</t>
  </si>
  <si>
    <t>ES0031102005255012NT0F-30822892</t>
  </si>
  <si>
    <t>ES0031102005255012NT0F</t>
  </si>
  <si>
    <t>ES0031102123276002JD0F-30824879</t>
  </si>
  <si>
    <t>ES0031102123276002JD0F</t>
  </si>
  <si>
    <t>ES0031102190425003FG0F-30812159</t>
  </si>
  <si>
    <t>ES0031102190425003FG0F</t>
  </si>
  <si>
    <t>ES0031102227093005TA0F-30811873</t>
  </si>
  <si>
    <t>ES0031102227093005TA0F</t>
  </si>
  <si>
    <t>ES0031102231527008LC0F-30814566</t>
  </si>
  <si>
    <t>ES0031102231527008LC0F</t>
  </si>
  <si>
    <t>ES0031102244031001CV0F-30827440</t>
  </si>
  <si>
    <t>ES0031102244031001CV0F</t>
  </si>
  <si>
    <t>ES0031102256001001BN0F-30817940</t>
  </si>
  <si>
    <t>ES0031102256001001BN0F</t>
  </si>
  <si>
    <t>ES0031102475091001YQ0F-30821616</t>
  </si>
  <si>
    <t>ES0031102475091001YQ0F</t>
  </si>
  <si>
    <t>ES0031102514321010WY0F-30811062</t>
  </si>
  <si>
    <t>ES0031102514321010WY0F</t>
  </si>
  <si>
    <t>ES0031102528214001LP0F-30827774</t>
  </si>
  <si>
    <t>ES0031102528214001LP0F</t>
  </si>
  <si>
    <t>ES0031102552598061XC0F-30814210</t>
  </si>
  <si>
    <t>ES0031102552598061XC0F</t>
  </si>
  <si>
    <t>ES0031102626621001DJ0F-30822711</t>
  </si>
  <si>
    <t>ES0031102626621001DJ0F</t>
  </si>
  <si>
    <t>ES0031102691762007FM0F-30818090</t>
  </si>
  <si>
    <t>ES0031102691762007FM0F</t>
  </si>
  <si>
    <t>ES0031102708949001CL0F-30822168</t>
  </si>
  <si>
    <t>ES0031102708949001CL0F</t>
  </si>
  <si>
    <t>ES0031102721295001YX0F-30813782</t>
  </si>
  <si>
    <t>ES0031102721295001YX0F</t>
  </si>
  <si>
    <t>ES0031102759748001YT0F-30827501</t>
  </si>
  <si>
    <t>ES0031102759748001YT0F</t>
  </si>
  <si>
    <t>ES0031102795750003EX0F-30811243</t>
  </si>
  <si>
    <t>ES0031102795750003EX0F</t>
  </si>
  <si>
    <t>ES0031102861647015EK0F-30814856</t>
  </si>
  <si>
    <t>ES0031102861647015EK0F</t>
  </si>
  <si>
    <t>ES0031102890235007JW0F-30815841</t>
  </si>
  <si>
    <t>ES0031102890235007JW0F</t>
  </si>
  <si>
    <t>ES0031102909217003PY0F-30828210</t>
  </si>
  <si>
    <t>ES0031102909217003PY0F</t>
  </si>
  <si>
    <t>ES0031102942781005PQ0F-30813711</t>
  </si>
  <si>
    <t>ES0031102942781005PQ0F</t>
  </si>
  <si>
    <t>ES0031102974126005SH0F-30816622</t>
  </si>
  <si>
    <t>ES0031102974126005SH0F</t>
  </si>
  <si>
    <t>ES0031102975821006LB0F-30815529</t>
  </si>
  <si>
    <t>ES0031102975821006LB0F</t>
  </si>
  <si>
    <t>ES0031103025074005QM0F-30807037</t>
  </si>
  <si>
    <t>ES0031103025074005QM0F</t>
  </si>
  <si>
    <t>ES0031103039496023BB0F-30810075</t>
  </si>
  <si>
    <t>ES0031103039496023BB0F</t>
  </si>
  <si>
    <t>ES0031103078028164RE0F-30826143</t>
  </si>
  <si>
    <t>ES0031103078028164RE0F</t>
  </si>
  <si>
    <t>ES0031103087694001EV0F-30827797</t>
  </si>
  <si>
    <t>ES0031103087694001EV0F</t>
  </si>
  <si>
    <t>ES0031103110078013HS0F-30809362</t>
  </si>
  <si>
    <t>ES0031103110078013HS0F</t>
  </si>
  <si>
    <t>ES0031103114783004KB0F-30828836</t>
  </si>
  <si>
    <t>ES0031103114783004KB0F</t>
  </si>
  <si>
    <t>ES0031103116513004MC0F-30828817</t>
  </si>
  <si>
    <t>ES0031103116513004MC0F</t>
  </si>
  <si>
    <t>ES0031103133989001AL0F-30811759</t>
  </si>
  <si>
    <t>ES0031103133989001AL0F</t>
  </si>
  <si>
    <t>ES0031103143106003JM0F-30813786</t>
  </si>
  <si>
    <t>ES0031103143106003JM0F</t>
  </si>
  <si>
    <t>ES0031103177206001HL0F-30822861</t>
  </si>
  <si>
    <t>ES0031103177206001HL0F</t>
  </si>
  <si>
    <t>ES0031103237653002PF0F-30813674</t>
  </si>
  <si>
    <t>ES0031103237653002PF0F</t>
  </si>
  <si>
    <t>ES0031103303645001KS0F-30809766</t>
  </si>
  <si>
    <t>ES0031103303645001KS0F</t>
  </si>
  <si>
    <t>ES0031103308303007MS0F-30820045</t>
  </si>
  <si>
    <t>ES0031103308303007MS0F</t>
  </si>
  <si>
    <t>ES0031103341892001BQ0F-30822852</t>
  </si>
  <si>
    <t>ES0031103341892001BQ0F</t>
  </si>
  <si>
    <t>ES0031103633530001RV0F-30829066</t>
  </si>
  <si>
    <t>ES0031103633530001RV0F</t>
  </si>
  <si>
    <t>ES0031103715721007JV0F-30825180</t>
  </si>
  <si>
    <t>ES0031103715721007JV0F</t>
  </si>
  <si>
    <t>ES0031104021510042QG0F-30822707</t>
  </si>
  <si>
    <t>ES0031104021510042QG0F</t>
  </si>
  <si>
    <t>ES0031104032887008MC0F-30815542</t>
  </si>
  <si>
    <t>ES0031104032887008MC0F</t>
  </si>
  <si>
    <t>ES0031104093090001NF0F-30806880</t>
  </si>
  <si>
    <t>ES0031104093090001NF0F</t>
  </si>
  <si>
    <t>ES0031104103049020SA0F-30814870</t>
  </si>
  <si>
    <t>ES0031104103049020SA0F</t>
  </si>
  <si>
    <t>ES0031104110231004GF0F-30824581</t>
  </si>
  <si>
    <t>ES0031104110231004GF0F</t>
  </si>
  <si>
    <t>ES0031104129139003WM0F-30821913</t>
  </si>
  <si>
    <t>ES0031104129139003WM0F</t>
  </si>
  <si>
    <t>ES0031104196242002LK0F-30818319</t>
  </si>
  <si>
    <t>ES0031104196242002LK0F</t>
  </si>
  <si>
    <t>ES0031104208276004XD0F-30812278</t>
  </si>
  <si>
    <t>ES0031104208276004XD0F</t>
  </si>
  <si>
    <t>ES0031104219278009GX0F-30817973</t>
  </si>
  <si>
    <t>ES0031104219278009GX0F</t>
  </si>
  <si>
    <t>ES0031104239468014NV0F-30809864</t>
  </si>
  <si>
    <t>ES0031104239468014NV0F</t>
  </si>
  <si>
    <t>ES0031104252463001VG0F-30810760</t>
  </si>
  <si>
    <t>ES0031104252463001VG0F</t>
  </si>
  <si>
    <t>ES0031104255904001XC0F-30827499</t>
  </si>
  <si>
    <t>ES0031104255904001XC0F</t>
  </si>
  <si>
    <t>ES0031104263675004XJ0F-30819213</t>
  </si>
  <si>
    <t>ES0031104263675004XJ0F</t>
  </si>
  <si>
    <t>ES0031104271625007HC0F-30816880</t>
  </si>
  <si>
    <t>ES0031104271625007HC0F</t>
  </si>
  <si>
    <t>ES0031104305226001VS0F-30822718</t>
  </si>
  <si>
    <t>ES0031104305226001VS0F</t>
  </si>
  <si>
    <t>ES0031104319024024EQ0F-30813382</t>
  </si>
  <si>
    <t>ES0031104319024024EQ0F</t>
  </si>
  <si>
    <t>ES0031104333821011JE0F-30817077</t>
  </si>
  <si>
    <t>ES0031104333821011JE0F</t>
  </si>
  <si>
    <t>ES0031104346728003XN0F-30814111</t>
  </si>
  <si>
    <t>ES0031104346728003XN0F</t>
  </si>
  <si>
    <t>ES0031104360992016JT0F-30818655</t>
  </si>
  <si>
    <t>ES0031104373296047JC0F-30813363</t>
  </si>
  <si>
    <t>ES0031104373296047JC0F</t>
  </si>
  <si>
    <t>ES0031104382156001WY0F-30808128</t>
  </si>
  <si>
    <t>ES0031104382156001WY0F</t>
  </si>
  <si>
    <t>ES0031104393577027KZ0F-30827335</t>
  </si>
  <si>
    <t>ES0031104393577027KZ0F</t>
  </si>
  <si>
    <t>ES0031104468311009TG0F-30821083</t>
  </si>
  <si>
    <t>ES0031104468311009TG0F</t>
  </si>
  <si>
    <t>ES0031104473102013QQ0F-30816088</t>
  </si>
  <si>
    <t>ES0031104473102013QQ0F</t>
  </si>
  <si>
    <t>ES0031104487591028AC0F-30817203</t>
  </si>
  <si>
    <t>ES0031104487591028AC0F</t>
  </si>
  <si>
    <t>ES0031104488194001TW0F-30821668</t>
  </si>
  <si>
    <t>ES0031104488194001TW0F</t>
  </si>
  <si>
    <t>ES0031104489127006QN0F-30816291</t>
  </si>
  <si>
    <t>ES0031104489127006QN0F</t>
  </si>
  <si>
    <t>ES0031104497209007JC0F-30818368</t>
  </si>
  <si>
    <t>ES0031104497209007JC0F</t>
  </si>
  <si>
    <t>ES0031104500760006YA0F-30820398</t>
  </si>
  <si>
    <t>ES0031104500760006YA0F</t>
  </si>
  <si>
    <t>ES0031104525122001GF0F-30820463</t>
  </si>
  <si>
    <t>ES0031104525122001GF0F</t>
  </si>
  <si>
    <t>ES0031104525938001QJ0F-30822665</t>
  </si>
  <si>
    <t>ES0031104525938001QJ0F</t>
  </si>
  <si>
    <t>ES0031104546076067CS0F-30822857</t>
  </si>
  <si>
    <t>ES0031104546076067CS0F</t>
  </si>
  <si>
    <t>ES0031104551872011FM0F-30820231</t>
  </si>
  <si>
    <t>ES0031104551872011FM0F</t>
  </si>
  <si>
    <t>ES0031104598331001BF0F-30827813</t>
  </si>
  <si>
    <t>ES0031104598331001BF0F</t>
  </si>
  <si>
    <t>ES0031104600387003RQ0F-30828838</t>
  </si>
  <si>
    <t>ES0031104600387003RQ0F</t>
  </si>
  <si>
    <t>ES0031104618011007VV0F</t>
  </si>
  <si>
    <t>ES0031104649110001TK0F-30824270</t>
  </si>
  <si>
    <t>ES0031104649110001TK0F</t>
  </si>
  <si>
    <t>ES0031104662137012VQ0F-30821196</t>
  </si>
  <si>
    <t>ES0031104662137012VQ0F</t>
  </si>
  <si>
    <t>ES0031104665379001YV0F-30817620</t>
  </si>
  <si>
    <t>ES0031104665379001YV0F</t>
  </si>
  <si>
    <t>ES0031104689923001YG0F-30821911</t>
  </si>
  <si>
    <t>ES0031104689923001YG0F</t>
  </si>
  <si>
    <t>ES0031104702584017AA0F-30814246</t>
  </si>
  <si>
    <t>ES0031104702584017AA0F</t>
  </si>
  <si>
    <t>ES0031104737633010FD0F-30827666</t>
  </si>
  <si>
    <t>ES0031104737633010FD0F</t>
  </si>
  <si>
    <t>ES0031104737855004EF0F-30817729</t>
  </si>
  <si>
    <t>ES0031104737855004EF0F</t>
  </si>
  <si>
    <t>ES0031104781555001SG0F-30822858</t>
  </si>
  <si>
    <t>ES0031104781555001SG0F</t>
  </si>
  <si>
    <t>ES0031104782518005RK0F-30808242</t>
  </si>
  <si>
    <t>ES0031104782518005RK0F</t>
  </si>
  <si>
    <t>ES0031104807861006XN0F-30809151</t>
  </si>
  <si>
    <t>ES0031104807861006XN0F</t>
  </si>
  <si>
    <t>ES0031104818090011KC0F-30825469</t>
  </si>
  <si>
    <t>ES0031104818090011KC0F</t>
  </si>
  <si>
    <t>ES0031104827573025ML0F-30825532</t>
  </si>
  <si>
    <t>ES0031104827573025ML0F</t>
  </si>
  <si>
    <t>ES0031104827573028ME0F-30818923</t>
  </si>
  <si>
    <t>ES0031104827573028ME0F</t>
  </si>
  <si>
    <t>ES0031104869123001ZN0F-30827469</t>
  </si>
  <si>
    <t>ES0031104869123001ZN0F</t>
  </si>
  <si>
    <t>ES0031104891733027QA0F-30827173</t>
  </si>
  <si>
    <t>ES0031104891733027QA0F</t>
  </si>
  <si>
    <t>ES0031104891945005DJ0F-30822794</t>
  </si>
  <si>
    <t>ES0031104891945005DJ0F</t>
  </si>
  <si>
    <t>ES0031104903819001NY0F-30825568</t>
  </si>
  <si>
    <t>ES0031104903819001NY0F</t>
  </si>
  <si>
    <t>ES0031104909782070CA0F-30817627</t>
  </si>
  <si>
    <t>ES0031104909782070CA0F</t>
  </si>
  <si>
    <t>ES0031104928268001KY0F-30806752</t>
  </si>
  <si>
    <t>ES0031104928268001KY0F</t>
  </si>
  <si>
    <t>ES0031104983301006RZ0F-30813972</t>
  </si>
  <si>
    <t>ES0031104983301006RZ0F</t>
  </si>
  <si>
    <t>ES0031105014522001EG0F-30816978</t>
  </si>
  <si>
    <t>ES0031105014522001EG0F</t>
  </si>
  <si>
    <t>ES0031105018013001GH0F-30818930</t>
  </si>
  <si>
    <t>ES0031105018013001GH0F</t>
  </si>
  <si>
    <t>ES0031105033049001ZK0F-30826193</t>
  </si>
  <si>
    <t>ES0031105033049001ZK0F</t>
  </si>
  <si>
    <t>ES0031105033896017HQ0F-30820091</t>
  </si>
  <si>
    <t>ES0031105033896017HQ0F</t>
  </si>
  <si>
    <t>ES0031105036027006AD0F-30811430</t>
  </si>
  <si>
    <t>ES0031105036027006AD0F</t>
  </si>
  <si>
    <t>ES0031105065723016YY0F-30821818</t>
  </si>
  <si>
    <t>ES0031105065723016YY0F</t>
  </si>
  <si>
    <t>ES0031105076099005ZM0F-30816288</t>
  </si>
  <si>
    <t>ES0031105076099005ZM0F</t>
  </si>
  <si>
    <t>ES0031105084221093YB0F-30818387</t>
  </si>
  <si>
    <t>ES0031105084221093YB0F</t>
  </si>
  <si>
    <t>ES0031105105919009AA0F-30825996</t>
  </si>
  <si>
    <t>ES0031105105919009AA0F</t>
  </si>
  <si>
    <t>ES0031105107783004VD0F-30816501</t>
  </si>
  <si>
    <t>ES0031105107783004VD0F</t>
  </si>
  <si>
    <t>ES0031105108661037NV0F-30809979</t>
  </si>
  <si>
    <t>ES0031105108661037NV0F</t>
  </si>
  <si>
    <t>ES0031105154935003EF0F-30806728</t>
  </si>
  <si>
    <t>ES0031105154935003EF0F</t>
  </si>
  <si>
    <t>ES0031105155198001AT0F-30814376</t>
  </si>
  <si>
    <t>ES0031105155198001AT0F</t>
  </si>
  <si>
    <t>ES0031105171826008TL0F-30820750</t>
  </si>
  <si>
    <t>ES0031105171826008TL0F</t>
  </si>
  <si>
    <t>ES0031105233057001JK0F-30810077</t>
  </si>
  <si>
    <t>ES0031105233057001JK0F</t>
  </si>
  <si>
    <t>ES0031105233839001LK0F-30824876</t>
  </si>
  <si>
    <t>ES0031105233839001LK0F</t>
  </si>
  <si>
    <t>ES0031105247209001EY0F-30828595</t>
  </si>
  <si>
    <t>ES0031105247209001EY0F</t>
  </si>
  <si>
    <t>ES0031105249337001ST0F-30814450</t>
  </si>
  <si>
    <t>ES0031105249337001ST0F</t>
  </si>
  <si>
    <t>ES0031105267430001KG0F-30815534</t>
  </si>
  <si>
    <t>ES0031105267430001KG0F</t>
  </si>
  <si>
    <t>ES0031105293105001CN0F-30822490</t>
  </si>
  <si>
    <t>ES0031105293105001CN0F</t>
  </si>
  <si>
    <t>ES0031105306827001DM0F-30818577</t>
  </si>
  <si>
    <t>ES0031105314990001DY0F</t>
  </si>
  <si>
    <t>ES0031105320297001ND0F-30821232</t>
  </si>
  <si>
    <t>ES0031105320297001ND0F</t>
  </si>
  <si>
    <t>ES0031105327905001DT0F-30818962</t>
  </si>
  <si>
    <t>ES0031105327905001DT0F</t>
  </si>
  <si>
    <t>ES0031105329061001ZC0F-30818389</t>
  </si>
  <si>
    <t>ES0031105329061001ZC0F</t>
  </si>
  <si>
    <t>ES0031105332321001MT0F-30809217</t>
  </si>
  <si>
    <t>ES0031105332321001MT0F</t>
  </si>
  <si>
    <t>ES0031105334986001TJ0F</t>
  </si>
  <si>
    <t>ES0031300002258011DH0F-30816951</t>
  </si>
  <si>
    <t>ES0031300002258011DH0F</t>
  </si>
  <si>
    <t>ES0031300003121038LQ0F-30817177</t>
  </si>
  <si>
    <t>ES0031300003121038LQ0F</t>
  </si>
  <si>
    <t>ES0031300013568006PQ0F-30826181</t>
  </si>
  <si>
    <t>ES0031300013568006PQ0F</t>
  </si>
  <si>
    <t>ES0031300015468026WY0F-30823166</t>
  </si>
  <si>
    <t>ES0031300015468026WY0F</t>
  </si>
  <si>
    <t>ES0031300018854049CS0F-30817750</t>
  </si>
  <si>
    <t>ES0031300018854049CS0F</t>
  </si>
  <si>
    <t>ES0031300020268017HN0F-30828228</t>
  </si>
  <si>
    <t>ES0031300020268017HN0F</t>
  </si>
  <si>
    <t>ES0031300023250079ED0F-30816758</t>
  </si>
  <si>
    <t>ES0031300023250079ED0F</t>
  </si>
  <si>
    <t>ES0031300024853021WN0F-30828403</t>
  </si>
  <si>
    <t>ES0031300024853021WN0F</t>
  </si>
  <si>
    <t>ES0031300033432006XC0F-30817630</t>
  </si>
  <si>
    <t>ES0031300033432006XC0F</t>
  </si>
  <si>
    <t>ES0031300043223004EX0F-30827262</t>
  </si>
  <si>
    <t>ES0031300043223004EX0F</t>
  </si>
  <si>
    <t>ES0031300045540003KN0F-30813066</t>
  </si>
  <si>
    <t>ES0031300045540003KN0F</t>
  </si>
  <si>
    <t>ES0031300045726002NX0F-30818122</t>
  </si>
  <si>
    <t>ES0031300045726002NX0F</t>
  </si>
  <si>
    <t>ES0031300153880003XF0F-30812928</t>
  </si>
  <si>
    <t>ES0031300153880003XF0F</t>
  </si>
  <si>
    <t>ES0031300154479008HT0F-30818459</t>
  </si>
  <si>
    <t>ES0031300154479008HT0F</t>
  </si>
  <si>
    <t>ES0031300173330002KX0F-30822713</t>
  </si>
  <si>
    <t>ES0031300173330002KX0F</t>
  </si>
  <si>
    <t>ES0031300194514001YC0F-30818401</t>
  </si>
  <si>
    <t>ES0031300194514001YC0F</t>
  </si>
  <si>
    <t>ES0031300261096016MW0F-30818048</t>
  </si>
  <si>
    <t>ES0031300261096016MW0F</t>
  </si>
  <si>
    <t>ES0031300503321010XJ0F-30814553</t>
  </si>
  <si>
    <t>ES0031300503321010XJ0F</t>
  </si>
  <si>
    <t>ES0031300516956001BY0F-30818404</t>
  </si>
  <si>
    <t>ES0031300516956001BY0F</t>
  </si>
  <si>
    <t>ES0031300547943008RX0F-30818509</t>
  </si>
  <si>
    <t>ES0031300547943008RX0F</t>
  </si>
  <si>
    <t>ES0031300552420001GF0F-30810101</t>
  </si>
  <si>
    <t>ES0031300552420001GF0F</t>
  </si>
  <si>
    <t>ES0031300564495009YS0F-30818665</t>
  </si>
  <si>
    <t>ES0031300564495009YS0F</t>
  </si>
  <si>
    <t>ES0031300650670001EX0F-30822406</t>
  </si>
  <si>
    <t>ES0031300650670001EX0F</t>
  </si>
  <si>
    <t>ES0031300691553010NJ0F-30826413</t>
  </si>
  <si>
    <t>ES0031300691553010NJ0F</t>
  </si>
  <si>
    <t>ES0031300731423002AB0F-30818406</t>
  </si>
  <si>
    <t>ES0031300731423002AB0F</t>
  </si>
  <si>
    <t>ES0031300841128006TY0F-30806749</t>
  </si>
  <si>
    <t>ES0031300841128006TY0F</t>
  </si>
  <si>
    <t>ES0031300841420009TR0F-30806928</t>
  </si>
  <si>
    <t>ES0031300841420009TR0F</t>
  </si>
  <si>
    <t>ES0031300845560001RQ0F-30818944</t>
  </si>
  <si>
    <t>ES0031300845560001RQ0F</t>
  </si>
  <si>
    <t>ES0031300845730001XT0F-30827750</t>
  </si>
  <si>
    <t>ES0031300845730001XT0F</t>
  </si>
  <si>
    <t>ES0031300846159001DG0F-30818407</t>
  </si>
  <si>
    <t>ES0031300846159001DG0F</t>
  </si>
  <si>
    <t>ES0031300846161001GA0F-30818408</t>
  </si>
  <si>
    <t>ES0031300846161001GA0F</t>
  </si>
  <si>
    <t>ES0031405021182001MY0F-30816945</t>
  </si>
  <si>
    <t>ES0031405021182001MY0F</t>
  </si>
  <si>
    <t>ES0031405030793011BY0F-30808537</t>
  </si>
  <si>
    <t>ES0031405030793011BY0F</t>
  </si>
  <si>
    <t>ES0031405032532014LW0F-30810736</t>
  </si>
  <si>
    <t>ES0031405032532014LW0F</t>
  </si>
  <si>
    <t>ES0031405040135015MP0F-30811355</t>
  </si>
  <si>
    <t>ES0031405040135015MP0F</t>
  </si>
  <si>
    <t>ES0031405044171008QF0F-30827184</t>
  </si>
  <si>
    <t>ES0031405044171008QF0F</t>
  </si>
  <si>
    <t>ES0031405044194014GJ0F-30814778</t>
  </si>
  <si>
    <t>ES0031405044194014GJ0F</t>
  </si>
  <si>
    <t>ES0031405044480001HH0F-30827372</t>
  </si>
  <si>
    <t>ES0031405044480001HH0F</t>
  </si>
  <si>
    <t>ES0031405064419002SC0F-30806718</t>
  </si>
  <si>
    <t>ES0031405064419002SC0F</t>
  </si>
  <si>
    <t>ES0031405067883003CZ0F-30816976</t>
  </si>
  <si>
    <t>ES0031405067883003CZ0F</t>
  </si>
  <si>
    <t>ES0031405105875006DL0F-30813672</t>
  </si>
  <si>
    <t>ES0031405105875006DL0F</t>
  </si>
  <si>
    <t>ES0031405210498030BE0F-30807132</t>
  </si>
  <si>
    <t>ES0031405210498030BE0F</t>
  </si>
  <si>
    <t>ES0031405215390003WX0F-30810412</t>
  </si>
  <si>
    <t>ES0031405215390003WX0F</t>
  </si>
  <si>
    <t>ES0031405283726001SH0F-30825086</t>
  </si>
  <si>
    <t>ES0031405283726001SH0F</t>
  </si>
  <si>
    <t>ES0031405285486024VN0F-30814865</t>
  </si>
  <si>
    <t>ES0031405285486024VN0F</t>
  </si>
  <si>
    <t>ES0031405425788016KA0F-30810996</t>
  </si>
  <si>
    <t>ES0031405425788016KA0F</t>
  </si>
  <si>
    <t>ES0031405432954006GK0F-30826294</t>
  </si>
  <si>
    <t>ES0031405432954006GK0F</t>
  </si>
  <si>
    <t>ES0031405437553013EV0F-30819855</t>
  </si>
  <si>
    <t>ES0031405437553013EV0F</t>
  </si>
  <si>
    <t>ES0031405443749049QZ0F-30806748</t>
  </si>
  <si>
    <t>ES0031405443749049QZ0F</t>
  </si>
  <si>
    <t>ES0031405448531026PS0F-30811484</t>
  </si>
  <si>
    <t>ES0031405448531026PS0F</t>
  </si>
  <si>
    <t>ES0031405452725002BX0F-30812608</t>
  </si>
  <si>
    <t>ES0031405452725002BX0F</t>
  </si>
  <si>
    <t>ES0031405453836020QJ0F-30806714</t>
  </si>
  <si>
    <t>ES0031405453836020QJ0F</t>
  </si>
  <si>
    <t>ES0031405461142008SM0F-30809797</t>
  </si>
  <si>
    <t>ES0031405461142008SM0F</t>
  </si>
  <si>
    <t>ES0031405462221008PY0F-30806715</t>
  </si>
  <si>
    <t>ES0031405462221008PY0F</t>
  </si>
  <si>
    <t>ES0031405464230017WB0F-30814859</t>
  </si>
  <si>
    <t>ES0031405464230017WB0F</t>
  </si>
  <si>
    <t>ES0031405465096018AQ0F-30817229</t>
  </si>
  <si>
    <t>ES0031405465096018AQ0F</t>
  </si>
  <si>
    <t>ES0031405484339020FE0F-30814077</t>
  </si>
  <si>
    <t>ES0031405484339020FE0F</t>
  </si>
  <si>
    <t>ES0031405487970016MP0F-30809484</t>
  </si>
  <si>
    <t>ES0031405487970016MP0F</t>
  </si>
  <si>
    <t>ES0031405489121010TJ0F-30809721</t>
  </si>
  <si>
    <t>ES0031405489121010TJ0F</t>
  </si>
  <si>
    <t>ES0031405493079012RZ0F-30807134</t>
  </si>
  <si>
    <t>ES0031405493079012RZ0F</t>
  </si>
  <si>
    <t>ES0031405494310007WA0F-30822604</t>
  </si>
  <si>
    <t>ES0031405494310007WA0F</t>
  </si>
  <si>
    <t>ES0031405545722001MM0F-30811643</t>
  </si>
  <si>
    <t>ES0031405545722001MM0F</t>
  </si>
  <si>
    <t>ES0031405577233001FQ0F-30816959</t>
  </si>
  <si>
    <t>ES0031405577233001FQ0F</t>
  </si>
  <si>
    <t>ES0031405638347014VQ0F-30827002</t>
  </si>
  <si>
    <t>ES0031405638347014VQ0F</t>
  </si>
  <si>
    <t>ES0031405677073007HN0F-30806713</t>
  </si>
  <si>
    <t>ES0031405677073007HN0F</t>
  </si>
  <si>
    <t>ES0031405691603001QD0F-30825175</t>
  </si>
  <si>
    <t>ES0031405691603001QD0F</t>
  </si>
  <si>
    <t>ES0031405711853001BG0F-30807915</t>
  </si>
  <si>
    <t>ES0031405711853001BG0F</t>
  </si>
  <si>
    <t>ES0031405721872285NM0F-30827273</t>
  </si>
  <si>
    <t>ES0031405721872285NM0F</t>
  </si>
  <si>
    <t>ES0031405767203004CR0F-30824417</t>
  </si>
  <si>
    <t>ES0031405767203004CR0F</t>
  </si>
  <si>
    <t>ES0031405783191001KP0F-30822267</t>
  </si>
  <si>
    <t>ES0031405783191001KP0F</t>
  </si>
  <si>
    <t>ES0031405806360001SG0F-30811482</t>
  </si>
  <si>
    <t>ES0031405806360001SG0F</t>
  </si>
  <si>
    <t>ES0031405836479005DW0F-30827458</t>
  </si>
  <si>
    <t>ES0031405836479005DW0F</t>
  </si>
  <si>
    <t>ES0031405845810002FZ0F-30814914</t>
  </si>
  <si>
    <t>ES0031405845810002FZ0F</t>
  </si>
  <si>
    <t>ES0031405966499004CN0F-30806719</t>
  </si>
  <si>
    <t>ES0031405966499004CN0F</t>
  </si>
  <si>
    <t>ES0031405975017022TA0F-30826235</t>
  </si>
  <si>
    <t>ES0031405975017022TA0F</t>
  </si>
  <si>
    <t>ES0031405977874018VP0F-30807136</t>
  </si>
  <si>
    <t>ES0031405977874018VP0F</t>
  </si>
  <si>
    <t>ES0031405978175005QV0F-30811950</t>
  </si>
  <si>
    <t>ES0031405978899002FC0F-30813320</t>
  </si>
  <si>
    <t>ES0031405978899002FC0F</t>
  </si>
  <si>
    <t>ES0031405984409014MZ0F-30820555</t>
  </si>
  <si>
    <t>ES0031405984409014MZ0F</t>
  </si>
  <si>
    <t>ES0031405985666023XG0F-30826153</t>
  </si>
  <si>
    <t>ES0031405985666023XG0F</t>
  </si>
  <si>
    <t>ES0031405989927008MD0F-30823610</t>
  </si>
  <si>
    <t>ES0031405989927008MD0F</t>
  </si>
  <si>
    <t>ES0031405992558018HA0F-30824772</t>
  </si>
  <si>
    <t>ES0031405992558018HA0F</t>
  </si>
  <si>
    <t>ES0031406017879001NX0F-30818411</t>
  </si>
  <si>
    <t>ES0031406017879001NX0F</t>
  </si>
  <si>
    <t>ES0031406083905001DW0F-30809744</t>
  </si>
  <si>
    <t>ES0031406083905001DW0F</t>
  </si>
  <si>
    <t>ES0031406123394004HY0F-30810965</t>
  </si>
  <si>
    <t>ES0031406123394004HY0F</t>
  </si>
  <si>
    <t>ES0031406139512022ZS0F-30819928</t>
  </si>
  <si>
    <t>ES0031406139512022ZS0F</t>
  </si>
  <si>
    <t>ES0031406170080001WM0F-30812790</t>
  </si>
  <si>
    <t>ES0031406170080001WM0F</t>
  </si>
  <si>
    <t>ES0031406170694009HM0F-30825818</t>
  </si>
  <si>
    <t>ES0031406170694009HM0F</t>
  </si>
  <si>
    <t>ES0031406170735013FT0F-30823278</t>
  </si>
  <si>
    <t>ES0031406170735013FT0F</t>
  </si>
  <si>
    <t>ES0031406180049002WR0F-30818902</t>
  </si>
  <si>
    <t>ES0031406180049002WR0F</t>
  </si>
  <si>
    <t>ES0031406180167009AH0F-30814765</t>
  </si>
  <si>
    <t>ES0031406180167009AH0F</t>
  </si>
  <si>
    <t>ES0031406192783009KN0F-30827814</t>
  </si>
  <si>
    <t>ES0031406192783009KN0F</t>
  </si>
  <si>
    <t>ES0031406199475001GQ0F-30811390</t>
  </si>
  <si>
    <t>ES0031406199475001GQ0F</t>
  </si>
  <si>
    <t>ES0031406221888003LR0F-30818410</t>
  </si>
  <si>
    <t>ES0031406221888003LR0F</t>
  </si>
  <si>
    <t>ES0031406277665012DD0F-30809725</t>
  </si>
  <si>
    <t>ES0031406277665012DD0F</t>
  </si>
  <si>
    <t>ES0031406278160018AD0F-30822012</t>
  </si>
  <si>
    <t>ES0031406278160018AD0F</t>
  </si>
  <si>
    <t>ES0031408051925007RF0F-30824884</t>
  </si>
  <si>
    <t>ES0031408051925007RF0F</t>
  </si>
  <si>
    <t>ES0031408051925008RP0F-30821534</t>
  </si>
  <si>
    <t>ES0031408051925008RP0F</t>
  </si>
  <si>
    <t>ES0031408058836001FF0F-30814786</t>
  </si>
  <si>
    <t>ES0031408058836001FF0F</t>
  </si>
  <si>
    <t>ES0031408186551011NL0F-30819485</t>
  </si>
  <si>
    <t>ES0031408186551011NL0F</t>
  </si>
  <si>
    <t>ES0031408241289005TZ0F-30812402</t>
  </si>
  <si>
    <t>ES0031408241289005TZ0F</t>
  </si>
  <si>
    <t>ES0031408308776008QA0F-30807140</t>
  </si>
  <si>
    <t>ES0031408308776008QA0F</t>
  </si>
  <si>
    <t>ES0031408370740001CH0F-30819948</t>
  </si>
  <si>
    <t>ES0031408370740001CH0F</t>
  </si>
  <si>
    <t>ES0031408447684006QF0F-30812761</t>
  </si>
  <si>
    <t>ES0031408447684006QF0F</t>
  </si>
  <si>
    <t>ES0031408459983003MF0F-30814264</t>
  </si>
  <si>
    <t>ES0031408459983003MF0F</t>
  </si>
  <si>
    <t>ES0031408465871009SJ0F-30821990</t>
  </si>
  <si>
    <t>ES0031408465871009SJ0F</t>
  </si>
  <si>
    <t>ES0031408517068001PV0F-30825794</t>
  </si>
  <si>
    <t>ES0031408534591021GG0F-30807142</t>
  </si>
  <si>
    <t>ES0031408534591021GG0F</t>
  </si>
  <si>
    <t>ES0031408563824001TF0F-30810578</t>
  </si>
  <si>
    <t>ES0031408563824001TF0F</t>
  </si>
  <si>
    <t>ES0031408565018001WP0F-30812184</t>
  </si>
  <si>
    <t>ES0031408565018001WP0F</t>
  </si>
  <si>
    <t>ES0031408566409001JZ0F-30814417</t>
  </si>
  <si>
    <t>ES0031408566409001JZ0F</t>
  </si>
  <si>
    <t>ES0031408569531001YV0F-30817670</t>
  </si>
  <si>
    <t>ES0031408569531001YV0F</t>
  </si>
  <si>
    <t>ES0031408570316001MG0F-30825386</t>
  </si>
  <si>
    <t>ES0031408570316001MG0F</t>
  </si>
  <si>
    <t>ES0031408572331001YC0F-30820308</t>
  </si>
  <si>
    <t>ES0031408572331001YC0F</t>
  </si>
  <si>
    <t>ES0031446401690002KR0F-30815168</t>
  </si>
  <si>
    <t>ES0031446401690002KR0F</t>
  </si>
  <si>
    <t>ES0031446425306001ZZ0F-30822698</t>
  </si>
  <si>
    <t>ES0031446425306001ZZ0F</t>
  </si>
  <si>
    <t>ES0031446458289011PN0F-30822800</t>
  </si>
  <si>
    <t>ES0031446458289011PN0F</t>
  </si>
  <si>
    <t>ES0031446461074008TP0F-30825914</t>
  </si>
  <si>
    <t>ES0031446461074008TP0F</t>
  </si>
  <si>
    <t>ES0031446468644003TJ0F-30827868</t>
  </si>
  <si>
    <t>ES0031446468644003TJ0F</t>
  </si>
  <si>
    <t>ES0031448565997001BP0F-30822464</t>
  </si>
  <si>
    <t>ES0031448565997001BP0F</t>
  </si>
  <si>
    <t>ES0031500047480051EP0F-30815183</t>
  </si>
  <si>
    <t>ES0031500047480051EP0F</t>
  </si>
  <si>
    <t>ES0031500105166007AD0F-30824905</t>
  </si>
  <si>
    <t>ES0031500105166007AD0F</t>
  </si>
  <si>
    <t>ES0031500108636003SH0F-30826345</t>
  </si>
  <si>
    <t>ES0031500108636003SH0F</t>
  </si>
  <si>
    <t>ES0031500110075069TC0F-30814513</t>
  </si>
  <si>
    <t>ES0031500110075069TC0F</t>
  </si>
  <si>
    <t>ES0031500116008006DS0F-30809320</t>
  </si>
  <si>
    <t>ES0031500116008006DS0F</t>
  </si>
  <si>
    <t>ES0031500131634040MX0F-30809186</t>
  </si>
  <si>
    <t>ES0031500131634040MX0F</t>
  </si>
  <si>
    <t>ES0031500133193001MP0F-30807108</t>
  </si>
  <si>
    <t>ES0031500133193001MP0F</t>
  </si>
  <si>
    <t>ES0031500144330003AL0F-30828770</t>
  </si>
  <si>
    <t>ES0031500144330003AL0F</t>
  </si>
  <si>
    <t>ES0031500214688001RM0F-30815533</t>
  </si>
  <si>
    <t>ES0031500214688001RM0F</t>
  </si>
  <si>
    <t>ES0031500549270003GH0F-30826048</t>
  </si>
  <si>
    <t>ES0031500549270003GH0F</t>
  </si>
  <si>
    <t>ES0031500549342006FP0F-30823432</t>
  </si>
  <si>
    <t>ES0031500549342006FP0F</t>
  </si>
  <si>
    <t>ES0031500572300002GW0F-30812609</t>
  </si>
  <si>
    <t>ES0031500572300002GW0F</t>
  </si>
  <si>
    <t>ES0031500581677003RH0F-30824094</t>
  </si>
  <si>
    <t>ES0031500581677003RH0F</t>
  </si>
  <si>
    <t>ES0031500583782005YZ0F-30825853</t>
  </si>
  <si>
    <t>ES0031500583782005YZ0F</t>
  </si>
  <si>
    <t>ES0031500588348006SD0F-30810742</t>
  </si>
  <si>
    <t>ES0031500588348006SD0F</t>
  </si>
  <si>
    <t>ES0031500605353010MD0F-30822761</t>
  </si>
  <si>
    <t>ES0031500605353010MD0F</t>
  </si>
  <si>
    <t>ES0031500610539004ZD0F-30821251</t>
  </si>
  <si>
    <t>ES0031500610539004ZD0F</t>
  </si>
  <si>
    <t>ES0031500616085004NL0F-30820490</t>
  </si>
  <si>
    <t>ES0031500616085004NL0F</t>
  </si>
  <si>
    <t>ES0031500616085005NC0F-30820482</t>
  </si>
  <si>
    <t>ES0031500616085005NC0F</t>
  </si>
  <si>
    <t>ES0031500623779016TW0F-30814541</t>
  </si>
  <si>
    <t>ES0031500623779016TW0F</t>
  </si>
  <si>
    <t>ES0031500675213001QF0F-30812617</t>
  </si>
  <si>
    <t>ES0031500675213001QF0F</t>
  </si>
  <si>
    <t>ES0031500688158001DD0F-30814009</t>
  </si>
  <si>
    <t>ES0031500688158001DD0F</t>
  </si>
  <si>
    <t>ES0031600172991002JG0F-30816090</t>
  </si>
  <si>
    <t>ES0031600172991002JG0F</t>
  </si>
  <si>
    <t>ES0031600385753001AC0F-30818563</t>
  </si>
  <si>
    <t>ES0031600385753001AC0F</t>
  </si>
  <si>
    <t>ES0031600393241004GM0F-30815505</t>
  </si>
  <si>
    <t>ES0031600393241004GM0F</t>
  </si>
  <si>
    <t>ES0031601000942004FL0F-30818783</t>
  </si>
  <si>
    <t>ES0031601000942004FL0F</t>
  </si>
  <si>
    <t>ES0031601019995025DR0F-30820414</t>
  </si>
  <si>
    <t>ES0031601019995025DR0F</t>
  </si>
  <si>
    <t>ES0031601061926028RA0F-30809200</t>
  </si>
  <si>
    <t>ES0031601061926028RA0F</t>
  </si>
  <si>
    <t>ES0031601127087014QB0F-30826055</t>
  </si>
  <si>
    <t>ES0031601127087014QB0F</t>
  </si>
  <si>
    <t>ES0031601168665002RW0F-30807146</t>
  </si>
  <si>
    <t>ES0031601168665002RW0F</t>
  </si>
  <si>
    <t>ES0031601178224003EL0F-30821665</t>
  </si>
  <si>
    <t>ES0031601178224003EL0F</t>
  </si>
  <si>
    <t>ES0031601188442006SL0F-30826923</t>
  </si>
  <si>
    <t>ES0031601188442006SL0F</t>
  </si>
  <si>
    <t>ES0031601190225002GD0F-30817420</t>
  </si>
  <si>
    <t>ES0031601190225002GD0F</t>
  </si>
  <si>
    <t>ES0031601207105026BB0F-30824620</t>
  </si>
  <si>
    <t>ES0031601207105026BB0F</t>
  </si>
  <si>
    <t>ES0031601225878001AH0F-30822003</t>
  </si>
  <si>
    <t>ES0031601225878001AH0F</t>
  </si>
  <si>
    <t>ES0031601289338001PM0F-30815968</t>
  </si>
  <si>
    <t>ES0031601289338001PM0F</t>
  </si>
  <si>
    <t>ES0031601299655001GX0F-30811386</t>
  </si>
  <si>
    <t>ES0031601299655001GX0F</t>
  </si>
  <si>
    <t>ES0031601313258001VM0F-30822710</t>
  </si>
  <si>
    <t>ES0031601313258001VM0F</t>
  </si>
  <si>
    <t>ES0031601334737001VH0F-30813792</t>
  </si>
  <si>
    <t>ES0031601334737001VH0F</t>
  </si>
  <si>
    <t>ES0031601337566001JH0F-30812973</t>
  </si>
  <si>
    <t>ES0031607011919068KQ0F-30806734</t>
  </si>
  <si>
    <t>ES0031607011919068KQ0F</t>
  </si>
  <si>
    <t>ES0031607134496001PJ0F-30824973</t>
  </si>
  <si>
    <t>ES0031607134496001PJ0F</t>
  </si>
  <si>
    <t>ES0031607279851001NG0F-30810138</t>
  </si>
  <si>
    <t>ES0031607279851001NG0F</t>
  </si>
  <si>
    <t>ES0031607293024004MX0F-30818155</t>
  </si>
  <si>
    <t>ES0031607293024004MX0F</t>
  </si>
  <si>
    <t>ES0031607417420001PR0F-30815152</t>
  </si>
  <si>
    <t>ES0031607417420001PR0F</t>
  </si>
  <si>
    <t>ES0031607437286019ME0F-30806871</t>
  </si>
  <si>
    <t>ES0031607437286019ME0F</t>
  </si>
  <si>
    <t>ES0031607450154001PX0F-30806862</t>
  </si>
  <si>
    <t>ES0031607450154001PX0F</t>
  </si>
  <si>
    <t>ES0031607548350076MT0F-30818304</t>
  </si>
  <si>
    <t>ES0031607548350076MT0F</t>
  </si>
  <si>
    <t>ES0031607608666001EN0F-30814439</t>
  </si>
  <si>
    <t>ES0031607608666001EN0F</t>
  </si>
  <si>
    <t>ES0031609076187005VJ0F-30818138</t>
  </si>
  <si>
    <t>ES0031609076187005VJ0F</t>
  </si>
  <si>
    <t>ES0401668611692018TS0F-30818376</t>
  </si>
  <si>
    <t>ES0401668611692018TS0F</t>
  </si>
  <si>
    <t>ES0030320734061010RF0F-30827137</t>
  </si>
  <si>
    <t>ES0030320734061010RF0F</t>
  </si>
  <si>
    <t>ES0031101316638020RH0F-30837972</t>
  </si>
  <si>
    <t>ES0031101316948002RY0F-30846952</t>
  </si>
  <si>
    <t>ES0031101317495003RK0F-30846604</t>
  </si>
  <si>
    <t>ES0031101317495003RK0F</t>
  </si>
  <si>
    <t>ES0031101317495008WA0F-30846805</t>
  </si>
  <si>
    <t>ES0031101317495008WA0F</t>
  </si>
  <si>
    <t>ES0031101317495009WG0F-30846702</t>
  </si>
  <si>
    <t>ES0031101317495009WG0F</t>
  </si>
  <si>
    <t>ES0031101320060016CM0F-30840214</t>
  </si>
  <si>
    <t>ES0031101320060016CM0F</t>
  </si>
  <si>
    <t>ES0031101328113004KA0F-30839082</t>
  </si>
  <si>
    <t>ES0031101328113004KA0F</t>
  </si>
  <si>
    <t>ES0031101328244016JF0F-30846028</t>
  </si>
  <si>
    <t>ES0031101328244016JF0F</t>
  </si>
  <si>
    <t>ES0031101339643001VP0F-30829057</t>
  </si>
  <si>
    <t>ES0031101339643001VP0F</t>
  </si>
  <si>
    <t>ES0031101373158010AS0F-30818383</t>
  </si>
  <si>
    <t>ES0031101373158010AS0F</t>
  </si>
  <si>
    <t>ES0031101428553001JN0F-30851535</t>
  </si>
  <si>
    <t>ES0031101428553001JN0F</t>
  </si>
  <si>
    <t>ES0031101501301033BX0F-30839913</t>
  </si>
  <si>
    <t>ES0031101501301033BX0F</t>
  </si>
  <si>
    <t>ES0031101535222003FM0F-30845392</t>
  </si>
  <si>
    <t>ES0031101535222003FM0F</t>
  </si>
  <si>
    <t>ES0031101535394001XD0F-30853842</t>
  </si>
  <si>
    <t>ES0031101535394001XD0F</t>
  </si>
  <si>
    <t>ES0031101552363001ET0F-30817923</t>
  </si>
  <si>
    <t>ES0031101552363001ET0F</t>
  </si>
  <si>
    <t>ES0031101587634001HV0F-30841089</t>
  </si>
  <si>
    <t>ES0031101587634001HV0F</t>
  </si>
  <si>
    <t>ES0031101619641001NX0F-30843218</t>
  </si>
  <si>
    <t>ES0031101619641001NX0F</t>
  </si>
  <si>
    <t>ES0031101632245002ZB0F-30814597</t>
  </si>
  <si>
    <t>ES0031101632245002ZB0F</t>
  </si>
  <si>
    <t>ES0031101638203008DM0F-30833988</t>
  </si>
  <si>
    <t>ES0031101638203008DM0F</t>
  </si>
  <si>
    <t>ES0031101692088001DT0F-30830291</t>
  </si>
  <si>
    <t>ES0031101692088001DT0F</t>
  </si>
  <si>
    <t>ES0031101727847002VG0F-30829320</t>
  </si>
  <si>
    <t>ES0031101727847002VG0F</t>
  </si>
  <si>
    <t>ES0031101822991012WY0F-30838921</t>
  </si>
  <si>
    <t>ES0031101822991012WY0F</t>
  </si>
  <si>
    <t>ES0031101824782007QZ0F-30836679</t>
  </si>
  <si>
    <t>ES0031101824782007QZ0F</t>
  </si>
  <si>
    <t>ES0031101914369001FF0F-30841698</t>
  </si>
  <si>
    <t>ES0031101914369001FF0F</t>
  </si>
  <si>
    <t>ES0031101940563002PK0F-30831936</t>
  </si>
  <si>
    <t>ES0031101940563002PK0F</t>
  </si>
  <si>
    <t>ES0031102008219013NZ0F-30817718</t>
  </si>
  <si>
    <t>ES0031102008219013NZ0F</t>
  </si>
  <si>
    <t>ES0031102011600004LM0F-30838816</t>
  </si>
  <si>
    <t>ES0031102011600004LM0F</t>
  </si>
  <si>
    <t>ES0031102014035001LS0F-30852487</t>
  </si>
  <si>
    <t>ES0031102014035001LS0F</t>
  </si>
  <si>
    <t>ES0031102022785007BQ0F-30819980</t>
  </si>
  <si>
    <t>ES0031102022785007BQ0F</t>
  </si>
  <si>
    <t>ES0031102065231001SQ0F-30849761</t>
  </si>
  <si>
    <t>ES0031102065231001SQ0F</t>
  </si>
  <si>
    <t>09/01/20188</t>
  </si>
  <si>
    <t>ES0031102107107003PX0F-30840911</t>
  </si>
  <si>
    <t>ES0031102107107003PX0F</t>
  </si>
  <si>
    <t>ES0031102112930001KY0F-30813857</t>
  </si>
  <si>
    <t>ES0031102112930001KY0F</t>
  </si>
  <si>
    <t>ES0031102119527016ST0F-30839139</t>
  </si>
  <si>
    <t>ES0031102119527016ST0F</t>
  </si>
  <si>
    <t>ES0031102130565001DD0F-30836120</t>
  </si>
  <si>
    <t>ES0031102130565001DD0F</t>
  </si>
  <si>
    <t>ES0031102210700001FL0F-30818586</t>
  </si>
  <si>
    <t>ES0031102210700001FL0F</t>
  </si>
  <si>
    <t>ES0031102229046004CA0F-30840073</t>
  </si>
  <si>
    <t>ES0031102229046004CA0F</t>
  </si>
  <si>
    <t>ES0031102233019001YA0F-30842896</t>
  </si>
  <si>
    <t>ES0031102233019001YA0F</t>
  </si>
  <si>
    <t>ES0031102240409017RG0F-30836942</t>
  </si>
  <si>
    <t>ES0031102240409017RG0F</t>
  </si>
  <si>
    <t>ES0031102246094022VF0F-30839541</t>
  </si>
  <si>
    <t>ES0031102246094022VF0F</t>
  </si>
  <si>
    <t>ES0031102255187005VD0F-30852340</t>
  </si>
  <si>
    <t>ES0031102255187005VD0F</t>
  </si>
  <si>
    <t>ES0031102263735003NB0F-30806753</t>
  </si>
  <si>
    <t>ES0031102263735003NB0F</t>
  </si>
  <si>
    <t>ES0031102269854012SP0F-30850667</t>
  </si>
  <si>
    <t>ES0031102269854012SP0F</t>
  </si>
  <si>
    <t>ES0031102287063266FH0F-30843868</t>
  </si>
  <si>
    <t>ES0031102331214001RE0F-30839967</t>
  </si>
  <si>
    <t>ES0031102331214001RE0F</t>
  </si>
  <si>
    <t>Fuera de plazo</t>
  </si>
  <si>
    <t>ES0031102387072015HY0F-30850575</t>
  </si>
  <si>
    <t>ES0031102387072015HY0F</t>
  </si>
  <si>
    <t>ES0031102402996001LB0F-30817776</t>
  </si>
  <si>
    <t>ES0031102402996001LB0F</t>
  </si>
  <si>
    <t>ES0031102560985078KH0F-30826171</t>
  </si>
  <si>
    <t>ES0031102560985078KH0F</t>
  </si>
  <si>
    <t>ES0031102592321004WP0F-30834094</t>
  </si>
  <si>
    <t>ES0031102592321004WP0F</t>
  </si>
  <si>
    <t>ES0031102599924001BX0F-30822033</t>
  </si>
  <si>
    <t>ES0031102599924001BX0F</t>
  </si>
  <si>
    <t>ES0031102630313007ZJ0F-30829888</t>
  </si>
  <si>
    <t>ES0031102630313007ZJ0F</t>
  </si>
  <si>
    <t>ES0031102638593001HF0F-30818382</t>
  </si>
  <si>
    <t>ES0031102638593001HF0F</t>
  </si>
  <si>
    <t>ES0031102657943012YA0F-30832546</t>
  </si>
  <si>
    <t>ES0031102657943012YA0F</t>
  </si>
  <si>
    <t>ES0031102667807001VM0F-30851939</t>
  </si>
  <si>
    <t>ES0031102667807001VM0F</t>
  </si>
  <si>
    <t>ES0031102690898011RG0F-30816388</t>
  </si>
  <si>
    <t>ES0031102690898011RG0F</t>
  </si>
  <si>
    <t>ES0031102749468093NB0F-30810844</t>
  </si>
  <si>
    <t>ES0031102749468093NB0F</t>
  </si>
  <si>
    <t>ES0031102848120040AJ0F-30848258</t>
  </si>
  <si>
    <t>ES0031102848120040AJ0F</t>
  </si>
  <si>
    <t>ES0031102850955031FR0F-30842255</t>
  </si>
  <si>
    <t>ES0031102850955031FR0F</t>
  </si>
  <si>
    <t>ES0031102853079004PQ0F-30841497</t>
  </si>
  <si>
    <t>ES0031102853079004PQ0F</t>
  </si>
  <si>
    <t>ES0031102859719001PM0F-30849266</t>
  </si>
  <si>
    <t>ES0031102859719001PM0F</t>
  </si>
  <si>
    <t>ES0031102865786006GR0F-30846105</t>
  </si>
  <si>
    <t>ES0031102865786006GR0F</t>
  </si>
  <si>
    <t>ES0031102893563001SB0F-30812384</t>
  </si>
  <si>
    <t>ES0031102893563001SB0F</t>
  </si>
  <si>
    <t>ES0031102907661011EX0F-30839132</t>
  </si>
  <si>
    <t>ES0031102907661011EX0F</t>
  </si>
  <si>
    <t>ES0031102935166025FZ0F-30844719</t>
  </si>
  <si>
    <t>ES0031102935166025FZ0F</t>
  </si>
  <si>
    <t>ES0031102942231182TP0F-30837369</t>
  </si>
  <si>
    <t>ES0031102942231182TP0F</t>
  </si>
  <si>
    <t>ES0031102960228004XC0F-30829550</t>
  </si>
  <si>
    <t>ES0031102960228004XC0F</t>
  </si>
  <si>
    <t>ES0031103032872002QJ0F-30846037</t>
  </si>
  <si>
    <t>ES0031103032872002QJ0F</t>
  </si>
  <si>
    <t>ES0031103038862001EF0F-30833026</t>
  </si>
  <si>
    <t>ES0031103038862001EF0F</t>
  </si>
  <si>
    <t>ES0031103075188001AZ0F-30811997</t>
  </si>
  <si>
    <t>ES0031103075188001AZ0F</t>
  </si>
  <si>
    <t>ES0031103077671006KP0F-30844587</t>
  </si>
  <si>
    <t>ES0031103077671006KP0F</t>
  </si>
  <si>
    <t>ES0031103105655001QH0F-30842491</t>
  </si>
  <si>
    <t>ES0031103105655001QH0F</t>
  </si>
  <si>
    <t>ES0031103120013006BC0F-30845353</t>
  </si>
  <si>
    <t>ES0031103120013006BC0F</t>
  </si>
  <si>
    <t>ES0031103121061040SJ0F-30844088</t>
  </si>
  <si>
    <t>ES0031103121061040SJ0F</t>
  </si>
  <si>
    <t>ES0031103121457009GZ0F-30837937</t>
  </si>
  <si>
    <t>ES0031103121457009GZ0F</t>
  </si>
  <si>
    <t>ES0031103125370013GM0F-30813652</t>
  </si>
  <si>
    <t>ES0031103125370013GM0F</t>
  </si>
  <si>
    <t>ES0031103170235001WC0F-30848712</t>
  </si>
  <si>
    <t>ES0031103170235001WC0F</t>
  </si>
  <si>
    <t>ES0031103174148001WF0F-30822442</t>
  </si>
  <si>
    <t>ES0031103174148001WF0F</t>
  </si>
  <si>
    <t>ES0031103202605001RG0F-30836289</t>
  </si>
  <si>
    <t>ES0031103202605001RG0F</t>
  </si>
  <si>
    <t>ES0031103219613002YB0F-30839372</t>
  </si>
  <si>
    <t>ES0031103219613002YB0F</t>
  </si>
  <si>
    <t>ES0031103232611009GM0F-30838462</t>
  </si>
  <si>
    <t>ES0031103232611009GM0F</t>
  </si>
  <si>
    <t>ES0031103237825001BN0F-30842115</t>
  </si>
  <si>
    <t>ES0031103237825001BN0F</t>
  </si>
  <si>
    <t>ES0031103244725006EV0F-30845368</t>
  </si>
  <si>
    <t>ES0031103244725006EV0F</t>
  </si>
  <si>
    <t>ES0031103252352027HP0F-30840637</t>
  </si>
  <si>
    <t>ES0031103252352027HP0F</t>
  </si>
  <si>
    <t>ES0031103286311003XJ0F-30846494</t>
  </si>
  <si>
    <t>ES0031103286311003XJ0F</t>
  </si>
  <si>
    <t>ES0031103308582001ZL0F-30837127</t>
  </si>
  <si>
    <t>ES0031103308582001ZL0F</t>
  </si>
  <si>
    <t>ES0031103323073014LC0F-30809834</t>
  </si>
  <si>
    <t>ES0031103323073014LC0F</t>
  </si>
  <si>
    <t>ES0031103334916007PZ0F-30845606</t>
  </si>
  <si>
    <t>ES0031103334916007PZ0F</t>
  </si>
  <si>
    <t>ES0031103342842002PW0F-30846210</t>
  </si>
  <si>
    <t>ES0031103342842002PW0F</t>
  </si>
  <si>
    <t>ES0031103370387002YH0F-30853556</t>
  </si>
  <si>
    <t>ES0031103389002002FZ0F-30818384</t>
  </si>
  <si>
    <t>ES0031103389002002FZ0F</t>
  </si>
  <si>
    <t>ES0031103463678094EM0F-30845753</t>
  </si>
  <si>
    <t>ES0031103463678094EM0F</t>
  </si>
  <si>
    <t>ES0031103467439021XH0F-30830901</t>
  </si>
  <si>
    <t>ES0031103467439021XH0F</t>
  </si>
  <si>
    <t>ES0031103469292092XW0F-30840928</t>
  </si>
  <si>
    <t>ES0031103469292092XW0F</t>
  </si>
  <si>
    <t>ES0031103501321012JL0F-30853691</t>
  </si>
  <si>
    <t>ES0031103501321012JL0F</t>
  </si>
  <si>
    <t>ES0031103510763010PB0F-30839235</t>
  </si>
  <si>
    <t>ES0031103510763010PB0F</t>
  </si>
  <si>
    <t>ES0031103510763015PQ0F-30839265</t>
  </si>
  <si>
    <t>ES0031103510763015PQ0F</t>
  </si>
  <si>
    <t>ES0031103517410035ZJ0F-30832441</t>
  </si>
  <si>
    <t>ES0031103517410035ZJ0F</t>
  </si>
  <si>
    <t>ES0031103567675026BE0F-30838920</t>
  </si>
  <si>
    <t>ES0031103567675026BE0F</t>
  </si>
  <si>
    <t>ES0031103585135005AB0F-30844142</t>
  </si>
  <si>
    <t>ES0031103585135005AB0F</t>
  </si>
  <si>
    <t>ES0031103596649013VN0F-30840217</t>
  </si>
  <si>
    <t>ES0031103596649013VN0F</t>
  </si>
  <si>
    <t>ES0031103614324001LY0F-30853633</t>
  </si>
  <si>
    <t>ES0031103614324001LY0F</t>
  </si>
  <si>
    <t>ES0031103665912001SH0F-30830899</t>
  </si>
  <si>
    <t>ES0031103665912001SH0F</t>
  </si>
  <si>
    <t>ES0031103680364001AZ0F-30851636</t>
  </si>
  <si>
    <t>ES0031103680364001AZ0F</t>
  </si>
  <si>
    <t>ES0031103687081043VK0F-30840486</t>
  </si>
  <si>
    <t>ES0031103687081043VK0F</t>
  </si>
  <si>
    <t>ES0031103687867001NT0F-30827108</t>
  </si>
  <si>
    <t>ES0031103687867001NT0F</t>
  </si>
  <si>
    <t>ES0031103720104001TQ0F-30822524</t>
  </si>
  <si>
    <t>ES0031103720104001TQ0F</t>
  </si>
  <si>
    <t>ES0031103721625001YA0F-30848972</t>
  </si>
  <si>
    <t>ES0031103721625001YA0F</t>
  </si>
  <si>
    <t>ES0031103723981001KK0F-30849249</t>
  </si>
  <si>
    <t>ES0031103723981001KK0F</t>
  </si>
  <si>
    <t>ES0031104002761008YH0F-30853686</t>
  </si>
  <si>
    <t>ES0031104002761008YH0F</t>
  </si>
  <si>
    <t>ES0031104009858001AQ0F-30847254</t>
  </si>
  <si>
    <t>ES0031104009858001AQ0F</t>
  </si>
  <si>
    <t>ES0031104015511003PD0F-30841466</t>
  </si>
  <si>
    <t>ES0031104015511003PD0F</t>
  </si>
  <si>
    <t>ES0031104027907006YR0F-30841863</t>
  </si>
  <si>
    <t>ES0031104027907006YR0F</t>
  </si>
  <si>
    <t>ES0031104040766039XX0F-30838621</t>
  </si>
  <si>
    <t>ES0031104040766039XX0F</t>
  </si>
  <si>
    <t>ES0031104042136038MZ0F-30832405</t>
  </si>
  <si>
    <t>ES0031104042136038MZ0F</t>
  </si>
  <si>
    <t>ES0031104065511014FK0F-30850750</t>
  </si>
  <si>
    <t>ES0031104065511014FK0F</t>
  </si>
  <si>
    <t>ES0031104097747005KV0F-30837675</t>
  </si>
  <si>
    <t>ES0031104097747005KV0F</t>
  </si>
  <si>
    <t>ES0031104101672002JH0F-30818456</t>
  </si>
  <si>
    <t>ES0031104101672002JH0F</t>
  </si>
  <si>
    <t>ES0031104117100001RP0F-30838012</t>
  </si>
  <si>
    <t>ES0031104117100001RP0F</t>
  </si>
  <si>
    <t>ES0031104133805001BQ0F-30849520</t>
  </si>
  <si>
    <t>ES0031104133805001BQ0F</t>
  </si>
  <si>
    <t>ES0031104187164001GM0F-30832422</t>
  </si>
  <si>
    <t>ES0031104187164001GM0F</t>
  </si>
  <si>
    <t>ES0031104205936001TA0F-30834236</t>
  </si>
  <si>
    <t>ES0031104205936001TA0F</t>
  </si>
  <si>
    <t>ES0031104288907001EK0F-30846930</t>
  </si>
  <si>
    <t>ES0031104288907001EK0F</t>
  </si>
  <si>
    <t>ES0031104297766004SE0F-30840008</t>
  </si>
  <si>
    <t>ES0031104297766004SE0F</t>
  </si>
  <si>
    <t>ES0031104314602001VL0F-30828296</t>
  </si>
  <si>
    <t>ES0031104314602001VL0F</t>
  </si>
  <si>
    <t>ES0031104316227033SD0F-30851184</t>
  </si>
  <si>
    <t>ES0031104316227033SD0F</t>
  </si>
  <si>
    <t>ES0031104356998001XG0F-30853589</t>
  </si>
  <si>
    <t>ES0031104356998001XG0F</t>
  </si>
  <si>
    <t>ES0031104364364038CS0F-30843507</t>
  </si>
  <si>
    <t>ES0031104364364038CS0F</t>
  </si>
  <si>
    <t>ES0031104413209011XA0F-30848614</t>
  </si>
  <si>
    <t>ES0031104413209011XA0F</t>
  </si>
  <si>
    <t>ES0031104433707030RP0F-30846480</t>
  </si>
  <si>
    <t>ES0031104433707030RP0F</t>
  </si>
  <si>
    <t>ES0031104472745029CS0F-30848426</t>
  </si>
  <si>
    <t>ES0031104472745029CS0F</t>
  </si>
  <si>
    <t>ES0031104485662001ZA0F-30852238</t>
  </si>
  <si>
    <t>ES0031104485662001ZA0F</t>
  </si>
  <si>
    <t>ES0031104507653014NA0F-30819871</t>
  </si>
  <si>
    <t>ES0031104507653014NA0F</t>
  </si>
  <si>
    <t>ES0031104515717004PD0F-30806975</t>
  </si>
  <si>
    <t>ES0031104515717004PD0F</t>
  </si>
  <si>
    <t>ES0031104518546048YF0F-30836265</t>
  </si>
  <si>
    <t>ES0031104518546048YF0F</t>
  </si>
  <si>
    <t>ES0031104520522007NJ0F-30818386</t>
  </si>
  <si>
    <t>ES0031104520522007NJ0F</t>
  </si>
  <si>
    <t>ES0031104530147040FY0F-30841467</t>
  </si>
  <si>
    <t>ES0031104530147040FY0F</t>
  </si>
  <si>
    <t>ES0031104558689004CM0F-30842599</t>
  </si>
  <si>
    <t>ES0031104558689004CM0F</t>
  </si>
  <si>
    <t>ES0031104566209011DR0F-30852541</t>
  </si>
  <si>
    <t>ES0031104566209011DR0F</t>
  </si>
  <si>
    <t>ES0031104575797012AS0F-30841203</t>
  </si>
  <si>
    <t>ES0031104575797012AS0F</t>
  </si>
  <si>
    <t>ES0031104579713009HD0F-30842134</t>
  </si>
  <si>
    <t>ES0031104579713009HD0F</t>
  </si>
  <si>
    <t>ES0031104582971012JQ0F-30847057</t>
  </si>
  <si>
    <t>ES0031104582971012JQ0F</t>
  </si>
  <si>
    <t>ES0031104586505001WD0F-30850339</t>
  </si>
  <si>
    <t>ES0031104586505001WD0F</t>
  </si>
  <si>
    <t>ES0031104607821010TD0F-30840789</t>
  </si>
  <si>
    <t>ES0031104607821010TD0F</t>
  </si>
  <si>
    <t>ES0031104619150001CM0F-30819035</t>
  </si>
  <si>
    <t>ES0031104619150001CM0F</t>
  </si>
  <si>
    <t>ES0031104642993005QJ0F-30843327</t>
  </si>
  <si>
    <t>ES0031104642993005QJ0F</t>
  </si>
  <si>
    <t>ES0031104659107021EE0F-30836170</t>
  </si>
  <si>
    <t>ES0031104659107021EE0F</t>
  </si>
  <si>
    <t>ES0031104690862006FB0F-30839708</t>
  </si>
  <si>
    <t>ES0031104690862006FB0F</t>
  </si>
  <si>
    <t>ES0031104705385003TA0F-30842029</t>
  </si>
  <si>
    <t>ES0031104705385003TA0F</t>
  </si>
  <si>
    <t>ES0031104737204032DG0F-30837849</t>
  </si>
  <si>
    <t>ES0031104737204032DG0F</t>
  </si>
  <si>
    <t>ES0031104763541030HR0F-30850764</t>
  </si>
  <si>
    <t>ES0031104763541030HR0F</t>
  </si>
  <si>
    <t>ES0031104772719009XZ0F-30842538</t>
  </si>
  <si>
    <t>ES0031104772719009XZ0F</t>
  </si>
  <si>
    <t>ES0031104774433007NY0F-30842920</t>
  </si>
  <si>
    <t>ES0031104774433007NY0F</t>
  </si>
  <si>
    <t>ES0031104777991007DK0F-30832355</t>
  </si>
  <si>
    <t>ES0031104777991007DK0F</t>
  </si>
  <si>
    <t>ES0031104785703010CD0F-30819917</t>
  </si>
  <si>
    <t>ES0031104785703010CD0F</t>
  </si>
  <si>
    <t>ES0031104789544035HB0F-30818371</t>
  </si>
  <si>
    <t>ES0031104789544035HB0F</t>
  </si>
  <si>
    <t>ES0031104790362007RB0F-30845402</t>
  </si>
  <si>
    <t>ES0031104790362007RB0F</t>
  </si>
  <si>
    <t>ES0031104803921001DE0F-30842107</t>
  </si>
  <si>
    <t>ES0031104803921001DE0F</t>
  </si>
  <si>
    <t>ES0031104803922001FX0F-30840809</t>
  </si>
  <si>
    <t>ES0031104803922001FX0F</t>
  </si>
  <si>
    <t>ES0031104810548022CF0F-30836605</t>
  </si>
  <si>
    <t>ES0031104810548022CF0F</t>
  </si>
  <si>
    <t>ES0031104813268011ZQ0F-30844957</t>
  </si>
  <si>
    <t>ES0031104813268011ZQ0F</t>
  </si>
  <si>
    <t>ES0031104857243005AE0F-30844900</t>
  </si>
  <si>
    <t>ES0031104859075014FN0F-30845918</t>
  </si>
  <si>
    <t>ES0031104859075014FN0F</t>
  </si>
  <si>
    <t>ES0031104875896040WB0F-30833414</t>
  </si>
  <si>
    <t>ES0031104875896040WB0F</t>
  </si>
  <si>
    <t>ES0031104877722001LW0F-30822309</t>
  </si>
  <si>
    <t>ES0031104877722001LW0F</t>
  </si>
  <si>
    <t>ES0031104890282012VN0F-30832358</t>
  </si>
  <si>
    <t>ES0031104890282012VN0F</t>
  </si>
  <si>
    <t>ES0031104892136044NZ0F-30839555</t>
  </si>
  <si>
    <t>ES0031104892136044NZ0F</t>
  </si>
  <si>
    <t>ES0031104895390011QX0F-30853491</t>
  </si>
  <si>
    <t>ES0031104895390011QX0F</t>
  </si>
  <si>
    <t>ES0031104896284023QN0F-30848901</t>
  </si>
  <si>
    <t>ES0031104896284023QN0F</t>
  </si>
  <si>
    <t>ES0031104953200006PB0F-30850292</t>
  </si>
  <si>
    <t>ES0031104953200006PB0F</t>
  </si>
  <si>
    <t>ES0031105009319001DH0F-30840434</t>
  </si>
  <si>
    <t>ES0031105009319001DH0F</t>
  </si>
  <si>
    <t>ES0031105041971017XS0F-30846025</t>
  </si>
  <si>
    <t>ES0031105041971017XS0F</t>
  </si>
  <si>
    <t>ES0031105069804023LP0F-30832571</t>
  </si>
  <si>
    <t>ES0031105069804023LP0F</t>
  </si>
  <si>
    <t>ES0031105091788009XL0F-30847150</t>
  </si>
  <si>
    <t>ES0031105091788009XL0F</t>
  </si>
  <si>
    <t>ES0031105091795035VF0F-30829922</t>
  </si>
  <si>
    <t>ES0031105091795035VF0F</t>
  </si>
  <si>
    <t>ES0031105123955015SF0F-30850241</t>
  </si>
  <si>
    <t>ES0031105123955015SF0F</t>
  </si>
  <si>
    <t>ES0031105153255008GR0F-30833124</t>
  </si>
  <si>
    <t>ES0031105153255008GR0F</t>
  </si>
  <si>
    <t>ES0031105154360027RP0F-30819939</t>
  </si>
  <si>
    <t>ES0031105154360027RP0F</t>
  </si>
  <si>
    <t>ES0031105161968001LL0F-30840221</t>
  </si>
  <si>
    <t>ES0031105161968001LL0F</t>
  </si>
  <si>
    <t>ES0031105173167013TD0F-30832115</t>
  </si>
  <si>
    <t>ES0031105173167013TD0F</t>
  </si>
  <si>
    <t>ES0031105180404001NR0F-30827670</t>
  </si>
  <si>
    <t>ES0031105180404001NR0F</t>
  </si>
  <si>
    <t>ES0031105190572001QT0F-30826466</t>
  </si>
  <si>
    <t>ES0031105190572001QT0F</t>
  </si>
  <si>
    <t>ES0031105202220001JH0F-30844596</t>
  </si>
  <si>
    <t>ES0031105202220001JH0F</t>
  </si>
  <si>
    <t>ES0031105238568004PV0F-30818593</t>
  </si>
  <si>
    <t>ES0031105238568004PV0F</t>
  </si>
  <si>
    <t>ES0031105249337011SX0F-30833665</t>
  </si>
  <si>
    <t>ES0031105249337011SX0F</t>
  </si>
  <si>
    <t>ES0031105252570001GM0F-30830895</t>
  </si>
  <si>
    <t>ES0031105252570001GM0F</t>
  </si>
  <si>
    <t>ES0031105269572002RS0F-30818680</t>
  </si>
  <si>
    <t>ES0031105269572002RS0F</t>
  </si>
  <si>
    <t>ES0031105284050001SC0F-30818388</t>
  </si>
  <si>
    <t>ES0031105284050001SC0F</t>
  </si>
  <si>
    <t>ES0031105288216001KF0F-30815070</t>
  </si>
  <si>
    <t>ES0031105288216001KF0F</t>
  </si>
  <si>
    <t>ES0031105288855011CP0F-30819977</t>
  </si>
  <si>
    <t>ES0031105288855011CP0F</t>
  </si>
  <si>
    <t>ES0031105296518002SC0F-30818165</t>
  </si>
  <si>
    <t>ES0031105296518002SC0F</t>
  </si>
  <si>
    <t>ES0031105300365001CQ0F-30837247</t>
  </si>
  <si>
    <t>ES0031105300365001CQ0F</t>
  </si>
  <si>
    <t>ES0031105303046001KK0F-30829461</t>
  </si>
  <si>
    <t>ES0031105303046001KK0F</t>
  </si>
  <si>
    <t>ES0031105303607001XM0F-30818830</t>
  </si>
  <si>
    <t>ES0031105303607001XM0F</t>
  </si>
  <si>
    <t>ES0031105305743003MC0F-30817191</t>
  </si>
  <si>
    <t>ES0031105305743003MC0F</t>
  </si>
  <si>
    <t>ES0031105307935001KA0F-30829177</t>
  </si>
  <si>
    <t>ES0031105307935001KA0F</t>
  </si>
  <si>
    <t>ES0031105313823001PA0F-30819929</t>
  </si>
  <si>
    <t>ES0031105313823001PA0F</t>
  </si>
  <si>
    <t>ES0031105316387006MZ0F-30846225</t>
  </si>
  <si>
    <t>ES0031105316387006MZ0F</t>
  </si>
  <si>
    <t>ES0031105319603001ZB0F-30818757</t>
  </si>
  <si>
    <t>ES0031105319603001ZB0F</t>
  </si>
  <si>
    <t>ES0031105323554001XW0F-30830195</t>
  </si>
  <si>
    <t>ES0031105323554001XW0F</t>
  </si>
  <si>
    <t>ES0031105325296001XM0F-30818390</t>
  </si>
  <si>
    <t>ES0031105325296001XM0F</t>
  </si>
  <si>
    <t>ES0031105326092001AK0F-30806894</t>
  </si>
  <si>
    <t>ES0031105326092001AK0F</t>
  </si>
  <si>
    <t>ES0031105328247001CJ0F-30818660</t>
  </si>
  <si>
    <t>ES0031105328247001CJ0F</t>
  </si>
  <si>
    <t>ES0031105331542001ZX0F-30812013</t>
  </si>
  <si>
    <t>ES0031105331542001ZX0F</t>
  </si>
  <si>
    <t>ES0031105331593001TL0F-30829396</t>
  </si>
  <si>
    <t>ES0031105331593001TL0F</t>
  </si>
  <si>
    <t>ES0031105332184001MB0F-30840021</t>
  </si>
  <si>
    <t>ES0031105333034001RT0F-30819998</t>
  </si>
  <si>
    <t>ES0031105333034001RT0F</t>
  </si>
  <si>
    <t>ES0031105333136001LH0F-30839490</t>
  </si>
  <si>
    <t>ES0031105333136001LH0F</t>
  </si>
  <si>
    <t>ES0031105333492001LR0F-30822286</t>
  </si>
  <si>
    <t>ES0031105333492001LR0F</t>
  </si>
  <si>
    <t>ES0031105333583001LJ0F-30818392</t>
  </si>
  <si>
    <t>ES0031105333583001LJ0F</t>
  </si>
  <si>
    <t>ES0031105333774001CK0F-30818393</t>
  </si>
  <si>
    <t>ES0031105333774001CK0F</t>
  </si>
  <si>
    <t>ES0031105334565001GM0F-30818394</t>
  </si>
  <si>
    <t>ES0031105334565001GM0F</t>
  </si>
  <si>
    <t>ES0031105334987001KR0F-30806852</t>
  </si>
  <si>
    <t>ES0031105334987001KR0F</t>
  </si>
  <si>
    <t>ES0031105335254001ZV0F-30806935</t>
  </si>
  <si>
    <t>ES0031105335254001ZV0F</t>
  </si>
  <si>
    <t>ES0031105335261001CW0F-30828674</t>
  </si>
  <si>
    <t>ES0031105335261001CW0F</t>
  </si>
  <si>
    <t>ES0031105335360001TX0F-30818395</t>
  </si>
  <si>
    <t>ES0031105335360001TX0F</t>
  </si>
  <si>
    <t>ES0031105335393001DM0F-30817860</t>
  </si>
  <si>
    <t>ES0031105335393001DM0F</t>
  </si>
  <si>
    <t>ES0031105335423001WJ0F-30818397</t>
  </si>
  <si>
    <t>ES0031105335423001WJ0F</t>
  </si>
  <si>
    <t>ES0031300012214016LJ0F-30838486</t>
  </si>
  <si>
    <t>ES0031300012214016LJ0F</t>
  </si>
  <si>
    <t>ES0031300012696003EN0F-30834084</t>
  </si>
  <si>
    <t>ES0031300012696003EN0F</t>
  </si>
  <si>
    <t>ES0031300014050016NS0F-30810012</t>
  </si>
  <si>
    <t>ES0031300014050016NS0F</t>
  </si>
  <si>
    <t>ES0031300018061013VL0F-30838457</t>
  </si>
  <si>
    <t>ES0031300018061013VL0F</t>
  </si>
  <si>
    <t>ES0031300018695003MZ0F-30841482</t>
  </si>
  <si>
    <t>ES0031300018695003MZ0F</t>
  </si>
  <si>
    <t>ES0031300019034021WN0F-30837676</t>
  </si>
  <si>
    <t>ES0031300019034021WN0F</t>
  </si>
  <si>
    <t>ES0031300019850011ZP0F-30851127</t>
  </si>
  <si>
    <t>ES0031300019850011ZP0F</t>
  </si>
  <si>
    <t>ES0031300022212005ZV0F-30841483</t>
  </si>
  <si>
    <t>ES0031300022212005ZV0F</t>
  </si>
  <si>
    <t>ES0031300022367019SB0F-30852203</t>
  </si>
  <si>
    <t>ES0031300022367019SB0F</t>
  </si>
  <si>
    <t>ES0031300023747022PZ0F-30812569</t>
  </si>
  <si>
    <t>ES0031300023747022PZ0F</t>
  </si>
  <si>
    <t>ES0031300023800006NY0F-30839189</t>
  </si>
  <si>
    <t>ES0031300023800006NY0F</t>
  </si>
  <si>
    <t>ES0031300024708021TG0F-30841484</t>
  </si>
  <si>
    <t>ES0031300024708021TG0F</t>
  </si>
  <si>
    <t>ES0031300024748014ZT0F-30838644</t>
  </si>
  <si>
    <t>ES0031300024748014ZT0F</t>
  </si>
  <si>
    <t>ES0031300024949008NC0F-30839849</t>
  </si>
  <si>
    <t>ES0031300024949008NC0F</t>
  </si>
  <si>
    <t>ES0031300025552002XT0F-30839300</t>
  </si>
  <si>
    <t>ES0031300025552002XT0F</t>
  </si>
  <si>
    <t>ES0031300026824001EF0F-30808099</t>
  </si>
  <si>
    <t>ES0031300026824001EF0F</t>
  </si>
  <si>
    <t>ES0031300031719005YJ0F-30839377</t>
  </si>
  <si>
    <t>ES0031300031719005YJ0F</t>
  </si>
  <si>
    <t>ES0031300031873034XB0F-30839505</t>
  </si>
  <si>
    <t>ES0031300031873034XB0F</t>
  </si>
  <si>
    <t>ES0031300043597005EP0F-30838618</t>
  </si>
  <si>
    <t>ES0031300043597005EP0F</t>
  </si>
  <si>
    <t>ES0031300044746050RL0F-30836816</t>
  </si>
  <si>
    <t>ES0031300044746050RL0F</t>
  </si>
  <si>
    <t>ES0031300046328010NQ0F-30839476</t>
  </si>
  <si>
    <t>ES0031300046328010NQ0F</t>
  </si>
  <si>
    <t>ES0031300050070020YH0F-30851231</t>
  </si>
  <si>
    <t>ES0031300050070020YH0F</t>
  </si>
  <si>
    <t>ES0031300150704003SP0F-30846927</t>
  </si>
  <si>
    <t>ES0031300150704003SP0F</t>
  </si>
  <si>
    <t>ES0031300160841001MD0F-30833117</t>
  </si>
  <si>
    <t>ES0031300160841001MD0F</t>
  </si>
  <si>
    <t>ES0031300231805001SQ0F-30839573</t>
  </si>
  <si>
    <t>ES0031300231805001SQ0F</t>
  </si>
  <si>
    <t>ES0031300262191002AG0F-30821114</t>
  </si>
  <si>
    <t>ES0031300262191002AG0F</t>
  </si>
  <si>
    <t>ES0031300276725030SX0F-30844802</t>
  </si>
  <si>
    <t>ES0031300276725030SX0F</t>
  </si>
  <si>
    <t>ES0031300519975001BA0F-30810137</t>
  </si>
  <si>
    <t>ES0031300519975001BA0F</t>
  </si>
  <si>
    <t>ES0031300535648024WK0F-30841355</t>
  </si>
  <si>
    <t>ES0031300535648024WK0F</t>
  </si>
  <si>
    <t>ES0031300552957016FH0F-30843566</t>
  </si>
  <si>
    <t>ES0031300552957016FH0F</t>
  </si>
  <si>
    <t>ES0031300554139001QX0F-30829563</t>
  </si>
  <si>
    <t>ES0031300554139001QX0F</t>
  </si>
  <si>
    <t>ES0031300634738017HB0F-30811848</t>
  </si>
  <si>
    <t>ES0031300634738017HB0F</t>
  </si>
  <si>
    <t>ES0031300636538012XA0F-30852974</t>
  </si>
  <si>
    <t>ES0031300636538012XA0F</t>
  </si>
  <si>
    <t>ES0031300653157002YK0F-30843109</t>
  </si>
  <si>
    <t>ES0031300653157002YK0F</t>
  </si>
  <si>
    <t>ES0031300653158028MN0F-30850801</t>
  </si>
  <si>
    <t>ES0031300653158028MN0F</t>
  </si>
  <si>
    <t>ES0031300690596001XB0F-30836469</t>
  </si>
  <si>
    <t>ES0031300690596001XB0F</t>
  </si>
  <si>
    <t>ES0031300697556005PP0F-30852468</t>
  </si>
  <si>
    <t>ES0031300697556005PP0F</t>
  </si>
  <si>
    <t>ES0031300702624005QG0F-30816248</t>
  </si>
  <si>
    <t>ES0031300702624005QG0F</t>
  </si>
  <si>
    <t>ES0031300724307001PA0F-30841486</t>
  </si>
  <si>
    <t>ES0031300724307001PA0F</t>
  </si>
  <si>
    <t>ES0031300801625001AF0F-30838907</t>
  </si>
  <si>
    <t>ES0031300801625001AF0F</t>
  </si>
  <si>
    <t>ES0031300813862001XH0F-30837874</t>
  </si>
  <si>
    <t>ES0031300813862001XH0F</t>
  </si>
  <si>
    <t>ES0031300814256025FY0F-30806973</t>
  </si>
  <si>
    <t>ES0031300814256025FY0F</t>
  </si>
  <si>
    <t>ES0031300828484001YK0F-30839880</t>
  </si>
  <si>
    <t>ES0031300828484001YK0F</t>
  </si>
  <si>
    <t>ES0031300840816013MP0F-30816812</t>
  </si>
  <si>
    <t>ES0031300840816013MP0F</t>
  </si>
  <si>
    <t>ES0031300841019003ET0F-30827811</t>
  </si>
  <si>
    <t>ES0031300841019003ET0F</t>
  </si>
  <si>
    <t>ES0031300841019004ER0F-30834183</t>
  </si>
  <si>
    <t>ES0031300841019004ER0F</t>
  </si>
  <si>
    <t>ES0031300841019005EW0F-30828024</t>
  </si>
  <si>
    <t>ES0031300841019005EW0F</t>
  </si>
  <si>
    <t>ES0031300841019007EG0F-30833034</t>
  </si>
  <si>
    <t>ES0031300841019007EG0F</t>
  </si>
  <si>
    <t>ES0031300841127011AT0F-30817296</t>
  </si>
  <si>
    <t>ES0031300841127011AT0F</t>
  </si>
  <si>
    <t>ES0031300841420003EH0F-30820857</t>
  </si>
  <si>
    <t>ES0031300841420003EH0F</t>
  </si>
  <si>
    <t>ES0031300844438001WW0F-30845988</t>
  </si>
  <si>
    <t>ES0031300844438001WW0F</t>
  </si>
  <si>
    <t>ES0031300845231001AP0F-30821369</t>
  </si>
  <si>
    <t>ES0031300845231001AP0F</t>
  </si>
  <si>
    <t>ES0031300845377001AG0F-30817353</t>
  </si>
  <si>
    <t>ES0031300845377001AG0F</t>
  </si>
  <si>
    <t>ES0031300845629001BQ0F-30840805</t>
  </si>
  <si>
    <t>ES0031300845629001BQ0F</t>
  </si>
  <si>
    <t>ES0031300845731001FB0F-30827217</t>
  </si>
  <si>
    <t>ES0031300845731001FB0F</t>
  </si>
  <si>
    <t>ES0031300845980001TJ0F-30841488</t>
  </si>
  <si>
    <t>ES0031300845980001TJ0F</t>
  </si>
  <si>
    <t>ES0031300846163001EW0F-30827268</t>
  </si>
  <si>
    <t>ES0031300846163001EW0F</t>
  </si>
  <si>
    <t>ES0031300846245001EF0F-30846119</t>
  </si>
  <si>
    <t>ES0031300846245001EF0F</t>
  </si>
  <si>
    <t>ES0031300846269001FH0F-30824467</t>
  </si>
  <si>
    <t>ES0031300846269001FH0F</t>
  </si>
  <si>
    <t>ES0031405002355015XS0F-30846574</t>
  </si>
  <si>
    <t>ES0031405002355015XS0F</t>
  </si>
  <si>
    <t>ES0031405214107001VV0F-30846512</t>
  </si>
  <si>
    <t>ES0031405214107001VV0F</t>
  </si>
  <si>
    <t>ES0031405279165010VL0F-30818207</t>
  </si>
  <si>
    <t>ES0031405279165010VL0F</t>
  </si>
  <si>
    <t>ES0031405280505028CB0F-30813562</t>
  </si>
  <si>
    <t>ES0031405280505028CB0F</t>
  </si>
  <si>
    <t>ES0031405285175018LN0F-30834235</t>
  </si>
  <si>
    <t>ES0031405285175018LN0F</t>
  </si>
  <si>
    <t>ES0031405304892002TQ0F-30832803</t>
  </si>
  <si>
    <t>ES0031405304892002TQ0F</t>
  </si>
  <si>
    <t>ES0031405401906045DJ0F-30850390</t>
  </si>
  <si>
    <t>ES0031405401906045DJ0F</t>
  </si>
  <si>
    <t>ES0031405413486041VS0F-30852689</t>
  </si>
  <si>
    <t>ES0031405413486041VS0F</t>
  </si>
  <si>
    <t>ES0031405422710006PZ0F-30854045</t>
  </si>
  <si>
    <t>ES0031405422710006PZ0F</t>
  </si>
  <si>
    <t>ES0031405425331012TD0F-30846634</t>
  </si>
  <si>
    <t>ES0031405425331012TD0F</t>
  </si>
  <si>
    <t>ES0031405426505044PY0F-30839756</t>
  </si>
  <si>
    <t>ES0031405426505044PY0F</t>
  </si>
  <si>
    <t>ES0031405430356003RY0F-30840657</t>
  </si>
  <si>
    <t>ES0031405436697008LA0F-30844635</t>
  </si>
  <si>
    <t>ES0031405436697008LA0F</t>
  </si>
  <si>
    <t>ES0031405437591001HD0F-30847750</t>
  </si>
  <si>
    <t>ES0031405437591001HD0F</t>
  </si>
  <si>
    <t>ES0031405438899007DM0F-30834101</t>
  </si>
  <si>
    <t>ES0031405438899007DM0F</t>
  </si>
  <si>
    <t>ES0031405444134012XA0F-30851167</t>
  </si>
  <si>
    <t>ES0031405444134012XA0F</t>
  </si>
  <si>
    <t>ES0031405447343006JZ0F-30847855</t>
  </si>
  <si>
    <t>ES0031405447343006JZ0F</t>
  </si>
  <si>
    <t>ES0031405450018003YL0F-30839835</t>
  </si>
  <si>
    <t>ES0031405450018003YL0F</t>
  </si>
  <si>
    <t>ES0031405452120013LJ0F-30851202</t>
  </si>
  <si>
    <t>ES0031405452120013LJ0F</t>
  </si>
  <si>
    <t>ES0031405454910015ET0F-30833490</t>
  </si>
  <si>
    <t>ES0031405454910015ET0F</t>
  </si>
  <si>
    <t>ES0031405457080002TY0F-30843884</t>
  </si>
  <si>
    <t>ES0031405457080002TY0F</t>
  </si>
  <si>
    <t>ES0031405460455002ED0F-30847613</t>
  </si>
  <si>
    <t>ES0031405461017022DR0F-30840292</t>
  </si>
  <si>
    <t>ES0031405461017022DR0F</t>
  </si>
  <si>
    <t>ES0031405461392003MJ0F-30833294</t>
  </si>
  <si>
    <t>ES0031405461392003MJ0F</t>
  </si>
  <si>
    <t>ES0031405467278011CE0F-30831942</t>
  </si>
  <si>
    <t>ES0031405467278011CE0F</t>
  </si>
  <si>
    <t>ES0031405467279015HZ0F-30831990</t>
  </si>
  <si>
    <t>ES0031405467279015HZ0F</t>
  </si>
  <si>
    <t>ES0031405467287009KG0F-30833156</t>
  </si>
  <si>
    <t>ES0031405467287009KG0F</t>
  </si>
  <si>
    <t>ES0031405469304010VC0F-30834955</t>
  </si>
  <si>
    <t>ES0031405469304010VC0F</t>
  </si>
  <si>
    <t>ES0031405475681001JP0F-30832241</t>
  </si>
  <si>
    <t>ES0031405475681001JP0F</t>
  </si>
  <si>
    <t>ES0031405475681001JP0F-30845822</t>
  </si>
  <si>
    <t>ES0031405489531012RV0F-30845350</t>
  </si>
  <si>
    <t>ES0031405489531012RV0F</t>
  </si>
  <si>
    <t>ES0031405493035083TS0F-30834260</t>
  </si>
  <si>
    <t>ES0031405493035083TS0F</t>
  </si>
  <si>
    <t>ES0031405502779004ND0F-30853497</t>
  </si>
  <si>
    <t>ES0031405502779004ND0F</t>
  </si>
  <si>
    <t>ES0031405533219007RH0F-30850126</t>
  </si>
  <si>
    <t>ES0031405583471008DD0F-30848526</t>
  </si>
  <si>
    <t>ES0031405583471008DD0F</t>
  </si>
  <si>
    <t>ES0031405590355009ZH0F-30833014</t>
  </si>
  <si>
    <t>ES0031405590477006YT0F-30852422</t>
  </si>
  <si>
    <t>ES0031405590477006YT0F</t>
  </si>
  <si>
    <t>ES0031405629573001QC0F-30840541</t>
  </si>
  <si>
    <t>ES0031405629573001QC0F</t>
  </si>
  <si>
    <t>ES0031405653260046VD0F-30847283</t>
  </si>
  <si>
    <t>ES0031405653260046VD0F</t>
  </si>
  <si>
    <t>ES0031405729922071BK0F-30850543</t>
  </si>
  <si>
    <t>ES0031405729922071BK0F</t>
  </si>
  <si>
    <t>ES0031405737044001NR0F-30849749</t>
  </si>
  <si>
    <t>ES0031405737044001NR0F</t>
  </si>
  <si>
    <t>ES0031405789601001AT0F-30842552</t>
  </si>
  <si>
    <t>ES0031405789601001AT0F</t>
  </si>
  <si>
    <t>ES0031405805987001NH0F-30848826</t>
  </si>
  <si>
    <t>ES0031405805987001NH0F</t>
  </si>
  <si>
    <t>ES0031405836479005DW0F-30832591</t>
  </si>
  <si>
    <t>ES0031405856248006CC0F-30833196</t>
  </si>
  <si>
    <t>ES0031405856248006CC0F</t>
  </si>
  <si>
    <t>ES0031405900517020MZ0F-30850679</t>
  </si>
  <si>
    <t>ES0031405900517020MZ0F</t>
  </si>
  <si>
    <t>ES0031405932070001QP0F-30850641</t>
  </si>
  <si>
    <t>ES0031405932070001QP0F</t>
  </si>
  <si>
    <t>ES0031405976141013VF0F-30850839</t>
  </si>
  <si>
    <t>ES0031405976141013VF0F</t>
  </si>
  <si>
    <t>ES0031405977936001KY0F-30840050</t>
  </si>
  <si>
    <t>ES0031405977936001KY0F</t>
  </si>
  <si>
    <t>ES0031405978167014ZF0F-30840727</t>
  </si>
  <si>
    <t>ES0031405978167014ZF0F</t>
  </si>
  <si>
    <t>ES0031405979065014AH0F-30838909</t>
  </si>
  <si>
    <t>ES0031405988877005PW0F-30850622</t>
  </si>
  <si>
    <t>ES0031405988877005PW0F</t>
  </si>
  <si>
    <t>ES0031405991287028AQ0F-30842236</t>
  </si>
  <si>
    <t>ES0031405991287028AQ0F</t>
  </si>
  <si>
    <t>ES0031405992378015BK0F-30839646</t>
  </si>
  <si>
    <t>ES0031405992378015BK0F</t>
  </si>
  <si>
    <t>ES0031405992692011RK0F</t>
  </si>
  <si>
    <t>ES0031405996658019YR0F-30841056</t>
  </si>
  <si>
    <t>ES0031405996658019YR0F</t>
  </si>
  <si>
    <t>ES0031406039866004CW0F-30834267</t>
  </si>
  <si>
    <t>ES0031406039866004CW0F</t>
  </si>
  <si>
    <t>ES0031406045832001VY0F-30832433</t>
  </si>
  <si>
    <t>ES0031406045832001VY0F</t>
  </si>
  <si>
    <t>ES0031406112330021CN0F-30847577</t>
  </si>
  <si>
    <t>ES0031406112330021CN0F</t>
  </si>
  <si>
    <t>ES0031406112836012DA0F-30836345</t>
  </si>
  <si>
    <t>ES0031406112836012DA0F</t>
  </si>
  <si>
    <t>ES0031406130396008WM0F-30833207</t>
  </si>
  <si>
    <t>ES0031406130396008WM0F</t>
  </si>
  <si>
    <t>ES0031406217037001SK0F-30829709</t>
  </si>
  <si>
    <t>ES0031406217037001SK0F</t>
  </si>
  <si>
    <t>ES0031406223976004CQ0F-30835756</t>
  </si>
  <si>
    <t>ES0031406223976004CQ0F</t>
  </si>
  <si>
    <t>ES0031406271418009FJ0F-30852113</t>
  </si>
  <si>
    <t>ES0031406271418009FJ0F</t>
  </si>
  <si>
    <t>ES0031406271532007LT0F-30832082</t>
  </si>
  <si>
    <t>ES0031406271532007LT0F</t>
  </si>
  <si>
    <t>ES0031406289673001HC0F-30831816</t>
  </si>
  <si>
    <t>ES0031406289673001HC0F</t>
  </si>
  <si>
    <t>ES0031406296030002LM0F-30836104</t>
  </si>
  <si>
    <t>ES0031406296030002LM0F</t>
  </si>
  <si>
    <t>ES0031408008669005SJ0F-30848970</t>
  </si>
  <si>
    <t>ES0031408008669005SJ0F</t>
  </si>
  <si>
    <t>ES0031408008669050VN0F-30838075</t>
  </si>
  <si>
    <t>ES0031408008669050VN0F</t>
  </si>
  <si>
    <t>ES0031408008669058VC0F-30842775</t>
  </si>
  <si>
    <t>ES0031408008669058VC0F</t>
  </si>
  <si>
    <t>ES0031408038617017GR0F-30832954</t>
  </si>
  <si>
    <t>ES0031408038617017GR0F</t>
  </si>
  <si>
    <t>ES0031408107046045ZG0F-30837776</t>
  </si>
  <si>
    <t>ES0031408107046045ZG0F</t>
  </si>
  <si>
    <t>ES0031408235762001TW0F-30832309</t>
  </si>
  <si>
    <t>ES0031408235762001TW0F</t>
  </si>
  <si>
    <t>ES0031408339714001ZY0F-30850718</t>
  </si>
  <si>
    <t>ES0031408339714001ZY0F</t>
  </si>
  <si>
    <t>ES0031408570657001LY0F-30815419</t>
  </si>
  <si>
    <t>ES0031408570657001LY0F</t>
  </si>
  <si>
    <t>ES0031408577494001MA0F-30841499</t>
  </si>
  <si>
    <t>ES0031408577494001MA0F</t>
  </si>
  <si>
    <t>ES0031500103474014SB0F-30850308</t>
  </si>
  <si>
    <t>ES0031500103474014SB0F</t>
  </si>
  <si>
    <t>ES0031500109249001XC0F-30808989</t>
  </si>
  <si>
    <t>ES0031500109249001XC0F</t>
  </si>
  <si>
    <t>ES0031500112469004XT0F-30840493</t>
  </si>
  <si>
    <t>ES0031500112469004XT0F</t>
  </si>
  <si>
    <t>ES0031500115808506YV0F-30852813</t>
  </si>
  <si>
    <t>ES0031500115808506YV0F</t>
  </si>
  <si>
    <t>ES0031500129973005YN0F-30824296</t>
  </si>
  <si>
    <t>ES0031500129973005YN0F</t>
  </si>
  <si>
    <t>ES0031500131796005DD0F-30833371</t>
  </si>
  <si>
    <t>ES0031500131796005DD0F</t>
  </si>
  <si>
    <t>ES0031500136585015PM0F-30844946</t>
  </si>
  <si>
    <t>ES0031500136585015PM0F</t>
  </si>
  <si>
    <t>ES0031500139121010YC0F-30823668</t>
  </si>
  <si>
    <t>ES0031500139121010YC0F</t>
  </si>
  <si>
    <t>ES0031500183393001YR0F-30846433</t>
  </si>
  <si>
    <t>ES0031500183393001YR0F</t>
  </si>
  <si>
    <t>ES0031500511860002CT0F-30844463</t>
  </si>
  <si>
    <t>ES0031500511860002CT0F</t>
  </si>
  <si>
    <t>ES0031500512872001CE0F-30845361</t>
  </si>
  <si>
    <t>ES0031500512872001CE0F</t>
  </si>
  <si>
    <t>ES0031500537046005XZ0F-30841551</t>
  </si>
  <si>
    <t>ES0031500537046005XZ0F</t>
  </si>
  <si>
    <t>ES0031500563627009WX0F-30835775</t>
  </si>
  <si>
    <t>ES0031500563627009WX0F</t>
  </si>
  <si>
    <t>ES0031500576138004PV0F-30812673</t>
  </si>
  <si>
    <t>ES0031500576138004PV0F</t>
  </si>
  <si>
    <t>ES0031500595373003XR0F-30825402</t>
  </si>
  <si>
    <t>ES0031500595373003XR0F</t>
  </si>
  <si>
    <t>ES0031500606852016CJ0F-30836815</t>
  </si>
  <si>
    <t>ES0031500606852016CJ0F</t>
  </si>
  <si>
    <t>ES0031500614072004YW0F-30846236</t>
  </si>
  <si>
    <t>ES0031500614072004YW0F</t>
  </si>
  <si>
    <t>ES0031500616138006VY0F-30843310</t>
  </si>
  <si>
    <t>ES0031500616138006VY0F</t>
  </si>
  <si>
    <t>ES0031500620703010MQ0F-30825179</t>
  </si>
  <si>
    <t>ES0031500620703010MQ0F</t>
  </si>
  <si>
    <t>ES0031500671564003HM0F-30817423</t>
  </si>
  <si>
    <t>ES0031500671564003HM0F</t>
  </si>
  <si>
    <t>ES0031500688470001GZ0F-30827714</t>
  </si>
  <si>
    <t>ES0031500688470001GZ0F</t>
  </si>
  <si>
    <t>ES0031500691387001PQ0F-30818415</t>
  </si>
  <si>
    <t>ES0031500691387001PQ0F</t>
  </si>
  <si>
    <t>ES0031500691504001NS0F-30818416</t>
  </si>
  <si>
    <t>ES0031500691504001NS0F</t>
  </si>
  <si>
    <t>ES0031500691932001ZP0F-30826135</t>
  </si>
  <si>
    <t>ES0031500691932001ZP0F</t>
  </si>
  <si>
    <t>ES0031500692289001BW0F-30818417</t>
  </si>
  <si>
    <t>ES0031500692289001BW0F</t>
  </si>
  <si>
    <t>ES0031500692529001AC0F-30814699</t>
  </si>
  <si>
    <t>ES0031500692529001AC0F</t>
  </si>
  <si>
    <t>ES0031600401447109SD0F-30833801</t>
  </si>
  <si>
    <t>ES0031600401447109SD0F</t>
  </si>
  <si>
    <t>ES0031601007188002BE0F-30810056</t>
  </si>
  <si>
    <t>ES0031601007188002BE0F</t>
  </si>
  <si>
    <t>ES0031601009458003ZS0F-30817249</t>
  </si>
  <si>
    <t>ES0031601009458003ZS0F</t>
  </si>
  <si>
    <t>ES0031601012494087KF0F-30846107</t>
  </si>
  <si>
    <t>ES0031601012494087KF0F</t>
  </si>
  <si>
    <t>ES0031601030951007AW0F-30836990</t>
  </si>
  <si>
    <t>ES0031601030951007AW0F</t>
  </si>
  <si>
    <t>ES0031601034697013DK0F-30841061</t>
  </si>
  <si>
    <t>ES0031601034697013DK0F</t>
  </si>
  <si>
    <t>ES0031601060086004VW0F-30809926</t>
  </si>
  <si>
    <t>ES0031601060086004VW0F</t>
  </si>
  <si>
    <t>ES0031601069123013KN0F-30833105</t>
  </si>
  <si>
    <t>ES0031601069123013KN0F</t>
  </si>
  <si>
    <t>ES0031601070359006DP0F-30840632</t>
  </si>
  <si>
    <t>ES0031601070359006DP0F</t>
  </si>
  <si>
    <t>ES0031601075633001AB0F-30834274</t>
  </si>
  <si>
    <t>ES0031601075633001AB0F</t>
  </si>
  <si>
    <t>ES0031601076058002NH0F-30820974</t>
  </si>
  <si>
    <t>ES0031601076058002NH0F</t>
  </si>
  <si>
    <t>ES0031601081301006QB0F-30832946</t>
  </si>
  <si>
    <t>ES0031601081301006QB0F</t>
  </si>
  <si>
    <t>ES0031601094584004PA0F-30811680</t>
  </si>
  <si>
    <t>ES0031601094584004PA0F</t>
  </si>
  <si>
    <t>ES0031601116039009TX0F-30811744</t>
  </si>
  <si>
    <t>ES0031601116039009TX0F</t>
  </si>
  <si>
    <t>ES0031601116039010TB0F-30812183</t>
  </si>
  <si>
    <t>ES0031601116039010TB0F</t>
  </si>
  <si>
    <t>ES0031601116992006NW0F-30837773</t>
  </si>
  <si>
    <t>ES0031601116992006NW0F</t>
  </si>
  <si>
    <t>ES0031601144336005BZ0F-30829395</t>
  </si>
  <si>
    <t>ES0031601144336005BZ0F</t>
  </si>
  <si>
    <t>ES0031601158602062XE0F-30837481</t>
  </si>
  <si>
    <t>ES0031601158602062XE0F</t>
  </si>
  <si>
    <t>ES0031601158627007ZN0F-30833502</t>
  </si>
  <si>
    <t>ES0031601158627007ZN0F</t>
  </si>
  <si>
    <t>ES0031601188852034HA0F-30811060</t>
  </si>
  <si>
    <t>ES0031601188852034HA0F</t>
  </si>
  <si>
    <t>ES0031601220643002AA0F-30853325</t>
  </si>
  <si>
    <t>ES0031601220643002AA0F</t>
  </si>
  <si>
    <t>ES0031601228462011CR0F-30811489</t>
  </si>
  <si>
    <t>ES0031601228462011CR0F</t>
  </si>
  <si>
    <t>ES0031601248721001ZQ0F-30846973</t>
  </si>
  <si>
    <t>ES0031601248721001ZQ0F</t>
  </si>
  <si>
    <t>ES0031601251232001FZ0F-30824261</t>
  </si>
  <si>
    <t>ES0031601251232001FZ0F</t>
  </si>
  <si>
    <t>ES0031601297298004ZF0F-30835648</t>
  </si>
  <si>
    <t>ES0031601297298004ZF0F</t>
  </si>
  <si>
    <t>ES0031601302554001FK0F-30838903</t>
  </si>
  <si>
    <t>ES0031601302554001FK0F</t>
  </si>
  <si>
    <t>ES0031601303735014CF0F-30832047</t>
  </si>
  <si>
    <t>ES0031601303735014CF0F</t>
  </si>
  <si>
    <t>ES0031601305833001LA0F-30839691</t>
  </si>
  <si>
    <t>ES0031601305833001LA0F</t>
  </si>
  <si>
    <t>ES0031601313665001WC0F-30815576</t>
  </si>
  <si>
    <t>ES0031601313665001WC0F</t>
  </si>
  <si>
    <t>ES0031601313813005CL0F-30841366</t>
  </si>
  <si>
    <t>ES0031601313813005CL0F</t>
  </si>
  <si>
    <t>ES0031601319157008EH0F-30833163</t>
  </si>
  <si>
    <t>ES0031601319157008EH0F</t>
  </si>
  <si>
    <t>ES0031601323273001QT0F-30809071</t>
  </si>
  <si>
    <t>ES0031601323273001QT0F</t>
  </si>
  <si>
    <t>ES0031601324073001EZ0F-30825534</t>
  </si>
  <si>
    <t>ES0031601324073001EZ0F</t>
  </si>
  <si>
    <t>ES0031601327161001DB0F-30822367</t>
  </si>
  <si>
    <t>ES0031601327161001DB0F</t>
  </si>
  <si>
    <t>ES0031601327794005TD0F-30822741</t>
  </si>
  <si>
    <t>ES0031601327794005TD0F</t>
  </si>
  <si>
    <t>ES0031601328090001NH0F-30809017</t>
  </si>
  <si>
    <t>ES0031601328090001NH0F</t>
  </si>
  <si>
    <t>ES0031601330370001JM0F-30841513</t>
  </si>
  <si>
    <t>ES0031601330370001JM0F</t>
  </si>
  <si>
    <t>ES0031601332419001KG0F-30813835</t>
  </si>
  <si>
    <t>ES0031601332419001KG0F</t>
  </si>
  <si>
    <t>ES0031601334762001TV0F-30807916</t>
  </si>
  <si>
    <t>ES0031601334762001TV0F</t>
  </si>
  <si>
    <t>ES0031601335620001EW0F-30815019</t>
  </si>
  <si>
    <t>ES0031601335620001EW0F</t>
  </si>
  <si>
    <t>ES0031601335620003EG0F-30845786</t>
  </si>
  <si>
    <t>ES0031601335620003EG0F</t>
  </si>
  <si>
    <t>ES0031601335736001MJ0F-30812725</t>
  </si>
  <si>
    <t>ES0031601335736001MJ0F</t>
  </si>
  <si>
    <t>ES0031601338325001PH0F-30840586</t>
  </si>
  <si>
    <t>ES0031601338325001PH0F</t>
  </si>
  <si>
    <t>ES0031607003660007PW0F-30809955</t>
  </si>
  <si>
    <t>ES0031607003660007PW0F</t>
  </si>
  <si>
    <t>ES0031607007680017ZA0F-30839692</t>
  </si>
  <si>
    <t>ES0031607007680017ZA0F</t>
  </si>
  <si>
    <t>ES0031607068670085VM0F-30809627</t>
  </si>
  <si>
    <t>ES0031607068670085VM0F</t>
  </si>
  <si>
    <t>ES0031607131536001CK0F-30840303</t>
  </si>
  <si>
    <t>ES0031607131536001CK0F</t>
  </si>
  <si>
    <t>ES0031607138127002YG0F-30821398</t>
  </si>
  <si>
    <t>ES0031607138127002YG0F</t>
  </si>
  <si>
    <t>ES0031607138261001JM0F-30839943</t>
  </si>
  <si>
    <t>ES0031607138261001JM0F</t>
  </si>
  <si>
    <t>ES0031607148104002PH0F-30838173</t>
  </si>
  <si>
    <t>ES0031607148104002PH0F</t>
  </si>
  <si>
    <t>ES0031607148455003CQ0F-30842833</t>
  </si>
  <si>
    <t>ES0031607148455003CQ0F</t>
  </si>
  <si>
    <t>ES0031607181912001ZH0F-30814501</t>
  </si>
  <si>
    <t>ES0031607181912001ZH0F</t>
  </si>
  <si>
    <t>ES0031607233841012WC0F-30809405</t>
  </si>
  <si>
    <t>ES0031607233841012WC0F</t>
  </si>
  <si>
    <t>ES0031607273016007KN0F-30847368</t>
  </si>
  <si>
    <t>ES0031607273016007KN0F</t>
  </si>
  <si>
    <t>ES0031607290178002YM0F-30839822</t>
  </si>
  <si>
    <t>ES0031607290178002YM0F</t>
  </si>
  <si>
    <t>ES0031607302062001YL0F-30824606</t>
  </si>
  <si>
    <t>ES0031607302062001YL0F</t>
  </si>
  <si>
    <t>ES0031607341487012QV0F-30841514</t>
  </si>
  <si>
    <t>ES0031607341487012QV0F</t>
  </si>
  <si>
    <t>ES0031607458400006YD0F-30832658</t>
  </si>
  <si>
    <t>ES0031607458400006YD0F</t>
  </si>
  <si>
    <t>ES0031607485796013JA0F-30824322</t>
  </si>
  <si>
    <t>ES0031607485796013JA0F</t>
  </si>
  <si>
    <t>ES0031607488282002EZ0F-30834026</t>
  </si>
  <si>
    <t>ES0031607488282002EZ0F</t>
  </si>
  <si>
    <t>ES0031607493343008WP0F-30841515</t>
  </si>
  <si>
    <t>ES0031607493343008WP0F</t>
  </si>
  <si>
    <t>ES0031607507947001CJ0F-30836361</t>
  </si>
  <si>
    <t>ES0031607507947001CJ0F</t>
  </si>
  <si>
    <t>ES0031607516331008SZ0F-30815223</t>
  </si>
  <si>
    <t>ES0031607516331008SZ0F</t>
  </si>
  <si>
    <t>ES0031607527738002EC0F-30839554</t>
  </si>
  <si>
    <t>ES0031607527738002EC0F</t>
  </si>
  <si>
    <t>ES0031607531520002FS0F-30821155</t>
  </si>
  <si>
    <t>ES0031607531520002FS0F</t>
  </si>
  <si>
    <t>ES0031607585957021LJ0F-30810180</t>
  </si>
  <si>
    <t>ES0031607585957021LJ0F</t>
  </si>
  <si>
    <t>ES0031607599033002AB0F-30845680</t>
  </si>
  <si>
    <t>ES0031607599033002AB0F</t>
  </si>
  <si>
    <t>ES0031607601995081NN0F-30814345</t>
  </si>
  <si>
    <t>ES0031607601995081NN0F</t>
  </si>
  <si>
    <t>ES0031607602926253HY0F-30841516</t>
  </si>
  <si>
    <t>ES0031607602926253HY0F</t>
  </si>
  <si>
    <t>ES0031607603112004KD0F-30841519</t>
  </si>
  <si>
    <t>ES0031607603112004KD0F</t>
  </si>
  <si>
    <t>ES0031607605741004SV0F-30841517</t>
  </si>
  <si>
    <t>ES0031607605741004SV0F</t>
  </si>
  <si>
    <t>ES0401668612088047SF0F-30841505</t>
  </si>
  <si>
    <t>ES0401668612088047SF0F</t>
  </si>
  <si>
    <t>ES0030320148218003PM0F-30875955</t>
  </si>
  <si>
    <t>ES0030320148218003PM0F</t>
  </si>
  <si>
    <t>ES0030320148218004PY0F-30875954</t>
  </si>
  <si>
    <t>ES0030320148218004PY0F</t>
  </si>
  <si>
    <t>ES0031101310343001MF0F-30858417</t>
  </si>
  <si>
    <t>ES0031101310343001MF0F</t>
  </si>
  <si>
    <t>10/01/20188</t>
  </si>
  <si>
    <t>ES0031101322140025LD0F-30842834</t>
  </si>
  <si>
    <t>ES0031101322140025LD0F</t>
  </si>
  <si>
    <t>ES0031101526083010FQ0F-30862249</t>
  </si>
  <si>
    <t>ES0031101526083010FQ0F</t>
  </si>
  <si>
    <t>ES0031101617435001DD0F-30838022</t>
  </si>
  <si>
    <t>ES0031101617435001DD0F</t>
  </si>
  <si>
    <t>ES0031101634888014CR0F-30845054</t>
  </si>
  <si>
    <t>ES0031101634888014CR0F</t>
  </si>
  <si>
    <t>ES0031101637919023JR0F-30862200</t>
  </si>
  <si>
    <t>ES0031101637919023JR0F</t>
  </si>
  <si>
    <t>ES0031101643483002BG0F-30864772</t>
  </si>
  <si>
    <t>ES0031101643483002BG0F</t>
  </si>
  <si>
    <t>ES0031101666710004LL0F-30838557</t>
  </si>
  <si>
    <t>ES0031101666710004LL0F</t>
  </si>
  <si>
    <t>ES0031101674422002FW0F-30833333</t>
  </si>
  <si>
    <t>ES0031101674422002FW0F</t>
  </si>
  <si>
    <t>ES0031101748648013WE0F-30825789</t>
  </si>
  <si>
    <t>ES0031101748648013WE0F</t>
  </si>
  <si>
    <t>ES0031101782594001MB0F-30869605</t>
  </si>
  <si>
    <t>ES0031101782594001MB0F</t>
  </si>
  <si>
    <t>ES0031101869348045NX0F-30866071</t>
  </si>
  <si>
    <t>ES0031101869348045NX0F</t>
  </si>
  <si>
    <t>ES0031101880789001RF0F-30839040</t>
  </si>
  <si>
    <t>ES0031101880789001RF0F</t>
  </si>
  <si>
    <t>ES0031101936470024GP0F-30840134</t>
  </si>
  <si>
    <t>ES0031101936470024GP0F</t>
  </si>
  <si>
    <t>ES0031102010799005SG0F-30874025</t>
  </si>
  <si>
    <t>ES0031102010799005SG0F</t>
  </si>
  <si>
    <t>ES0031102011410001SM0F-30858384</t>
  </si>
  <si>
    <t>ES0031102011410001SM0F</t>
  </si>
  <si>
    <t>ES0031102012026009AG0F-30814684</t>
  </si>
  <si>
    <t>ES0031102012026009AG0F</t>
  </si>
  <si>
    <t>ES0031102012312003VQ0F-30870882</t>
  </si>
  <si>
    <t>ES0031102012312003VQ0F</t>
  </si>
  <si>
    <t>ES0031102050807007AN0F-30838951</t>
  </si>
  <si>
    <t>ES0031102050807007AN0F</t>
  </si>
  <si>
    <t>ES0031102057056003TT0F-30841795</t>
  </si>
  <si>
    <t>ES0031102057056003TT0F</t>
  </si>
  <si>
    <t>ES0031102122319002BQ0F-30858573</t>
  </si>
  <si>
    <t>ES0031102122319002BQ0F</t>
  </si>
  <si>
    <t>ES0031102123621001VP0F-30815413</t>
  </si>
  <si>
    <t>ES0031102123621001VP0F</t>
  </si>
  <si>
    <t>ES0031102137936001MS0F-30856252</t>
  </si>
  <si>
    <t>ES0031102137936001MS0F</t>
  </si>
  <si>
    <t>ES0031102185117001YB0F-30842407</t>
  </si>
  <si>
    <t>ES0031102185117001YB0F</t>
  </si>
  <si>
    <t>ES0031102213144001PQ0F-30841917</t>
  </si>
  <si>
    <t>ES0031102213144001PQ0F</t>
  </si>
  <si>
    <t>ES0031102225003017GW0F-30831761</t>
  </si>
  <si>
    <t>ES0031102225003017GW0F</t>
  </si>
  <si>
    <t>ES0031102227079028JX0F-30870766</t>
  </si>
  <si>
    <t>ES0031102227079028JX0F</t>
  </si>
  <si>
    <t>ES0031102229428016TP0F-30832775</t>
  </si>
  <si>
    <t>ES0031102229428016TP0F</t>
  </si>
  <si>
    <t>ES0031102231527008LC0F-30868111</t>
  </si>
  <si>
    <t>ES0031102242926002RF0F-30854971</t>
  </si>
  <si>
    <t>ES0031102242926002RF0F</t>
  </si>
  <si>
    <t>ES0031102245296003GL0F-30856782</t>
  </si>
  <si>
    <t>ES0031102252584012AH0F-30858472</t>
  </si>
  <si>
    <t>ES0031102252584012AH0F</t>
  </si>
  <si>
    <t>ES0031102256903001JK0F-30852294</t>
  </si>
  <si>
    <t>ES0031102256903001JK0F</t>
  </si>
  <si>
    <t>ES0031102263578003VD0F-30869607</t>
  </si>
  <si>
    <t>ES0031102263578003VD0F</t>
  </si>
  <si>
    <t>ES0031102266957008YS0F-30858625</t>
  </si>
  <si>
    <t>ES0031102266957008YS0F</t>
  </si>
  <si>
    <t>ES0031102277211006TS0F-30874642</t>
  </si>
  <si>
    <t>ES0031102277211006TS0F</t>
  </si>
  <si>
    <t>ES0031102280160006QR0F-30861534</t>
  </si>
  <si>
    <t>ES0031102280160006QR0F</t>
  </si>
  <si>
    <t>ES0031102283882001JK0F-30869045</t>
  </si>
  <si>
    <t>ES0031102283882001JK0F</t>
  </si>
  <si>
    <t>ES0031102289249004AC0F-30832758</t>
  </si>
  <si>
    <t>ES0031102289249004AC0F</t>
  </si>
  <si>
    <t>ES0031102290488001FF0F-30861505</t>
  </si>
  <si>
    <t>ES0031102290488001FF0F</t>
  </si>
  <si>
    <t>ES0031102296219001EM0F-30810327</t>
  </si>
  <si>
    <t>ES0031102296219001EM0F</t>
  </si>
  <si>
    <t>ES0031102316046001WQ0F-30826132</t>
  </si>
  <si>
    <t>ES0031102316046001WQ0F</t>
  </si>
  <si>
    <t>ES0031102367338016XF0F-30847959</t>
  </si>
  <si>
    <t>ES0031102367338016XF0F</t>
  </si>
  <si>
    <t>ES0031102371403004QK0F-30862258</t>
  </si>
  <si>
    <t>ES0031102371403004QK0F</t>
  </si>
  <si>
    <t>ES0031102415107001EQ0F-30823108</t>
  </si>
  <si>
    <t>ES0031102415107001EQ0F</t>
  </si>
  <si>
    <t>ES0031102433065011RV0F-30864861</t>
  </si>
  <si>
    <t>ES0031102433065011RV0F</t>
  </si>
  <si>
    <t>ES0031102445007015VF0F-30867477</t>
  </si>
  <si>
    <t>ES0031102445007015VF0F</t>
  </si>
  <si>
    <t>ES0031102525604001TW0F-30864819</t>
  </si>
  <si>
    <t>ES0031102525604001TW0F</t>
  </si>
  <si>
    <t>ES0031102533168001SS0F-30845357</t>
  </si>
  <si>
    <t>ES0031102533168001SS0F</t>
  </si>
  <si>
    <t>ES0031102537496011GT0F-30861420</t>
  </si>
  <si>
    <t>ES0031102537496011GT0F</t>
  </si>
  <si>
    <t>ES0031102540482001VS0F-30869941</t>
  </si>
  <si>
    <t>ES0031102540482001VS0F</t>
  </si>
  <si>
    <t>ES0031102552598047XY0F-30871657</t>
  </si>
  <si>
    <t>ES0031102552598047XY0F</t>
  </si>
  <si>
    <t>ES0031102554675002ZS0F-30868478</t>
  </si>
  <si>
    <t>ES0031102554675002ZS0F</t>
  </si>
  <si>
    <t>ES0031102556818019QF0F-30837244</t>
  </si>
  <si>
    <t>ES0031102556818019QF0F</t>
  </si>
  <si>
    <t>ES0031102561200007MN0F-30832482</t>
  </si>
  <si>
    <t>ES0031102561200007MN0F</t>
  </si>
  <si>
    <t>ES0031102584563001SC0F-30820868</t>
  </si>
  <si>
    <t>ES0031102584563001SC0F</t>
  </si>
  <si>
    <t>ES0031102589059001VA0F-30868578</t>
  </si>
  <si>
    <t>ES0031102589059001VA0F</t>
  </si>
  <si>
    <t>ES0031102625105001ZN0F-30869252</t>
  </si>
  <si>
    <t>ES0031102625105001ZN0F</t>
  </si>
  <si>
    <t>ES0031102626548007DK0F-30837593</t>
  </si>
  <si>
    <t>ES0031102626548007DK0F</t>
  </si>
  <si>
    <t>ES0031102646955002EJ0F-30863184</t>
  </si>
  <si>
    <t>ES0031102646955002EJ0F</t>
  </si>
  <si>
    <t>ES0031102649768016JN0F-30873190</t>
  </si>
  <si>
    <t>ES0031102649768016JN0F</t>
  </si>
  <si>
    <t>ES0031102683111001HN0F-30863250</t>
  </si>
  <si>
    <t>ES0031102683111001HN0F</t>
  </si>
  <si>
    <t>ES0031102728825008QR0F-30861591</t>
  </si>
  <si>
    <t>ES0031102728825008QR0F</t>
  </si>
  <si>
    <t>ES0031102730084005SR0F-30838505</t>
  </si>
  <si>
    <t>ES0031102730084005SR0F</t>
  </si>
  <si>
    <t>ES0031102767664058XD0F-30875865</t>
  </si>
  <si>
    <t>ES0031102767664058XD0F</t>
  </si>
  <si>
    <t>ES0031102793889006TN0F-30839261</t>
  </si>
  <si>
    <t>ES0031102793889006TN0F</t>
  </si>
  <si>
    <t>ES0031102810669001MN0F-30811193</t>
  </si>
  <si>
    <t>ES0031102810669001MN0F</t>
  </si>
  <si>
    <t>ES0031102852071002CN0F-30873206</t>
  </si>
  <si>
    <t>ES0031102852071002CN0F</t>
  </si>
  <si>
    <t>ES0031102862087002QH0F-30858471</t>
  </si>
  <si>
    <t>ES0031102862087002QH0F</t>
  </si>
  <si>
    <t>ES0031102872908009FP0F-30865196</t>
  </si>
  <si>
    <t>ES0031102872908009FP0F</t>
  </si>
  <si>
    <t>ES0031102873334010ZA0F-30868023</t>
  </si>
  <si>
    <t>ES0031102873334010ZA0F</t>
  </si>
  <si>
    <t>ES0031102887127002FX0F-30874057</t>
  </si>
  <si>
    <t>ES0031102887127002FX0F</t>
  </si>
  <si>
    <t>ES0031102894110001QW0F-30815140</t>
  </si>
  <si>
    <t>ES0031102894110001QW0F</t>
  </si>
  <si>
    <t>ES0031102957604001AH0F-30831682</t>
  </si>
  <si>
    <t>ES0031102957604001AH0F</t>
  </si>
  <si>
    <t>ES0031102997201041HM0F-30833213</t>
  </si>
  <si>
    <t>ES0031102997201041HM0F</t>
  </si>
  <si>
    <t>ES0031103007812053DJ0F-30845591</t>
  </si>
  <si>
    <t>ES0031103007812053DJ0F</t>
  </si>
  <si>
    <t>ES0031103007827001SB0F-30868056</t>
  </si>
  <si>
    <t>ES0031103007827001SB0F</t>
  </si>
  <si>
    <t>ES0031103033529002SH0F-30875262</t>
  </si>
  <si>
    <t>ES0031103033529002SH0F</t>
  </si>
  <si>
    <t>ES0031103035773012SX0F-30811537</t>
  </si>
  <si>
    <t>ES0031103035773012SX0F</t>
  </si>
  <si>
    <t>ES0031103044840001NP0F-30873059</t>
  </si>
  <si>
    <t>ES0031103057035001XV0F-30841078</t>
  </si>
  <si>
    <t>ES0031103057035001XV0F</t>
  </si>
  <si>
    <t>ES0031103060400003NG0F-30864441</t>
  </si>
  <si>
    <t>ES0031103060400003NG0F</t>
  </si>
  <si>
    <t>ES0031103080453006CC0F-30860390</t>
  </si>
  <si>
    <t>ES0031103080453006CC0F</t>
  </si>
  <si>
    <t>ES0031103083207019EJ0F-30833345</t>
  </si>
  <si>
    <t>ES0031103083207019EJ0F</t>
  </si>
  <si>
    <t>ES0031103083809001KQ0F-30840670</t>
  </si>
  <si>
    <t>ES0031103083809001KQ0F</t>
  </si>
  <si>
    <t>ES0031103109454010MW0F-30826268</t>
  </si>
  <si>
    <t>ES0031103109454010MW0F</t>
  </si>
  <si>
    <t>ES0031103111499026TL0F-30846016</t>
  </si>
  <si>
    <t>ES0031103111499026TL0F</t>
  </si>
  <si>
    <t>ES0031103113980001EF0F-30840497</t>
  </si>
  <si>
    <t>ES0031103113980001EF0F</t>
  </si>
  <si>
    <t>ES0031103114563230BW0F-30875121</t>
  </si>
  <si>
    <t>ES0031103114563230BW0F</t>
  </si>
  <si>
    <t>ES0031103115127018MZ0F-30864125</t>
  </si>
  <si>
    <t>ES0031103115127018MZ0F</t>
  </si>
  <si>
    <t>ES0031103116657001XZ0F-30838949</t>
  </si>
  <si>
    <t>ES0031103116657001XZ0F</t>
  </si>
  <si>
    <t>ES0031103118125008NT0F-30839842</t>
  </si>
  <si>
    <t>ES0031103118125008NT0F</t>
  </si>
  <si>
    <t>ES0031103119363001VH0F-30869808</t>
  </si>
  <si>
    <t>ES0031103119363001VH0F</t>
  </si>
  <si>
    <t>ES0031103122177023YJ0F-30861302</t>
  </si>
  <si>
    <t>ES0031103122177023YJ0F</t>
  </si>
  <si>
    <t>ES0031103123650063LH0F-30870739</t>
  </si>
  <si>
    <t>ES0031103123650063LH0F</t>
  </si>
  <si>
    <t>ES0031103174843003CH0F-30876684</t>
  </si>
  <si>
    <t>ES0031103174843003CH0F</t>
  </si>
  <si>
    <t>ES0031103203925001FB0F-30841674</t>
  </si>
  <si>
    <t>ES0031103203925001FB0F</t>
  </si>
  <si>
    <t>ES0031103219009001BJ0F-30838870</t>
  </si>
  <si>
    <t>ES0031103219009001BJ0F</t>
  </si>
  <si>
    <t>ES0031103231347004VB0F-30862053</t>
  </si>
  <si>
    <t>ES0031103231347004VB0F</t>
  </si>
  <si>
    <t>ES0031103231433001FB0F-30825496</t>
  </si>
  <si>
    <t>ES0031103231433001FB0F</t>
  </si>
  <si>
    <t>ES0031103236786011XR0F-30855057</t>
  </si>
  <si>
    <t>ES0031103236786011XR0F</t>
  </si>
  <si>
    <t>ES0031103274687001KG0F-30836241</t>
  </si>
  <si>
    <t>ES0031103274687001KG0F</t>
  </si>
  <si>
    <t>ES0031103292205003MX0F-30833859</t>
  </si>
  <si>
    <t>ES0031103292205003MX0F</t>
  </si>
  <si>
    <t>ES0031103300286002MM0F-30870755</t>
  </si>
  <si>
    <t>ES0031103300286002MM0F</t>
  </si>
  <si>
    <t>ES0031103317203026BT0F-30811946</t>
  </si>
  <si>
    <t>ES0031103317203026BT0F</t>
  </si>
  <si>
    <t>ES0031103323206005YW0F-30865724</t>
  </si>
  <si>
    <t>ES0031103323206005YW0F</t>
  </si>
  <si>
    <t>ES0031103324310001GK0F-30824601</t>
  </si>
  <si>
    <t>ES0031103324310001GK0F</t>
  </si>
  <si>
    <t>ES0031103375386009GK0F-30841464</t>
  </si>
  <si>
    <t>ES0031103375386009GK0F</t>
  </si>
  <si>
    <t>ES0031103459220001JW0F-30810734</t>
  </si>
  <si>
    <t>ES0031103459220001JW0F</t>
  </si>
  <si>
    <t>ES0031103480043001BK0F-30874861</t>
  </si>
  <si>
    <t>ES0031103480889016HG0F-30867934</t>
  </si>
  <si>
    <t>ES0031103532137001CX0F-30874947</t>
  </si>
  <si>
    <t>ES0031103532137001CX0F</t>
  </si>
  <si>
    <t>ES0031103562744068MB0F-30874342</t>
  </si>
  <si>
    <t>ES0031103562744068MB0F</t>
  </si>
  <si>
    <t>ES0031103576503013JB0F-30867629</t>
  </si>
  <si>
    <t>ES0031103576503013JB0F</t>
  </si>
  <si>
    <t>ES0031103594557017AG0F-30870761</t>
  </si>
  <si>
    <t>ES0031103594557017AG0F</t>
  </si>
  <si>
    <t>ES0031103610289001MB0F-30862102</t>
  </si>
  <si>
    <t>ES0031103610289001MB0F</t>
  </si>
  <si>
    <t>ES0031103618361011MX0F-30856673</t>
  </si>
  <si>
    <t>ES0031103618361011MX0F</t>
  </si>
  <si>
    <t>ES0031103620858019BT0F-30861860</t>
  </si>
  <si>
    <t>ES0031103620858019BT0F</t>
  </si>
  <si>
    <t>ES0031103635841001QT0F-30866223</t>
  </si>
  <si>
    <t>ES0031103635841001QT0F</t>
  </si>
  <si>
    <t>ES0031103636040001CG0F-30863877</t>
  </si>
  <si>
    <t>ES0031103636040001CG0F</t>
  </si>
  <si>
    <t>ES0031103639657001FR0F-30828214</t>
  </si>
  <si>
    <t>ES0031103639657001FR0F</t>
  </si>
  <si>
    <t>ES0031103658818186LR0F-30870567</t>
  </si>
  <si>
    <t>ES0031103658818186LR0F</t>
  </si>
  <si>
    <t>ES0031103728596008ED0F-30863721</t>
  </si>
  <si>
    <t>ES0031103728596008ED0F</t>
  </si>
  <si>
    <t>ES0031104001484001YV0F-30873038</t>
  </si>
  <si>
    <t>ES0031104001484001YV0F</t>
  </si>
  <si>
    <t>ES0031104009370003SD0F-30840734</t>
  </si>
  <si>
    <t>ES0031104009370003SD0F</t>
  </si>
  <si>
    <t>ES0031104010004025GJ0F-30874528</t>
  </si>
  <si>
    <t>ES0031104010004025GJ0F</t>
  </si>
  <si>
    <t>ES0031104017199003YQ0F-30842165</t>
  </si>
  <si>
    <t>ES0031104017199003YQ0F</t>
  </si>
  <si>
    <t>ES0031104018759014YY0F-30871285</t>
  </si>
  <si>
    <t>ES0031104018759014YY0F</t>
  </si>
  <si>
    <t>ES0031104030672005WD0F-30873840</t>
  </si>
  <si>
    <t>ES0031104030672005WD0F</t>
  </si>
  <si>
    <t>ES0031104031050013SN0F-30873638</t>
  </si>
  <si>
    <t>ES0031104031050013SN0F</t>
  </si>
  <si>
    <t>ES0031104079212001AT0F-30865200</t>
  </si>
  <si>
    <t>ES0031104079212001AT0F</t>
  </si>
  <si>
    <t>ES0031104132893001BN0F-30811437</t>
  </si>
  <si>
    <t>ES0031104132893001BN0F</t>
  </si>
  <si>
    <t>ES0031104140676002AC0F-30864892</t>
  </si>
  <si>
    <t>ES0031104140676002AC0F</t>
  </si>
  <si>
    <t>ES0031104145509027FD0F-30868553</t>
  </si>
  <si>
    <t>ES0031104145509027FD0F</t>
  </si>
  <si>
    <t>ES0031104149296001RX0F-30861376</t>
  </si>
  <si>
    <t>ES0031104149296001RX0F</t>
  </si>
  <si>
    <t>ES0031104161940004VQ0F-30871168</t>
  </si>
  <si>
    <t>ES0031104161940004VQ0F</t>
  </si>
  <si>
    <t>ES0031104164246001KX0F-30873289</t>
  </si>
  <si>
    <t>ES0031104164246001KX0F</t>
  </si>
  <si>
    <t>ES0031104167538009TM0F-30870005</t>
  </si>
  <si>
    <t>ES0031104167538009TM0F</t>
  </si>
  <si>
    <t>ES0031104168149001TW0F-30874069</t>
  </si>
  <si>
    <t>ES0031104168149001TW0F</t>
  </si>
  <si>
    <t>ES0031104182079001QY0F-30830891</t>
  </si>
  <si>
    <t>ES0031104182079001QY0F</t>
  </si>
  <si>
    <t>ES0031104191020005DJ0F-30844636</t>
  </si>
  <si>
    <t>ES0031104191020005DJ0F</t>
  </si>
  <si>
    <t>ES0031104228686001SJ0F-30821443</t>
  </si>
  <si>
    <t>ES0031104228686001SJ0F</t>
  </si>
  <si>
    <t>ES0031104266103002MQ0F-30858447</t>
  </si>
  <si>
    <t>ES0031104266103002MQ0F</t>
  </si>
  <si>
    <t>ES0031104278574041EH0F-30844915</t>
  </si>
  <si>
    <t>ES0031104278574041EH0F</t>
  </si>
  <si>
    <t>ES0031104282537015XT0F-30822615</t>
  </si>
  <si>
    <t>ES0031104282537015XT0F</t>
  </si>
  <si>
    <t>ES0031104283227008VQ0F-30860150</t>
  </si>
  <si>
    <t>ES0031104283227008VQ0F</t>
  </si>
  <si>
    <t>ES0031104288113001RG0F-30874919</t>
  </si>
  <si>
    <t>ES0031104288113001RG0F</t>
  </si>
  <si>
    <t>ES0031104331972004FP0F-30863720</t>
  </si>
  <si>
    <t>ES0031104331972004FP0F</t>
  </si>
  <si>
    <t>ES0031104379934010QE0F-30874975</t>
  </si>
  <si>
    <t>ES0031104379934010QE0F</t>
  </si>
  <si>
    <t>ES0031104388778003RD0F-30870181</t>
  </si>
  <si>
    <t>ES0031104388778003RD0F</t>
  </si>
  <si>
    <t>ES0031104392413005BE0F-30875496</t>
  </si>
  <si>
    <t>ES0031104392413005BE0F</t>
  </si>
  <si>
    <t>ES0031104411109016QT0F-30811576</t>
  </si>
  <si>
    <t>ES0031104411109016QT0F</t>
  </si>
  <si>
    <t>ES0031104412075026HX0F-30873283</t>
  </si>
  <si>
    <t>ES0031104412075026HX0F</t>
  </si>
  <si>
    <t>ES0031104424404001EL0F-30831841</t>
  </si>
  <si>
    <t>ES0031104424404001EL0F</t>
  </si>
  <si>
    <t>ES0031104426481017YC0F-30863643</t>
  </si>
  <si>
    <t>ES0031104426481017YC0F</t>
  </si>
  <si>
    <t>ES0031104432628034PB0F-30840815</t>
  </si>
  <si>
    <t>ES0031104432628034PB0F</t>
  </si>
  <si>
    <t>ES0031104436122001MW0F-30833348</t>
  </si>
  <si>
    <t>ES0031104436122001MW0F</t>
  </si>
  <si>
    <t>ES0031104441094009WP0F-30876553</t>
  </si>
  <si>
    <t>ES0031104441094009WP0F</t>
  </si>
  <si>
    <t>ES0031104451857027RS0F-30875513</t>
  </si>
  <si>
    <t>ES0031104451857027RS0F</t>
  </si>
  <si>
    <t>ES0031104453111025JF0F-30834209</t>
  </si>
  <si>
    <t>ES0031104453111025JF0F</t>
  </si>
  <si>
    <t>ES0031104455792012JE0F-30824358</t>
  </si>
  <si>
    <t>ES0031104455792012JE0F</t>
  </si>
  <si>
    <t>ES0031104465367003VK0F-30842243</t>
  </si>
  <si>
    <t>ES0031104465367003VK0F</t>
  </si>
  <si>
    <t>ES0031104492668043NS0F-30863519</t>
  </si>
  <si>
    <t>ES0031104492668043NS0F</t>
  </si>
  <si>
    <t>ES0031104493393030TL0F-30849272</t>
  </si>
  <si>
    <t>ES0031104493393030TL0F</t>
  </si>
  <si>
    <t>ES0031104510012092TV0F-30875382</t>
  </si>
  <si>
    <t>ES0031104510012092TV0F</t>
  </si>
  <si>
    <t>ES0031104513929001DA0F-30859865</t>
  </si>
  <si>
    <t>ES0031104513929001DA0F</t>
  </si>
  <si>
    <t>ES0031104542434027AW0F-30862633</t>
  </si>
  <si>
    <t>ES0031104542434027AW0F</t>
  </si>
  <si>
    <t>ES0031104542916001MB0F-30875940</t>
  </si>
  <si>
    <t>ES0031104542916001MB0F</t>
  </si>
  <si>
    <t>ES0031104546582001YH0F-30862466</t>
  </si>
  <si>
    <t>ES0031104546582001YH0F</t>
  </si>
  <si>
    <t>ES0031104547105001KK0F-30821308</t>
  </si>
  <si>
    <t>ES0031104547105001KK0F</t>
  </si>
  <si>
    <t>ES0031104558256002PR0F-30860126</t>
  </si>
  <si>
    <t>ES0031104558256002PR0F</t>
  </si>
  <si>
    <t>ES0031104583067009RB0F-30869194</t>
  </si>
  <si>
    <t>ES0031104583067009RB0F</t>
  </si>
  <si>
    <t>ES0031104584904001ZQ0F-30867966</t>
  </si>
  <si>
    <t>ES0031104584904001ZQ0F</t>
  </si>
  <si>
    <t>ES0031104595220008JV0F-30859613</t>
  </si>
  <si>
    <t>ES0031104595220008JV0F</t>
  </si>
  <si>
    <t>ES0031104605895009GM0F-30811278</t>
  </si>
  <si>
    <t>ES0031104605895009GM0F</t>
  </si>
  <si>
    <t>ES0031104610687008HT0F-30845384</t>
  </si>
  <si>
    <t>ES0031104610687008HT0F</t>
  </si>
  <si>
    <t>ES0031104618230011VS0F-30861955</t>
  </si>
  <si>
    <t>ES0031104618230011VS0F</t>
  </si>
  <si>
    <t>ES0031104629657001CF0F-30857094</t>
  </si>
  <si>
    <t>ES0031104629657001CF0F</t>
  </si>
  <si>
    <t>ES0031104630590011JE0F-30837360</t>
  </si>
  <si>
    <t>ES0031104630590011JE0F</t>
  </si>
  <si>
    <t>ES0031104631058001YP0F-30869606</t>
  </si>
  <si>
    <t>ES0031104631058001YP0F</t>
  </si>
  <si>
    <t>ES0031104636424052TK0F-30846683</t>
  </si>
  <si>
    <t>ES0031104636424052TK0F</t>
  </si>
  <si>
    <t>ES0031104636801040SQ0F-30827962</t>
  </si>
  <si>
    <t>ES0031104636801040SQ0F</t>
  </si>
  <si>
    <t>ES0031104640487005BR0F-30846141</t>
  </si>
  <si>
    <t>ES0031104640487005BR0F</t>
  </si>
  <si>
    <t>ES0031104640517022MA0F-30841469</t>
  </si>
  <si>
    <t>ES0031104640517022MA0F</t>
  </si>
  <si>
    <t>ES0031104646277003SW0F-30872085</t>
  </si>
  <si>
    <t>ES0031104646277003SW0F</t>
  </si>
  <si>
    <t>ES0031104649727037XJ0F-30820423</t>
  </si>
  <si>
    <t>ES0031104649727037XJ0F</t>
  </si>
  <si>
    <t>ES0031104659107017EH0F-30860240</t>
  </si>
  <si>
    <t>ES0031104671472083DP0F-30841138</t>
  </si>
  <si>
    <t>ES0031104671472083DP0F</t>
  </si>
  <si>
    <t>ES0031104673454002KV0F-30862948</t>
  </si>
  <si>
    <t>ES0031104673454002KV0F</t>
  </si>
  <si>
    <t>ES0031104696326005MS0F-30837250</t>
  </si>
  <si>
    <t>ES0031104696326005MS0F</t>
  </si>
  <si>
    <t>ES0031104710128005EZ0F-30839936</t>
  </si>
  <si>
    <t>ES0031104710128005EZ0F</t>
  </si>
  <si>
    <t>ES0031104784677012PH0F-30862391</t>
  </si>
  <si>
    <t>ES0031104784677012PH0F</t>
  </si>
  <si>
    <t>ES0031104787010001JW0F-30832310</t>
  </si>
  <si>
    <t>ES0031104787010001JW0F</t>
  </si>
  <si>
    <t>ES0031104791800017DS0F-30840351</t>
  </si>
  <si>
    <t>ES0031104791800017DS0F</t>
  </si>
  <si>
    <t>ES0031104794147007RQ0F-30832136</t>
  </si>
  <si>
    <t>ES0031104794147007RQ0F</t>
  </si>
  <si>
    <t>ES0031104803147021FS0F-30815234</t>
  </si>
  <si>
    <t>ES0031104803147021FS0F</t>
  </si>
  <si>
    <t>ES0031104807998001DL0F-30871860</t>
  </si>
  <si>
    <t>ES0031104807998001DL0F</t>
  </si>
  <si>
    <t>ES0031104812691001CF0F-30875239</t>
  </si>
  <si>
    <t>ES0031104812691001CF0F</t>
  </si>
  <si>
    <t>ES0031104813269003BL0F-30850837</t>
  </si>
  <si>
    <t>ES0031104813269003BL0F</t>
  </si>
  <si>
    <t>ES0031104818630039HP0F-30807019</t>
  </si>
  <si>
    <t>ES0031104818630039HP0F</t>
  </si>
  <si>
    <t>ES0031104819598001JS0F-30822385</t>
  </si>
  <si>
    <t>ES0031104819598001JS0F</t>
  </si>
  <si>
    <t>ES0031104828151007LB0F-30832395</t>
  </si>
  <si>
    <t>ES0031104828151007LB0F</t>
  </si>
  <si>
    <t>ES0031104832314008DN0F-30872639</t>
  </si>
  <si>
    <t>ES0031104832314008DN0F</t>
  </si>
  <si>
    <t>ES0031104832761016DS0F-30810295</t>
  </si>
  <si>
    <t>ES0031104832761016DS0F</t>
  </si>
  <si>
    <t>ES0031104833536026XV0F-30865201</t>
  </si>
  <si>
    <t>ES0031104833536026XV0F</t>
  </si>
  <si>
    <t>ES0031104841611003RQ0F-30861044</t>
  </si>
  <si>
    <t>ES0031104841611003RQ0F</t>
  </si>
  <si>
    <t>ES0031104851117008LY0F-30876154</t>
  </si>
  <si>
    <t>ES0031104851117008LY0F</t>
  </si>
  <si>
    <t>ES0031104870932014FY0F-30827271</t>
  </si>
  <si>
    <t>ES0031104870932014FY0F</t>
  </si>
  <si>
    <t>ES0031104872075021TM0F-30864373</t>
  </si>
  <si>
    <t>ES0031104872075021TM0F</t>
  </si>
  <si>
    <t>ES0031104873158001MF0F-30822620</t>
  </si>
  <si>
    <t>ES0031104873158001MF0F</t>
  </si>
  <si>
    <t>ES0031104873531001FQ0F-30875227</t>
  </si>
  <si>
    <t>ES0031104873531001FQ0F</t>
  </si>
  <si>
    <t>ES0031104875981014VT0F-30831726</t>
  </si>
  <si>
    <t>ES0031104875981014VT0F</t>
  </si>
  <si>
    <t>ES0031104880218016GB0F-30841470</t>
  </si>
  <si>
    <t>ES0031104880218016GB0F</t>
  </si>
  <si>
    <t>ES0031104885601033TQ0F-30875323</t>
  </si>
  <si>
    <t>ES0031104885601033TQ0F</t>
  </si>
  <si>
    <t>ES0031104886510028PM0F-30863384</t>
  </si>
  <si>
    <t>ES0031104886510028PM0F</t>
  </si>
  <si>
    <t>ES0031104897650005KR0F-30829495</t>
  </si>
  <si>
    <t>ES0031104897650005KR0F</t>
  </si>
  <si>
    <t>ES0031104898736009LZ0F-30809508</t>
  </si>
  <si>
    <t>ES0031104898736009LZ0F</t>
  </si>
  <si>
    <t>ES0031104908144001FV0F-30862219</t>
  </si>
  <si>
    <t>ES0031104908144001FV0F</t>
  </si>
  <si>
    <t>ES0031104952122001NQ0F-30867276</t>
  </si>
  <si>
    <t>ES0031104952122001NQ0F</t>
  </si>
  <si>
    <t>ES0031104968131023PA0F-30822645</t>
  </si>
  <si>
    <t>ES0031104968131023PA0F</t>
  </si>
  <si>
    <t>ES0031104975906001LS0F-30862620</t>
  </si>
  <si>
    <t>ES0031104975906001LS0F</t>
  </si>
  <si>
    <t>ES0031104979973002KH0F-30862748</t>
  </si>
  <si>
    <t>ES0031104979973002KH0F</t>
  </si>
  <si>
    <t>ES0031104989572015NG0F-30831665</t>
  </si>
  <si>
    <t>ES0031104989572015NG0F</t>
  </si>
  <si>
    <t>ES0031105032100009QD0F-30817103</t>
  </si>
  <si>
    <t>ES0031105032100009QD0F</t>
  </si>
  <si>
    <t>ES0031105037928001QP0F-30816404</t>
  </si>
  <si>
    <t>ES0031105037928001QP0F</t>
  </si>
  <si>
    <t>ES0031105039655003PD0F-30841159</t>
  </si>
  <si>
    <t>ES0031105039655003PD0F</t>
  </si>
  <si>
    <t>ES0031105048443001LY0F-30823044</t>
  </si>
  <si>
    <t>ES0031105048443001LY0F</t>
  </si>
  <si>
    <t>ES0031105063170001AZ0F-30850355</t>
  </si>
  <si>
    <t>ES0031105063170001AZ0F</t>
  </si>
  <si>
    <t>ES0031105084221090YP0F-30860489</t>
  </si>
  <si>
    <t>ES0031105084221090YP0F</t>
  </si>
  <si>
    <t>ES0031105089104001QL0F-30869604</t>
  </si>
  <si>
    <t>ES0031105089104001QL0F</t>
  </si>
  <si>
    <t>ES0031105091829011EN0F-30866978</t>
  </si>
  <si>
    <t>ES0031105091829011EN0F</t>
  </si>
  <si>
    <t>ES0031105096308001CM0F-30816463</t>
  </si>
  <si>
    <t>ES0031105096308001CM0F</t>
  </si>
  <si>
    <t>ES0031105104523004GY0F-30816520</t>
  </si>
  <si>
    <t>ES0031105104523004GY0F</t>
  </si>
  <si>
    <t>ES0031105109227001DC0F-30862063</t>
  </si>
  <si>
    <t>ES0031105109227001DC0F</t>
  </si>
  <si>
    <t>ES0031105117016001XR0F-30865203</t>
  </si>
  <si>
    <t>ES0031105117016001XR0F</t>
  </si>
  <si>
    <t>ES0031105126270047CC0F-30842461</t>
  </si>
  <si>
    <t>ES0031105126270047CC0F</t>
  </si>
  <si>
    <t>ES0031105127380063MX0F-30832759</t>
  </si>
  <si>
    <t>ES0031105127380063MX0F</t>
  </si>
  <si>
    <t>ES0031105131619018PL0F-30864543</t>
  </si>
  <si>
    <t>ES0031105131619018PL0F</t>
  </si>
  <si>
    <t>ES0031105146195005MD0F-30854496</t>
  </si>
  <si>
    <t>ES0031105146195005MD0F</t>
  </si>
  <si>
    <t>ES0031105149989001MV0F-30865567</t>
  </si>
  <si>
    <t>ES0031105149989001MV0F</t>
  </si>
  <si>
    <t>ES0031105155627001WG0F-30841471</t>
  </si>
  <si>
    <t>ES0031105155627001WG0F</t>
  </si>
  <si>
    <t>ES0031105163664004KW0F-30863725</t>
  </si>
  <si>
    <t>ES0031105163664004KW0F</t>
  </si>
  <si>
    <t>ES0031105167447001AM0F-30866169</t>
  </si>
  <si>
    <t>ES0031105167447001AM0F</t>
  </si>
  <si>
    <t>ES0031105168199001SC0F-30865550</t>
  </si>
  <si>
    <t>ES0031105168199001SC0F</t>
  </si>
  <si>
    <t>ES0031105169545001WZ0F-30860611</t>
  </si>
  <si>
    <t>ES0031105169545001WZ0F</t>
  </si>
  <si>
    <t>ES0031105204599001VJ0F-30816407</t>
  </si>
  <si>
    <t>ES0031105204599001VJ0F</t>
  </si>
  <si>
    <t>ES0031105211301001KC0F-30830886</t>
  </si>
  <si>
    <t>ES0031105211301001KC0F</t>
  </si>
  <si>
    <t>ES0031105221202001DA0F-30869485</t>
  </si>
  <si>
    <t>ES0031105221202001DA0F</t>
  </si>
  <si>
    <t>ES0031105222737001WY0F-30840055</t>
  </si>
  <si>
    <t>ES0031105222737001WY0F</t>
  </si>
  <si>
    <t>ES0031105227602001QT0F-30832490</t>
  </si>
  <si>
    <t>ES0031105227602001QT0F</t>
  </si>
  <si>
    <t>ES0031105244942046ZT0F-30838940</t>
  </si>
  <si>
    <t>ES0031105244942046ZT0F</t>
  </si>
  <si>
    <t>ES0031105244942057ZB0F-30820760</t>
  </si>
  <si>
    <t>ES0031105244942057ZB0F</t>
  </si>
  <si>
    <t>ES0031105253043002FB0F-30821298</t>
  </si>
  <si>
    <t>ES0031105253043002FB0F</t>
  </si>
  <si>
    <t>ES0031105256429001RL0F-30864367</t>
  </si>
  <si>
    <t>ES0031105256429001RL0F</t>
  </si>
  <si>
    <t>ES0031105263918001EN0F-30832232</t>
  </si>
  <si>
    <t>ES0031105263918001EN0F</t>
  </si>
  <si>
    <t>ES0031105267989108LG0F-30822643</t>
  </si>
  <si>
    <t>ES0031105267989108LG0F</t>
  </si>
  <si>
    <t>ES0031105273790001JK0F-30827502</t>
  </si>
  <si>
    <t>ES0031105273790001JK0F</t>
  </si>
  <si>
    <t>ES0031105280873001TX0F-30842033</t>
  </si>
  <si>
    <t>ES0031105280873001TX0F</t>
  </si>
  <si>
    <t>ES0031105281628004MS0F-30814435</t>
  </si>
  <si>
    <t>ES0031105281628004MS0F</t>
  </si>
  <si>
    <t>ES0031105286752001XA0F-30863385</t>
  </si>
  <si>
    <t>ES0031105286752001XA0F</t>
  </si>
  <si>
    <t>ES0031105287620001YY0F-30825182</t>
  </si>
  <si>
    <t>ES0031105287620001YY0F</t>
  </si>
  <si>
    <t>ES0031105289424001BR0F-30830890</t>
  </si>
  <si>
    <t>ES0031105289424001BR0F</t>
  </si>
  <si>
    <t>ES0031105293275001ML0F-30865068</t>
  </si>
  <si>
    <t>ES0031105293275001ML0F</t>
  </si>
  <si>
    <t>ES0031105293497001KT0F-30814673</t>
  </si>
  <si>
    <t>ES0031105293497001KT0F</t>
  </si>
  <si>
    <t>ES0031105303984003WZ0F-30840841</t>
  </si>
  <si>
    <t>ES0031105303984003WZ0F</t>
  </si>
  <si>
    <t>ES0031105304451001CC0F-30822444</t>
  </si>
  <si>
    <t>ES0031105304451001CC0F</t>
  </si>
  <si>
    <t>ES0031105304535006QY0F-30877076</t>
  </si>
  <si>
    <t>ES0031105306780003NL0F-30826237</t>
  </si>
  <si>
    <t>ES0031105306780003NL0F</t>
  </si>
  <si>
    <t>ES0031105306913001EP0F-30832242</t>
  </si>
  <si>
    <t>ES0031105306913001EP0F</t>
  </si>
  <si>
    <t>ES0031105308513001NJ0F-30811183</t>
  </si>
  <si>
    <t>ES0031105308513001NJ0F</t>
  </si>
  <si>
    <t>ES0031105308513002NZ0F-30811801</t>
  </si>
  <si>
    <t>ES0031105308513002NZ0F</t>
  </si>
  <si>
    <t>ES0031105308513008NC0F-30813705</t>
  </si>
  <si>
    <t>ES0031105308513008NC0F</t>
  </si>
  <si>
    <t>ES0031105308513014JA0F-30816809</t>
  </si>
  <si>
    <t>ES0031105308513014JA0F</t>
  </si>
  <si>
    <t>ES0031105308513018JF0F-30820078</t>
  </si>
  <si>
    <t>ES0031105308513018JF0F</t>
  </si>
  <si>
    <t>ES0031105308513021JX0F-30811747</t>
  </si>
  <si>
    <t>ES0031105308513021JX0F</t>
  </si>
  <si>
    <t>ES0031105308513025JZ0F-30810300</t>
  </si>
  <si>
    <t>ES0031105308513025JZ0F</t>
  </si>
  <si>
    <t>ES0031105308513030JL0F-30821474</t>
  </si>
  <si>
    <t>ES0031105308513030JL0F</t>
  </si>
  <si>
    <t>ES0031105308613023ZP0F-30840682</t>
  </si>
  <si>
    <t>ES0031105308613023ZP0F</t>
  </si>
  <si>
    <t>ES0031105309637013FS0F-30816160</t>
  </si>
  <si>
    <t>ES0031105309637013FS0F</t>
  </si>
  <si>
    <t>ES0031105310256001XG0F-30865774</t>
  </si>
  <si>
    <t>ES0031105310256001XG0F</t>
  </si>
  <si>
    <t>ES0031105310434001KF0F-30841473</t>
  </si>
  <si>
    <t>ES0031105310434001KF0F</t>
  </si>
  <si>
    <t>ES0031105310515001RR0F-30876549</t>
  </si>
  <si>
    <t>ES0031105310515001RR0F</t>
  </si>
  <si>
    <t>ES0031105315829008DL0F-30806969</t>
  </si>
  <si>
    <t>ES0031105315829008DL0F</t>
  </si>
  <si>
    <t>ES0031105315830011FX0F-30808131</t>
  </si>
  <si>
    <t>ES0031105315830011FX0F</t>
  </si>
  <si>
    <t>ES0031105316386012PD0F-30827960</t>
  </si>
  <si>
    <t>ES0031105316386012PD0F</t>
  </si>
  <si>
    <t>ES0031105316580006RK0F-30840835</t>
  </si>
  <si>
    <t>ES0031105316580006RK0F</t>
  </si>
  <si>
    <t>ES0031105316580027WL0F-30836270</t>
  </si>
  <si>
    <t>ES0031105316580027WL0F</t>
  </si>
  <si>
    <t>ES0031105317759001HJ0F-30841474</t>
  </si>
  <si>
    <t>ES0031105317759001HJ0F</t>
  </si>
  <si>
    <t>ES0031105318834001KQ0F-30826010</t>
  </si>
  <si>
    <t>ES0031105318834001KQ0F</t>
  </si>
  <si>
    <t>ES0031105319266008JZ0F-30830885</t>
  </si>
  <si>
    <t>ES0031105319266008JZ0F</t>
  </si>
  <si>
    <t>ES0031105319268004PD0F-30821452</t>
  </si>
  <si>
    <t>ES0031105319268004PD0F</t>
  </si>
  <si>
    <t>ES0031105319268015PC0F-30838643</t>
  </si>
  <si>
    <t>ES0031105319268015PC0F</t>
  </si>
  <si>
    <t>ES0031105319392001VJ0F-30836947</t>
  </si>
  <si>
    <t>ES0031105319392001VJ0F</t>
  </si>
  <si>
    <t>ES0031105319740001ZT0F-30833453</t>
  </si>
  <si>
    <t>ES0031105319740001ZT0F</t>
  </si>
  <si>
    <t>ES0031105322241001DA0F-30821427</t>
  </si>
  <si>
    <t>ES0031105322241001DA0F</t>
  </si>
  <si>
    <t>ES0031105322498001MR0F-30828931</t>
  </si>
  <si>
    <t>ES0031105322498001MR0F</t>
  </si>
  <si>
    <t>ES0031105322700001RS0F-30861733</t>
  </si>
  <si>
    <t>ES0031105322700001RS0F</t>
  </si>
  <si>
    <t>ES0031105324431001YN0F-30841546</t>
  </si>
  <si>
    <t>ES0031105324431001YN0F</t>
  </si>
  <si>
    <t>ES0031105325692001TZ0F-30841477</t>
  </si>
  <si>
    <t>ES0031105325692001TZ0F</t>
  </si>
  <si>
    <t>ES0031105326197001SA0F-30836209</t>
  </si>
  <si>
    <t>ES0031105326197001SA0F</t>
  </si>
  <si>
    <t>ES0031105326621001AK0F-30864687</t>
  </si>
  <si>
    <t>ES0031105326621001AK0F</t>
  </si>
  <si>
    <t>ES0031105326726001SA0F-30807039</t>
  </si>
  <si>
    <t>ES0031105326726001SA0F</t>
  </si>
  <si>
    <t>ES0031105327633001GK0F-30865013</t>
  </si>
  <si>
    <t>ES0031105327633001GK0F</t>
  </si>
  <si>
    <t>ES0031105328537001WY0F-30856589</t>
  </si>
  <si>
    <t>ES0031105328537001WY0F</t>
  </si>
  <si>
    <t>ES0031105329432001EF0F-30857045</t>
  </si>
  <si>
    <t>ES0031105329432001EF0F</t>
  </si>
  <si>
    <t>ES0031105329521001GC0F-30831555</t>
  </si>
  <si>
    <t>ES0031105329521001GC0F</t>
  </si>
  <si>
    <t>ES0031105329813001GN0F-30862442</t>
  </si>
  <si>
    <t>ES0031105329813001GN0F</t>
  </si>
  <si>
    <t>ES0031105329938001BF0F-30836700</t>
  </si>
  <si>
    <t>ES0031105329938001BF0F</t>
  </si>
  <si>
    <t>ES0031105330283001SF0F-30828186</t>
  </si>
  <si>
    <t>ES0031105330283001SF0F</t>
  </si>
  <si>
    <t>ES0031105330585001NV0F-30833275</t>
  </si>
  <si>
    <t>ES0031105330585001NV0F</t>
  </si>
  <si>
    <t>ES0031105330950001NF0F-30838971</t>
  </si>
  <si>
    <t>ES0031105330950001NF0F</t>
  </si>
  <si>
    <t>ES0031105331034001FB0F-30832791</t>
  </si>
  <si>
    <t>ES0031105331034001FB0F</t>
  </si>
  <si>
    <t>ES0031105331204001SH0F-30841403</t>
  </si>
  <si>
    <t>ES0031105331204001SH0F</t>
  </si>
  <si>
    <t>ES0031105331227001AH0F-30833498</t>
  </si>
  <si>
    <t>ES0031105331227001AH0F</t>
  </si>
  <si>
    <t>ES0031105331267001VK0F-30841476</t>
  </si>
  <si>
    <t>ES0031105331267001VK0F</t>
  </si>
  <si>
    <t>ES0031105331729001WC0F-30845214</t>
  </si>
  <si>
    <t>ES0031105331729001WC0F</t>
  </si>
  <si>
    <t>ES0031105331898001JQ0F-30840245</t>
  </si>
  <si>
    <t>ES0031105331898001JQ0F</t>
  </si>
  <si>
    <t>ES0031105332027001XD0F-30853372</t>
  </si>
  <si>
    <t>ES0031105332027001XD0F</t>
  </si>
  <si>
    <t>ES0031105332042001HJ0F-30863210</t>
  </si>
  <si>
    <t>ES0031105332042001HJ0F</t>
  </si>
  <si>
    <t>ES0031105332065001YJ0F-30839520</t>
  </si>
  <si>
    <t>ES0031105332065001YJ0F</t>
  </si>
  <si>
    <t>ES0031105332190001JP0F-30841478</t>
  </si>
  <si>
    <t>ES0031105332190001JP0F</t>
  </si>
  <si>
    <t>ES0031105332295001RJ0F-30837590</t>
  </si>
  <si>
    <t>ES0031105332295001RJ0F</t>
  </si>
  <si>
    <t>ES0031105332446001BH0F-30852191</t>
  </si>
  <si>
    <t>ES0031105332446001BH0F</t>
  </si>
  <si>
    <t>ES0031105332632001WV0F-30839354</t>
  </si>
  <si>
    <t>ES0031105332632001WV0F</t>
  </si>
  <si>
    <t>ES0031105332760001RE0F-30811281</t>
  </si>
  <si>
    <t>ES0031105332760001RE0F</t>
  </si>
  <si>
    <t>ES0031105332793001XV0F-30813852</t>
  </si>
  <si>
    <t>ES0031105332793001XV0F</t>
  </si>
  <si>
    <t>ES0031105332856001NC0F-30832382</t>
  </si>
  <si>
    <t>ES0031105332856001NC0F</t>
  </si>
  <si>
    <t>ES0031105333105001ME0F-30814147</t>
  </si>
  <si>
    <t>ES0031105333105001ME0F</t>
  </si>
  <si>
    <t>ES0031105333107001TK0F-30813698</t>
  </si>
  <si>
    <t>ES0031105333107001TK0F</t>
  </si>
  <si>
    <t>ES0031105333111001JL0F-30841871</t>
  </si>
  <si>
    <t>ES0031105333111001JL0F</t>
  </si>
  <si>
    <t>ES0031105333125001RN0F-30846306</t>
  </si>
  <si>
    <t>ES0031105333125001RN0F</t>
  </si>
  <si>
    <t>ES0031105333268001PK0F-30808340</t>
  </si>
  <si>
    <t>ES0031105333268001PK0F</t>
  </si>
  <si>
    <t>ES0031105333271001RP0F-30846919</t>
  </si>
  <si>
    <t>ES0031105333271001RP0F</t>
  </si>
  <si>
    <t>ES0031105333384001SD0F-30838047</t>
  </si>
  <si>
    <t>ES0031105333384001SD0F</t>
  </si>
  <si>
    <t>ES0031105333632001BT0F-30852428</t>
  </si>
  <si>
    <t>ES0031105333632001BT0F</t>
  </si>
  <si>
    <t>ES0031105333692001CQ0F-30833600</t>
  </si>
  <si>
    <t>ES0031105333692001CQ0F</t>
  </si>
  <si>
    <t>ES0031105333825001FF0F-30815783</t>
  </si>
  <si>
    <t>ES0031105333825001FF0F</t>
  </si>
  <si>
    <t>ES0031105333977001ST0F-30816397</t>
  </si>
  <si>
    <t>ES0031105333977001ST0F</t>
  </si>
  <si>
    <t>ES0031105334038001EG0F-30863421</t>
  </si>
  <si>
    <t>ES0031105334038001EG0F</t>
  </si>
  <si>
    <t>ES0031105334048001LE0F-30857010</t>
  </si>
  <si>
    <t>ES0031105334048001LE0F</t>
  </si>
  <si>
    <t>ES0031105334356001WY0F-30814426</t>
  </si>
  <si>
    <t>ES0031105334356001WY0F</t>
  </si>
  <si>
    <t>ES0031105334455001MZ0F-30845582</t>
  </si>
  <si>
    <t>ES0031105334455001MZ0F</t>
  </si>
  <si>
    <t>ES0031105334579001ZK0F-30831959</t>
  </si>
  <si>
    <t>ES0031105334579001ZK0F</t>
  </si>
  <si>
    <t>ES0031105334776001RA0F-30840501</t>
  </si>
  <si>
    <t>ES0031105334776001RA0F</t>
  </si>
  <si>
    <t>ES0031105334895001TR0F-30841479</t>
  </si>
  <si>
    <t>ES0031105334895001TR0F</t>
  </si>
  <si>
    <t>ES0031105334990001JB0F-30839130</t>
  </si>
  <si>
    <t>ES0031105334990001JB0F</t>
  </si>
  <si>
    <t>ES0031105335043001VL0F-30816119</t>
  </si>
  <si>
    <t>ES0031105335043001VL0F</t>
  </si>
  <si>
    <t>ES0031105335220001PB0F-30832246</t>
  </si>
  <si>
    <t>ES0031105335220001PB0F</t>
  </si>
  <si>
    <t>ES0031105335241001RN0F-30830900</t>
  </si>
  <si>
    <t>ES0031105335241001RN0F</t>
  </si>
  <si>
    <t>ES0031105335273001NL0F-30811502</t>
  </si>
  <si>
    <t>ES0031105335273001NL0F</t>
  </si>
  <si>
    <t>ES0031105335307001LW0F-30841480</t>
  </si>
  <si>
    <t>ES0031105335307001LW0F</t>
  </si>
  <si>
    <t>ES0031105335395001GG0F-30841481</t>
  </si>
  <si>
    <t>ES0031105335395001GG0F</t>
  </si>
  <si>
    <t>ES0031105335561001EJ0F-30861499</t>
  </si>
  <si>
    <t>ES0031105335561001EJ0F</t>
  </si>
  <si>
    <t>ES0031105335661001TD0F-30840440</t>
  </si>
  <si>
    <t>ES0031105335661001TD0F</t>
  </si>
  <si>
    <t>ES0031105335691001QV0F-30845427</t>
  </si>
  <si>
    <t>ES0031105335691001QV0F</t>
  </si>
  <si>
    <t>ES0031300003126036FT0F-30866416</t>
  </si>
  <si>
    <t>ES0031300003126036FT0F</t>
  </si>
  <si>
    <t>ES0031300009101004AM0F-30843414</t>
  </si>
  <si>
    <t>ES0031300009101004AM0F</t>
  </si>
  <si>
    <t>ES0031300012289005JE0F-30869609</t>
  </si>
  <si>
    <t>ES0031300012289005JE0F</t>
  </si>
  <si>
    <t>ES0031300013909020TD0F-30863276</t>
  </si>
  <si>
    <t>ES0031300013909020TD0F</t>
  </si>
  <si>
    <t>ES0031300017081017MF0F-30855500</t>
  </si>
  <si>
    <t>ES0031300017081017MF0F</t>
  </si>
  <si>
    <t>ES0031300018224001CY0F-30862988</t>
  </si>
  <si>
    <t>ES0031300018224001CY0F</t>
  </si>
  <si>
    <t>ES0031300018732015GL0F-30852470</t>
  </si>
  <si>
    <t>ES0031300018732015GL0F</t>
  </si>
  <si>
    <t>ES0031300020079009BH0F-30862621</t>
  </si>
  <si>
    <t>ES0031300020079009BH0F</t>
  </si>
  <si>
    <t>ES0031300021695009FS0F-30862363</t>
  </si>
  <si>
    <t>ES0031300021695009FS0F</t>
  </si>
  <si>
    <t>ES0031300022102004QW0F-30862827</t>
  </si>
  <si>
    <t>ES0031300022102004QW0F</t>
  </si>
  <si>
    <t>ES0031300022934007BA0F-30873644</t>
  </si>
  <si>
    <t>ES0031300022934007BA0F</t>
  </si>
  <si>
    <t>ES0031300023153009XE0F-30858318</t>
  </si>
  <si>
    <t>ES0031300023153009XE0F</t>
  </si>
  <si>
    <t>ES0031300023617017ZM0F-30843563</t>
  </si>
  <si>
    <t>ES0031300023617017ZM0F</t>
  </si>
  <si>
    <t>ES0031300023937003BS0F-30858383</t>
  </si>
  <si>
    <t>ES0031300023937003BS0F</t>
  </si>
  <si>
    <t>ES0031300024587051FZ0F-30876232</t>
  </si>
  <si>
    <t>ES0031300024587051FZ0F</t>
  </si>
  <si>
    <t>ES0031300024748021ZF0F-30861643</t>
  </si>
  <si>
    <t>ES0031300024748021ZF0F</t>
  </si>
  <si>
    <t>ES0031300024823003PD0F-30858422</t>
  </si>
  <si>
    <t>ES0031300024823003PD0F</t>
  </si>
  <si>
    <t>ES0031300027689001AT0F-30862774</t>
  </si>
  <si>
    <t>ES0031300027689001AT0F</t>
  </si>
  <si>
    <t>ES0031300030373011CW0F-30863997</t>
  </si>
  <si>
    <t>ES0031300030373011CW0F</t>
  </si>
  <si>
    <t>ES0031300042043003PR0F-30877145</t>
  </si>
  <si>
    <t>ES0031300042043003PR0F</t>
  </si>
  <si>
    <t>ES0031300095329002TZ0F-30869022</t>
  </si>
  <si>
    <t>ES0031300095329002TZ0F</t>
  </si>
  <si>
    <t>ES0031300109749001TW0F-30848418</t>
  </si>
  <si>
    <t>ES0031300109749001TW0F</t>
  </si>
  <si>
    <t>ES0031300132349001WH0F-30844319</t>
  </si>
  <si>
    <t>ES0031300132349001WH0F</t>
  </si>
  <si>
    <t>ES0031300147791001RW0F-30863113</t>
  </si>
  <si>
    <t>ES0031300147791001RW0F</t>
  </si>
  <si>
    <t>ES0031300169929014LD0F-30862393</t>
  </si>
  <si>
    <t>ES0031300169929014LD0F</t>
  </si>
  <si>
    <t>ES0031300172485006JB0F-30845362</t>
  </si>
  <si>
    <t>ES0031300172485006JB0F</t>
  </si>
  <si>
    <t>ES0031300179275001WS0F-30867244</t>
  </si>
  <si>
    <t>ES0031300179275001WS0F</t>
  </si>
  <si>
    <t>ES0031300182311001MS0F-30872614</t>
  </si>
  <si>
    <t>ES0031300182311001MS0F</t>
  </si>
  <si>
    <t>ES0031300191491001VW0F-30861501</t>
  </si>
  <si>
    <t>ES0031300191491001VW0F</t>
  </si>
  <si>
    <t>ES0031300248244002YC0F-30863785</t>
  </si>
  <si>
    <t>ES0031300248244002YC0F</t>
  </si>
  <si>
    <t>ES0031300257036002FV0F-30853114</t>
  </si>
  <si>
    <t>ES0031300257036002FV0F</t>
  </si>
  <si>
    <t>ES0031300277442046WR0F-30869919</t>
  </si>
  <si>
    <t>ES0031300277442046WR0F</t>
  </si>
  <si>
    <t>ES0031300333843020GF0F-30874128</t>
  </si>
  <si>
    <t>ES0031300333843020GF0F</t>
  </si>
  <si>
    <t>ES0031300503085004FX0F-30864178</t>
  </si>
  <si>
    <t>ES0031300503085004FX0F</t>
  </si>
  <si>
    <t>ES0031300558356016PK0F-30868487</t>
  </si>
  <si>
    <t>ES0031300558356016PK0F</t>
  </si>
  <si>
    <t>ES0031300563424008QD0F-30860387</t>
  </si>
  <si>
    <t>ES0031300563424008QD0F</t>
  </si>
  <si>
    <t>ES0031300588257008TR0F-30865212</t>
  </si>
  <si>
    <t>ES0031300588257008TR0F</t>
  </si>
  <si>
    <t>ES0031300652632007CR0F-30860939</t>
  </si>
  <si>
    <t>ES0031300652632007CR0F</t>
  </si>
  <si>
    <t>ES0031300653153024VE0F-30866272</t>
  </si>
  <si>
    <t>ES0031300653153024VE0F</t>
  </si>
  <si>
    <t>ES0031300667033005KD0F-30862421</t>
  </si>
  <si>
    <t>ES0031300667033005KD0F</t>
  </si>
  <si>
    <t>ES0031300669784003FT0F-30868564</t>
  </si>
  <si>
    <t>ES0031300669784003FT0F</t>
  </si>
  <si>
    <t>ES0031300669787006EJ0F-30858460</t>
  </si>
  <si>
    <t>ES0031300669787006EJ0F</t>
  </si>
  <si>
    <t>ES0031300685740012CN0F-30873953</t>
  </si>
  <si>
    <t>ES0031300685740012CN0F</t>
  </si>
  <si>
    <t>ES0031300689923002MS0F-30863548</t>
  </si>
  <si>
    <t>ES0031300689923002MS0F</t>
  </si>
  <si>
    <t>ES0031300691554019XX0F-30873643</t>
  </si>
  <si>
    <t>ES0031300691554019XX0F</t>
  </si>
  <si>
    <t>ES0031300692449001YQ0F-30876773</t>
  </si>
  <si>
    <t>ES0031300692449001YQ0F</t>
  </si>
  <si>
    <t>ES0031300695180005CT0F-30868180</t>
  </si>
  <si>
    <t>ES0031300695180005CT0F</t>
  </si>
  <si>
    <t>ES0031300702624003QW0F-30848465</t>
  </si>
  <si>
    <t>ES0031300702624003QW0F</t>
  </si>
  <si>
    <t>ES0031300703267011GE0F-30862324</t>
  </si>
  <si>
    <t>ES0031300703267011GE0F</t>
  </si>
  <si>
    <t>ES0031300712667002JM0F-30856250</t>
  </si>
  <si>
    <t>ES0031300712667002JM0F</t>
  </si>
  <si>
    <t>ES0031300802315001BF0F-30873316</t>
  </si>
  <si>
    <t>ES0031300802315001BF0F</t>
  </si>
  <si>
    <t>ES0031300819367017KF0F-30868301</t>
  </si>
  <si>
    <t>ES0031300819367017KF0F</t>
  </si>
  <si>
    <t>ES0031300822759010TY0F-30847273</t>
  </si>
  <si>
    <t>ES0031300822759010TY0F</t>
  </si>
  <si>
    <t>ES0031300837810003HY0F-30850756</t>
  </si>
  <si>
    <t>ES0031300837810003HY0F</t>
  </si>
  <si>
    <t>ES0031300837810011HZ0F-30858822</t>
  </si>
  <si>
    <t>ES0031300837810011HZ0F</t>
  </si>
  <si>
    <t>ES0031300839357001GR0F-30859873</t>
  </si>
  <si>
    <t>ES0031300839357001GR0F</t>
  </si>
  <si>
    <t>ES0031300839450001EN0F-30856599</t>
  </si>
  <si>
    <t>ES0031300839450001EN0F</t>
  </si>
  <si>
    <t>ES0031300840033001RP0F-30844403</t>
  </si>
  <si>
    <t>ES0031300840033001RP0F</t>
  </si>
  <si>
    <t>ES0031300840871001GA0F-30866256</t>
  </si>
  <si>
    <t>ES0031300840871001GA0F</t>
  </si>
  <si>
    <t>ES0031300841019006EA0F-30851248</t>
  </si>
  <si>
    <t>ES0031300841019006EA0F</t>
  </si>
  <si>
    <t>ES0031300841127006WH0F-30847479</t>
  </si>
  <si>
    <t>ES0031300841127006WH0F</t>
  </si>
  <si>
    <t>ES0031300842473001NF0F-30870754</t>
  </si>
  <si>
    <t>ES0031300842473001NF0F</t>
  </si>
  <si>
    <t>ES0031300842612001YH0F-30863303</t>
  </si>
  <si>
    <t>ES0031300842612001YH0F</t>
  </si>
  <si>
    <t>ES0031300842688001EA0F-30866451</t>
  </si>
  <si>
    <t>ES0031300842688001EA0F</t>
  </si>
  <si>
    <t>ES0031300844175001KF0F-30860376</t>
  </si>
  <si>
    <t>ES0031300844175001KF0F</t>
  </si>
  <si>
    <t>ES0031300845399001QQ0F-30843502</t>
  </si>
  <si>
    <t>ES0031300845399001QQ0F</t>
  </si>
  <si>
    <t>ES0031300846122001XB0F-30865214</t>
  </si>
  <si>
    <t>ES0031300846122001XB0F</t>
  </si>
  <si>
    <t>ES0031300846211001QR0F-30865216</t>
  </si>
  <si>
    <t>ES0031300846211001QR0F</t>
  </si>
  <si>
    <t>ES0031405005244016QD0F-30813856</t>
  </si>
  <si>
    <t>ES0031405005244016QD0F</t>
  </si>
  <si>
    <t>ES0031405032779004QH0F-30871559</t>
  </si>
  <si>
    <t>ES0031405061376030PV0F-30806964</t>
  </si>
  <si>
    <t>ES0031405061376030PV0F</t>
  </si>
  <si>
    <t>ES0031405093651001SP0F-30838982</t>
  </si>
  <si>
    <t>ES0031405093651001SP0F</t>
  </si>
  <si>
    <t>ES0031405119222001TE0F-30806722</t>
  </si>
  <si>
    <t>ES0031405119222001TE0F</t>
  </si>
  <si>
    <t>ES0031405122599004HG0F-30807904</t>
  </si>
  <si>
    <t>ES0031405122599004HG0F</t>
  </si>
  <si>
    <t>ES0031405151514003NR0F-30828521</t>
  </si>
  <si>
    <t>ES0031405151514003NR0F</t>
  </si>
  <si>
    <t>ES0031405238625003JL0F-30865665</t>
  </si>
  <si>
    <t>ES0031405238625003JL0F</t>
  </si>
  <si>
    <t>ES0031405269756006PQ0F-30863489</t>
  </si>
  <si>
    <t>ES0031405269756006PQ0F</t>
  </si>
  <si>
    <t>ES0031405278466001DA0F-30829987</t>
  </si>
  <si>
    <t>ES0031405278466001DA0F</t>
  </si>
  <si>
    <t>ES0031405279205008PC0F-30817329</t>
  </si>
  <si>
    <t>ES0031405279205008PC0F</t>
  </si>
  <si>
    <t>ES0031405285499010FA0F-30817512</t>
  </si>
  <si>
    <t>ES0031405285499010FA0F</t>
  </si>
  <si>
    <t>ES0031405287400001LK0F-30860164</t>
  </si>
  <si>
    <t>ES0031405287400001LK0F</t>
  </si>
  <si>
    <t>ES0031405289500001ZY0F-30871815</t>
  </si>
  <si>
    <t>ES0031405289500001ZY0F</t>
  </si>
  <si>
    <t>ES0031405298469004MK0F-30829901</t>
  </si>
  <si>
    <t>ES0031405298469004MK0F</t>
  </si>
  <si>
    <t>ES0031405300747005BX0F-30827301</t>
  </si>
  <si>
    <t>ES0031405300747005BX0F</t>
  </si>
  <si>
    <t>ES0031405303759001MH0F-30816664</t>
  </si>
  <si>
    <t>ES0031405303759001MH0F</t>
  </si>
  <si>
    <t>ES0031405313683013GJ0F-30818765</t>
  </si>
  <si>
    <t>ES0031405313683013GJ0F</t>
  </si>
  <si>
    <t>ES0031405402791001YK0F-30827179</t>
  </si>
  <si>
    <t>ES0031405402791001YK0F</t>
  </si>
  <si>
    <t>ES0031405404081019CS0F-30858048</t>
  </si>
  <si>
    <t>ES0031405404081019CS0F</t>
  </si>
  <si>
    <t>ES0031405405090009MH0F-30808108</t>
  </si>
  <si>
    <t>ES0031405405090009MH0F</t>
  </si>
  <si>
    <t>ES0031405407993011EY0F-30826028</t>
  </si>
  <si>
    <t>ES0031405407993011EY0F</t>
  </si>
  <si>
    <t>ES0031405413510023WP0F-30821352</t>
  </si>
  <si>
    <t>ES0031405413510023WP0F</t>
  </si>
  <si>
    <t>ES0031405415631009NA0F-30875282</t>
  </si>
  <si>
    <t>ES0031405415631009NA0F</t>
  </si>
  <si>
    <t>ES0031405418629010LT0F-30817948</t>
  </si>
  <si>
    <t>ES0031405418629010LT0F</t>
  </si>
  <si>
    <t>ES0031405418792001KJ0F-30825384</t>
  </si>
  <si>
    <t>ES0031405418792001KJ0F</t>
  </si>
  <si>
    <t>ES0031405420525043TM0F-30822370</t>
  </si>
  <si>
    <t>ES0031405420525043TM0F</t>
  </si>
  <si>
    <t>ES0031405420599012LY0F-30827245</t>
  </si>
  <si>
    <t>ES0031405420599012LY0F</t>
  </si>
  <si>
    <t>ES0031405421009018CZ0F-30824623</t>
  </si>
  <si>
    <t>ES0031405421009018CZ0F</t>
  </si>
  <si>
    <t>ES0031405421549013SS0F-30806861</t>
  </si>
  <si>
    <t>ES0031405421549013SS0F</t>
  </si>
  <si>
    <t>ES0031405422734013VD0F-30858218</t>
  </si>
  <si>
    <t>ES0031405423377010MH0F-30856593</t>
  </si>
  <si>
    <t>ES0031405423377010MH0F</t>
  </si>
  <si>
    <t>ES0031405426945014RD0F-30807045</t>
  </si>
  <si>
    <t>ES0031405426945014RD0F</t>
  </si>
  <si>
    <t>ES0031405427478013ZY0F-30876095</t>
  </si>
  <si>
    <t>ES0031405427480005PC0F-30867270</t>
  </si>
  <si>
    <t>ES0031405427480005PC0F</t>
  </si>
  <si>
    <t>ES0031405427480014DY0F-30827779</t>
  </si>
  <si>
    <t>ES0031405427480014DY0F</t>
  </si>
  <si>
    <t>ES0031405427842011QY0F-30819067</t>
  </si>
  <si>
    <t>ES0031405427842011QY0F</t>
  </si>
  <si>
    <t>ES0031405430073007WW0F-30817032</t>
  </si>
  <si>
    <t>ES0031405430073007WW0F</t>
  </si>
  <si>
    <t>ES0031405430462019XS0F-30859964</t>
  </si>
  <si>
    <t>ES0031405430462019XS0F</t>
  </si>
  <si>
    <t>ES0031405431017024ZF0F-30815650</t>
  </si>
  <si>
    <t>ES0031405431017024ZF0F</t>
  </si>
  <si>
    <t>ES0031405431753013CL0F-30823663</t>
  </si>
  <si>
    <t>ES0031405431753013CL0F</t>
  </si>
  <si>
    <t>ES0031405433603075GF0F-30857057</t>
  </si>
  <si>
    <t>ES0031405436837033NG0F-30806889</t>
  </si>
  <si>
    <t>ES0031405436837033NG0F</t>
  </si>
  <si>
    <t>ES0031405439379007VH0F-30826479</t>
  </si>
  <si>
    <t>ES0031405439379007VH0F</t>
  </si>
  <si>
    <t>ES0031405441989035SY0F-30861251</t>
  </si>
  <si>
    <t>ES0031405441989035SY0F</t>
  </si>
  <si>
    <t>ES0031405443739024VV0F-30868873</t>
  </si>
  <si>
    <t>ES0031405443739024VV0F</t>
  </si>
  <si>
    <t>ES0031405443760027XK0F-30826295</t>
  </si>
  <si>
    <t>ES0031405443760027XK0F</t>
  </si>
  <si>
    <t>ES0031405445289009HD0F-30819455</t>
  </si>
  <si>
    <t>ES0031405445289009HD0F</t>
  </si>
  <si>
    <t>ES0031405445589014KW0F-30863866</t>
  </si>
  <si>
    <t>ES0031405445589014KW0F</t>
  </si>
  <si>
    <t>ES0031405447860005CL0F-30860455</t>
  </si>
  <si>
    <t>ES0031405447860005CL0F</t>
  </si>
  <si>
    <t>ES0031405448758007XD0F-30818535</t>
  </si>
  <si>
    <t>ES0031405448758007XD0F</t>
  </si>
  <si>
    <t>ES0031405450725030LA0F-30820636</t>
  </si>
  <si>
    <t>ES0031405450725030LA0F</t>
  </si>
  <si>
    <t>ES0031405451365015ZJ0F-30863737</t>
  </si>
  <si>
    <t>ES0031405451365015ZJ0F</t>
  </si>
  <si>
    <t>ES0031405452360012NF0F-30820805</t>
  </si>
  <si>
    <t>ES0031405452360012NF0F</t>
  </si>
  <si>
    <t>ES0031405453750013AA0F-30821442</t>
  </si>
  <si>
    <t>ES0031405453750013AA0F</t>
  </si>
  <si>
    <t>ES0031405454789021MD0F-30861099</t>
  </si>
  <si>
    <t>ES0031405457811025CC0F-30862697</t>
  </si>
  <si>
    <t>ES0031405457811025CC0F</t>
  </si>
  <si>
    <t>ES0031405458212006CL0F-30825396</t>
  </si>
  <si>
    <t>ES0031405458212006CL0F</t>
  </si>
  <si>
    <t>ES0031405459746008QJ0F-30825962</t>
  </si>
  <si>
    <t>ES0031405459746008QJ0F</t>
  </si>
  <si>
    <t>ES0031405459942009MP0F-30816834</t>
  </si>
  <si>
    <t>ES0031405459942009MP0F</t>
  </si>
  <si>
    <t>ES0031405460169002FZ0F-30825397</t>
  </si>
  <si>
    <t>ES0031405460169002FZ0F</t>
  </si>
  <si>
    <t>ES0031405460550015JD0F-30862276</t>
  </si>
  <si>
    <t>ES0031405460550015JD0F</t>
  </si>
  <si>
    <t>ES0031405461013005HD0F-30824930</t>
  </si>
  <si>
    <t>ES0031405461013005HD0F</t>
  </si>
  <si>
    <t>ES0031405464512006AC0F-30874125</t>
  </si>
  <si>
    <t>ES0031405464512006AC0F</t>
  </si>
  <si>
    <t>ES0031405465563002KP0F-30819680</t>
  </si>
  <si>
    <t>ES0031405465563002KP0F</t>
  </si>
  <si>
    <t>ES0031405466938006GA0F-30819999</t>
  </si>
  <si>
    <t>ES0031405466938006GA0F</t>
  </si>
  <si>
    <t>ES0031405467427011JM0F-30811472</t>
  </si>
  <si>
    <t>ES0031405467427011JM0F</t>
  </si>
  <si>
    <t>ES0031405469034001PP0F-30860746</t>
  </si>
  <si>
    <t>ES0031405469034001PP0F</t>
  </si>
  <si>
    <t>ES0031405470201024XB0F-30833047</t>
  </si>
  <si>
    <t>ES0031405470201024XB0F</t>
  </si>
  <si>
    <t>ES0031405470656013NZ0F-30814303</t>
  </si>
  <si>
    <t>ES0031405470656013NZ0F</t>
  </si>
  <si>
    <t>ES0031405472431005KG0F-30821684</t>
  </si>
  <si>
    <t>ES0031405472431005KG0F</t>
  </si>
  <si>
    <t>ES0031405474505003NT0F-30806717</t>
  </si>
  <si>
    <t>ES0031405474505003NT0F</t>
  </si>
  <si>
    <t>ES0031405474518001WA0F-30811629</t>
  </si>
  <si>
    <t>ES0031405474518001WA0F</t>
  </si>
  <si>
    <t>ES0031405475251004QL0F-30806706</t>
  </si>
  <si>
    <t>ES0031405475251004QL0F</t>
  </si>
  <si>
    <t>ES0031405475355007FQ0F-30820283</t>
  </si>
  <si>
    <t>ES0031405475355007FQ0F</t>
  </si>
  <si>
    <t>ES0031405475576004WY0F-30824979</t>
  </si>
  <si>
    <t>ES0031405475576004WY0F</t>
  </si>
  <si>
    <t>ES0031405475633027CN0F-30827796</t>
  </si>
  <si>
    <t>ES0031405475633027CN0F</t>
  </si>
  <si>
    <t>ES0031405475944001VA0F-30850326</t>
  </si>
  <si>
    <t>ES0031405475944001VA0F</t>
  </si>
  <si>
    <t>ES0031405485558016SH0F-30825383</t>
  </si>
  <si>
    <t>ES0031405485558016SH0F</t>
  </si>
  <si>
    <t>ES0031405490155014SY0F-30826269</t>
  </si>
  <si>
    <t>ES0031405490155014SY0F</t>
  </si>
  <si>
    <t>ES0031405490812008ZM0F-30825239</t>
  </si>
  <si>
    <t>ES0031405490812008ZM0F</t>
  </si>
  <si>
    <t>ES0031405493176012XT0F-30865492</t>
  </si>
  <si>
    <t>ES0031405493176012XT0F</t>
  </si>
  <si>
    <t>ES0031405493301015QK0F-30864121</t>
  </si>
  <si>
    <t>ES0031405493301015QK0F</t>
  </si>
  <si>
    <t>ES0031405493455013LB0F-30811504</t>
  </si>
  <si>
    <t>ES0031405493455013LB0F</t>
  </si>
  <si>
    <t>ES0031405499794008HE0F-30816841</t>
  </si>
  <si>
    <t>ES0031405499794008HE0F</t>
  </si>
  <si>
    <t>ES0031405501866007ZC0F-30856591</t>
  </si>
  <si>
    <t>ES0031405501866007ZC0F</t>
  </si>
  <si>
    <t>ES0031405508921008AR0F-30811442</t>
  </si>
  <si>
    <t>ES0031405508921008AR0F</t>
  </si>
  <si>
    <t>ES0031405534148002GC0F-30856925</t>
  </si>
  <si>
    <t>ES0031405534148002GC0F</t>
  </si>
  <si>
    <t>ES0031405534397003KT0F-30874681</t>
  </si>
  <si>
    <t>ES0031405534397003KT0F</t>
  </si>
  <si>
    <t>ES0031405579323007GN0F-30822113</t>
  </si>
  <si>
    <t>ES0031405579323007GN0F</t>
  </si>
  <si>
    <t>ES0031405585931006SL0F-30857002</t>
  </si>
  <si>
    <t>ES0031405585931006SL0F</t>
  </si>
  <si>
    <t>ES0031405600771013ZN0F-30872720</t>
  </si>
  <si>
    <t>ES0031405600771013ZN0F</t>
  </si>
  <si>
    <t>ES0031405628675001GD0F-30820374</t>
  </si>
  <si>
    <t>ES0031405628675001GD0F</t>
  </si>
  <si>
    <t>ES0031405639374008AZ0F-30813375</t>
  </si>
  <si>
    <t>ES0031405639374008AZ0F</t>
  </si>
  <si>
    <t>ES0031405640508013LG0F-30816615</t>
  </si>
  <si>
    <t>ES0031405640508013LG0F</t>
  </si>
  <si>
    <t>ES0031405640508017LP0F-30867557</t>
  </si>
  <si>
    <t>ES0031405640508017LP0F</t>
  </si>
  <si>
    <t>ES0031405642902004FV0F-30857095</t>
  </si>
  <si>
    <t>ES0031405642902004FV0F</t>
  </si>
  <si>
    <t>ES0031405651527005SH0F-30820880</t>
  </si>
  <si>
    <t>ES0031405651527005SH0F</t>
  </si>
  <si>
    <t>ES0031405653056004RT0F-30866550</t>
  </si>
  <si>
    <t>ES0031405653056004RT0F</t>
  </si>
  <si>
    <t>ES0031405654843013AR0F-30815696</t>
  </si>
  <si>
    <t>ES0031405654843013AR0F</t>
  </si>
  <si>
    <t>ES0031405676490009QH0F-30820458</t>
  </si>
  <si>
    <t>ES0031405676490009QH0F</t>
  </si>
  <si>
    <t>ES0031405679881010KZ0F-30813539</t>
  </si>
  <si>
    <t>ES0031405679881010KZ0F</t>
  </si>
  <si>
    <t>ES0031405694175001QB0F-30808088</t>
  </si>
  <si>
    <t>ES0031405694175001QB0F</t>
  </si>
  <si>
    <t>ES0031405707028013NW0F-30875725</t>
  </si>
  <si>
    <t>ES0031405707028013NW0F</t>
  </si>
  <si>
    <t>ES0031405728233001JW0F-30806891</t>
  </si>
  <si>
    <t>ES0031405728233001JW0F</t>
  </si>
  <si>
    <t>ES0031405765424007KP0F-30811730</t>
  </si>
  <si>
    <t>ES0031405765424007KP0F</t>
  </si>
  <si>
    <t>ES0031405806669007HM0F-30809964</t>
  </si>
  <si>
    <t>ES0031405806669007HM0F</t>
  </si>
  <si>
    <t>ES0031405809438001GY0F-30814897</t>
  </si>
  <si>
    <t>ES0031405809438001GY0F</t>
  </si>
  <si>
    <t>ES0031405851746002BJ0F-30815149</t>
  </si>
  <si>
    <t>ES0031405851746002BJ0F</t>
  </si>
  <si>
    <t>ES0031405942281006GW0F-30809044</t>
  </si>
  <si>
    <t>ES0031405942281006GW0F</t>
  </si>
  <si>
    <t>ES0031405960299005SP0F-30811206</t>
  </si>
  <si>
    <t>ES0031405960299005SP0F</t>
  </si>
  <si>
    <t>ES0031405966559008FD0F-30817246</t>
  </si>
  <si>
    <t>ES0031405966559008FD0F</t>
  </si>
  <si>
    <t>ES0031405967256010CL0F-30858660</t>
  </si>
  <si>
    <t>ES0031405967256010CL0F</t>
  </si>
  <si>
    <t>ES0031405967439014LN0F-30824582</t>
  </si>
  <si>
    <t>ES0031405967439014LN0F</t>
  </si>
  <si>
    <t>ES0031405968517005ZQ0F-30870767</t>
  </si>
  <si>
    <t>ES0031405968517005ZQ0F</t>
  </si>
  <si>
    <t>ES0031405973589008NJ0F-30857100</t>
  </si>
  <si>
    <t>ES0031405973589008NJ0F</t>
  </si>
  <si>
    <t>ES0031405973688006SL0F-30871788</t>
  </si>
  <si>
    <t>ES0031405973742007VQ0F-30871917</t>
  </si>
  <si>
    <t>ES0031405976069002ZD0F-30816625</t>
  </si>
  <si>
    <t>ES0031405976069002ZD0F</t>
  </si>
  <si>
    <t>ES0031405976398014JY0F-30815461</t>
  </si>
  <si>
    <t>ES0031405976398014JY0F</t>
  </si>
  <si>
    <t>ES0031405978309015RY0F-30819863</t>
  </si>
  <si>
    <t>ES0031405978309015RY0F</t>
  </si>
  <si>
    <t>ES0031405979222042TW0F-30875703</t>
  </si>
  <si>
    <t>ES0031405979222042TW0F</t>
  </si>
  <si>
    <t>ES0031405979380002JK0F-30827341</t>
  </si>
  <si>
    <t>ES0031405979380002JK0F</t>
  </si>
  <si>
    <t>ES0031405979914015RC0F-30833084</t>
  </si>
  <si>
    <t>ES0031405979914015RC0F</t>
  </si>
  <si>
    <t>ES0031405980575018ZA0F-30861565</t>
  </si>
  <si>
    <t>ES0031405980575018ZA0F</t>
  </si>
  <si>
    <t>ES0031405980680022WN0F-30819868</t>
  </si>
  <si>
    <t>ES0031405980680022WN0F</t>
  </si>
  <si>
    <t>ES0031405980683019VL0F-30815905</t>
  </si>
  <si>
    <t>ES0031405980683019VL0F</t>
  </si>
  <si>
    <t>ES0031405980713006XZ0F-30814133</t>
  </si>
  <si>
    <t>ES0031405980713006XZ0F</t>
  </si>
  <si>
    <t>ES0031405981737018GC0F-30807138</t>
  </si>
  <si>
    <t>ES0031405981737018GC0F</t>
  </si>
  <si>
    <t>ES0031405986519008CB0F-30810973</t>
  </si>
  <si>
    <t>ES0031405986519008CB0F</t>
  </si>
  <si>
    <t>ES0031405986579010FY0F-30815188</t>
  </si>
  <si>
    <t>ES0031405986579010FY0F</t>
  </si>
  <si>
    <t>ES0031405986972003GK0F-30808081</t>
  </si>
  <si>
    <t>ES0031405986972003GK0F</t>
  </si>
  <si>
    <t>ES0031405988344004HA0F-30827113</t>
  </si>
  <si>
    <t>ES0031405988344004HA0F</t>
  </si>
  <si>
    <t>ES0031405988505009AP0F-30816687</t>
  </si>
  <si>
    <t>ES0031405988505009AP0F</t>
  </si>
  <si>
    <t>ES0031405993037009ML0F-30869526</t>
  </si>
  <si>
    <t>ES0031405993037009ML0F</t>
  </si>
  <si>
    <t>ES0031405993339006AA0F-30825399</t>
  </si>
  <si>
    <t>ES0031405993339006AA0F</t>
  </si>
  <si>
    <t>ES0031405997687009DV0F-30825220</t>
  </si>
  <si>
    <t>ES0031405997687009DV0F</t>
  </si>
  <si>
    <t>ES0031406000432008XN0F-30818764</t>
  </si>
  <si>
    <t>ES0031406000432008XN0F</t>
  </si>
  <si>
    <t>ES0031406007356001YQ0F-30813902</t>
  </si>
  <si>
    <t>ES0031406007356001YQ0F</t>
  </si>
  <si>
    <t>ES0031406015969001KE0F-30862627</t>
  </si>
  <si>
    <t>ES0031406015969001KE0F</t>
  </si>
  <si>
    <t>TDC returned</t>
  </si>
  <si>
    <t>ES0031406040624009VL0F-30820885</t>
  </si>
  <si>
    <t>ES0031406040624009VL0F</t>
  </si>
  <si>
    <t>ES0031406041853090GA0F-30867778</t>
  </si>
  <si>
    <t>ES0031406041853090GA0F</t>
  </si>
  <si>
    <t>ES0031406094046005NF0F-30819040</t>
  </si>
  <si>
    <t>ES0031406094046005NF0F</t>
  </si>
  <si>
    <t>ES0031406118047001TC0F-30809664</t>
  </si>
  <si>
    <t>ES0031406118047001TC0F</t>
  </si>
  <si>
    <t>ES0031406122871013AN0F-30812123</t>
  </si>
  <si>
    <t>ES0031406122871013AN0F</t>
  </si>
  <si>
    <t>ES0031406133983001HX0F-30823407</t>
  </si>
  <si>
    <t>ES0031406133983001HX0F</t>
  </si>
  <si>
    <t>ES0031406159171004GT0F-30821091</t>
  </si>
  <si>
    <t>ES0031406159171004GT0F</t>
  </si>
  <si>
    <t>ES0031406166573012ZX0F-30809330</t>
  </si>
  <si>
    <t>ES0031406166573012ZX0F</t>
  </si>
  <si>
    <t>ES0031406168556004GB0F-30858801</t>
  </si>
  <si>
    <t>ES0031406170207004GW0F-30822384</t>
  </si>
  <si>
    <t>ES0031406170207004GW0F</t>
  </si>
  <si>
    <t>ES0031406170835001FF0F-30817314</t>
  </si>
  <si>
    <t>ES0031406170835001FF0F</t>
  </si>
  <si>
    <t>ES0031406171165007AD0F-30816048</t>
  </si>
  <si>
    <t>ES0031406171165007AD0F</t>
  </si>
  <si>
    <t>ES0031406176097001PK0F-30876624</t>
  </si>
  <si>
    <t>ES0031406176097001PK0F</t>
  </si>
  <si>
    <t>ES0031406178865011KG0F-30828331</t>
  </si>
  <si>
    <t>ES0031406178865011KG0F</t>
  </si>
  <si>
    <t>ES0031406178962004YY0F-30862368</t>
  </si>
  <si>
    <t>ES0031406183387003WN0F-30812701</t>
  </si>
  <si>
    <t>ES0031406183387003WN0F</t>
  </si>
  <si>
    <t>ES0031406183814018FD0F-30817251</t>
  </si>
  <si>
    <t>ES0031406183814018FD0F</t>
  </si>
  <si>
    <t>ES0031406189699002RY0F-30814458</t>
  </si>
  <si>
    <t>ES0031406189699002RY0F</t>
  </si>
  <si>
    <t>ES0031406212495010QR0F-30828494</t>
  </si>
  <si>
    <t>ES0031406212495010QR0F</t>
  </si>
  <si>
    <t>ES0031406218158002HW0F-30863767</t>
  </si>
  <si>
    <t>ES0031406218158002HW0F</t>
  </si>
  <si>
    <t>ES0031406271686003KB0F-30825934</t>
  </si>
  <si>
    <t>ES0031406271686003KB0F</t>
  </si>
  <si>
    <t>ES0031406283556014BK0F-30810142</t>
  </si>
  <si>
    <t>ES0031406283556014BK0F</t>
  </si>
  <si>
    <t>ES0031406284641001NY0F-30875125</t>
  </si>
  <si>
    <t>ES0031406284641001NY0F</t>
  </si>
  <si>
    <t>ES0031406304326096DE0F-30829808</t>
  </si>
  <si>
    <t>ES0031406304326096DE0F</t>
  </si>
  <si>
    <t>ES0031406307744007BH0F-30823160</t>
  </si>
  <si>
    <t>ES0031406307744007BH0F</t>
  </si>
  <si>
    <t>ES0031406338978008EL0F-30868557</t>
  </si>
  <si>
    <t>ES0031406338978008EL0F</t>
  </si>
  <si>
    <t>ES0031406344205006CZ0F-30825801</t>
  </si>
  <si>
    <t>ES0031406344205006CZ0F</t>
  </si>
  <si>
    <t>ES0031406382213002SG0F-30819428</t>
  </si>
  <si>
    <t>ES0031406382213002SG0F</t>
  </si>
  <si>
    <t>ES0031408008669051VJ0F-30863970</t>
  </si>
  <si>
    <t>ES0031408008669051VJ0F</t>
  </si>
  <si>
    <t>ES0031408009381013ZX0F-30871624</t>
  </si>
  <si>
    <t>ES0031408009381013ZX0F</t>
  </si>
  <si>
    <t>ES0031408010026017KW0F-30858465</t>
  </si>
  <si>
    <t>ES0031408010026017KW0F</t>
  </si>
  <si>
    <t>ES0031408019040030ZQ0F-30865581</t>
  </si>
  <si>
    <t>ES0031408019040030ZQ0F</t>
  </si>
  <si>
    <t>ES0031408029928009LW0F-30806724</t>
  </si>
  <si>
    <t>ES0031408029928009LW0F</t>
  </si>
  <si>
    <t>ES0031408038617030GZ0F-30818725</t>
  </si>
  <si>
    <t>ES0031408038617030GZ0F</t>
  </si>
  <si>
    <t>ES0031408051925003RA0F-30876614</t>
  </si>
  <si>
    <t>ES0031408051925003RA0F</t>
  </si>
  <si>
    <t>ES0031408051925004RG0F-30871437</t>
  </si>
  <si>
    <t>ES0031408051925004RG0F</t>
  </si>
  <si>
    <t>ES0031408074222015DX0F-30827931</t>
  </si>
  <si>
    <t>ES0031408074222015DX0F</t>
  </si>
  <si>
    <t>ES0031408091551002DS0F-30814343</t>
  </si>
  <si>
    <t>ES0031408091551002DS0F</t>
  </si>
  <si>
    <t>ES0031408098791001ZM0F-30815474</t>
  </si>
  <si>
    <t>ES0031408098791001ZM0F</t>
  </si>
  <si>
    <t>ES0031408130509002TV0F-30842332</t>
  </si>
  <si>
    <t>ES0031408130509002TV0F</t>
  </si>
  <si>
    <t>ES0031408157750004FA0F-30817813</t>
  </si>
  <si>
    <t>ES0031408157750004FA0F</t>
  </si>
  <si>
    <t>ES0031408162105001HL0F-30820186</t>
  </si>
  <si>
    <t>ES0031408162105001HL0F</t>
  </si>
  <si>
    <t>ES0031408165481004SJ0F-30822072</t>
  </si>
  <si>
    <t>ES0031408165481004SJ0F</t>
  </si>
  <si>
    <t>ES0031408175765004AT0F-30808225</t>
  </si>
  <si>
    <t>ES0031408175765004AT0F</t>
  </si>
  <si>
    <t>ES0031408192410002AJ0F-30823277</t>
  </si>
  <si>
    <t>ES0031408192410002AJ0F</t>
  </si>
  <si>
    <t>ES0031408211002001QP0F-30860304</t>
  </si>
  <si>
    <t>ES0031408211002001QP0F</t>
  </si>
  <si>
    <t>ES0031408234204008LY0F-30865221</t>
  </si>
  <si>
    <t>ES0031408234204008LY0F</t>
  </si>
  <si>
    <t>ES0031408252109003QF0F-30823433</t>
  </si>
  <si>
    <t>ES0031408252109003QF0F</t>
  </si>
  <si>
    <t>ES0031408257213008WJ0F-30823599</t>
  </si>
  <si>
    <t>ES0031408257213008WJ0F</t>
  </si>
  <si>
    <t>ES0031408262687006KB0F-30814745</t>
  </si>
  <si>
    <t>ES0031408262687006KB0F</t>
  </si>
  <si>
    <t>ES0031408270229008TZ0F-30823693</t>
  </si>
  <si>
    <t>ES0031408270229008TZ0F</t>
  </si>
  <si>
    <t>ES0031408273243022JQ0F-30825919</t>
  </si>
  <si>
    <t>ES0031408273243022JQ0F</t>
  </si>
  <si>
    <t>ES0031408276637032BP0F-30808074</t>
  </si>
  <si>
    <t>ES0031408276637032BP0F</t>
  </si>
  <si>
    <t>ES0031408277374011ZK0F-30815445</t>
  </si>
  <si>
    <t>ES0031408277374011ZK0F</t>
  </si>
  <si>
    <t>ES0031408282680030KD0F-30812682</t>
  </si>
  <si>
    <t>ES0031408282680030KD0F</t>
  </si>
  <si>
    <t>ES0031408284754003BA0F-30863566</t>
  </si>
  <si>
    <t>ES0031408284754003BA0F</t>
  </si>
  <si>
    <t>ES0031408285314029AW0F-30818253</t>
  </si>
  <si>
    <t>ES0031408285314029AW0F</t>
  </si>
  <si>
    <t>ES0031408307821010DB0F-30818204</t>
  </si>
  <si>
    <t>ES0031408307821010DB0F</t>
  </si>
  <si>
    <t>ES0031408314925004BH0F-30872477</t>
  </si>
  <si>
    <t>ES0031408314925004BH0F</t>
  </si>
  <si>
    <t>ES0031408322812001VQ0F-30812130</t>
  </si>
  <si>
    <t>ES0031408322812001VQ0F</t>
  </si>
  <si>
    <t>ES0031408324923001FF0F-30815253</t>
  </si>
  <si>
    <t>ES0031408324923001FF0F</t>
  </si>
  <si>
    <t>ES0031408360479004KB0F-30817504</t>
  </si>
  <si>
    <t>ES0031408360479004KB0F</t>
  </si>
  <si>
    <t>ES0031408364925002XV0F-30819037</t>
  </si>
  <si>
    <t>ES0031408364925002XV0F</t>
  </si>
  <si>
    <t>ES0031408377646014VM0F-30814639</t>
  </si>
  <si>
    <t>ES0031408377646014VM0F</t>
  </si>
  <si>
    <t>ES0031408379602001YA0F-30832598</t>
  </si>
  <si>
    <t>ES0031408379602001YA0F</t>
  </si>
  <si>
    <t>ES0031408391901028LX0F-30828726</t>
  </si>
  <si>
    <t>ES0031408391901028LX0F</t>
  </si>
  <si>
    <t>ES0031408392251012XA0F-30816559</t>
  </si>
  <si>
    <t>ES0031408392251012XA0F</t>
  </si>
  <si>
    <t>ES0031408394352013WT0F-30815265</t>
  </si>
  <si>
    <t>ES0031408394352013WT0F</t>
  </si>
  <si>
    <t>ES0031408394352014WR0F-30815971</t>
  </si>
  <si>
    <t>ES0031408394352014WR0F</t>
  </si>
  <si>
    <t>ES0031408399606010TS0F-30825400</t>
  </si>
  <si>
    <t>ES0031408399606010TS0F</t>
  </si>
  <si>
    <t>ES0031408400136005CK0F-30809472</t>
  </si>
  <si>
    <t>ES0031408400136005CK0F</t>
  </si>
  <si>
    <t>ES0031408405929009VS0F-30807091</t>
  </si>
  <si>
    <t>ES0031408405929009VS0F</t>
  </si>
  <si>
    <t>ES0031408407105066KJ0F-30817829</t>
  </si>
  <si>
    <t>ES0031408407105066KJ0F</t>
  </si>
  <si>
    <t>ES0031408407105080EG0F-30817510</t>
  </si>
  <si>
    <t>ES0031408407105080EG0F</t>
  </si>
  <si>
    <t>ES0031408429898001VV0F-30860615</t>
  </si>
  <si>
    <t>ES0031408429898001VV0F</t>
  </si>
  <si>
    <t>ES0031408434084017LX0F-30814033</t>
  </si>
  <si>
    <t>ES0031408434084017LX0F</t>
  </si>
  <si>
    <t>ES0031408458049003YP0F-30815641</t>
  </si>
  <si>
    <t>ES0031408458049003YP0F</t>
  </si>
  <si>
    <t>ES0031408479048001KY0F-30869583</t>
  </si>
  <si>
    <t>ES0031408479048001KY0F</t>
  </si>
  <si>
    <t>ES0031408481085018ZM0F-30817000</t>
  </si>
  <si>
    <t>ES0031408481085018ZM0F</t>
  </si>
  <si>
    <t>ES0031408485016001JN0F-30875539</t>
  </si>
  <si>
    <t>ES0031408490662025JL0F-30819422</t>
  </si>
  <si>
    <t>ES0031408490662025JL0F</t>
  </si>
  <si>
    <t>ES0031408490820021YM0F-30822039</t>
  </si>
  <si>
    <t>ES0031408490820021YM0F</t>
  </si>
  <si>
    <t>ES0031408491478014WZ0F-30822058</t>
  </si>
  <si>
    <t>ES0031408491478014WZ0F</t>
  </si>
  <si>
    <t>ES0031408500506010YG0F-30828003</t>
  </si>
  <si>
    <t>ES0031408500506010YG0F</t>
  </si>
  <si>
    <t>ES0031408509662003PL0F-30825689</t>
  </si>
  <si>
    <t>ES0031408509662003PL0F</t>
  </si>
  <si>
    <t>ES0031408515010011TK0F-30824391</t>
  </si>
  <si>
    <t>ES0031408515010011TK0F</t>
  </si>
  <si>
    <t>ES0031408527256006PB0F-30817243</t>
  </si>
  <si>
    <t>ES0031408527256006PB0F</t>
  </si>
  <si>
    <t>ES0031408529458001KD0F-30862150</t>
  </si>
  <si>
    <t>ES0031408529458001KD0F</t>
  </si>
  <si>
    <t>ES0031408534587011JL0F-30820259</t>
  </si>
  <si>
    <t>ES0031408534587011JL0F</t>
  </si>
  <si>
    <t>ES0031408534593006KB0F-30876098</t>
  </si>
  <si>
    <t>ES0031408535386055RC0F-30812982</t>
  </si>
  <si>
    <t>ES0031408535386055RC0F</t>
  </si>
  <si>
    <t>ES0031408543269022QJ0F-30809218</t>
  </si>
  <si>
    <t>ES0031408543269022QJ0F</t>
  </si>
  <si>
    <t>ES0031408543269028QL0F-30816762</t>
  </si>
  <si>
    <t>ES0031408543269028QL0F</t>
  </si>
  <si>
    <t>ES0031408544860001MJ0F-30815796</t>
  </si>
  <si>
    <t>ES0031408544860001MJ0F</t>
  </si>
  <si>
    <t>ES0031408553876003QS0F-30820075</t>
  </si>
  <si>
    <t>ES0031408553876003QS0F</t>
  </si>
  <si>
    <t>ES0031408560582002XL0F-30821052</t>
  </si>
  <si>
    <t>ES0031408560582002XL0F</t>
  </si>
  <si>
    <t>ES0031408560583002PF0F-30863146</t>
  </si>
  <si>
    <t>ES0031408560583002PF0F</t>
  </si>
  <si>
    <t>ES0031408560867001MW0F-30824111</t>
  </si>
  <si>
    <t>ES0031408560867001MW0F</t>
  </si>
  <si>
    <t>ES0031408560867008MD0F-30823511</t>
  </si>
  <si>
    <t>ES0031408560867008MD0F</t>
  </si>
  <si>
    <t>ES0031408562635001PS0F-30813644</t>
  </si>
  <si>
    <t>ES0031408562635001PS0F</t>
  </si>
  <si>
    <t>ES0031408563513001WJ0F-30822214</t>
  </si>
  <si>
    <t>ES0031408563513001WJ0F</t>
  </si>
  <si>
    <t>ES0031408564442001MC0F-30816843</t>
  </si>
  <si>
    <t>ES0031408564442001MC0F</t>
  </si>
  <si>
    <t>ES0031408564442002MK0F-30817045</t>
  </si>
  <si>
    <t>ES0031408564442002MK0F</t>
  </si>
  <si>
    <t>ES0031408564802001HR0F-30873900</t>
  </si>
  <si>
    <t>ES0031408564802001HR0F</t>
  </si>
  <si>
    <t>ES0031408566736001VT0F-30809055</t>
  </si>
  <si>
    <t>ES0031408566736001VT0F</t>
  </si>
  <si>
    <t>ES0031408567435001WF0F-30836186</t>
  </si>
  <si>
    <t>ES0031408567435001WF0F</t>
  </si>
  <si>
    <t>ES0031408570653001YP0F-30858640</t>
  </si>
  <si>
    <t>ES0031408570653001YP0F</t>
  </si>
  <si>
    <t>ES0031408570923001SB0F-30852073</t>
  </si>
  <si>
    <t>ES0031408570923001SB0F</t>
  </si>
  <si>
    <t>ES0031408571091001ML0F-30821596</t>
  </si>
  <si>
    <t>ES0031408571091001ML0F</t>
  </si>
  <si>
    <t>ES0031408571110001AK0F-30875754</t>
  </si>
  <si>
    <t>ES0031408571110001AK0F</t>
  </si>
  <si>
    <t>ES0031408572998001AC0F-30820229</t>
  </si>
  <si>
    <t>ES0031408572998001AC0F</t>
  </si>
  <si>
    <t>ES0031408573506001XL0F-30823246</t>
  </si>
  <si>
    <t>ES0031408573506001XL0F</t>
  </si>
  <si>
    <t>ES0031408574353001JK0F-30823746</t>
  </si>
  <si>
    <t>ES0031408574353001JK0F</t>
  </si>
  <si>
    <t>ES0031408574496016KE0F-30818132</t>
  </si>
  <si>
    <t>ES0031408574496016KE0F</t>
  </si>
  <si>
    <t>ES0031408575190001LM0F-30841518</t>
  </si>
  <si>
    <t>ES0031408575190001LM0F</t>
  </si>
  <si>
    <t>ES0031408575887001DJ0F-30819838</t>
  </si>
  <si>
    <t>ES0031408575887001DJ0F</t>
  </si>
  <si>
    <t>ES0031408575951001DG0F-30841495</t>
  </si>
  <si>
    <t>ES0031408575951001DG0F</t>
  </si>
  <si>
    <t>ES0031408576860001QK0F-30818412</t>
  </si>
  <si>
    <t>ES0031408576860001QK0F</t>
  </si>
  <si>
    <t>ES0031408576983001MV0F-30813447</t>
  </si>
  <si>
    <t>ES0031408576983001MV0F</t>
  </si>
  <si>
    <t>ES0031408577238004YL0F-30875929</t>
  </si>
  <si>
    <t>ES0031408577238004YL0F</t>
  </si>
  <si>
    <t>ES0031408577348001MF0F-30861092</t>
  </si>
  <si>
    <t>ES0031408577348001MF0F</t>
  </si>
  <si>
    <t>ES0031408577765001BV0F-30823903</t>
  </si>
  <si>
    <t>ES0031408577765001BV0F</t>
  </si>
  <si>
    <t>ES0031408578710001CQ0F-30818798</t>
  </si>
  <si>
    <t>ES0031408578710001CQ0F</t>
  </si>
  <si>
    <t>ES0031408578997001DE0F-30816701</t>
  </si>
  <si>
    <t>ES0031408578997001DE0F</t>
  </si>
  <si>
    <t>ES0031408579077001SM0F-30828582</t>
  </si>
  <si>
    <t>ES0031408579077001SM0F</t>
  </si>
  <si>
    <t>ES0031446384773006QB0F-30822251</t>
  </si>
  <si>
    <t>ES0031446384773006QB0F</t>
  </si>
  <si>
    <t>ES0031446437106001CW0F-30828291</t>
  </si>
  <si>
    <t>ES0031446437106001CW0F</t>
  </si>
  <si>
    <t>ES0031448151707001JS0F-30818210</t>
  </si>
  <si>
    <t>ES0031448151707001JS0F</t>
  </si>
  <si>
    <t>ES0031448216708001LW0F-30823043</t>
  </si>
  <si>
    <t>ES0031448216708001LW0F</t>
  </si>
  <si>
    <t>ES0031448370197003AE0F-30825776</t>
  </si>
  <si>
    <t>ES0031448370197003AE0F</t>
  </si>
  <si>
    <t>ES0031448422418011ZJ0F-30817436</t>
  </si>
  <si>
    <t>ES0031448422418011ZJ0F</t>
  </si>
  <si>
    <t>ES0031448458269010CS0F-30828925</t>
  </si>
  <si>
    <t>ES0031448458269010CS0F</t>
  </si>
  <si>
    <t>ES0031448554850001SG0F-30822639</t>
  </si>
  <si>
    <t>ES0031448554850001SG0F</t>
  </si>
  <si>
    <t>ES0031448565744001MP0F-30814477</t>
  </si>
  <si>
    <t>ES0031448565744001MP0F</t>
  </si>
  <si>
    <t>ES0031448565744003MX0F-30815143</t>
  </si>
  <si>
    <t>ES0031448565744003MX0F</t>
  </si>
  <si>
    <t>ES0031448571597001BZ0F-30823723</t>
  </si>
  <si>
    <t>ES0031448571597001BZ0F</t>
  </si>
  <si>
    <t>ES0031500001526011FZ0F-30863941</t>
  </si>
  <si>
    <t>ES0031500001526011FZ0F</t>
  </si>
  <si>
    <t>ES0031500057047001KQ0F-30845454</t>
  </si>
  <si>
    <t>ES0031500057047001KQ0F</t>
  </si>
  <si>
    <t>ES0031500068557001EB0F-30841502</t>
  </si>
  <si>
    <t>ES0031500068557001EB0F</t>
  </si>
  <si>
    <t>ES0031500123431027JQ0F-30871348</t>
  </si>
  <si>
    <t>ES0031500123431027JQ0F</t>
  </si>
  <si>
    <t>ES0031500139635001KF0F-30876253</t>
  </si>
  <si>
    <t>ES0031500139635001KF0F</t>
  </si>
  <si>
    <t>ES0031500141846001BV0F-30868148</t>
  </si>
  <si>
    <t>ES0031500141846001BV0F</t>
  </si>
  <si>
    <t>ES0031500142010005NP0F-30811812</t>
  </si>
  <si>
    <t>ES0031500142010005NP0F</t>
  </si>
  <si>
    <t>ES0031500160987011CJ0F-30865780</t>
  </si>
  <si>
    <t>ES0031500160987011CJ0F</t>
  </si>
  <si>
    <t>ES0031500196754004PM0F-30850873</t>
  </si>
  <si>
    <t>ES0031500196754004PM0F</t>
  </si>
  <si>
    <t>ES0031500229668002ZZ0F-30844699</t>
  </si>
  <si>
    <t>ES0031500229668002ZZ0F</t>
  </si>
  <si>
    <t>ES0031500231277003MG0F-30872500</t>
  </si>
  <si>
    <t>ES0031500231277003MG0F</t>
  </si>
  <si>
    <t>ES0031500270926005RL0F-30875038</t>
  </si>
  <si>
    <t>ES0031500270926005RL0F</t>
  </si>
  <si>
    <t>ES0031500279733032NR0F-30859826</t>
  </si>
  <si>
    <t>ES0031500279733032NR0F</t>
  </si>
  <si>
    <t>ES0031500523564001ZN0F-30874124</t>
  </si>
  <si>
    <t>ES0031500523564001ZN0F</t>
  </si>
  <si>
    <t>ES0031500530186010JE0F-30831956</t>
  </si>
  <si>
    <t>ES0031500530186010JE0F</t>
  </si>
  <si>
    <t>ES0031500544816184CB0F-30865243</t>
  </si>
  <si>
    <t>ES0031500544816184CB0F</t>
  </si>
  <si>
    <t>ES0031500546714009XZ0F-30867262</t>
  </si>
  <si>
    <t>ES0031500546714009XZ0F</t>
  </si>
  <si>
    <t>ES0031500566633001BV0F-30846855</t>
  </si>
  <si>
    <t>ES0031500566633001BV0F</t>
  </si>
  <si>
    <t>ES0031500600952011VZ0F-30862526</t>
  </si>
  <si>
    <t>ES0031500600952011VZ0F</t>
  </si>
  <si>
    <t>ES0031500606852013CX0F-30860659</t>
  </si>
  <si>
    <t>ES0031500606852013CX0F</t>
  </si>
  <si>
    <t>ES0031500617921011YM0F-30869451</t>
  </si>
  <si>
    <t>ES0031500617921011YM0F</t>
  </si>
  <si>
    <t>ES0031500627707001FR0F-30832589</t>
  </si>
  <si>
    <t>ES0031500627707001FR0F</t>
  </si>
  <si>
    <t>ES0031500633002001VX0F-30858799</t>
  </si>
  <si>
    <t>ES0031500633002001VX0F</t>
  </si>
  <si>
    <t>ES0031500644471001YZ0F-30865223</t>
  </si>
  <si>
    <t>ES0031500644471001YZ0F</t>
  </si>
  <si>
    <t>ES0031500664928001PD0F-30845829</t>
  </si>
  <si>
    <t>ES0031500664928001PD0F</t>
  </si>
  <si>
    <t>ES0031500664928003PB0F-30845406</t>
  </si>
  <si>
    <t>ES0031500664928003PB0F</t>
  </si>
  <si>
    <t>ES0031500671382002VA0F-30871645</t>
  </si>
  <si>
    <t>ES0031500671382002VA0F</t>
  </si>
  <si>
    <t>ES0031500683479001DZ0F-30839830</t>
  </si>
  <si>
    <t>ES0031500683479001DZ0F</t>
  </si>
  <si>
    <t>ES0031500684290001BB0F-30869617</t>
  </si>
  <si>
    <t>ES0031500684290001BB0F</t>
  </si>
  <si>
    <t>ES0031500685368001FR0F-30858831</t>
  </si>
  <si>
    <t>ES0031500685368001FR0F</t>
  </si>
  <si>
    <t>ES0031500685972001RK0F-30857708</t>
  </si>
  <si>
    <t>ES0031500685972001RK0F</t>
  </si>
  <si>
    <t>ES0031500691735001MA0F-30841508</t>
  </si>
  <si>
    <t>ES0031500691735001MA0F</t>
  </si>
  <si>
    <t>ES0031500691779001DG0F-30875209</t>
  </si>
  <si>
    <t>ES0031500691779001DG0F</t>
  </si>
  <si>
    <t>ES0031500692377001LG0F-30809156</t>
  </si>
  <si>
    <t>ES0031500692377001LG0F</t>
  </si>
  <si>
    <t>ES0031500692431001KT0F-30841509</t>
  </si>
  <si>
    <t>ES0031500692431001KT0F</t>
  </si>
  <si>
    <t>ES0031600115961008DM0F-30847736</t>
  </si>
  <si>
    <t>ES0031600115961008DM0F</t>
  </si>
  <si>
    <t>ES0031601005259008TS0F-30864481</t>
  </si>
  <si>
    <t>ES0031601005259008TS0F</t>
  </si>
  <si>
    <t>ES0031601008095009WR0F-30858727</t>
  </si>
  <si>
    <t>ES0031601008095009WR0F</t>
  </si>
  <si>
    <t>ES0031601104645009YA0F-30866559</t>
  </si>
  <si>
    <t>ES0031601104645009YA0F</t>
  </si>
  <si>
    <t>ES0031601106060017AM0F-30863530</t>
  </si>
  <si>
    <t>ES0031601106060017AM0F</t>
  </si>
  <si>
    <t>ES0031601117209049HV0F-30861711</t>
  </si>
  <si>
    <t>ES0031601117209049HV0F</t>
  </si>
  <si>
    <t>ES0031601126291016EC0F-30863581</t>
  </si>
  <si>
    <t>ES0031601126291016EC0F</t>
  </si>
  <si>
    <t>ES0031601129296001BD0F-30847413</t>
  </si>
  <si>
    <t>ES0031601129296001BD0F</t>
  </si>
  <si>
    <t>ES0031601164657006BD0F-30864569</t>
  </si>
  <si>
    <t>ES0031601164657006BD0F</t>
  </si>
  <si>
    <t>ES0031601167740019BX0F-30870941</t>
  </si>
  <si>
    <t>ES0031601167740019BX0F</t>
  </si>
  <si>
    <t>ES0031601174064004WF0F-30858029</t>
  </si>
  <si>
    <t>ES0031601174064004WF0F</t>
  </si>
  <si>
    <t>ES0031601176605010BL0F-30873845</t>
  </si>
  <si>
    <t>ES0031601176605010BL0F</t>
  </si>
  <si>
    <t>ES0031601177081020FK0F-30860180</t>
  </si>
  <si>
    <t>ES0031601177081020FK0F</t>
  </si>
  <si>
    <t>ES0031601180088005ZD0F-30863314</t>
  </si>
  <si>
    <t>ES0031601180088005ZD0F</t>
  </si>
  <si>
    <t>ES0031601183274004FW0F-30873178</t>
  </si>
  <si>
    <t>ES0031601183274004FW0F</t>
  </si>
  <si>
    <t>ES0031601187932009ZR0F-30874207</t>
  </si>
  <si>
    <t>ES0031601187932009ZR0F</t>
  </si>
  <si>
    <t>ES0031601187932013ZM0F-30874276</t>
  </si>
  <si>
    <t>ES0031601187932013ZM0F</t>
  </si>
  <si>
    <t>ES0031601193716001DE0F-30870435</t>
  </si>
  <si>
    <t>ES0031601193716001DE0F</t>
  </si>
  <si>
    <t>ES0031601196428004WA0F-30863452</t>
  </si>
  <si>
    <t>ES0031601196428004WA0F</t>
  </si>
  <si>
    <t>ES0031601207601040AF0F-30870409</t>
  </si>
  <si>
    <t>ES0031601207601040AF0F</t>
  </si>
  <si>
    <t>ES0031601214109113VT0F-30844575</t>
  </si>
  <si>
    <t>ES0031601214109113VT0F</t>
  </si>
  <si>
    <t>ES0031601220369001GR0F-30864027</t>
  </si>
  <si>
    <t>ES0031601220369001GR0F</t>
  </si>
  <si>
    <t>ES0031601226272015EL0F-30844332</t>
  </si>
  <si>
    <t>ES0031601226272015EL0F</t>
  </si>
  <si>
    <t>ES0031601241474005GK0F-30847236</t>
  </si>
  <si>
    <t>ES0031601241474005GK0F</t>
  </si>
  <si>
    <t>ES0031601264875001BN0F-30868764</t>
  </si>
  <si>
    <t>ES0031601264875001BN0F</t>
  </si>
  <si>
    <t>ES0031601284686003DX0F-30872385</t>
  </si>
  <si>
    <t>ES0031601284686003DX0F</t>
  </si>
  <si>
    <t>ES0031601285495009QZ0F-30865227</t>
  </si>
  <si>
    <t>ES0031601285495009QZ0F</t>
  </si>
  <si>
    <t>ES0031601288621005EB0F-30862489</t>
  </si>
  <si>
    <t>ES0031601288621005EB0F</t>
  </si>
  <si>
    <t>ES0031601303159003TP0F-30847414</t>
  </si>
  <si>
    <t>ES0031601303159003TP0F</t>
  </si>
  <si>
    <t>ES0031601308340003EM0F-30837332</t>
  </si>
  <si>
    <t>ES0031601308340003EM0F</t>
  </si>
  <si>
    <t>ES0031601312365001SA0F-30865228</t>
  </si>
  <si>
    <t>ES0031601312365001SA0F</t>
  </si>
  <si>
    <t>ES0031601321559001ZY0F-30843312</t>
  </si>
  <si>
    <t>ES0031601321559001ZY0F</t>
  </si>
  <si>
    <t>ES0031601321633079SR0F-30864633</t>
  </si>
  <si>
    <t>ES0031601321633079SR0F</t>
  </si>
  <si>
    <t>ES0031601326903003QG0F-30870099</t>
  </si>
  <si>
    <t>ES0031601326903003QG0F</t>
  </si>
  <si>
    <t>ES0031601327842011VZ0F-30840528</t>
  </si>
  <si>
    <t>ES0031601327842011VZ0F</t>
  </si>
  <si>
    <t>ES0031601330636004DJ0F-30821619</t>
  </si>
  <si>
    <t>ES0031601330636004DJ0F</t>
  </si>
  <si>
    <t>ES0031601330753001JD0F-30858153</t>
  </si>
  <si>
    <t>ES0031601330753001JD0F</t>
  </si>
  <si>
    <t>ES0031601331076002AK0F-30849256</t>
  </si>
  <si>
    <t>ES0031601331076002AK0F</t>
  </si>
  <si>
    <t>ES0031601331076004GT0F-30849263</t>
  </si>
  <si>
    <t>ES0031601331076004GT0F</t>
  </si>
  <si>
    <t>ES0031601331603001PK0F-30859592</t>
  </si>
  <si>
    <t>ES0031601331603001PK0F</t>
  </si>
  <si>
    <t>ES0031601332185001JY0F-30839545</t>
  </si>
  <si>
    <t>ES0031601332185001JY0F</t>
  </si>
  <si>
    <t>ES0031601333420001AK0F-30856959</t>
  </si>
  <si>
    <t>ES0031601333420001AK0F</t>
  </si>
  <si>
    <t>ES0031601333802001YZ0F-30860979</t>
  </si>
  <si>
    <t>ES0031601333802001YZ0F</t>
  </si>
  <si>
    <t>ES0031601335472001GF0F-30848294</t>
  </si>
  <si>
    <t>ES0031601335472001GF0F</t>
  </si>
  <si>
    <t>ES0031601335599001YR0F-30842501</t>
  </si>
  <si>
    <t>ES0031601335599001YR0F</t>
  </si>
  <si>
    <t>ES0031601335620004EM0F-30868510</t>
  </si>
  <si>
    <t>ES0031601335620004EM0F</t>
  </si>
  <si>
    <t>ES0031601335705001ZV0F-30865229</t>
  </si>
  <si>
    <t>ES0031601335705001ZV0F</t>
  </si>
  <si>
    <t>ES0031601335967001KR0F-30861847</t>
  </si>
  <si>
    <t>ES0031601335967001KR0F</t>
  </si>
  <si>
    <t>ES0031601336182023PL0F-30860171</t>
  </si>
  <si>
    <t>ES0031601336182023PL0F</t>
  </si>
  <si>
    <t>ES0031601336257001WV0F-30854669</t>
  </si>
  <si>
    <t>ES0031601336257001WV0F</t>
  </si>
  <si>
    <t>ES0031607005298001VM0F-30866473</t>
  </si>
  <si>
    <t>ES0031607005298001VM0F</t>
  </si>
  <si>
    <t>ES0031607005820001BC0F-30863807</t>
  </si>
  <si>
    <t>ES0031607005820001BC0F</t>
  </si>
  <si>
    <t>ES0031607007792017FQ0F-30871176</t>
  </si>
  <si>
    <t>ES0031607007792017FQ0F</t>
  </si>
  <si>
    <t>ES0031607009904008VD0F-30857132</t>
  </si>
  <si>
    <t>ES0031607009904008VD0F</t>
  </si>
  <si>
    <t>ES0031607011919041CN0F-30867080</t>
  </si>
  <si>
    <t>ES0031607011919041CN0F</t>
  </si>
  <si>
    <t>ES0031607014968001NT0F-30858217</t>
  </si>
  <si>
    <t>ES0031607014968001NT0F</t>
  </si>
  <si>
    <t>ES0031607038646001XY0F-30849013</t>
  </si>
  <si>
    <t>ES0031607038646001XY0F</t>
  </si>
  <si>
    <t>ES0031607234818002EQ0F-30843143</t>
  </si>
  <si>
    <t>ES0031607234818002EQ0F</t>
  </si>
  <si>
    <t>ES0031607261154002BG0F-30841147</t>
  </si>
  <si>
    <t>ES0031607261154002BG0F</t>
  </si>
  <si>
    <t>ES0031607279772002GX0F-30860248</t>
  </si>
  <si>
    <t>ES0031607279772002GX0F</t>
  </si>
  <si>
    <t>ES0031607279772005GJ0F-30860540</t>
  </si>
  <si>
    <t>ES0031607279772005GJ0F</t>
  </si>
  <si>
    <t>ES0031607304247012VF0F-30856610</t>
  </si>
  <si>
    <t>ES0031607304247012VF0F</t>
  </si>
  <si>
    <t>ES0031607314637001NE0F-30864960</t>
  </si>
  <si>
    <t>ES0031607314637001NE0F</t>
  </si>
  <si>
    <t>ES0031607327020018KT0F-30864092</t>
  </si>
  <si>
    <t>ES0031607327389276KQ0F-30850848</t>
  </si>
  <si>
    <t>ES0031607327389276KQ0F</t>
  </si>
  <si>
    <t>ES0031607436852001HZ0F-30856927</t>
  </si>
  <si>
    <t>ES0031607436852001HZ0F</t>
  </si>
  <si>
    <t>ES0031607487556054SS0F-30860782</t>
  </si>
  <si>
    <t>ES0031607487556054SS0F</t>
  </si>
  <si>
    <t>ES0031607492664001NF0F-30860324</t>
  </si>
  <si>
    <t>ES0031607492664001NF0F</t>
  </si>
  <si>
    <t>ES0031607569186002JL0F-30859687</t>
  </si>
  <si>
    <t>ES0031607569186002JL0F</t>
  </si>
  <si>
    <t>ES0031607591190007RQ0F-30862049</t>
  </si>
  <si>
    <t>ES0031607591190007RQ0F</t>
  </si>
  <si>
    <t>ES0031607600226011PX0F-30862130</t>
  </si>
  <si>
    <t>ES0031607600226011PX0F</t>
  </si>
  <si>
    <t>ES0031607604698001TH0F-30872497</t>
  </si>
  <si>
    <t>ES0031609074179041EH0F-30856963</t>
  </si>
  <si>
    <t>ES0031609074179041EH0F</t>
  </si>
  <si>
    <t>ES0401661184999001HY0F-30847847</t>
  </si>
  <si>
    <t>ES0401661184999001HY0F</t>
  </si>
  <si>
    <t>ES0030320148218003PM0F-30890280</t>
  </si>
  <si>
    <t>ES0030320148218004PY0F-30890283</t>
  </si>
  <si>
    <t>ES0031101307363001EW0F-30893223</t>
  </si>
  <si>
    <t>ES0031101307363001EW0F</t>
  </si>
  <si>
    <t>ES0031101308616005JN0F-30865188</t>
  </si>
  <si>
    <t>ES0031101308616005JN0F</t>
  </si>
  <si>
    <t>ES0031101309523002AG0F-30881965</t>
  </si>
  <si>
    <t>ES0031101309523002AG0F</t>
  </si>
  <si>
    <t>ES0031101310674020EX0F-30875599</t>
  </si>
  <si>
    <t>ES0031101310674020EX0F</t>
  </si>
  <si>
    <t>ES0031101316948002RY0F-30882044</t>
  </si>
  <si>
    <t>ES0031101317873001ZZ0F-30892454</t>
  </si>
  <si>
    <t>ES0031101317873001ZZ0F</t>
  </si>
  <si>
    <t>ES0031101322584018AX0F-30858579</t>
  </si>
  <si>
    <t>ES0031101322584018AX0F</t>
  </si>
  <si>
    <t>ES0031101359250002TS0F-30852819</t>
  </si>
  <si>
    <t>ES0031101359250002TS0F</t>
  </si>
  <si>
    <t>ES0031101369605001QT0F-30852817</t>
  </si>
  <si>
    <t>ES0031101369605001QT0F</t>
  </si>
  <si>
    <t>ES0031101378925001LD0F-30902393</t>
  </si>
  <si>
    <t>ES0031101378925001LD0F</t>
  </si>
  <si>
    <t>ES0031101394846001MH0F-30900502</t>
  </si>
  <si>
    <t>ES0031101394846001MH0F</t>
  </si>
  <si>
    <t>ES0031101497462017PQ0F-30894126</t>
  </si>
  <si>
    <t>ES0031101497462017PQ0F</t>
  </si>
  <si>
    <t>ES0031101519028006LD0F-30892570</t>
  </si>
  <si>
    <t>ES0031101519028006LD0F</t>
  </si>
  <si>
    <t>ES0031101529181021SL0F-30885555</t>
  </si>
  <si>
    <t>ES0031101529181021SL0F</t>
  </si>
  <si>
    <t>11/01/20188</t>
  </si>
  <si>
    <t>ES0031101535222003FM0F-30896334</t>
  </si>
  <si>
    <t>ES0031101633983005RL0F-30869468</t>
  </si>
  <si>
    <t>ES0031101633983005RL0F</t>
  </si>
  <si>
    <t>ES0031101635372003HR0F-30863440</t>
  </si>
  <si>
    <t>ES0031101635372003HR0F</t>
  </si>
  <si>
    <t>ES0031101663130001PN0F-30863222</t>
  </si>
  <si>
    <t>ES0031101663130001PN0F</t>
  </si>
  <si>
    <t>ES0031101718767001YN0F-30862461</t>
  </si>
  <si>
    <t>ES0031101718767001YN0F</t>
  </si>
  <si>
    <t>ES0031101731528014GG0F-30895557</t>
  </si>
  <si>
    <t>ES0031101731528014GG0F</t>
  </si>
  <si>
    <t>ES0031101734672001XY0F-30897249</t>
  </si>
  <si>
    <t>ES0031101734672001XY0F</t>
  </si>
  <si>
    <t>ES0031101869898008AC0F-30893586</t>
  </si>
  <si>
    <t>ES0031101869898008AC0F</t>
  </si>
  <si>
    <t>ES0031101919510024QR0F-30881172</t>
  </si>
  <si>
    <t>ES0031101919510024QR0F</t>
  </si>
  <si>
    <t>ES0031101948094024QS0F-30865192</t>
  </si>
  <si>
    <t>ES0031101948094024QS0F</t>
  </si>
  <si>
    <t>ES0031101978171001TF0F-30856247</t>
  </si>
  <si>
    <t>ES0031101978171001TF0F</t>
  </si>
  <si>
    <t>ES0031102000721001ZW0F-30884158</t>
  </si>
  <si>
    <t>ES0031102000721001ZW0F</t>
  </si>
  <si>
    <t>ES0031102004298007XW0F-30883719</t>
  </si>
  <si>
    <t>ES0031102015602002RA0F-30887687</t>
  </si>
  <si>
    <t>ES0031102015602002RA0F</t>
  </si>
  <si>
    <t>ES0031102021729001YD0F-30881638</t>
  </si>
  <si>
    <t>ES0031102037730001KR0F-30862830</t>
  </si>
  <si>
    <t>ES0031102037730001KR0F</t>
  </si>
  <si>
    <t>ES0031102058317011VX0F-30902511</t>
  </si>
  <si>
    <t>ES0031102058317011VX0F</t>
  </si>
  <si>
    <t>ES0031102074484008GP0F-30877884</t>
  </si>
  <si>
    <t>ES0031102076843002NF0F-30897550</t>
  </si>
  <si>
    <t>ES0031102076843002NF0F</t>
  </si>
  <si>
    <t>ES0031102088380001JE0F-30875017</t>
  </si>
  <si>
    <t>ES0031102088380001JE0F</t>
  </si>
  <si>
    <t>ES0031102097139003YA0F-30896445</t>
  </si>
  <si>
    <t>ES0031102097139003YA0F</t>
  </si>
  <si>
    <t>ES0031102118021007VP0F-30879783</t>
  </si>
  <si>
    <t>ES0031102118021007VP0F</t>
  </si>
  <si>
    <t>ES0031102122323002RZ0F-30883075</t>
  </si>
  <si>
    <t>ES0031102122323002RZ0F</t>
  </si>
  <si>
    <t>ES0031102228585056BK0F-30895559</t>
  </si>
  <si>
    <t>ES0031102228585056BK0F</t>
  </si>
  <si>
    <t>ES0031102230303003RY0F-30897179</t>
  </si>
  <si>
    <t>ES0031102230303003RY0F</t>
  </si>
  <si>
    <t>ES0031102234141007YT0F-30893021</t>
  </si>
  <si>
    <t>ES0031102234141007YT0F</t>
  </si>
  <si>
    <t>ES0031102234617001RD0F-30882199</t>
  </si>
  <si>
    <t>ES0031102234617001RD0F</t>
  </si>
  <si>
    <t>ES0031102240394006SN0F-30882915</t>
  </si>
  <si>
    <t>ES0031102240394006SN0F</t>
  </si>
  <si>
    <t>ES0031102245877009BE0F-30891797</t>
  </si>
  <si>
    <t>ES0031102245877009BE0F</t>
  </si>
  <si>
    <t>ES0031102250481009QC0F-30865573</t>
  </si>
  <si>
    <t>ES0031102250481009QC0F</t>
  </si>
  <si>
    <t>ES0031102252434012ZR0F-30851439</t>
  </si>
  <si>
    <t>ES0031102252434012ZR0F</t>
  </si>
  <si>
    <t>ES0031102263589001NJ0F-30865465</t>
  </si>
  <si>
    <t>ES0031102263589001NJ0F</t>
  </si>
  <si>
    <t>ES0031102276133006MW0F-30898918</t>
  </si>
  <si>
    <t>ES0031102276133006MW0F</t>
  </si>
  <si>
    <t>ES0031102288379014JM0F-30900801</t>
  </si>
  <si>
    <t>ES0031102288379014JM0F</t>
  </si>
  <si>
    <t>ES0031102319089003BA0F-30885398</t>
  </si>
  <si>
    <t>ES0031102319089003BA0F</t>
  </si>
  <si>
    <t>ES0031102364983001ZP0F-30881337</t>
  </si>
  <si>
    <t>ES0031102364983001ZP0F</t>
  </si>
  <si>
    <t>ES0031102398453011EG0F-30843379</t>
  </si>
  <si>
    <t>ES0031102398453011EG0F</t>
  </si>
  <si>
    <t>ES0031102480199001MS0F-30865194</t>
  </si>
  <si>
    <t>ES0031102480199001MS0F</t>
  </si>
  <si>
    <t>ES0031102513074001HB0F-30891778</t>
  </si>
  <si>
    <t>ES0031102513074001HB0F</t>
  </si>
  <si>
    <t>ES0031102516447001ES0F-30878619</t>
  </si>
  <si>
    <t>ES0031102516447001ES0F</t>
  </si>
  <si>
    <t>ES0031102523457019XR0F-30885449</t>
  </si>
  <si>
    <t>ES0031102523457019XR0F</t>
  </si>
  <si>
    <t>ES0031102533007001FS0F-30896765</t>
  </si>
  <si>
    <t>ES0031102533007001FS0F</t>
  </si>
  <si>
    <t>ES0031102556117001NY0F-30866810</t>
  </si>
  <si>
    <t>ES0031102556117001NY0F</t>
  </si>
  <si>
    <t>ES0031102571532003DV0F-30842905</t>
  </si>
  <si>
    <t>ES0031102571532003DV0F</t>
  </si>
  <si>
    <t>ES0031102609365002PV0F-30864369</t>
  </si>
  <si>
    <t>ES0031102609365002PV0F</t>
  </si>
  <si>
    <t>ES0031102647208003MZ0F-30894513</t>
  </si>
  <si>
    <t>ES0031102647208003MZ0F</t>
  </si>
  <si>
    <t>ES0031102649075001NX0F-30888858</t>
  </si>
  <si>
    <t>ES0031102649075001NX0F</t>
  </si>
  <si>
    <t>ES0031102649682006EE0F-30869613</t>
  </si>
  <si>
    <t>ES0031102649682006EE0F</t>
  </si>
  <si>
    <t>ES0031102679248005PG0F-30882423</t>
  </si>
  <si>
    <t>ES0031102679248005PG0F</t>
  </si>
  <si>
    <t>ES0031102684963001VY0F-30878740</t>
  </si>
  <si>
    <t>ES0031102684963001VY0F</t>
  </si>
  <si>
    <t>ES0031102699834005YS0F-30901220</t>
  </si>
  <si>
    <t>ES0031102699834005YS0F</t>
  </si>
  <si>
    <t>ES0031102713013001FB0F-30886955</t>
  </si>
  <si>
    <t>ES0031102713013001FB0F</t>
  </si>
  <si>
    <t>ES0031102727330001JV0F-30902275</t>
  </si>
  <si>
    <t>ES0031102727330001JV0F</t>
  </si>
  <si>
    <t>ES0031102748540028AL0F-30884549</t>
  </si>
  <si>
    <t>ES0031102748540028AL0F</t>
  </si>
  <si>
    <t>ES0031102771337024SJ0F-30889586</t>
  </si>
  <si>
    <t>ES0031102771337024SJ0F</t>
  </si>
  <si>
    <t>ES0031102796984001SN0F-30891115</t>
  </si>
  <si>
    <t>ES0031102796984001SN0F</t>
  </si>
  <si>
    <t>ES0031102807304001GG0F-30893276</t>
  </si>
  <si>
    <t>ES0031102807304001GG0F</t>
  </si>
  <si>
    <t>ES0031102834818001NR0F-30893289</t>
  </si>
  <si>
    <t>ES0031102834818001NR0F</t>
  </si>
  <si>
    <t>ES0031102856550005HH0F-30866993</t>
  </si>
  <si>
    <t>ES0031102856550005HH0F</t>
  </si>
  <si>
    <t>ES0031102857914042FV0F-30898338</t>
  </si>
  <si>
    <t>ES0031102857914042FV0F</t>
  </si>
  <si>
    <t>ES0031102867016018FL0F-30866434</t>
  </si>
  <si>
    <t>ES0031102867016018FL0F</t>
  </si>
  <si>
    <t>ES0031102867579005JN0F-30887486</t>
  </si>
  <si>
    <t>ES0031102867579005JN0F</t>
  </si>
  <si>
    <t>ES0031102871052006HJ0F-30893525</t>
  </si>
  <si>
    <t>ES0031102871052006HJ0F</t>
  </si>
  <si>
    <t>ES0031102885549004FL0F-30848838</t>
  </si>
  <si>
    <t>ES0031102885549004FL0F</t>
  </si>
  <si>
    <t>ES0031102925583002EX0F-30890167</t>
  </si>
  <si>
    <t>ES0031102925583002EX0F</t>
  </si>
  <si>
    <t>ES0031102944383001QQ0F-30859758</t>
  </si>
  <si>
    <t>ES0031102944383001QQ0F</t>
  </si>
  <si>
    <t>ES0031102977388031WT0F-30869025</t>
  </si>
  <si>
    <t>ES0031102977388031WT0F</t>
  </si>
  <si>
    <t>ES0031102981427005GJ0F-30860419</t>
  </si>
  <si>
    <t>ES0031102981427005GJ0F</t>
  </si>
  <si>
    <t>ES0031103007585001GV0F-30890679</t>
  </si>
  <si>
    <t>ES0031103007585001GV0F</t>
  </si>
  <si>
    <t>ES0031103017350018JQ0F-30879779</t>
  </si>
  <si>
    <t>ES0031103017350018JQ0F</t>
  </si>
  <si>
    <t>ES0031103080612038NF0F-30898943</t>
  </si>
  <si>
    <t>ES0031103080612038NF0F</t>
  </si>
  <si>
    <t>ES0031103089585001SA0F-30878703</t>
  </si>
  <si>
    <t>ES0031103089585001SA0F</t>
  </si>
  <si>
    <t>ES0031103110714005RB0F-30887302</t>
  </si>
  <si>
    <t>ES0031103110714005RB0F</t>
  </si>
  <si>
    <t>ES0031103110714008RZ0F-30884488</t>
  </si>
  <si>
    <t>ES0031103110714008RZ0F</t>
  </si>
  <si>
    <t>ES0031103114425006GP0F-30881983</t>
  </si>
  <si>
    <t>ES0031103114425006GP0F</t>
  </si>
  <si>
    <t>ES0031103114904001SM0F-30901740</t>
  </si>
  <si>
    <t>ES0031103115060023JH0F-30870156</t>
  </si>
  <si>
    <t>ES0031103115060023JH0F</t>
  </si>
  <si>
    <t>ES0031103115316022NG0F-30843299</t>
  </si>
  <si>
    <t>ES0031103115316022NG0F</t>
  </si>
  <si>
    <t>ES0031103120439009HV0F-30878201</t>
  </si>
  <si>
    <t>ES0031103120439009HV0F</t>
  </si>
  <si>
    <t>ES0031103126183001TN0F-30867129</t>
  </si>
  <si>
    <t>ES0031103126183001TN0F</t>
  </si>
  <si>
    <t>ES0031103126358009LJ0F-30888495</t>
  </si>
  <si>
    <t>ES0031103126358009LJ0F</t>
  </si>
  <si>
    <t>ES0031103176859004CT0F-30899071</t>
  </si>
  <si>
    <t>ES0031103176859004CT0F</t>
  </si>
  <si>
    <t>ES0031103249710009XT0F-30898565</t>
  </si>
  <si>
    <t>ES0031103249710009XT0F</t>
  </si>
  <si>
    <t>ES0031103270335001RH0F-30890975</t>
  </si>
  <si>
    <t>ES0031103270335001RH0F</t>
  </si>
  <si>
    <t>ES0031103284178001FP0F-30869615</t>
  </si>
  <si>
    <t>ES0031103284178001FP0F</t>
  </si>
  <si>
    <t>ES0031103324096006SH0F-30885060</t>
  </si>
  <si>
    <t>ES0031103324096006SH0F</t>
  </si>
  <si>
    <t>ES0031103376113002BF0F-30889680</t>
  </si>
  <si>
    <t>ES0031103376113002BF0F</t>
  </si>
  <si>
    <t>ES0031103449326004PF0F-30862609</t>
  </si>
  <si>
    <t>ES0031103449326004PF0F</t>
  </si>
  <si>
    <t>ES0031103499371015DP0F-30865198</t>
  </si>
  <si>
    <t>ES0031103499371015DP0F</t>
  </si>
  <si>
    <t>ES0031103509621001NK0F-30893539</t>
  </si>
  <si>
    <t>ES0031103513951006LT0F-30883374</t>
  </si>
  <si>
    <t>ES0031103513951006LT0F</t>
  </si>
  <si>
    <t>ES0031103535993011AR0F-30870056</t>
  </si>
  <si>
    <t>ES0031103535993011AR0F</t>
  </si>
  <si>
    <t>ES0031103555359001HZ0F-30863208</t>
  </si>
  <si>
    <t>ES0031103555359001HZ0F</t>
  </si>
  <si>
    <t>ES0031103571388001PS0F-30899070</t>
  </si>
  <si>
    <t>ES0031103571388001PS0F</t>
  </si>
  <si>
    <t>ES0031103572048066AA0F-30890652</t>
  </si>
  <si>
    <t>ES0031103572048066AA0F</t>
  </si>
  <si>
    <t>ES0031103583066041RN0F-30862714</t>
  </si>
  <si>
    <t>ES0031103583066041RN0F</t>
  </si>
  <si>
    <t>ES0031103607064001LW0F-30859854</t>
  </si>
  <si>
    <t>ES0031103607064001LW0F</t>
  </si>
  <si>
    <t>ES0031103634712007BF0F-30901936</t>
  </si>
  <si>
    <t>ES0031103634712007BF0F</t>
  </si>
  <si>
    <t>ES0031103643300004CB0F-30887421</t>
  </si>
  <si>
    <t>ES0031103643300004CB0F</t>
  </si>
  <si>
    <t>ES0031103644575007WD0F-30889879</t>
  </si>
  <si>
    <t>ES0031103644575007WD0F</t>
  </si>
  <si>
    <t>ES0031103650396001CW0F-30899117</t>
  </si>
  <si>
    <t>ES0031103650396001CW0F</t>
  </si>
  <si>
    <t>ES0031103657012023NM0F-30891787</t>
  </si>
  <si>
    <t>ES0031103657012023NM0F</t>
  </si>
  <si>
    <t>ES0031103657736001WN0F-30895320</t>
  </si>
  <si>
    <t>ES0031103657736001WN0F</t>
  </si>
  <si>
    <t>ES0031103703762001VE0F-30862288</t>
  </si>
  <si>
    <t>ES0031103703762001VE0F</t>
  </si>
  <si>
    <t>ES0031103724177010BR0F-30895363</t>
  </si>
  <si>
    <t>ES0031103724177010BR0F</t>
  </si>
  <si>
    <t>ES0031104033233009FD0F-30900133</t>
  </si>
  <si>
    <t>ES0031104033233009FD0F</t>
  </si>
  <si>
    <t>ES0031104043571001LF0F-30853553</t>
  </si>
  <si>
    <t>ES0031104043571001LF0F</t>
  </si>
  <si>
    <t>ES0031104061986030LV0F-30867322</t>
  </si>
  <si>
    <t>ES0031104061986030LV0F</t>
  </si>
  <si>
    <t>ES0031104076135017NW0F-30894286</t>
  </si>
  <si>
    <t>ES0031104076135017NW0F</t>
  </si>
  <si>
    <t>ES0031104078299011MH0F-30897824</t>
  </si>
  <si>
    <t>ES0031104078299011MH0F</t>
  </si>
  <si>
    <t>ES0031104119087001GS0F-30889736</t>
  </si>
  <si>
    <t>ES0031104119087001GS0F</t>
  </si>
  <si>
    <t>ES0031104163031002AD0F-30901914</t>
  </si>
  <si>
    <t>ES0031104163031002AD0F</t>
  </si>
  <si>
    <t>ES0031104166780087YW0F-30890887</t>
  </si>
  <si>
    <t>ES0031104166780087YW0F</t>
  </si>
  <si>
    <t>ES0031104170736001PP0F-30893846</t>
  </si>
  <si>
    <t>ES0031104170736001PP0F</t>
  </si>
  <si>
    <t>ES0031104174789010TA0F-30887148</t>
  </si>
  <si>
    <t>ES0031104174789010TA0F</t>
  </si>
  <si>
    <t>ES0031104192586010QV0F-30903031</t>
  </si>
  <si>
    <t>ES0031104192586010QV0F</t>
  </si>
  <si>
    <t>ES0031104235558036YQ0F-30882678</t>
  </si>
  <si>
    <t>ES0031104235558036YQ0F</t>
  </si>
  <si>
    <t>ES0031104240330013TE0F-30901359</t>
  </si>
  <si>
    <t>ES0031104240330013TE0F</t>
  </si>
  <si>
    <t>ES0031104260594001MK0F-30898550</t>
  </si>
  <si>
    <t>ES0031104260594001MK0F</t>
  </si>
  <si>
    <t>ES0031104267948019EL0F-30865283</t>
  </si>
  <si>
    <t>ES0031104267948019EL0F</t>
  </si>
  <si>
    <t>ES0031104268492022PA0F-30902628</t>
  </si>
  <si>
    <t>ES0031104268492022PA0F</t>
  </si>
  <si>
    <t>ES0031104274104034RS0F-30895663</t>
  </si>
  <si>
    <t>ES0031104274104034RS0F</t>
  </si>
  <si>
    <t>ES0031104279507005ZX0F-30875277</t>
  </si>
  <si>
    <t>ES0031104279507005ZX0F</t>
  </si>
  <si>
    <t>ES0031104295820007RD0F-30888845</t>
  </si>
  <si>
    <t>ES0031104295820007RD0F</t>
  </si>
  <si>
    <t>ES0031104350745001TZ0F-30900239</t>
  </si>
  <si>
    <t>ES0031104350745001TZ0F</t>
  </si>
  <si>
    <t>ES0031104365205007ZN0F-30892374</t>
  </si>
  <si>
    <t>ES0031104365205007ZN0F</t>
  </si>
  <si>
    <t>ES0031104372155020ST0F-30893791</t>
  </si>
  <si>
    <t>ES0031104372155020ST0F</t>
  </si>
  <si>
    <t>ES0031104379900004XX0F-30899073</t>
  </si>
  <si>
    <t>ES0031104379900004XX0F</t>
  </si>
  <si>
    <t>ES0031104383720002ZF0F-30901443</t>
  </si>
  <si>
    <t>ES0031104383720002ZF0F</t>
  </si>
  <si>
    <t>ES0031104398008009WT0F-30849152</t>
  </si>
  <si>
    <t>ES0031104398008009WT0F</t>
  </si>
  <si>
    <t>ES0031104401045007WD0F-30889610</t>
  </si>
  <si>
    <t>ES0031104401045007WD0F</t>
  </si>
  <si>
    <t>ES0031104404544007XL0F-30861008</t>
  </si>
  <si>
    <t>ES0031104404544007XL0F</t>
  </si>
  <si>
    <t>ES0031104407284014RJ0F-30886934</t>
  </si>
  <si>
    <t>ES0031104407284014RJ0F</t>
  </si>
  <si>
    <t>ES0031104411528004QC0F-30890362</t>
  </si>
  <si>
    <t>ES0031104411528004QC0F</t>
  </si>
  <si>
    <t>ES0031104412166006HW0F-30899725</t>
  </si>
  <si>
    <t>ES0031104412166006HW0F</t>
  </si>
  <si>
    <t>ES0031104412331052HT0F-30898218</t>
  </si>
  <si>
    <t>ES0031104412331052HT0F</t>
  </si>
  <si>
    <t>ES0031104418861001QL0F-30865021</t>
  </si>
  <si>
    <t>ES0031104418861001QL0F</t>
  </si>
  <si>
    <t>ES0031104425773031KC0F-30894159</t>
  </si>
  <si>
    <t>ES0031104425773031KC0F</t>
  </si>
  <si>
    <t>ES0031104425846002CN0F-30879778</t>
  </si>
  <si>
    <t>ES0031104425846002CN0F</t>
  </si>
  <si>
    <t>ES0031104432062006PJ0F-30899828</t>
  </si>
  <si>
    <t>ES0031104432062006PJ0F</t>
  </si>
  <si>
    <t>ES0031104475496004MY0F-30868729</t>
  </si>
  <si>
    <t>ES0031104475496004MY0F</t>
  </si>
  <si>
    <t>ES0031104488973001JS0F-30899304</t>
  </si>
  <si>
    <t>ES0031104488973001JS0F</t>
  </si>
  <si>
    <t>ES0031104489128007ZR0F-30888556</t>
  </si>
  <si>
    <t>ES0031104489128007ZR0F</t>
  </si>
  <si>
    <t>ES0031104509034007WF0F-30890628</t>
  </si>
  <si>
    <t>ES0031104509034007WF0F</t>
  </si>
  <si>
    <t>ES0031104512797001BV0F-30865234</t>
  </si>
  <si>
    <t>ES0031104512797001BV0F</t>
  </si>
  <si>
    <t>ES0031104519948004XK0F-30845034</t>
  </si>
  <si>
    <t>ES0031104519948004XK0F</t>
  </si>
  <si>
    <t>ES0031104522900001HZ0F-30882593</t>
  </si>
  <si>
    <t>ES0031104522900001HZ0F</t>
  </si>
  <si>
    <t>ES0031104531203002XS0F-30899113</t>
  </si>
  <si>
    <t>ES0031104531203002XS0F</t>
  </si>
  <si>
    <t>ES0031104532673004YH0F-30887989</t>
  </si>
  <si>
    <t>ES0031104532673004YH0F</t>
  </si>
  <si>
    <t>ES0031104533047004YS0F-30883461</t>
  </si>
  <si>
    <t>ES0031104533047004YS0F</t>
  </si>
  <si>
    <t>ES0031104534481008RS0F-30902872</t>
  </si>
  <si>
    <t>ES0031104534481008RS0F</t>
  </si>
  <si>
    <t>ES0031104541134001ZM0F-30894673</t>
  </si>
  <si>
    <t>ES0031104541134001ZM0F</t>
  </si>
  <si>
    <t>ES0031104545135003KL0F-30902344</t>
  </si>
  <si>
    <t>ES0031104545135003KL0F</t>
  </si>
  <si>
    <t>ES0031104554090001WJ0F-30888762</t>
  </si>
  <si>
    <t>ES0031104554090001WJ0F</t>
  </si>
  <si>
    <t>ES0031104557587001QR0F-30878039</t>
  </si>
  <si>
    <t>ES0031104557587001QR0F</t>
  </si>
  <si>
    <t>ES0031104569460059TE0F-30869035</t>
  </si>
  <si>
    <t>ES0031104569460059TE0F</t>
  </si>
  <si>
    <t>ES0031104578497060MR0F-30891951</t>
  </si>
  <si>
    <t>ES0031104578497060MR0F</t>
  </si>
  <si>
    <t>ES0031104595218022LD0F-30902409</t>
  </si>
  <si>
    <t>ES0031104595218022LD0F</t>
  </si>
  <si>
    <t>ES0031104598986001SJ0F-30894954</t>
  </si>
  <si>
    <t>ES0031104598986001SJ0F</t>
  </si>
  <si>
    <t>ES0031104602412001RW0F-30890865</t>
  </si>
  <si>
    <t>ES0031104602412001RW0F</t>
  </si>
  <si>
    <t>ES0031104636037005PH0F-30895776</t>
  </si>
  <si>
    <t>ES0031104636037005PH0F</t>
  </si>
  <si>
    <t>ES0031104639380195GC0F-30858019</t>
  </si>
  <si>
    <t>ES0031104639380195GC0F</t>
  </si>
  <si>
    <t>ES0031104661950001MH0F-30877794</t>
  </si>
  <si>
    <t>ES0031104661950001MH0F</t>
  </si>
  <si>
    <t>ES0031104662519025CE0F-30861222</t>
  </si>
  <si>
    <t>ES0031104662519025CE0F</t>
  </si>
  <si>
    <t>ES0031104663379002JY0F-30867159</t>
  </si>
  <si>
    <t>ES0031104663379002JY0F</t>
  </si>
  <si>
    <t>ES0031104664086002RD0F-30893393</t>
  </si>
  <si>
    <t>ES0031104664086002RD0F</t>
  </si>
  <si>
    <t>ES0031104668115007FN0F-30888924</t>
  </si>
  <si>
    <t>ES0031104668115007FN0F</t>
  </si>
  <si>
    <t>ES0031104695601014VF0F-30893235</t>
  </si>
  <si>
    <t>ES0031104695601014VF0F</t>
  </si>
  <si>
    <t>ES0031104697300053NJ0F-30889609</t>
  </si>
  <si>
    <t>ES0031104697300053NJ0F</t>
  </si>
  <si>
    <t>ES0031104733274010MS0F-30862008</t>
  </si>
  <si>
    <t>ES0031104733274010MS0F</t>
  </si>
  <si>
    <t>ES0031104738422019LA0F-30894135</t>
  </si>
  <si>
    <t>ES0031104738422019LA0F</t>
  </si>
  <si>
    <t>ES0031104741115039JE0F-30893219</t>
  </si>
  <si>
    <t>ES0031104741115039JE0F</t>
  </si>
  <si>
    <t>ES0031104741769017LH0F-30887147</t>
  </si>
  <si>
    <t>ES0031104741769017LH0F</t>
  </si>
  <si>
    <t>ES0031104773758019NE0F-30870603</t>
  </si>
  <si>
    <t>ES0031104773758019NE0F</t>
  </si>
  <si>
    <t>ES0031104776361001AW0F-30891269</t>
  </si>
  <si>
    <t>ES0031104776361001AW0F</t>
  </si>
  <si>
    <t>ES0031104793577027JE0F-30898804</t>
  </si>
  <si>
    <t>ES0031104793577027JE0F</t>
  </si>
  <si>
    <t>ES0031104809604001FK0F-30882968</t>
  </si>
  <si>
    <t>ES0031104809604001FK0F</t>
  </si>
  <si>
    <t>ES0031104829591005EW0F-30883510</t>
  </si>
  <si>
    <t>ES0031104829591005EW0F</t>
  </si>
  <si>
    <t>ES0031104834404001MH0F-30890699</t>
  </si>
  <si>
    <t>ES0031104834404001MH0F</t>
  </si>
  <si>
    <t>ES0031104859272025VM0F-30843727</t>
  </si>
  <si>
    <t>ES0031104859272025VM0F</t>
  </si>
  <si>
    <t>ES0031104863662015DP0F-30896435</t>
  </si>
  <si>
    <t>ES0031104863662015DP0F</t>
  </si>
  <si>
    <t>ES0031104866423014SH0F-30882911</t>
  </si>
  <si>
    <t>ES0031104866423014SH0F</t>
  </si>
  <si>
    <t>ES0031104871915002BC0F-30850464</t>
  </si>
  <si>
    <t>ES0031104871915002BC0F</t>
  </si>
  <si>
    <t>ES0031104875043011JY0F-30850596</t>
  </si>
  <si>
    <t>ES0031104875043011JY0F</t>
  </si>
  <si>
    <t>ES0031104876197031WR0F-30862573</t>
  </si>
  <si>
    <t>ES0031104876197031WR0F</t>
  </si>
  <si>
    <t>ES0031104885797001BR0F-30842518</t>
  </si>
  <si>
    <t>ES0031104885797001BR0F</t>
  </si>
  <si>
    <t>ES0031104885797004BG0F-30844574</t>
  </si>
  <si>
    <t>ES0031104885797004BG0F</t>
  </si>
  <si>
    <t>ES0031104887042004EZ0F-30867974</t>
  </si>
  <si>
    <t>ES0031104887042004EZ0F</t>
  </si>
  <si>
    <t>ES0031104887271005CG0F-30897113</t>
  </si>
  <si>
    <t>ES0031104897656004MC0F-30870645</t>
  </si>
  <si>
    <t>ES0031104897656004MC0F</t>
  </si>
  <si>
    <t>ES0031104897656005MK0F-30854815</t>
  </si>
  <si>
    <t>ES0031104897656005MK0F</t>
  </si>
  <si>
    <t>ES0031104918098003EX0F-30900867</t>
  </si>
  <si>
    <t>ES0031104918098003EX0F</t>
  </si>
  <si>
    <t>ES0031104919782015PP0F-30862240</t>
  </si>
  <si>
    <t>ES0031104919782015PP0F</t>
  </si>
  <si>
    <t>ES0031104925496009LC0F-30901045</t>
  </si>
  <si>
    <t>ES0031104925496009LC0F</t>
  </si>
  <si>
    <t>ES0031104925543019QH0F-30885008</t>
  </si>
  <si>
    <t>ES0031104925543019QH0F</t>
  </si>
  <si>
    <t>ES0031104937098002HP0F-30882916</t>
  </si>
  <si>
    <t>ES0031104937098002HP0F</t>
  </si>
  <si>
    <t>ES0031104938352001FR0F-30866131</t>
  </si>
  <si>
    <t>ES0031104938352001FR0F</t>
  </si>
  <si>
    <t>ES0031104945825001EW0F-30849863</t>
  </si>
  <si>
    <t>ES0031104945825001EW0F</t>
  </si>
  <si>
    <t>ES0031104952142008PJ0F-30882937</t>
  </si>
  <si>
    <t>ES0031104952142008PJ0F</t>
  </si>
  <si>
    <t>ES0031104964454011BR0F-30843787</t>
  </si>
  <si>
    <t>ES0031104964454011BR0F</t>
  </si>
  <si>
    <t>ES0031104970432009RT0F-30856600</t>
  </si>
  <si>
    <t>ES0031104970432009RT0F</t>
  </si>
  <si>
    <t>ES0031104970440006AQ0F-30842689</t>
  </si>
  <si>
    <t>ES0031104970440006AQ0F</t>
  </si>
  <si>
    <t>ES0031104970500012JS0F-30879782</t>
  </si>
  <si>
    <t>ES0031104970500012JS0F</t>
  </si>
  <si>
    <t>ES0031104994934022ZK0F-30849942</t>
  </si>
  <si>
    <t>ES0031104994934022ZK0F</t>
  </si>
  <si>
    <t>ES0031105050551016VW0F-30891345</t>
  </si>
  <si>
    <t>ES0031105050551016VW0F</t>
  </si>
  <si>
    <t>ES0031105051635019CS0F-30847387</t>
  </si>
  <si>
    <t>ES0031105051635019CS0F</t>
  </si>
  <si>
    <t>ES0031105069879002JF0F-30851610</t>
  </si>
  <si>
    <t>ES0031105069879002JF0F</t>
  </si>
  <si>
    <t>ES0031105073553034HL0F-30868013</t>
  </si>
  <si>
    <t>ES0031105073553034HL0F</t>
  </si>
  <si>
    <t>ES0031105089688005QF0F-30842514</t>
  </si>
  <si>
    <t>ES0031105089688005QF0F</t>
  </si>
  <si>
    <t>ES0031105094724001NS0F-30865147</t>
  </si>
  <si>
    <t>ES0031105094724001NS0F</t>
  </si>
  <si>
    <t>ES0031105100419001AP0F-30881964</t>
  </si>
  <si>
    <t>ES0031105100419001AP0F</t>
  </si>
  <si>
    <t>ES0031105105913008HM0F-30861394</t>
  </si>
  <si>
    <t>ES0031105105913008HM0F</t>
  </si>
  <si>
    <t>ES0031105139994031AL0F-30843419</t>
  </si>
  <si>
    <t>ES0031105139994031AL0F</t>
  </si>
  <si>
    <t>ES0031105146192006JT0F-30896852</t>
  </si>
  <si>
    <t>ES0031105146192006JT0F</t>
  </si>
  <si>
    <t>ES0031105149604001XZ0F-30843737</t>
  </si>
  <si>
    <t>ES0031105149604001XZ0F</t>
  </si>
  <si>
    <t>ES0031105153138006TT0F-30898297</t>
  </si>
  <si>
    <t>ES0031105153138006TT0F</t>
  </si>
  <si>
    <t>ES0031105169055001LY0F-30886900</t>
  </si>
  <si>
    <t>ES0031105169055001LY0F</t>
  </si>
  <si>
    <t>ES0031105176731004MN0F-30883495</t>
  </si>
  <si>
    <t>ES0031105176731004MN0F</t>
  </si>
  <si>
    <t>ES0031105176731008MQ0F-30882953</t>
  </si>
  <si>
    <t>ES0031105176731008MQ0F</t>
  </si>
  <si>
    <t>ES0031105199157003DE0F-30867953</t>
  </si>
  <si>
    <t>ES0031105199157003DE0F</t>
  </si>
  <si>
    <t>ES0031105212133001QH0F-30889618</t>
  </si>
  <si>
    <t>ES0031105212133001QH0F</t>
  </si>
  <si>
    <t>ES0031105222269001DX0F-30867447</t>
  </si>
  <si>
    <t>ES0031105222269001DX0F</t>
  </si>
  <si>
    <t>ES0031105226430060FR0F-30843863</t>
  </si>
  <si>
    <t>ES0031105226430060FR0F</t>
  </si>
  <si>
    <t>ES0031105230574009LV0F-30844050</t>
  </si>
  <si>
    <t>ES0031105230574009LV0F</t>
  </si>
  <si>
    <t>ES0031105236071010AH0F-30863717</t>
  </si>
  <si>
    <t>ES0031105236071010AH0F</t>
  </si>
  <si>
    <t>ES0031105238568034XR0F-30858505</t>
  </si>
  <si>
    <t>ES0031105238568034XR0F</t>
  </si>
  <si>
    <t>ES0031105246868001PG0F-30856880</t>
  </si>
  <si>
    <t>ES0031105246868001PG0F</t>
  </si>
  <si>
    <t>ES0031105246871001TZ0F-30856960</t>
  </si>
  <si>
    <t>ES0031105246871001TZ0F</t>
  </si>
  <si>
    <t>ES0031105247709004AN0F-30888826</t>
  </si>
  <si>
    <t>ES0031105247709004AN0F</t>
  </si>
  <si>
    <t>ES0031105247714003JC0F-30890549</t>
  </si>
  <si>
    <t>ES0031105247714003JC0F</t>
  </si>
  <si>
    <t>ES0031105251951011RZ0F-30857026</t>
  </si>
  <si>
    <t>ES0031105251951011RZ0F</t>
  </si>
  <si>
    <t>ES0031105252703005ZT0F-30858085</t>
  </si>
  <si>
    <t>ES0031105252703005ZT0F</t>
  </si>
  <si>
    <t>ES0031105253041003NJ0F-30870141</t>
  </si>
  <si>
    <t>ES0031105253041003NJ0F</t>
  </si>
  <si>
    <t>ES0031105253043013FE0F-30842235</t>
  </si>
  <si>
    <t>ES0031105253043013FE0F</t>
  </si>
  <si>
    <t>ES0031105271934001WY0F-30881763</t>
  </si>
  <si>
    <t>ES0031105271934001WY0F</t>
  </si>
  <si>
    <t>ES0031105278330001LM0F-30890124</t>
  </si>
  <si>
    <t>ES0031105279203003WL0F-30844502</t>
  </si>
  <si>
    <t>ES0031105279203003WL0F</t>
  </si>
  <si>
    <t>ES0031105287438001MM0F-30865204</t>
  </si>
  <si>
    <t>ES0031105287438001MM0F</t>
  </si>
  <si>
    <t>ES0031105288668001PB0F-30865651</t>
  </si>
  <si>
    <t>ES0031105288668001PB0F</t>
  </si>
  <si>
    <t>ES0031105289152001YE0F-30858427</t>
  </si>
  <si>
    <t>ES0031105289152001YE0F</t>
  </si>
  <si>
    <t>ES0031105301347018YW0F-30865224</t>
  </si>
  <si>
    <t>ES0031105301347018YW0F</t>
  </si>
  <si>
    <t>ES0031105302882001KB0F-30899249</t>
  </si>
  <si>
    <t>ES0031105302882001KB0F</t>
  </si>
  <si>
    <t>ES0031105303817001DS0F-30874098</t>
  </si>
  <si>
    <t>ES0031105303817001DS0F</t>
  </si>
  <si>
    <t>ES0031105304184001GG0F-30878704</t>
  </si>
  <si>
    <t>ES0031105304184001GG0F</t>
  </si>
  <si>
    <t>ES0031105304450001TD0F-30848143</t>
  </si>
  <si>
    <t>ES0031105304450001TD0F</t>
  </si>
  <si>
    <t>ES0031105306326001FZ0F-30865206</t>
  </si>
  <si>
    <t>ES0031105306326001FZ0F</t>
  </si>
  <si>
    <t>ES0031105308500001EP0F-30849912</t>
  </si>
  <si>
    <t>ES0031105308500001EP0F</t>
  </si>
  <si>
    <t>ES0031105308613031ZQ0F-30861909</t>
  </si>
  <si>
    <t>ES0031105308613031ZQ0F</t>
  </si>
  <si>
    <t>ES0031105314990001DY0F-30890051</t>
  </si>
  <si>
    <t>ES0031105315827003ZS0F-30860289</t>
  </si>
  <si>
    <t>ES0031105315827003ZS0F</t>
  </si>
  <si>
    <t>ES0031105315827004ZQ0F-30858878</t>
  </si>
  <si>
    <t>ES0031105315827004ZQ0F</t>
  </si>
  <si>
    <t>ES0031105315827008ZC0F-30859928</t>
  </si>
  <si>
    <t>ES0031105315827008ZC0F</t>
  </si>
  <si>
    <t>ES0031105315832013WB0F-30851199</t>
  </si>
  <si>
    <t>ES0031105315832013WB0F</t>
  </si>
  <si>
    <t>ES0031105315834012CD0F-30861497</t>
  </si>
  <si>
    <t>ES0031105315834012CD0F</t>
  </si>
  <si>
    <t>ES0031105315835002VX0F-30870957</t>
  </si>
  <si>
    <t>ES0031105315835002VX0F</t>
  </si>
  <si>
    <t>ES0031105317726001DH0F-30850457</t>
  </si>
  <si>
    <t>ES0031105317726001DH0F</t>
  </si>
  <si>
    <t>ES0031105318395001RV0F-30842531</t>
  </si>
  <si>
    <t>ES0031105318395001RV0F</t>
  </si>
  <si>
    <t>ES0031105318496001TR0F-30868363</t>
  </si>
  <si>
    <t>ES0031105318496001TR0F</t>
  </si>
  <si>
    <t>ES0031105319258009XL0F-30869755</t>
  </si>
  <si>
    <t>ES0031105319258009XL0F</t>
  </si>
  <si>
    <t>ES0031105319663001RG0F-30861038</t>
  </si>
  <si>
    <t>ES0031105319663001RG0F</t>
  </si>
  <si>
    <t>ES0031105321236001JB0F-30852664</t>
  </si>
  <si>
    <t>ES0031105321236001JB0F</t>
  </si>
  <si>
    <t>ES0031105323352001JB0F-30861681</t>
  </si>
  <si>
    <t>ES0031105323352001JB0F</t>
  </si>
  <si>
    <t>ES0031105324154001SR0F-30863167</t>
  </si>
  <si>
    <t>ES0031105324154001SR0F</t>
  </si>
  <si>
    <t>ES0031105324420001BY0F-30865158</t>
  </si>
  <si>
    <t>ES0031105324420001BY0F</t>
  </si>
  <si>
    <t>ES0031105324430001DR0F-30866765</t>
  </si>
  <si>
    <t>ES0031105324430001DR0F</t>
  </si>
  <si>
    <t>ES0031105325287001DK0F-30885070</t>
  </si>
  <si>
    <t>ES0031105325287001DK0F</t>
  </si>
  <si>
    <t>ES0031105325309001TX0F-30891742</t>
  </si>
  <si>
    <t>ES0031105325309001TX0F</t>
  </si>
  <si>
    <t>ES0031105326130001TW0F-30864533</t>
  </si>
  <si>
    <t>ES0031105326130001TW0F</t>
  </si>
  <si>
    <t>ES0031105326465001YF0F-30862002</t>
  </si>
  <si>
    <t>ES0031105326465001YF0F</t>
  </si>
  <si>
    <t>ES0031105326841001RA0F-30865207</t>
  </si>
  <si>
    <t>ES0031105326841001RA0F</t>
  </si>
  <si>
    <t>ES0031105327139008PE0F-30862242</t>
  </si>
  <si>
    <t>ES0031105327139008PE0F</t>
  </si>
  <si>
    <t>ES0031105328044001AB0F-30847965</t>
  </si>
  <si>
    <t>ES0031105328044001AB0F</t>
  </si>
  <si>
    <t>ES0031105329196001LX0F-30852679</t>
  </si>
  <si>
    <t>ES0031105329196001LX0F</t>
  </si>
  <si>
    <t>ES0031105329999001HB0F-30865208</t>
  </si>
  <si>
    <t>ES0031105329999001HB0F</t>
  </si>
  <si>
    <t>ES0031105330618001KN0F-30866015</t>
  </si>
  <si>
    <t>ES0031105330618001KN0F</t>
  </si>
  <si>
    <t>ES0031105330655001CM0F-30866800</t>
  </si>
  <si>
    <t>ES0031105330655001CM0F</t>
  </si>
  <si>
    <t>ES0031105330668001XX0F-30853745</t>
  </si>
  <si>
    <t>ES0031105330668001XX0F</t>
  </si>
  <si>
    <t>ES0031105330999001AV0F-30856703</t>
  </si>
  <si>
    <t>ES0031105330999001AV0F</t>
  </si>
  <si>
    <t>ES0031105331033001XT0F-30856702</t>
  </si>
  <si>
    <t>ES0031105331033001XT0F</t>
  </si>
  <si>
    <t>ES0031105331192001TR0F-30863492</t>
  </si>
  <si>
    <t>ES0031105331192001TR0F</t>
  </si>
  <si>
    <t>ES0031105331332001ST0F-30895641</t>
  </si>
  <si>
    <t>ES0031105331332001ST0F</t>
  </si>
  <si>
    <t>ES0031105331407001DC0F-30858657</t>
  </si>
  <si>
    <t>ES0031105331407001DC0F</t>
  </si>
  <si>
    <t>ES0031105331676001KN0F-30870285</t>
  </si>
  <si>
    <t>ES0031105331676001KN0F</t>
  </si>
  <si>
    <t>ES0031105331716001NS0F-30865209</t>
  </si>
  <si>
    <t>ES0031105331716001NS0F</t>
  </si>
  <si>
    <t>ES0031105331740001KA0F-30883344</t>
  </si>
  <si>
    <t>ES0031105331740001KA0F</t>
  </si>
  <si>
    <t>ES0031105331982001PC0F-30843215</t>
  </si>
  <si>
    <t>ES0031105331982001PC0F</t>
  </si>
  <si>
    <t>ES0031105332567001MS0F-30860779</t>
  </si>
  <si>
    <t>ES0031105332567001MS0F</t>
  </si>
  <si>
    <t>ES0031105332831001YK0F-30867913</t>
  </si>
  <si>
    <t>ES0031105332831001YK0F</t>
  </si>
  <si>
    <t>ES0031105333161001WV0F-30851331</t>
  </si>
  <si>
    <t>ES0031105333161001WV0F</t>
  </si>
  <si>
    <t>ES0031105333358001BE0F-30865210</t>
  </si>
  <si>
    <t>ES0031105333358001BE0F</t>
  </si>
  <si>
    <t>ES0031105333589002GB0F-30852253</t>
  </si>
  <si>
    <t>ES0031105333589002GB0F</t>
  </si>
  <si>
    <t>ES0031105333589004GJ0F-30853084</t>
  </si>
  <si>
    <t>ES0031105333589004GJ0F</t>
  </si>
  <si>
    <t>ES0031105333589005GZ0F-30853287</t>
  </si>
  <si>
    <t>ES0031105333589005GZ0F</t>
  </si>
  <si>
    <t>ES0031105333589008GV0F-30852688</t>
  </si>
  <si>
    <t>ES0031105333589008GV0F</t>
  </si>
  <si>
    <t>ES0031105333723001BN0F-30891502</t>
  </si>
  <si>
    <t>ES0031105333723001BN0F</t>
  </si>
  <si>
    <t>ES0031105333868001JC0F-30873055</t>
  </si>
  <si>
    <t>ES0031105333868001JC0F</t>
  </si>
  <si>
    <t>ES0031105333871001YF0F-30847837</t>
  </si>
  <si>
    <t>ES0031105333871001YF0F</t>
  </si>
  <si>
    <t>ES0031105334106001BQ0F-30866855</t>
  </si>
  <si>
    <t>ES0031105334106001BQ0F</t>
  </si>
  <si>
    <t>ES0031105334131001VS0F-30891648</t>
  </si>
  <si>
    <t>ES0031105334131001VS0F</t>
  </si>
  <si>
    <t>ES0031105334259001QC0F-30870758</t>
  </si>
  <si>
    <t>ES0031105334259001QC0F</t>
  </si>
  <si>
    <t>ES0031105334641001LJ0F-30845273</t>
  </si>
  <si>
    <t>ES0031105334641001LJ0F</t>
  </si>
  <si>
    <t>ES0031105335003001AQ0F-30858247</t>
  </si>
  <si>
    <t>ES0031105335003001AQ0F</t>
  </si>
  <si>
    <t>ES0031105335140001AM0F-30865211</t>
  </si>
  <si>
    <t>ES0031105335140001AM0F</t>
  </si>
  <si>
    <t>ES0031105335243001LB0F-30896582</t>
  </si>
  <si>
    <t>ES0031105335249001GP0F-30867162</t>
  </si>
  <si>
    <t>ES0031105335249001GP0F</t>
  </si>
  <si>
    <t>ES0031105335269001EK0F-30863347</t>
  </si>
  <si>
    <t>ES0031105335269001EK0F</t>
  </si>
  <si>
    <t>ES0031105335310001BN0F-30864641</t>
  </si>
  <si>
    <t>ES0031105335310001BN0F</t>
  </si>
  <si>
    <t>ES0031105335629001NW0F-30845344</t>
  </si>
  <si>
    <t>ES0031105335629001NW0F</t>
  </si>
  <si>
    <t>ES0031109000000064EW0F-30893350</t>
  </si>
  <si>
    <t>ES0031109000000064EW0F</t>
  </si>
  <si>
    <t>ES0031300008401001CF0F-30881309</t>
  </si>
  <si>
    <t>ES0031300008401001CF0F</t>
  </si>
  <si>
    <t>ES0031300013734294QZ0F-30887521</t>
  </si>
  <si>
    <t>ES0031300013734294QZ0F</t>
  </si>
  <si>
    <t>ES0031300015098025SY0F-30899802</t>
  </si>
  <si>
    <t>ES0031300015098025SY0F</t>
  </si>
  <si>
    <t>ES0031300016750004BX0F-30895163</t>
  </si>
  <si>
    <t>ES0031300016750004BX0F</t>
  </si>
  <si>
    <t>ES0031300016769038BT0F-30883582</t>
  </si>
  <si>
    <t>ES0031300016769038BT0F</t>
  </si>
  <si>
    <t>ES0031300016879014PJ0F-30877972</t>
  </si>
  <si>
    <t>ES0031300016879014PJ0F</t>
  </si>
  <si>
    <t>ES0031300018592016NK0F-30895293</t>
  </si>
  <si>
    <t>ES0031300018592016NK0F</t>
  </si>
  <si>
    <t>ES0031300019789042PN0F-30898897</t>
  </si>
  <si>
    <t>ES0031300019789042PN0F</t>
  </si>
  <si>
    <t>ES0031300020925016VQ0F-30900283</t>
  </si>
  <si>
    <t>ES0031300020925016VQ0F</t>
  </si>
  <si>
    <t>ES0031300021297012EX0F-30893625</t>
  </si>
  <si>
    <t>ES0031300021297012EX0F</t>
  </si>
  <si>
    <t>ES0031300025274027EA0F-30901161</t>
  </si>
  <si>
    <t>ES0031300025274027EA0F</t>
  </si>
  <si>
    <t>ES0031300025466023CH0F-30889200</t>
  </si>
  <si>
    <t>ES0031300025466023CH0F</t>
  </si>
  <si>
    <t>ES0031300030735014GP0F-30898690</t>
  </si>
  <si>
    <t>ES0031300030735014GP0F</t>
  </si>
  <si>
    <t>ES0031300038844005WG0F-30898775</t>
  </si>
  <si>
    <t>ES0031300038844005WG0F</t>
  </si>
  <si>
    <t>ES0031300045867010WM0F-30879784</t>
  </si>
  <si>
    <t>ES0031300045867010WM0F</t>
  </si>
  <si>
    <t>ES0031300048316010JB0F-30895257</t>
  </si>
  <si>
    <t>ES0031300048316010JB0F</t>
  </si>
  <si>
    <t>ES0031300091495001PK0F-30889038</t>
  </si>
  <si>
    <t>ES0031300091495001PK0F</t>
  </si>
  <si>
    <t>ES0031300118261001VR0F-30892188</t>
  </si>
  <si>
    <t>ES0031300172485008JJ0F-30889031</t>
  </si>
  <si>
    <t>ES0031300172485008JJ0F</t>
  </si>
  <si>
    <t>ES0031300213004025RE0F-30893704</t>
  </si>
  <si>
    <t>ES0031300213004025RE0F</t>
  </si>
  <si>
    <t>ES0031300244936001EV0F-30870840</t>
  </si>
  <si>
    <t>ES0031300244936001EV0F</t>
  </si>
  <si>
    <t>ES0031300502787006TT0F-30894510</t>
  </si>
  <si>
    <t>ES0031300502787006TT0F</t>
  </si>
  <si>
    <t>ES0031300523807003FK0F-30893483</t>
  </si>
  <si>
    <t>ES0031300523807003FK0F</t>
  </si>
  <si>
    <t>ES0031300557014002BB0F-30893859</t>
  </si>
  <si>
    <t>ES0031300557014002BB0F</t>
  </si>
  <si>
    <t>ES0031300563103005CV0F-30893265</t>
  </si>
  <si>
    <t>ES0031300563103005CV0F</t>
  </si>
  <si>
    <t>ES0031300569370001VL0F-30887191</t>
  </si>
  <si>
    <t>ES0031300569370001VL0F</t>
  </si>
  <si>
    <t>ES0031300632540013HW0F-30900663</t>
  </si>
  <si>
    <t>ES0031300632540013HW0F</t>
  </si>
  <si>
    <t>ES0031300635298024DZ0F-30883040</t>
  </si>
  <si>
    <t>ES0031300635298024DZ0F</t>
  </si>
  <si>
    <t>ES0031300653155012ND0F-30887218</t>
  </si>
  <si>
    <t>ES0031300653155012ND0F</t>
  </si>
  <si>
    <t>ES0031300665997001BV0F-30892233</t>
  </si>
  <si>
    <t>ES0031300665997001BV0F</t>
  </si>
  <si>
    <t>ES0031300685998010JL0F-30893666</t>
  </si>
  <si>
    <t>ES0031300685998010JL0F</t>
  </si>
  <si>
    <t>ES0031300808371002BQ0F-30900632</t>
  </si>
  <si>
    <t>ES0031300808371002BQ0F</t>
  </si>
  <si>
    <t>ES0031300831496027WJ0F-30889100</t>
  </si>
  <si>
    <t>ES0031300831496027WJ0F</t>
  </si>
  <si>
    <t>ES0031300837728005HA0F-30889131</t>
  </si>
  <si>
    <t>ES0031300837728005HA0F</t>
  </si>
  <si>
    <t>ES0031300838749001LY0F-30898932</t>
  </si>
  <si>
    <t>ES0031300840978004XX0F-30873645</t>
  </si>
  <si>
    <t>ES0031300840978004XX0F</t>
  </si>
  <si>
    <t>ES0031300841381004YG0F-30873646</t>
  </si>
  <si>
    <t>ES0031300841381004YG0F</t>
  </si>
  <si>
    <t>ES0031300842055001PD0F-30891755</t>
  </si>
  <si>
    <t>ES0031300842055001PD0F</t>
  </si>
  <si>
    <t>ES0031300842151001LF0F-30888610</t>
  </si>
  <si>
    <t>ES0031300842151001LF0F</t>
  </si>
  <si>
    <t>ES0031300843601002LL0F-30873903</t>
  </si>
  <si>
    <t>ES0031300843601002LL0F</t>
  </si>
  <si>
    <t>ES0031300843605001DQ0F-30875850</t>
  </si>
  <si>
    <t>ES0031300843605001DQ0F</t>
  </si>
  <si>
    <t>ES0031300845137001XD0F-30893980</t>
  </si>
  <si>
    <t>ES0031300845137001XD0F</t>
  </si>
  <si>
    <t>ES0031300845231001AP0F-30888460</t>
  </si>
  <si>
    <t>ES0031300845862001EA0F-30888496</t>
  </si>
  <si>
    <t>ES0031300845862001EA0F</t>
  </si>
  <si>
    <t>ES0031300846031001DE0F-30891756</t>
  </si>
  <si>
    <t>ES0031300846031001DE0F</t>
  </si>
  <si>
    <t>ES0031405005170002HD0F-30842418</t>
  </si>
  <si>
    <t>ES0031405005170002HD0F</t>
  </si>
  <si>
    <t>ES0031405020054001CH0F-30840641</t>
  </si>
  <si>
    <t>ES0031405020054001CH0F</t>
  </si>
  <si>
    <t>ES0031405030415001KR0F-30883368</t>
  </si>
  <si>
    <t>ES0031405033678010GT0F-30881519</t>
  </si>
  <si>
    <t>ES0031405033678010GT0F</t>
  </si>
  <si>
    <t>ES0031405044365003DC0F-30843597</t>
  </si>
  <si>
    <t>ES0031405044365003DC0F</t>
  </si>
  <si>
    <t>ES0031405062665020TH0F-30841352</t>
  </si>
  <si>
    <t>ES0031405062665020TH0F</t>
  </si>
  <si>
    <t>ES0031405077389001ZC0F-30893029</t>
  </si>
  <si>
    <t>ES0031405077389001ZC0F</t>
  </si>
  <si>
    <t>ES0031405100515001WA0F-30849193</t>
  </si>
  <si>
    <t>ES0031405100515001WA0F</t>
  </si>
  <si>
    <t>ES0031405114817002TY0F-30839955</t>
  </si>
  <si>
    <t>ES0031405114817002TY0F</t>
  </si>
  <si>
    <t>ES0031405165441001NQ0F-30887178</t>
  </si>
  <si>
    <t>ES0031405165441001NQ0F</t>
  </si>
  <si>
    <t>ES0031405185080002FF0F-30854589</t>
  </si>
  <si>
    <t>ES0031405185080002FF0F</t>
  </si>
  <si>
    <t>ES0031405193830001ER0F-30813689</t>
  </si>
  <si>
    <t>ES0031405193830001ER0F</t>
  </si>
  <si>
    <t>ES0031405203790001KN0F-30852332</t>
  </si>
  <si>
    <t>ES0031405203790001KN0F</t>
  </si>
  <si>
    <t>ES0031405204608001MV0F-30897937</t>
  </si>
  <si>
    <t>ES0031405204608001MV0F</t>
  </si>
  <si>
    <t>ES0031405205338009MM0F-30848401</t>
  </si>
  <si>
    <t>ES0031405205338009MM0F</t>
  </si>
  <si>
    <t>ES0031405213327001YQ0F-30841980</t>
  </si>
  <si>
    <t>ES0031405213327001YQ0F</t>
  </si>
  <si>
    <t>ES0031405231470005RE0F-30897802</t>
  </si>
  <si>
    <t>ES0031405231470005RE0F</t>
  </si>
  <si>
    <t>ES0031405235528002AZ0F-30847920</t>
  </si>
  <si>
    <t>ES0031405235528002AZ0F</t>
  </si>
  <si>
    <t>ES0031405255786002RM0F-30835598</t>
  </si>
  <si>
    <t>ES0031405255786002RM0F</t>
  </si>
  <si>
    <t>ES0031405257248004VN0F-30893400</t>
  </si>
  <si>
    <t>ES0031405257248004VN0F</t>
  </si>
  <si>
    <t>ES0031405270828001LG0F-30831677</t>
  </si>
  <si>
    <t>ES0031405270828001LG0F</t>
  </si>
  <si>
    <t>ES0031405273923011BL0F-30841489</t>
  </si>
  <si>
    <t>ES0031405273923011BL0F</t>
  </si>
  <si>
    <t>ES0031405283428006PB0F-30881298</t>
  </si>
  <si>
    <t>ES0031405283428006PB0F</t>
  </si>
  <si>
    <t>ES0031405289060002LC0F-30882235</t>
  </si>
  <si>
    <t>ES0031405289060002LC0F</t>
  </si>
  <si>
    <t>ES0031405289787001AN0F-30881915</t>
  </si>
  <si>
    <t>ES0031405299130017HZ0F-30841040</t>
  </si>
  <si>
    <t>ES0031405299130017HZ0F</t>
  </si>
  <si>
    <t>ES0031405299997008QC0F-30882701</t>
  </si>
  <si>
    <t>ES0031405299997008QC0F</t>
  </si>
  <si>
    <t>ES0031405409225009CD0F-30852639</t>
  </si>
  <si>
    <t>ES0031405409225009CD0F</t>
  </si>
  <si>
    <t>ES0031405414972001VZ0F-30832302</t>
  </si>
  <si>
    <t>ES0031405414972001VZ0F</t>
  </si>
  <si>
    <t>ES0031405415643007GH0F-30850346</t>
  </si>
  <si>
    <t>ES0031405415643007GH0F</t>
  </si>
  <si>
    <t>ES0031405416864004FZ0F-30848813</t>
  </si>
  <si>
    <t>ES0031405416864004FZ0F</t>
  </si>
  <si>
    <t>ES0031405419943005VM0F-30883236</t>
  </si>
  <si>
    <t>ES0031405419943005VM0F</t>
  </si>
  <si>
    <t>ES0031405422145009FN0F-30853482</t>
  </si>
  <si>
    <t>ES0031405422145009FN0F</t>
  </si>
  <si>
    <t>ES0031405422858003AY0F-30831502</t>
  </si>
  <si>
    <t>ES0031405422858003AY0F</t>
  </si>
  <si>
    <t>ES0031405423341011GZ0F-30902884</t>
  </si>
  <si>
    <t>ES0031405423341011GZ0F</t>
  </si>
  <si>
    <t>ES0031405425929006XA0F-30882771</t>
  </si>
  <si>
    <t>ES0031405425929006XA0F</t>
  </si>
  <si>
    <t>ES0031405427112029VK0F-30843978</t>
  </si>
  <si>
    <t>ES0031405427112029VK0F</t>
  </si>
  <si>
    <t>ES0031405427943008ZX0F-30845164</t>
  </si>
  <si>
    <t>ES0031405427943008ZX0F</t>
  </si>
  <si>
    <t>ES0031405431198022VH0F-30841904</t>
  </si>
  <si>
    <t>ES0031405431198022VH0F</t>
  </si>
  <si>
    <t>ES0031405435924007JD0F-30895290</t>
  </si>
  <si>
    <t>ES0031405436616011QN0F-30842800</t>
  </si>
  <si>
    <t>ES0031405436616011QN0F</t>
  </si>
  <si>
    <t>ES0031405437271013CC0F-30839439</t>
  </si>
  <si>
    <t>ES0031405437271013CC0F</t>
  </si>
  <si>
    <t>ES0031405437920015VP0F-30852070</t>
  </si>
  <si>
    <t>ES0031405437920015VP0F</t>
  </si>
  <si>
    <t>ES0031405440090012LR0F-30847476</t>
  </si>
  <si>
    <t>ES0031405440090012LR0F</t>
  </si>
  <si>
    <t>ES0031405440611002SH0F-30882399</t>
  </si>
  <si>
    <t>ES0031405440611002SH0F</t>
  </si>
  <si>
    <t>ES0031405442623003WW0F-30836741</t>
  </si>
  <si>
    <t>ES0031405442623003WW0F</t>
  </si>
  <si>
    <t>ES0031405445550013GD0F-30833480</t>
  </si>
  <si>
    <t>ES0031405445550013GD0F</t>
  </si>
  <si>
    <t>ES0031405446160009YE0F-30899728</t>
  </si>
  <si>
    <t>ES0031405446160009YE0F</t>
  </si>
  <si>
    <t>ES0031405448071001VJ0F-30850621</t>
  </si>
  <si>
    <t>ES0031405448071001VJ0F</t>
  </si>
  <si>
    <t>ES0031405448794006BJ0F-30899663</t>
  </si>
  <si>
    <t>ES0031405448794006BJ0F</t>
  </si>
  <si>
    <t>ES0031405450408003NP0F-30840109</t>
  </si>
  <si>
    <t>ES0031405450408003NP0F</t>
  </si>
  <si>
    <t>ES0031405451064003ZW0F-30881446</t>
  </si>
  <si>
    <t>ES0031405451064003ZW0F</t>
  </si>
  <si>
    <t>ES0031405454043002EH0F-30838434</t>
  </si>
  <si>
    <t>ES0031405454043002EH0F</t>
  </si>
  <si>
    <t>ES0031405457460004PW0F-30840194</t>
  </si>
  <si>
    <t>ES0031405457460004PW0F</t>
  </si>
  <si>
    <t>ES0031405457745018AT0F-30843357</t>
  </si>
  <si>
    <t>ES0031405457745018AT0F</t>
  </si>
  <si>
    <t>ES0031405458654004XA0F-30842085</t>
  </si>
  <si>
    <t>ES0031405458654004XA0F</t>
  </si>
  <si>
    <t>ES0031405461127019FN0F-30838786</t>
  </si>
  <si>
    <t>ES0031405461127019FN0F</t>
  </si>
  <si>
    <t>ES0031405461511006GZ0F-30888132</t>
  </si>
  <si>
    <t>ES0031405461511006GZ0F</t>
  </si>
  <si>
    <t>ES0031405462052014CQ0F-30882293</t>
  </si>
  <si>
    <t>ES0031405462052014CQ0F</t>
  </si>
  <si>
    <t>ES0031405462107009LH0F-30839296</t>
  </si>
  <si>
    <t>ES0031405462107009LH0F</t>
  </si>
  <si>
    <t>ES0031405463805052VV0F-30842973</t>
  </si>
  <si>
    <t>ES0031405463805052VV0F</t>
  </si>
  <si>
    <t>ES0031405467059013KF0F-30881896</t>
  </si>
  <si>
    <t>ES0031405467059013KF0F</t>
  </si>
  <si>
    <t>ES0031405467464014NR0F-30888102</t>
  </si>
  <si>
    <t>ES0031405467464014NR0F</t>
  </si>
  <si>
    <t>ES0031405467468011RL0F-30845363</t>
  </si>
  <si>
    <t>ES0031405467468011RL0F</t>
  </si>
  <si>
    <t>ES0031405468242016MM0F-30831978</t>
  </si>
  <si>
    <t>ES0031405468242016MM0F</t>
  </si>
  <si>
    <t>ES0031405469533016SS0F-30882001</t>
  </si>
  <si>
    <t>ES0031405469980021SS0F-30846627</t>
  </si>
  <si>
    <t>ES0031405469980021SS0F</t>
  </si>
  <si>
    <t>ES0031405470947001ZY0F-30833050</t>
  </si>
  <si>
    <t>ES0031405470947001ZY0F</t>
  </si>
  <si>
    <t>ES0031405470957008NP0F-30850838</t>
  </si>
  <si>
    <t>ES0031405470957008NP0F</t>
  </si>
  <si>
    <t>ES0031405472392006GJ0F-30844755</t>
  </si>
  <si>
    <t>ES0031405472392006GJ0F</t>
  </si>
  <si>
    <t>ES0031405486320004WQ0F-30840447</t>
  </si>
  <si>
    <t>ES0031405486320004WQ0F</t>
  </si>
  <si>
    <t>ES0031405492004006KM0F-30896453</t>
  </si>
  <si>
    <t>ES0031405492004006KM0F</t>
  </si>
  <si>
    <t>ES0031405493118007HR0F-30842450</t>
  </si>
  <si>
    <t>ES0031405493118007HR0F</t>
  </si>
  <si>
    <t>ES0031405499628013TH0F-30833138</t>
  </si>
  <si>
    <t>ES0031405499628013TH0F</t>
  </si>
  <si>
    <t>ES0031405509904001FC0F-30848644</t>
  </si>
  <si>
    <t>ES0031405509904001FC0F</t>
  </si>
  <si>
    <t>ES0031405514451022LX0F-30831507</t>
  </si>
  <si>
    <t>ES0031405514451022LX0F</t>
  </si>
  <si>
    <t>INC000011171836</t>
  </si>
  <si>
    <t>ES0031405535189007RE0F-30849039</t>
  </si>
  <si>
    <t>ES0031405535189007RE0F</t>
  </si>
  <si>
    <t>ES0031405538219004LE0F-30833154</t>
  </si>
  <si>
    <t>ES0031405538219004LE0F</t>
  </si>
  <si>
    <t>ES0031405546691002EQ0F-30832226</t>
  </si>
  <si>
    <t>ES0031405546691002EQ0F</t>
  </si>
  <si>
    <t>ES0031405562761001RF0F-30847752</t>
  </si>
  <si>
    <t>ES0031405562761001RF0F</t>
  </si>
  <si>
    <t>ES0031405574838004KD0F-30852649</t>
  </si>
  <si>
    <t>ES0031405574838004KD0F</t>
  </si>
  <si>
    <t>ES0031405582931004JE0F-30844591</t>
  </si>
  <si>
    <t>ES0031405582931004JE0F</t>
  </si>
  <si>
    <t>ES0031405582935005AK0F-30859968</t>
  </si>
  <si>
    <t>ES0031405582935005AK0F</t>
  </si>
  <si>
    <t>ES0031405590130011FY0F-30850693</t>
  </si>
  <si>
    <t>ES0031405590130011FY0F</t>
  </si>
  <si>
    <t>ES0031405600948003GV0F-30847767</t>
  </si>
  <si>
    <t>ES0031405600948003GV0F</t>
  </si>
  <si>
    <t>ES0031405601398003LE0F-30847791</t>
  </si>
  <si>
    <t>ES0031405601398003LE0F</t>
  </si>
  <si>
    <t>ES0031405611108001MH0F-30848694</t>
  </si>
  <si>
    <t>ES0031405611108001MH0F</t>
  </si>
  <si>
    <t>ES0031405627347001HY0F-30843952</t>
  </si>
  <si>
    <t>ES0031405627347001HY0F</t>
  </si>
  <si>
    <t>ES0031405641199043WE0F-30833488</t>
  </si>
  <si>
    <t>ES0031405641199043WE0F</t>
  </si>
  <si>
    <t>ES0031405649760001DN0F-30894998</t>
  </si>
  <si>
    <t>ES0031405649760001DN0F</t>
  </si>
  <si>
    <t>ES0031405676521007FN0F-30885163</t>
  </si>
  <si>
    <t>ES0031405676521007FN0F</t>
  </si>
  <si>
    <t>ES0031405676644014LS0F-30878715</t>
  </si>
  <si>
    <t>ES0031405676644014LS0F</t>
  </si>
  <si>
    <t>ES0031405676786009YP0F-30881690</t>
  </si>
  <si>
    <t>ES0031405676786009YP0F</t>
  </si>
  <si>
    <t>ES0031405677863011GN0F-30848714</t>
  </si>
  <si>
    <t>ES0031405677863011GN0F</t>
  </si>
  <si>
    <t>ES0031405677863028MY0F-30849019</t>
  </si>
  <si>
    <t>ES0031405677863028MY0F</t>
  </si>
  <si>
    <t>ES0031405677917026FT0F-30850854</t>
  </si>
  <si>
    <t>ES0031405677917026FT0F</t>
  </si>
  <si>
    <t>ES0031405678091001GA0F-30852518</t>
  </si>
  <si>
    <t>ES0031405678091001GA0F</t>
  </si>
  <si>
    <t>ES0031405706972006ST0F-30833121</t>
  </si>
  <si>
    <t>ES0031405706972006ST0F</t>
  </si>
  <si>
    <t>ES0031405707213009MD0F-30854204</t>
  </si>
  <si>
    <t>ES0031405707213009MD0F</t>
  </si>
  <si>
    <t>ES0031405733445001WH0F-30883674</t>
  </si>
  <si>
    <t>ES0031405733445001WH0F</t>
  </si>
  <si>
    <t>ES0031405779575001PE0F-30837261</t>
  </si>
  <si>
    <t>ES0031405779575001PE0F</t>
  </si>
  <si>
    <t>ES0031405784915001CC0F-30900698</t>
  </si>
  <si>
    <t>ES0031405784915001CC0F</t>
  </si>
  <si>
    <t>ES0031405797735006FD0F-30832582</t>
  </si>
  <si>
    <t>ES0031405797735006FD0F</t>
  </si>
  <si>
    <t>ES0031405820016015DK0F-30840621</t>
  </si>
  <si>
    <t>ES0031405820016015DK0F</t>
  </si>
  <si>
    <t>ES0031405844182008LY0F-30850556</t>
  </si>
  <si>
    <t>ES0031405844182008LY0F</t>
  </si>
  <si>
    <t>ES0031405866791029TG0F-30841312</t>
  </si>
  <si>
    <t>ES0031405866791029TG0F</t>
  </si>
  <si>
    <t>ES0031405871172021SW0F-30888796</t>
  </si>
  <si>
    <t>ES0031405871263017SX0F-30895753</t>
  </si>
  <si>
    <t>ES0031405894974001KH0F-30900748</t>
  </si>
  <si>
    <t>ES0031405894974001KH0F</t>
  </si>
  <si>
    <t>ES0031405930934008YP0F-30844653</t>
  </si>
  <si>
    <t>ES0031405930934008YP0F</t>
  </si>
  <si>
    <t>ES0031405955455007VV0F-30900726</t>
  </si>
  <si>
    <t>ES0031405955455007VV0F</t>
  </si>
  <si>
    <t>ES0031405966259010MT0F-30850847</t>
  </si>
  <si>
    <t>ES0031405966259010MT0F</t>
  </si>
  <si>
    <t>ES0031405967201017KL0F-30850836</t>
  </si>
  <si>
    <t>ES0031405967201017KL0F</t>
  </si>
  <si>
    <t>ES0031405967330012HF0F-30841339</t>
  </si>
  <si>
    <t>ES0031405967330012HF0F</t>
  </si>
  <si>
    <t>ES0031405971039004WL0F-30836035</t>
  </si>
  <si>
    <t>ES0031405971039004WL0F</t>
  </si>
  <si>
    <t>ES0031405973649002ET0F-30902856</t>
  </si>
  <si>
    <t>ES0031405973649002ET0F</t>
  </si>
  <si>
    <t>ES0031405974143007HB0F-30854281</t>
  </si>
  <si>
    <t>ES0031405974143007HB0F</t>
  </si>
  <si>
    <t>ES0031405974189017VK0F-30831693</t>
  </si>
  <si>
    <t>ES0031405974189017VK0F</t>
  </si>
  <si>
    <t>ES0031405974605013AQ0F-30888226</t>
  </si>
  <si>
    <t>ES0031405975224002YY0F-30841491</t>
  </si>
  <si>
    <t>ES0031405975224002YY0F</t>
  </si>
  <si>
    <t>ES0031405975795008SZ0F-30838888</t>
  </si>
  <si>
    <t>ES0031405975795008SZ0F</t>
  </si>
  <si>
    <t>ES0031405977277011GN0F-30888489</t>
  </si>
  <si>
    <t>ES0031405980680012WW0F-30841442</t>
  </si>
  <si>
    <t>ES0031405980680012WW0F</t>
  </si>
  <si>
    <t>ES0031405980695006XT0F-30848610</t>
  </si>
  <si>
    <t>ES0031405980695006XT0F</t>
  </si>
  <si>
    <t>ES0031405981809006YH0F-30852089</t>
  </si>
  <si>
    <t>ES0031405981809006YH0F</t>
  </si>
  <si>
    <t>ES0031405982969158DG0F-30845692</t>
  </si>
  <si>
    <t>ES0031405982969158DG0F</t>
  </si>
  <si>
    <t>ES0031405984997006VB0F-30840887</t>
  </si>
  <si>
    <t>ES0031405984997006VB0F</t>
  </si>
  <si>
    <t>ES0031405985294002GP0F-30840966</t>
  </si>
  <si>
    <t>ES0031405985294002GP0F</t>
  </si>
  <si>
    <t>ES0031405991392008ZR0F-30846495</t>
  </si>
  <si>
    <t>ES0031405991392008ZR0F</t>
  </si>
  <si>
    <t>ES0031405992425012PY0F-30887307</t>
  </si>
  <si>
    <t>ES0031405992692011RK0F-30897482</t>
  </si>
  <si>
    <t>ES0031406013820006JD0F-30892821</t>
  </si>
  <si>
    <t>ES0031406013820006JD0F</t>
  </si>
  <si>
    <t>ES0031406017332003BK0F-30891760</t>
  </si>
  <si>
    <t>ES0031406017332003BK0F</t>
  </si>
  <si>
    <t>ES0031406073975001WE0F-30843647</t>
  </si>
  <si>
    <t>ES0031406073975001WE0F</t>
  </si>
  <si>
    <t>ES0031406074386002RJ0F-30842397</t>
  </si>
  <si>
    <t>ES0031406074386002RJ0F</t>
  </si>
  <si>
    <t>ES0031406077030006GY0F-30834147</t>
  </si>
  <si>
    <t>ES0031406077030006GY0F</t>
  </si>
  <si>
    <t>ES0031406080817005ED0F-30841319</t>
  </si>
  <si>
    <t>ES0031406080817005ED0F</t>
  </si>
  <si>
    <t>ES0031406094408003LP0F-30851198</t>
  </si>
  <si>
    <t>ES0031406094408003LP0F</t>
  </si>
  <si>
    <t>ES0031406100474029HZ0F-30895381</t>
  </si>
  <si>
    <t>ES0031406100474029HZ0F</t>
  </si>
  <si>
    <t>ES0031406113276003AG0F-30889001</t>
  </si>
  <si>
    <t>ES0031406113276003AG0F</t>
  </si>
  <si>
    <t>ES0031406119364001ZV0F-30898082</t>
  </si>
  <si>
    <t>ES0031406119364001ZV0F</t>
  </si>
  <si>
    <t>ES0031406124300018BG0F-30844056</t>
  </si>
  <si>
    <t>ES0031406124300018BG0F</t>
  </si>
  <si>
    <t>ES0031406125102003NW0F-30842378</t>
  </si>
  <si>
    <t>ES0031406125102003NW0F</t>
  </si>
  <si>
    <t>ES0031406140400001MX0F-30833581</t>
  </si>
  <si>
    <t>ES0031406140400001MX0F</t>
  </si>
  <si>
    <t>ES0031406168591002PA0F-30850259</t>
  </si>
  <si>
    <t>ES0031406168591002PA0F</t>
  </si>
  <si>
    <t>ES0031406171887006ES0F-30881764</t>
  </si>
  <si>
    <t>ES0031406171887006ES0F</t>
  </si>
  <si>
    <t>ES0031406174572002JZ0F-30837116</t>
  </si>
  <si>
    <t>ES0031406174572002JZ0F</t>
  </si>
  <si>
    <t>ES0031406176625001BX0F-30853720</t>
  </si>
  <si>
    <t>ES0031406176625001BX0F</t>
  </si>
  <si>
    <t>ES0031406177879005TP0F-30832744</t>
  </si>
  <si>
    <t>ES0031406177879005TP0F</t>
  </si>
  <si>
    <t>ES0031406178934008PR0F-30836101</t>
  </si>
  <si>
    <t>ES0031406178934008PR0F</t>
  </si>
  <si>
    <t>ES0031406179978014CZ0F-30840260</t>
  </si>
  <si>
    <t>ES0031406179978014CZ0F</t>
  </si>
  <si>
    <t>ES0031406180035036SL0F-30890268</t>
  </si>
  <si>
    <t>ES0031406180035036SL0F</t>
  </si>
  <si>
    <t>ES0031406180532005AG0F-30848834</t>
  </si>
  <si>
    <t>ES0031406180532005AG0F</t>
  </si>
  <si>
    <t>ES0031406240717003DM0F-30837725</t>
  </si>
  <si>
    <t>ES0031406240717003DM0F</t>
  </si>
  <si>
    <t>ES0031406268343004XQ0F-30850773</t>
  </si>
  <si>
    <t>ES0031406268343004XQ0F</t>
  </si>
  <si>
    <t>ES0031406282851007HX0F-30852404</t>
  </si>
  <si>
    <t>ES0031406282851007HX0F</t>
  </si>
  <si>
    <t>ES0031406283728015SM0F-30852812</t>
  </si>
  <si>
    <t>ES0031406283728015SM0F</t>
  </si>
  <si>
    <t>ES0031406320039022BS0F-30853487</t>
  </si>
  <si>
    <t>ES0031406320039022BS0F</t>
  </si>
  <si>
    <t>ES0031406321088005XZ0F-30831828</t>
  </si>
  <si>
    <t>ES0031406321088005XZ0F</t>
  </si>
  <si>
    <t>ES0031406348931001QS0F-30831506</t>
  </si>
  <si>
    <t>ES0031406348931001QS0F</t>
  </si>
  <si>
    <t>ES0031406367221006DY0F-30882228</t>
  </si>
  <si>
    <t>ES0031406367221006DY0F</t>
  </si>
  <si>
    <t>ES0031406372978013GK0F-30898807</t>
  </si>
  <si>
    <t>ES0031406372978013GK0F</t>
  </si>
  <si>
    <t>ES0031408008669053VS0F-30889660</t>
  </si>
  <si>
    <t>ES0031408008669053VS0F</t>
  </si>
  <si>
    <t>ES0031408026869014MF0F-30892439</t>
  </si>
  <si>
    <t>ES0031408026869014MF0F</t>
  </si>
  <si>
    <t>ES0031408073696001RY0F-30848173</t>
  </si>
  <si>
    <t>ES0031408073696001RY0F</t>
  </si>
  <si>
    <t>ES0031408130370001YM0F-30834058</t>
  </si>
  <si>
    <t>ES0031408130370001YM0F</t>
  </si>
  <si>
    <t>ES0031408142157014ER0F-30831745</t>
  </si>
  <si>
    <t>ES0031408142157014ER0F</t>
  </si>
  <si>
    <t>ES0031408155441002XV0F-30848359</t>
  </si>
  <si>
    <t>ES0031408155441002XV0F</t>
  </si>
  <si>
    <t>ES0031408158928012AC0F-30847888</t>
  </si>
  <si>
    <t>ES0031408158928012AC0F</t>
  </si>
  <si>
    <t>ES0031408159234002JH0F-30843704</t>
  </si>
  <si>
    <t>ES0031408159234002JH0F</t>
  </si>
  <si>
    <t>ES0031408173726009QR0F-30841770</t>
  </si>
  <si>
    <t>ES0031408173726009QR0F</t>
  </si>
  <si>
    <t>ES0031408185383001JH0F-30900403</t>
  </si>
  <si>
    <t>ES0031408185383001JH0F</t>
  </si>
  <si>
    <t>ES0031408188640012BE0F-30835464</t>
  </si>
  <si>
    <t>ES0031408188640012BE0F</t>
  </si>
  <si>
    <t>ES0031408193111007FR0F-30831504</t>
  </si>
  <si>
    <t>ES0031408193111007FR0F</t>
  </si>
  <si>
    <t>ES0031408194908018YE0F-30837198</t>
  </si>
  <si>
    <t>ES0031408194908018YE0F</t>
  </si>
  <si>
    <t>ES0031408214753013XL0F-30831685</t>
  </si>
  <si>
    <t>ES0031408214753013XL0F</t>
  </si>
  <si>
    <t>ES0031408237748006YA0F-30836807</t>
  </si>
  <si>
    <t>ES0031408237748006YA0F</t>
  </si>
  <si>
    <t>ES0031408250233024XT0F-30851674</t>
  </si>
  <si>
    <t>ES0031408250233024XT0F</t>
  </si>
  <si>
    <t>ES0031408250415009XD0F-30835812</t>
  </si>
  <si>
    <t>ES0031408250415009XD0F</t>
  </si>
  <si>
    <t>ES0031408253925020ZJ0F-30832456</t>
  </si>
  <si>
    <t>ES0031408253925020ZJ0F</t>
  </si>
  <si>
    <t>ES0031408256802006AK0F-30843537</t>
  </si>
  <si>
    <t>ES0031408256802006AK0F</t>
  </si>
  <si>
    <t>ES0031408257487018WR0F-30853659</t>
  </si>
  <si>
    <t>ES0031408257487018WR0F</t>
  </si>
  <si>
    <t>ES0031408275438004CQ0F-30851073</t>
  </si>
  <si>
    <t>ES0031408275438004CQ0F</t>
  </si>
  <si>
    <t>ES0031408276804002WK0F-30852387</t>
  </si>
  <si>
    <t>ES0031408276804002WK0F</t>
  </si>
  <si>
    <t>ES0031408312491008PC0F-30852724</t>
  </si>
  <si>
    <t>ES0031408312491008PC0F</t>
  </si>
  <si>
    <t>ES0031408321685015PF0F-30851132</t>
  </si>
  <si>
    <t>ES0031408321685015PF0F</t>
  </si>
  <si>
    <t>ES0031408332887023GA0F-30831705</t>
  </si>
  <si>
    <t>ES0031408332887023GA0F</t>
  </si>
  <si>
    <t>ES0031408342249035VA0F-30839565</t>
  </si>
  <si>
    <t>ES0031408342249035VA0F</t>
  </si>
  <si>
    <t>ES0031408349297008KV0F-30853105</t>
  </si>
  <si>
    <t>ES0031408349297008KV0F</t>
  </si>
  <si>
    <t>ES0031408372629004HP0F-30895890</t>
  </si>
  <si>
    <t>ES0031408372629004HP0F</t>
  </si>
  <si>
    <t>ES0031408388328009NH0F-30842233</t>
  </si>
  <si>
    <t>ES0031408388328009NH0F</t>
  </si>
  <si>
    <t>ES0031408389276007ZW0F-30847814</t>
  </si>
  <si>
    <t>ES0031408389276007ZW0F</t>
  </si>
  <si>
    <t>ES0031408390632005KN0F-30840357</t>
  </si>
  <si>
    <t>ES0031408390632005KN0F</t>
  </si>
  <si>
    <t>ES0031408390632009KQ0F-30839713</t>
  </si>
  <si>
    <t>ES0031408390632009KQ0F</t>
  </si>
  <si>
    <t>ES0031408394317001CV0F-30831789</t>
  </si>
  <si>
    <t>ES0031408394317001CV0F</t>
  </si>
  <si>
    <t>ES0031408403515024XH0F-30842317</t>
  </si>
  <si>
    <t>ES0031408403515024XH0F</t>
  </si>
  <si>
    <t>ES0031408407086039EF0F-30839219</t>
  </si>
  <si>
    <t>ES0031408407086039EF0F</t>
  </si>
  <si>
    <t>ES0031408448485001CG0F-30841116</t>
  </si>
  <si>
    <t>ES0031408448485001CG0F</t>
  </si>
  <si>
    <t>ES0031408466465005NB0F-30847727</t>
  </si>
  <si>
    <t>ES0031408466465005NB0F</t>
  </si>
  <si>
    <t>ES0031408469404001YK0F-30846200</t>
  </si>
  <si>
    <t>ES0031408469404001YK0F</t>
  </si>
  <si>
    <t>ES0031408490287006SS0F-30888008</t>
  </si>
  <si>
    <t>ES0031408490287006SS0F</t>
  </si>
  <si>
    <t>ES0031408497989053FY0F-30889043</t>
  </si>
  <si>
    <t>ES0031408497989053FY0F</t>
  </si>
  <si>
    <t>ES0031408503040005DC0F-30852747</t>
  </si>
  <si>
    <t>ES0031408503040005DC0F</t>
  </si>
  <si>
    <t>ES0031408505039021YZ0F-30839611</t>
  </si>
  <si>
    <t>ES0031408505039021YZ0F</t>
  </si>
  <si>
    <t>ES0031408511609011KP0F-30837500</t>
  </si>
  <si>
    <t>ES0031408511609011KP0F</t>
  </si>
  <si>
    <t>ES0031408511977008JM0F-30836504</t>
  </si>
  <si>
    <t>ES0031408511977008JM0F</t>
  </si>
  <si>
    <t>ES0031408528520011HM0F-30851365</t>
  </si>
  <si>
    <t>ES0031408528520011HM0F</t>
  </si>
  <si>
    <t>ES0031408530005004EA0F-30841493</t>
  </si>
  <si>
    <t>ES0031408530005004EA0F</t>
  </si>
  <si>
    <t>ES0031408531516001YS0F-30841494</t>
  </si>
  <si>
    <t>ES0031408531516001YS0F</t>
  </si>
  <si>
    <t>ES0031408532117015DQ0F-30850249</t>
  </si>
  <si>
    <t>ES0031408532117015DQ0F</t>
  </si>
  <si>
    <t>ES0031408536627008KP0F-30831798</t>
  </si>
  <si>
    <t>ES0031408536627008KP0F</t>
  </si>
  <si>
    <t>ES0031408536729042HZ0F-30831743</t>
  </si>
  <si>
    <t>ES0031408536729042HZ0F</t>
  </si>
  <si>
    <t>ES0031408536936006RR0F-30843541</t>
  </si>
  <si>
    <t>ES0031408536936006RR0F</t>
  </si>
  <si>
    <t>ES0031408543269036VG0F-30897564</t>
  </si>
  <si>
    <t>ES0031408543269036VG0F</t>
  </si>
  <si>
    <t>ES0031408543269052VC0F-30831517</t>
  </si>
  <si>
    <t>ES0031408543269052VC0F</t>
  </si>
  <si>
    <t>ES0031408544624014AY0F-30845100</t>
  </si>
  <si>
    <t>ES0031408544624014AY0F</t>
  </si>
  <si>
    <t>ES0031408544624017AD0F-30853475</t>
  </si>
  <si>
    <t>ES0031408544624017AD0F</t>
  </si>
  <si>
    <t>ES0031408549125003ZX0F-30831605</t>
  </si>
  <si>
    <t>ES0031408549125003ZX0F</t>
  </si>
  <si>
    <t>ES0031408558564015VY0F-30845112</t>
  </si>
  <si>
    <t>ES0031408558564015VY0F</t>
  </si>
  <si>
    <t>ES0031408559979007JS0F-30841720</t>
  </si>
  <si>
    <t>ES0031408559979007JS0F</t>
  </si>
  <si>
    <t>ES0031408561319001SY0F-30839543</t>
  </si>
  <si>
    <t>ES0031408561319001SY0F</t>
  </si>
  <si>
    <t>ES0031408565238001EJ0F-30843869</t>
  </si>
  <si>
    <t>ES0031408565238001EJ0F</t>
  </si>
  <si>
    <t>ES0031408567856001KS0F-30840421</t>
  </si>
  <si>
    <t>ES0031408567856001KS0F</t>
  </si>
  <si>
    <t>ES0031408568818001XV0F-30832812</t>
  </si>
  <si>
    <t>ES0031408568818001XV0F</t>
  </si>
  <si>
    <t>ES0031408569261001CZ0F-30893512</t>
  </si>
  <si>
    <t>ES0031408570653002YD0F-30858639</t>
  </si>
  <si>
    <t>ES0031408570653002YD0F</t>
  </si>
  <si>
    <t>ES0031408570878001JE0F-30852137</t>
  </si>
  <si>
    <t>ES0031408570878001JE0F</t>
  </si>
  <si>
    <t>ES0031408571529001MF0F-30847857</t>
  </si>
  <si>
    <t>ES0031408571529001MF0F</t>
  </si>
  <si>
    <t>ES0031408574490013JE0F-30846183</t>
  </si>
  <si>
    <t>ES0031408574490013JE0F</t>
  </si>
  <si>
    <t>ES0031408574649001AB0F-30837255</t>
  </si>
  <si>
    <t>ES0031408574649001AB0F</t>
  </si>
  <si>
    <t>ES0031408575362001EB0F-30838831</t>
  </si>
  <si>
    <t>ES0031408575362001EB0F</t>
  </si>
  <si>
    <t>ES0031408575458001XD0F-30850388</t>
  </si>
  <si>
    <t>ES0031408575458001XD0F</t>
  </si>
  <si>
    <t>ES0031408575921001SL0F-30849896</t>
  </si>
  <si>
    <t>ES0031408575921001SL0F</t>
  </si>
  <si>
    <t>ES0031408576051006XM0F-30832628</t>
  </si>
  <si>
    <t>ES0031408576051006XM0F</t>
  </si>
  <si>
    <t>ES0031408576243001PL0F-30838046</t>
  </si>
  <si>
    <t>ES0031408576243001PL0F</t>
  </si>
  <si>
    <t>ES0031408576920001AZ0F-30894903</t>
  </si>
  <si>
    <t>ES0031408576920001AZ0F</t>
  </si>
  <si>
    <t>ES0031408577665001XK0F-30842273</t>
  </si>
  <si>
    <t>ES0031408577665001XK0F</t>
  </si>
  <si>
    <t>ES0031408578267001XL0F-30836484</t>
  </si>
  <si>
    <t>ES0031408578267001XL0F</t>
  </si>
  <si>
    <t>ES0031408578515001YX0F-30844328</t>
  </si>
  <si>
    <t>ES0031408578515001YX0F</t>
  </si>
  <si>
    <t>ES0031408579113001QX0F-30837523</t>
  </si>
  <si>
    <t>ES0031408579113001QX0F</t>
  </si>
  <si>
    <t>ES0031446415284002XN0F-30849181</t>
  </si>
  <si>
    <t>ES0031446415284002XN0F</t>
  </si>
  <si>
    <t>ES0031446415354022HC0F-30836096</t>
  </si>
  <si>
    <t>ES0031446415354022HC0F</t>
  </si>
  <si>
    <t>ES0031446436782019DK0F-30852810</t>
  </si>
  <si>
    <t>ES0031446436782019DK0F</t>
  </si>
  <si>
    <t>ES0031446469930009TC0F-30837305</t>
  </si>
  <si>
    <t>ES0031446469930009TC0F</t>
  </si>
  <si>
    <t>ES0031446469930010TK0F-30851536</t>
  </si>
  <si>
    <t>ES0031446469930010TK0F</t>
  </si>
  <si>
    <t>ES0031448017883010GY0F-30898095</t>
  </si>
  <si>
    <t>ES0031448017883010GY0F</t>
  </si>
  <si>
    <t>ES0031448022173006HL0F-30856741</t>
  </si>
  <si>
    <t>ES0031448022173006HL0F</t>
  </si>
  <si>
    <t>ES0031448051793001MQ0F-30836598</t>
  </si>
  <si>
    <t>ES0031448051793001MQ0F</t>
  </si>
  <si>
    <t>ES0031448331182002HJ0F-30834132</t>
  </si>
  <si>
    <t>ES0031448331182002HJ0F</t>
  </si>
  <si>
    <t>ES0031448360029014TB0F-30847374</t>
  </si>
  <si>
    <t>ES0031448360029014TB0F</t>
  </si>
  <si>
    <t>ES0031448487050009FX0F-30832119</t>
  </si>
  <si>
    <t>ES0031448487050009FX0F</t>
  </si>
  <si>
    <t>ES0031500044214015EH0F-30901181</t>
  </si>
  <si>
    <t>ES0031500044214015EH0F</t>
  </si>
  <si>
    <t>ES0031500100858003XC0F-30881746</t>
  </si>
  <si>
    <t>ES0031500100858003XC0F</t>
  </si>
  <si>
    <t>ES0031500116285005RW0F-30865222</t>
  </si>
  <si>
    <t>ES0031500116285005RW0F</t>
  </si>
  <si>
    <t>ES0031500123545006RF0F-30897457</t>
  </si>
  <si>
    <t>ES0031500123545006RF0F</t>
  </si>
  <si>
    <t>ES0031500124501001MF0F-30882683</t>
  </si>
  <si>
    <t>ES0031500124501001MF0F</t>
  </si>
  <si>
    <t>ES0031500128396006GP0F-30881957</t>
  </si>
  <si>
    <t>ES0031500128396006GP0F</t>
  </si>
  <si>
    <t>ES0031500133699012VL0F-30901940</t>
  </si>
  <si>
    <t>ES0031500133699012VL0F</t>
  </si>
  <si>
    <t>ES0031500136269500KG0F-30862512</t>
  </si>
  <si>
    <t>ES0031500136269500KG0F</t>
  </si>
  <si>
    <t>ES0031500146168005ZE0F-30882951</t>
  </si>
  <si>
    <t>ES0031500146168005ZE0F</t>
  </si>
  <si>
    <t>ES0031500176136006KN0F-30863694</t>
  </si>
  <si>
    <t>ES0031500176136006KN0F</t>
  </si>
  <si>
    <t>ES0031500221117001AE0F-30864966</t>
  </si>
  <si>
    <t>ES0031500221117001AE0F</t>
  </si>
  <si>
    <t>ES0031500224137004RX0F-30889622</t>
  </si>
  <si>
    <t>ES0031500224137004RX0F</t>
  </si>
  <si>
    <t>ES0031500524571013MS0F-30865590</t>
  </si>
  <si>
    <t>ES0031500524571013MS0F</t>
  </si>
  <si>
    <t>ES0031500541946036YX0F-30884990</t>
  </si>
  <si>
    <t>ES0031500541946036YX0F</t>
  </si>
  <si>
    <t>ES0031500545602004PJ0F-30901900</t>
  </si>
  <si>
    <t>ES0031500545602004PJ0F</t>
  </si>
  <si>
    <t>ES0031500572861006SJ0F-30858297</t>
  </si>
  <si>
    <t>ES0031500572861006SJ0F</t>
  </si>
  <si>
    <t>ES0031500591039005ZP0F-30887120</t>
  </si>
  <si>
    <t>ES0031500591039005ZP0F</t>
  </si>
  <si>
    <t>ES0031500602115014ME0F-30869785</t>
  </si>
  <si>
    <t>ES0031500602115014ME0F</t>
  </si>
  <si>
    <t>ES0031500603568001KF0F-30869007</t>
  </si>
  <si>
    <t>ES0031500603568001KF0F</t>
  </si>
  <si>
    <t>ES0031500603784005MH0F-30872719</t>
  </si>
  <si>
    <t>ES0031500603784005MH0F</t>
  </si>
  <si>
    <t>ES0031500612709009QX0F-30861538</t>
  </si>
  <si>
    <t>ES0031500612709009QX0F</t>
  </si>
  <si>
    <t>ES0031500618454001HQ0F-30899383</t>
  </si>
  <si>
    <t>ES0031500618454001HQ0F</t>
  </si>
  <si>
    <t>ES0031500625692001MP0F-30897103</t>
  </si>
  <si>
    <t>ES0031500625692001MP0F</t>
  </si>
  <si>
    <t>ES0031500638779007PZ0F-30862912</t>
  </si>
  <si>
    <t>ES0031500638779007PZ0F</t>
  </si>
  <si>
    <t>ES0031500641586007ZW0F-30858159</t>
  </si>
  <si>
    <t>ES0031500641586007ZW0F</t>
  </si>
  <si>
    <t>ES0031500647947001GR0F-30862389</t>
  </si>
  <si>
    <t>ES0031500647947001GR0F</t>
  </si>
  <si>
    <t>ES0031500653169015SA0F-30890090</t>
  </si>
  <si>
    <t>ES0031500653169015SA0F</t>
  </si>
  <si>
    <t>ES0031500655749007VQ0F-30900884</t>
  </si>
  <si>
    <t>ES0031500655749007VQ0F</t>
  </si>
  <si>
    <t>ES0031500671382004VM0F-30868000</t>
  </si>
  <si>
    <t>ES0031500671382004VM0F</t>
  </si>
  <si>
    <t>ES0031500671382005VY0F-30857077</t>
  </si>
  <si>
    <t>ES0031500671382005VY0F</t>
  </si>
  <si>
    <t>ES0031500671382006VF0F-30867797</t>
  </si>
  <si>
    <t>ES0031500671382006VF0F</t>
  </si>
  <si>
    <t>ES0031500671382007VP0F-30867257</t>
  </si>
  <si>
    <t>ES0031500671382007VP0F</t>
  </si>
  <si>
    <t>ES0031500671382008VD0F-30867575</t>
  </si>
  <si>
    <t>ES0031500671382008VD0F</t>
  </si>
  <si>
    <t>ES0031500671382009VX0F-30857004</t>
  </si>
  <si>
    <t>ES0031500671382009VX0F</t>
  </si>
  <si>
    <t>ES0031500675629001WY0F-30871264</t>
  </si>
  <si>
    <t>ES0031500675629001WY0F</t>
  </si>
  <si>
    <t>ES0031500680154006EZ0F-30866701</t>
  </si>
  <si>
    <t>ES0031500680154006EZ0F</t>
  </si>
  <si>
    <t>ES0031500683756001RW0F-30863913</t>
  </si>
  <si>
    <t>ES0031500683756001RW0F</t>
  </si>
  <si>
    <t>ES0031500685290001LV0F-30897333</t>
  </si>
  <si>
    <t>ES0031500685290001LV0F</t>
  </si>
  <si>
    <t>ES0031500687854005VG0F-30870436</t>
  </si>
  <si>
    <t>ES0031500687854005VG0F</t>
  </si>
  <si>
    <t>ES0031500690719001ZM0F-30865226</t>
  </si>
  <si>
    <t>ES0031500690719001ZM0F</t>
  </si>
  <si>
    <t>ES0031500690889001EN0F-30891777</t>
  </si>
  <si>
    <t>ES0031500690889001EN0F</t>
  </si>
  <si>
    <t>ES0031500692262001XG0F-30899237</t>
  </si>
  <si>
    <t>ES0031500692262001XG0F</t>
  </si>
  <si>
    <t>ES0031500692308001DG0F-30893041</t>
  </si>
  <si>
    <t>ES0031500692308001DG0F</t>
  </si>
  <si>
    <t>ES0031500692320001RK0F-30865225</t>
  </si>
  <si>
    <t>ES0031500692320001RK0F</t>
  </si>
  <si>
    <t>ES0031600172992004XV0F-30884803</t>
  </si>
  <si>
    <t>ES0031600172992004XV0F</t>
  </si>
  <si>
    <t>ES0031601010797005LA0F-30881748</t>
  </si>
  <si>
    <t>ES0031601010797005LA0F</t>
  </si>
  <si>
    <t>ES0031601093112006VM0F-30893249</t>
  </si>
  <si>
    <t>ES0031601093112006VM0F</t>
  </si>
  <si>
    <t>ES0031601111205005TP0F-30893071</t>
  </si>
  <si>
    <t>ES0031601111205005TP0F</t>
  </si>
  <si>
    <t>ES0031601114615017AV0F-30873383</t>
  </si>
  <si>
    <t>ES0031601114615017AV0F</t>
  </si>
  <si>
    <t>ES0031601115227005TK0F-30891065</t>
  </si>
  <si>
    <t>ES0031601115227005TK0F</t>
  </si>
  <si>
    <t>ES0031601145004003YT0F-30885772</t>
  </si>
  <si>
    <t>ES0031601145004003YT0F</t>
  </si>
  <si>
    <t>ES0031601146138014KL0F-30881667</t>
  </si>
  <si>
    <t>ES0031601146138014KL0F</t>
  </si>
  <si>
    <t>ES0031601158504067MF0F-30900827</t>
  </si>
  <si>
    <t>ES0031601159633051DJ0F-30888199</t>
  </si>
  <si>
    <t>ES0031601159633051DJ0F</t>
  </si>
  <si>
    <t>ES0031601176601005KQ0F-30897284</t>
  </si>
  <si>
    <t>ES0031601176601005KQ0F</t>
  </si>
  <si>
    <t>ES0031601179219005CH0F-30871784</t>
  </si>
  <si>
    <t>ES0031601179219005CH0F</t>
  </si>
  <si>
    <t>ES0031601182810006GY0F-30897756</t>
  </si>
  <si>
    <t>ES0031601182810006GY0F</t>
  </si>
  <si>
    <t>ES0031601183294006WV0F-30895836</t>
  </si>
  <si>
    <t>ES0031601183294006WV0F</t>
  </si>
  <si>
    <t>ES0031601183295012TB0F-30899515</t>
  </si>
  <si>
    <t>ES0031601183295012TB0F</t>
  </si>
  <si>
    <t>ES0031601187932007JE0F-30898281</t>
  </si>
  <si>
    <t>ES0031601187932007JE0F</t>
  </si>
  <si>
    <t>ES0031601187933019BE0F-30885454</t>
  </si>
  <si>
    <t>ES0031601187933019BE0F</t>
  </si>
  <si>
    <t>ES0031601187984014KA0F-30898569</t>
  </si>
  <si>
    <t>ES0031601187984014KA0F</t>
  </si>
  <si>
    <t>ES0031601187985003HA0F-30894420</t>
  </si>
  <si>
    <t>ES0031601187985003HA0F</t>
  </si>
  <si>
    <t>ES0031601196162013YF0F-30881572</t>
  </si>
  <si>
    <t>ES0031601196162013YF0F</t>
  </si>
  <si>
    <t>ES0031601222922001YR0F-30895563</t>
  </si>
  <si>
    <t>ES0031601222922001YR0F</t>
  </si>
  <si>
    <t>ES0031601244027001YV0F-30893958</t>
  </si>
  <si>
    <t>ES0031601244027001YV0F</t>
  </si>
  <si>
    <t>ES0031601244592001FE0F-30874185</t>
  </si>
  <si>
    <t>ES0031601244592001FE0F</t>
  </si>
  <si>
    <t>ES0031601250615013TR0F-30893997</t>
  </si>
  <si>
    <t>ES0031601250615013TR0F</t>
  </si>
  <si>
    <t>ES0031601257838002RR0F-30882779</t>
  </si>
  <si>
    <t>ES0031601257838002RR0F</t>
  </si>
  <si>
    <t>ES0031601271451001BJ0F-30893043</t>
  </si>
  <si>
    <t>ES0031601271451001BJ0F</t>
  </si>
  <si>
    <t>ES0031601280039001CC0F-30872356</t>
  </si>
  <si>
    <t>ES0031601280039001CC0F</t>
  </si>
  <si>
    <t>ES0031601285969001QE0F-30874489</t>
  </si>
  <si>
    <t>ES0031601285969001QE0F</t>
  </si>
  <si>
    <t>ES0031601288240001VW0F-30894233</t>
  </si>
  <si>
    <t>ES0031601288240001VW0F</t>
  </si>
  <si>
    <t>ES0031601289595004GY0F-30872196</t>
  </si>
  <si>
    <t>ES0031601289595004GY0F</t>
  </si>
  <si>
    <t>ES0031601292653001CS0F-30871864</t>
  </si>
  <si>
    <t>ES0031601292653001CS0F</t>
  </si>
  <si>
    <t>ES0031601296579001XF0F-30899432</t>
  </si>
  <si>
    <t>ES0031601296579001XF0F</t>
  </si>
  <si>
    <t>ES0031601302618002FJ0F-30888255</t>
  </si>
  <si>
    <t>ES0031601302618002FJ0F</t>
  </si>
  <si>
    <t>ES0031601316347001RJ0F-30889948</t>
  </si>
  <si>
    <t>ES0031601316347001RJ0F</t>
  </si>
  <si>
    <t>ES0031601319325008JA0F-30895385</t>
  </si>
  <si>
    <t>ES0031601319325008JA0F</t>
  </si>
  <si>
    <t>ES0031601320481004HL0F-30894774</t>
  </si>
  <si>
    <t>ES0031601320481004HL0F</t>
  </si>
  <si>
    <t>ES0031601329890009MT0F-30882131</t>
  </si>
  <si>
    <t>ES0031601329890009MT0F</t>
  </si>
  <si>
    <t>ES0031601330498003NN0F-30887760</t>
  </si>
  <si>
    <t>ES0031601330498003NN0F</t>
  </si>
  <si>
    <t>ES0031601337793001QP0F-30895146</t>
  </si>
  <si>
    <t>ES0031601337793001QP0F</t>
  </si>
  <si>
    <t>ES0031601338117001GF0F-30891784</t>
  </si>
  <si>
    <t>ES0031601338117001GF0F</t>
  </si>
  <si>
    <t>ES0031601338258001QV0F-30891786</t>
  </si>
  <si>
    <t>ES0031601338258001QV0F</t>
  </si>
  <si>
    <t>ES0031607000224001RN0F-30882492</t>
  </si>
  <si>
    <t>ES0031607000224001RN0F</t>
  </si>
  <si>
    <t>ES0031607013156004GN0F-30897261</t>
  </si>
  <si>
    <t>ES0031607013156004GN0F</t>
  </si>
  <si>
    <t>ES0031607037706001BQ0F-30890747</t>
  </si>
  <si>
    <t>ES0031607037706001BQ0F</t>
  </si>
  <si>
    <t>ES0031607107927001DS0F-30885210</t>
  </si>
  <si>
    <t>ES0031607107927001DS0F</t>
  </si>
  <si>
    <t>ES0031607137356001HD0F-30887999</t>
  </si>
  <si>
    <t>ES0031607137356001HD0F</t>
  </si>
  <si>
    <t>ES0031607207033001PG0F-30874935</t>
  </si>
  <si>
    <t>ES0031607207033001PG0F</t>
  </si>
  <si>
    <t>ES0031607227531010KE0F-30881541</t>
  </si>
  <si>
    <t>ES0031607227531010KE0F</t>
  </si>
  <si>
    <t>ES0031607240289019GT0F-30873215</t>
  </si>
  <si>
    <t>ES0031607240289019GT0F</t>
  </si>
  <si>
    <t>ES0031607242651010GY0F-30881885</t>
  </si>
  <si>
    <t>ES0031607242651010GY0F</t>
  </si>
  <si>
    <t>ES0031607271274007KD0F-30899821</t>
  </si>
  <si>
    <t>ES0031607272609003NQ0F-30871387</t>
  </si>
  <si>
    <t>ES0031607272609003NQ0F</t>
  </si>
  <si>
    <t>ES0031607273022018YC0F-30887118</t>
  </si>
  <si>
    <t>ES0031607273022018YC0F</t>
  </si>
  <si>
    <t>ES0031607273170011RP0F-30883044</t>
  </si>
  <si>
    <t>ES0031607273170011RP0F</t>
  </si>
  <si>
    <t>ES0031607296413002SG0F-30891789</t>
  </si>
  <si>
    <t>ES0031607296413002SG0F</t>
  </si>
  <si>
    <t>ES0031607319957001YF0F-30886985</t>
  </si>
  <si>
    <t>ES0031607319957001YF0F</t>
  </si>
  <si>
    <t>ES0031607423940001BF0F-30887902</t>
  </si>
  <si>
    <t>ES0031607423940001BF0F</t>
  </si>
  <si>
    <t>ES0031607433256001RH0F-30891857</t>
  </si>
  <si>
    <t>ES0031607433256001RH0F</t>
  </si>
  <si>
    <t>ES0031607484671009CK0F-30874867</t>
  </si>
  <si>
    <t>ES0031607484671009CK0F</t>
  </si>
  <si>
    <t>ES0031607491698009XS0F-30897437</t>
  </si>
  <si>
    <t>ES0031607491698009XS0F</t>
  </si>
  <si>
    <t>ES0031607495210001PE0F-30889473</t>
  </si>
  <si>
    <t>ES0031607495210001PE0F</t>
  </si>
  <si>
    <t>ES0031607513852011BA0F-30891835</t>
  </si>
  <si>
    <t>ES0031607513852011BA0F</t>
  </si>
  <si>
    <t>ES0031607577378008XT0F-30881841</t>
  </si>
  <si>
    <t>ES0031607577378008XT0F</t>
  </si>
  <si>
    <t>ES0031607581691001NX0F-30881647</t>
  </si>
  <si>
    <t>ES0031607581691001NX0F</t>
  </si>
  <si>
    <t>ES0031607591754075PD0F-30892299</t>
  </si>
  <si>
    <t>ES0031607591754075PD0F</t>
  </si>
  <si>
    <t>ES0031607601095094MS0F-30881118</t>
  </si>
  <si>
    <t>ES0031607601095094MS0F</t>
  </si>
  <si>
    <t>ES0031607601095095MQ0F-30881121</t>
  </si>
  <si>
    <t>ES0031607601095095MQ0F</t>
  </si>
  <si>
    <t>ES0031607607349012DA0F-30891790</t>
  </si>
  <si>
    <t>ES0031607607349012DA0F</t>
  </si>
  <si>
    <t>ES0031608999583004SL0F-30881606</t>
  </si>
  <si>
    <t>ES0031608999583004SL0F</t>
  </si>
  <si>
    <t>ES0259008578324001WA0F-30887469</t>
  </si>
  <si>
    <t>ES0259008578324001WA0F</t>
  </si>
  <si>
    <t>ES0030320148051001SY0F-30873332</t>
  </si>
  <si>
    <t>ES0030320148051001SY0F</t>
  </si>
  <si>
    <t>ES0030320148051003SP0F-30873330</t>
  </si>
  <si>
    <t>ES0030320148051003SP0F</t>
  </si>
  <si>
    <t>ES0031101307075007NZ0F-30916179</t>
  </si>
  <si>
    <t>ES0031101307075007NZ0F</t>
  </si>
  <si>
    <t>ES0031101307166033ZY0F-30882311</t>
  </si>
  <si>
    <t>ES0031101307166033ZY0F</t>
  </si>
  <si>
    <t>ES0031101315102024BP0F-30923774</t>
  </si>
  <si>
    <t>ES0031101315102024BP0F</t>
  </si>
  <si>
    <t>ES0031101316933019QL0F-30920093</t>
  </si>
  <si>
    <t>ES0031101316933019QL0F</t>
  </si>
  <si>
    <t>ES0031101318070010RM0F-30830888</t>
  </si>
  <si>
    <t>ES0031101318070010RM0F</t>
  </si>
  <si>
    <t>ES0031101318786001NY0F-30885020</t>
  </si>
  <si>
    <t>ES0031101318786001NY0F</t>
  </si>
  <si>
    <t>ES0031101322628022FS0F-30892488</t>
  </si>
  <si>
    <t>ES0031101322628022FS0F</t>
  </si>
  <si>
    <t>ES0031101327972010PE0F-30921144</t>
  </si>
  <si>
    <t>ES0031101327972010PE0F</t>
  </si>
  <si>
    <t>ES0031101330342032JD0F-30910616</t>
  </si>
  <si>
    <t>ES0031101330342032JD0F</t>
  </si>
  <si>
    <t>ES0031101333860009HK0F-30914501</t>
  </si>
  <si>
    <t>ES0031101333860009HK0F</t>
  </si>
  <si>
    <t>ES0031101338537001TD0F-30925982</t>
  </si>
  <si>
    <t>ES0031101338537001TD0F</t>
  </si>
  <si>
    <t>ES0031101349363002RW0F-30838479</t>
  </si>
  <si>
    <t>ES0031101349363002RW0F</t>
  </si>
  <si>
    <t>ES0031101368088002TN0F-30903868</t>
  </si>
  <si>
    <t>ES0031101368088002TN0F</t>
  </si>
  <si>
    <t>ES0031101397934004SH0F-30891767</t>
  </si>
  <si>
    <t>ES0031101397934004SH0F</t>
  </si>
  <si>
    <t>ES0031101433195001ZZ0F-30885204</t>
  </si>
  <si>
    <t>ES0031101433195001ZZ0F</t>
  </si>
  <si>
    <t>ES0031101440189007HL0F-30917500</t>
  </si>
  <si>
    <t>ES0031101440189007HL0F</t>
  </si>
  <si>
    <t>ES0031101445805001RB0F-30915184</t>
  </si>
  <si>
    <t>ES0031101445805001RB0F</t>
  </si>
  <si>
    <t>ES0031101473848031XS0F-30886963</t>
  </si>
  <si>
    <t>ES0031101473848031XS0F</t>
  </si>
  <si>
    <t>ES0031101485874017CZ0F-30915537</t>
  </si>
  <si>
    <t>ES0031101486625001NW0F-30910029</t>
  </si>
  <si>
    <t>ES0031101486625001NW0F</t>
  </si>
  <si>
    <t>ES0031101506483007YS0F-30818380</t>
  </si>
  <si>
    <t>ES0031101506483007YS0F</t>
  </si>
  <si>
    <t>ES0031101518523010MR0F-30814063</t>
  </si>
  <si>
    <t>ES0031101518523010MR0F</t>
  </si>
  <si>
    <t>ES0031101519490001GA0F-30810155</t>
  </si>
  <si>
    <t>ES0031101519490001GA0F</t>
  </si>
  <si>
    <t>ES0031101523704005AQ0F-30905310</t>
  </si>
  <si>
    <t>ES0031101523704005AQ0F</t>
  </si>
  <si>
    <t>ES0031101532096003RG0F-30817003</t>
  </si>
  <si>
    <t>ES0031101532096003RG0F</t>
  </si>
  <si>
    <t>ES0031101532866017SR0F-30908321</t>
  </si>
  <si>
    <t>ES0031101566828001TR0F-30838054</t>
  </si>
  <si>
    <t>ES0031101566828001TR0F</t>
  </si>
  <si>
    <t>ES0031101572963001PG0F-30818588</t>
  </si>
  <si>
    <t>ES0031101572963001PG0F</t>
  </si>
  <si>
    <t>ES0031101575150003JM0F-30893274</t>
  </si>
  <si>
    <t>ES0031101575150003JM0F</t>
  </si>
  <si>
    <t>ES0031101585200001SS0F-30827100</t>
  </si>
  <si>
    <t>ES0031101585200001SS0F</t>
  </si>
  <si>
    <t>ES0031101598043001NE0F-30919931</t>
  </si>
  <si>
    <t>ES0031101598043001NE0F</t>
  </si>
  <si>
    <t>ES0031101612153012NQ0F-30817271</t>
  </si>
  <si>
    <t>ES0031101612153012NQ0F</t>
  </si>
  <si>
    <t>ES0031101617774001MN0F-30914920</t>
  </si>
  <si>
    <t>ES0031101617774001MN0F</t>
  </si>
  <si>
    <t>ES0031101622046002LQ0F-30827312</t>
  </si>
  <si>
    <t>ES0031101622046002LQ0F</t>
  </si>
  <si>
    <t>ES0031101633759002ZJ0F-30913596</t>
  </si>
  <si>
    <t>ES0031101633759002ZJ0F</t>
  </si>
  <si>
    <t>ES0031101692113001ZE0F-30919501</t>
  </si>
  <si>
    <t>ES0031101692113001ZE0F</t>
  </si>
  <si>
    <t>ES0031101729180005JL0F-30877060</t>
  </si>
  <si>
    <t>ES0031101729180005JL0F</t>
  </si>
  <si>
    <t>ES0031101771550001WJ0F-30820512</t>
  </si>
  <si>
    <t>ES0031101771550001WJ0F</t>
  </si>
  <si>
    <t>ES0031101826666001AD0F-30875108</t>
  </si>
  <si>
    <t>ES0031101826666001AD0F</t>
  </si>
  <si>
    <t>ES0031101915773001PH0F-30810059</t>
  </si>
  <si>
    <t>ES0031101915773001PH0F</t>
  </si>
  <si>
    <t>ES0031101940613001CH0F-30913501</t>
  </si>
  <si>
    <t>ES0031101940613001CH0F</t>
  </si>
  <si>
    <t>ES0031101942011001ZD0F-30815410</t>
  </si>
  <si>
    <t>ES0031101942011001ZD0F</t>
  </si>
  <si>
    <t>ES0031101947692003VB0F-30814796</t>
  </si>
  <si>
    <t>ES0031101947692003VB0F</t>
  </si>
  <si>
    <t>ES0031101947964001KB0F-30814474</t>
  </si>
  <si>
    <t>ES0031101947964001KB0F</t>
  </si>
  <si>
    <t>ES0031101949859001AH0F-30882885</t>
  </si>
  <si>
    <t>ES0031101949859001AH0F</t>
  </si>
  <si>
    <t>ES0031101980555006ZQ0F-30916935</t>
  </si>
  <si>
    <t>ES0031101980555006ZQ0F</t>
  </si>
  <si>
    <t>ES0031101984866001EY0F-30828147</t>
  </si>
  <si>
    <t>ES0031101984866001EY0F</t>
  </si>
  <si>
    <t>12/01/20188</t>
  </si>
  <si>
    <t>ES0031102003625002MT0F-30922476</t>
  </si>
  <si>
    <t>ES0031102003625002MT0F</t>
  </si>
  <si>
    <t>ES0031102020956005TC0F-30911877</t>
  </si>
  <si>
    <t>ES0031102020956005TC0F</t>
  </si>
  <si>
    <t>ES0031102021131001LD0F-30900305</t>
  </si>
  <si>
    <t>ES0031102021131001LD0F</t>
  </si>
  <si>
    <t>ES0031102035296010HP0F-30911198</t>
  </si>
  <si>
    <t>ES0031102035296010HP0F</t>
  </si>
  <si>
    <t>ES0031102057252010NR0F-30927588</t>
  </si>
  <si>
    <t>ES0031102057252010NR0F</t>
  </si>
  <si>
    <t>ES0031102090412003HC0F-30821977</t>
  </si>
  <si>
    <t>ES0031102090412003HC0F</t>
  </si>
  <si>
    <t>ES0031102091017007BD0F-30823002</t>
  </si>
  <si>
    <t>ES0031102091017007BD0F</t>
  </si>
  <si>
    <t>ES0031102115059010BC0F-30885281</t>
  </si>
  <si>
    <t>ES0031102115059010BC0F</t>
  </si>
  <si>
    <t>ES0031102123393001VF0F-30890389</t>
  </si>
  <si>
    <t>ES0031102123393001VF0F</t>
  </si>
  <si>
    <t>ES0031102145661001YM0F-30833322</t>
  </si>
  <si>
    <t>ES0031102145661001YM0F</t>
  </si>
  <si>
    <t>ES0031102191570001VQ0F-30914493</t>
  </si>
  <si>
    <t>ES0031102191570001VQ0F</t>
  </si>
  <si>
    <t>ES0031102206604007XA0F-30919937</t>
  </si>
  <si>
    <t>ES0031102206604007XA0F</t>
  </si>
  <si>
    <t>ES0031102227520023MA0F-30920439</t>
  </si>
  <si>
    <t>ES0031102227520023MA0F</t>
  </si>
  <si>
    <t>ES0031102228784014ZY0F-30910838</t>
  </si>
  <si>
    <t>ES0031102228784014ZY0F</t>
  </si>
  <si>
    <t>ES0031102229764010AH0F-30829446</t>
  </si>
  <si>
    <t>ES0031102229764010AH0F</t>
  </si>
  <si>
    <t>ES0031102239902003ZW0F-30890495</t>
  </si>
  <si>
    <t>ES0031102239902003ZW0F</t>
  </si>
  <si>
    <t>ES0031102243580001PR0F-30909105</t>
  </si>
  <si>
    <t>ES0031102243580001PR0F</t>
  </si>
  <si>
    <t>ES0031102275688066WC0F-30923610</t>
  </si>
  <si>
    <t>ES0031102275688066WC0F</t>
  </si>
  <si>
    <t>ES0031102311165001YF0F-30818635</t>
  </si>
  <si>
    <t>ES0031102311165001YF0F</t>
  </si>
  <si>
    <t>ES0031102338897025VB0F-30893987</t>
  </si>
  <si>
    <t>ES0031102338897025VB0F</t>
  </si>
  <si>
    <t>ES0031102368111012SL0F-30922302</t>
  </si>
  <si>
    <t>ES0031102368111012SL0F</t>
  </si>
  <si>
    <t>ES0031102381125003HN0F-30919754</t>
  </si>
  <si>
    <t>ES0031102381125003HN0F</t>
  </si>
  <si>
    <t>ES0031102400070001SW0F-30818381</t>
  </si>
  <si>
    <t>ES0031102400070001SW0F</t>
  </si>
  <si>
    <t>ES0031102433809001BA0F-30915186</t>
  </si>
  <si>
    <t>ES0031102433809001BA0F</t>
  </si>
  <si>
    <t>ES0031102497418014PD0F-30822751</t>
  </si>
  <si>
    <t>ES0031102497418014PD0F</t>
  </si>
  <si>
    <t>ES0031102539150002HS0F-30913550</t>
  </si>
  <si>
    <t>ES0031102539150002HS0F</t>
  </si>
  <si>
    <t>ES0031102542290001NP0F-30915190</t>
  </si>
  <si>
    <t>ES0031102542290001NP0F</t>
  </si>
  <si>
    <t>ES0031102543522001XJ0F-30818200</t>
  </si>
  <si>
    <t>ES0031102543522001XJ0F</t>
  </si>
  <si>
    <t>ES0031102584498040CB0F-30915823</t>
  </si>
  <si>
    <t>ES0031102584498040CB0F</t>
  </si>
  <si>
    <t>ES0031102598366001FF0F-30827352</t>
  </si>
  <si>
    <t>ES0031102598366001FF0F</t>
  </si>
  <si>
    <t>ES0031102617034002NN0F-30891779</t>
  </si>
  <si>
    <t>ES0031102617034002NN0F</t>
  </si>
  <si>
    <t>ES0031102618371034TP0F-30909672</t>
  </si>
  <si>
    <t>ES0031102618371034TP0F</t>
  </si>
  <si>
    <t>ES0031102645156041YC0F-30806751</t>
  </si>
  <si>
    <t>ES0031102645156041YC0F</t>
  </si>
  <si>
    <t>ES0031102654671001EH0F-30877373</t>
  </si>
  <si>
    <t>ES0031102654671001EH0F</t>
  </si>
  <si>
    <t>ES0031102722789001XE0F-30903876</t>
  </si>
  <si>
    <t>ES0031102722789001XE0F</t>
  </si>
  <si>
    <t>ES0031102776403001GX0F-30874406</t>
  </si>
  <si>
    <t>ES0031102776403001GX0F</t>
  </si>
  <si>
    <t>ES0031102854525047KA0F-30825467</t>
  </si>
  <si>
    <t>ES0031102854525047KA0F</t>
  </si>
  <si>
    <t>ES0031102859809009BZ0F-30913225</t>
  </si>
  <si>
    <t>ES0031102859809009BZ0F</t>
  </si>
  <si>
    <t>ES0031102860112004YF0F-30912128</t>
  </si>
  <si>
    <t>ES0031102860112004YF0F</t>
  </si>
  <si>
    <t>ES0031102862498010SQ0F-30816105</t>
  </si>
  <si>
    <t>ES0031102862498010SQ0F</t>
  </si>
  <si>
    <t>ES0031102865047013GK0F-30913922</t>
  </si>
  <si>
    <t>ES0031102865047013GK0F</t>
  </si>
  <si>
    <t>ES0031102867016021FE0F-30881696</t>
  </si>
  <si>
    <t>ES0031102867016021FE0F</t>
  </si>
  <si>
    <t>ES0031102873334010ZA0F-30910420</t>
  </si>
  <si>
    <t>ES0031102875331001ZL0F-30886011</t>
  </si>
  <si>
    <t>ES0031102875331001ZL0F</t>
  </si>
  <si>
    <t>ES0031102878151002XJ0F-30815035</t>
  </si>
  <si>
    <t>ES0031102878151002XJ0F</t>
  </si>
  <si>
    <t>ES0031102886257014QC0F-30921611</t>
  </si>
  <si>
    <t>ES0031102886257014QC0F</t>
  </si>
  <si>
    <t>ES0031102886394014QD0F-30909979</t>
  </si>
  <si>
    <t>ES0031102934247001RR0F-30915268</t>
  </si>
  <si>
    <t>ES0031102934247001RR0F</t>
  </si>
  <si>
    <t>ES0031102943921019DN0F-30830892</t>
  </si>
  <si>
    <t>ES0031102943921019DN0F</t>
  </si>
  <si>
    <t>ES0031102964334001YB0F-30811338</t>
  </si>
  <si>
    <t>ES0031102964334001YB0F</t>
  </si>
  <si>
    <t>ES0031102986225001AW0F-30813746</t>
  </si>
  <si>
    <t>ES0031102986225001AW0F</t>
  </si>
  <si>
    <t>ES0031102986261002GP0F-30891785</t>
  </si>
  <si>
    <t>ES0031102986261002GP0F</t>
  </si>
  <si>
    <t>ES0031103006335007YG0F-30915022</t>
  </si>
  <si>
    <t>ES0031103006335007YG0F</t>
  </si>
  <si>
    <t>ES0031103026812058MV0F-30913542</t>
  </si>
  <si>
    <t>ES0031103026812058MV0F</t>
  </si>
  <si>
    <t>ES0031103029482043BR0F-30895394</t>
  </si>
  <si>
    <t>ES0031103029482043BR0F</t>
  </si>
  <si>
    <t>ES0031103045857023RQ0F-30820386</t>
  </si>
  <si>
    <t>ES0031103045857023RQ0F</t>
  </si>
  <si>
    <t>ES0031103063078002CK0F-30819968</t>
  </si>
  <si>
    <t>ES0031103063078002CK0F</t>
  </si>
  <si>
    <t>ES0031103072458001XE0F-30916580</t>
  </si>
  <si>
    <t>ES0031103072458001XE0F</t>
  </si>
  <si>
    <t>ES0031103084473431KE0F-30913743</t>
  </si>
  <si>
    <t>ES0031103084473431KE0F</t>
  </si>
  <si>
    <t>ES0031103089375001SQ0F-30901659</t>
  </si>
  <si>
    <t>ES0031103089375001SQ0F</t>
  </si>
  <si>
    <t>ES0031103119168007AH0F-30881625</t>
  </si>
  <si>
    <t>ES0031103119168007AH0F</t>
  </si>
  <si>
    <t>ES0031103119531002PG0F-30925951</t>
  </si>
  <si>
    <t>ES0031103119531002PG0F</t>
  </si>
  <si>
    <t>ES0031103121680016VJ0F-30883509</t>
  </si>
  <si>
    <t>ES0031103121680016VJ0F</t>
  </si>
  <si>
    <t>ES0031103123090015AC0F-30888929</t>
  </si>
  <si>
    <t>ES0031103123090015AC0F</t>
  </si>
  <si>
    <t>ES0031103124190032JQ0F-30811340</t>
  </si>
  <si>
    <t>ES0031103124190032JQ0F</t>
  </si>
  <si>
    <t>ES0031103141486025MD0F-30806750</t>
  </si>
  <si>
    <t>ES0031103141486025MD0F</t>
  </si>
  <si>
    <t>ES0031103141670003TX0F-30893690</t>
  </si>
  <si>
    <t>ES0031103141670003TX0F</t>
  </si>
  <si>
    <t>ES0031103150229001JH0F-30818249</t>
  </si>
  <si>
    <t>ES0031103150229001JH0F</t>
  </si>
  <si>
    <t>ES0031103251067001ZS0F-30875033</t>
  </si>
  <si>
    <t>ES0031103251067001ZS0F</t>
  </si>
  <si>
    <t>ES0031103256033001AQ0F-30882975</t>
  </si>
  <si>
    <t>ES0031103256033001AQ0F</t>
  </si>
  <si>
    <t>ES0031103269213039AL0F-30864675</t>
  </si>
  <si>
    <t>ES0031103269213039AL0F</t>
  </si>
  <si>
    <t>ES0031103270456009LT0F-30918797</t>
  </si>
  <si>
    <t>ES0031103270456009LT0F</t>
  </si>
  <si>
    <t>ES0031103279252001DX0F-30906928</t>
  </si>
  <si>
    <t>ES0031103279252001DX0F</t>
  </si>
  <si>
    <t>ES0031103280457004YC0F-30921700</t>
  </si>
  <si>
    <t>ES0031103280457004YC0F</t>
  </si>
  <si>
    <t>ES0031103309920004KC0F-30822503</t>
  </si>
  <si>
    <t>ES0031103309920004KC0F</t>
  </si>
  <si>
    <t>ES0031103312617001MZ0F-30837491</t>
  </si>
  <si>
    <t>ES0031103312617001MZ0F</t>
  </si>
  <si>
    <t>ES0031103313927025SG0F-30828547</t>
  </si>
  <si>
    <t>ES0031103313927025SG0F</t>
  </si>
  <si>
    <t>ES0031103314122001MD0F-30913292</t>
  </si>
  <si>
    <t>ES0031103314122001MD0F</t>
  </si>
  <si>
    <t>ES0031103314865017HX0F-30882625</t>
  </si>
  <si>
    <t>ES0031103314865017HX0F</t>
  </si>
  <si>
    <t>ES0031103317150006MH0F-30833845</t>
  </si>
  <si>
    <t>ES0031103317150006MH0F</t>
  </si>
  <si>
    <t>ES0031103317407010RC0F-30837246</t>
  </si>
  <si>
    <t>ES0031103317407010RC0F</t>
  </si>
  <si>
    <t>ES0031103318125015PB0F-30820586</t>
  </si>
  <si>
    <t>ES0031103318125015PB0F</t>
  </si>
  <si>
    <t>ES0031103336606005RH0F-30914790</t>
  </si>
  <si>
    <t>ES0031103336606005RH0F</t>
  </si>
  <si>
    <t>ES0031103353954001TB0F-30916223</t>
  </si>
  <si>
    <t>ES0031103353954001TB0F</t>
  </si>
  <si>
    <t>ES0031103382706001ZX0F-30829326</t>
  </si>
  <si>
    <t>ES0031103382706001ZX0F</t>
  </si>
  <si>
    <t>ES0031103436599018HW0F-30812573</t>
  </si>
  <si>
    <t>ES0031103436599018HW0F</t>
  </si>
  <si>
    <t>ES0031103441258012ER0F-30828299</t>
  </si>
  <si>
    <t>ES0031103441258012ER0F</t>
  </si>
  <si>
    <t>ES0031103467322003YR0F-30826468</t>
  </si>
  <si>
    <t>ES0031103467322003YR0F</t>
  </si>
  <si>
    <t>ES0031103497934001KB0F-30913340</t>
  </si>
  <si>
    <t>ES0031103497934001KB0F</t>
  </si>
  <si>
    <t>ES0031103504833001NT0F-30811533</t>
  </si>
  <si>
    <t>ES0031103504833001NT0F</t>
  </si>
  <si>
    <t>ES0031103516955001XB0F-30910216</t>
  </si>
  <si>
    <t>ES0031103516955001XB0F</t>
  </si>
  <si>
    <t>ES0031103559641008FL0F-30917286</t>
  </si>
  <si>
    <t>ES0031103559641008FL0F</t>
  </si>
  <si>
    <t>ES0031103661751012KM0F-30903760</t>
  </si>
  <si>
    <t>ES0031103661751012KM0F</t>
  </si>
  <si>
    <t>ES0031103666218020AE0F-30922458</t>
  </si>
  <si>
    <t>ES0031103666218020AE0F</t>
  </si>
  <si>
    <t>ES0031103707428015LC0F-30925624</t>
  </si>
  <si>
    <t>ES0031103707428015LC0F</t>
  </si>
  <si>
    <t>ES0031104020163022PW0F-30898557</t>
  </si>
  <si>
    <t>ES0031104020163022PW0F</t>
  </si>
  <si>
    <t>ES0031104034485008RA0F-30913970</t>
  </si>
  <si>
    <t>ES0031104034485008RA0F</t>
  </si>
  <si>
    <t>ES0031104054350001TB0F-30903291</t>
  </si>
  <si>
    <t>ES0031104054350001TB0F</t>
  </si>
  <si>
    <t>ES0031104068191020BK0F-30913608</t>
  </si>
  <si>
    <t>ES0031104068191020BK0F</t>
  </si>
  <si>
    <t>ES0031104081752001ZH0F-30912579</t>
  </si>
  <si>
    <t>ES0031104081752001ZH0F</t>
  </si>
  <si>
    <t>ES0031104113730001NZ0F-30917020</t>
  </si>
  <si>
    <t>ES0031104113730001NZ0F</t>
  </si>
  <si>
    <t>ES0031104117814011HY0F-30918264</t>
  </si>
  <si>
    <t>ES0031104117814011HY0F</t>
  </si>
  <si>
    <t>ES0031104130055001SM0F-30926464</t>
  </si>
  <si>
    <t>ES0031104130055001SM0F</t>
  </si>
  <si>
    <t>ES0031104130665001VE0F-30906663</t>
  </si>
  <si>
    <t>ES0031104138124007EJ0F-30919023</t>
  </si>
  <si>
    <t>ES0031104138124007EJ0F</t>
  </si>
  <si>
    <t>ES0031104150705027ZX0F-30918342</t>
  </si>
  <si>
    <t>ES0031104157757013DN0F-30910583</t>
  </si>
  <si>
    <t>ES0031104157757013DN0F</t>
  </si>
  <si>
    <t>ES0031104189249001JD0F-30902553</t>
  </si>
  <si>
    <t>ES0031104189249001JD0F</t>
  </si>
  <si>
    <t>ES0031104198798005ZB0F-30876787</t>
  </si>
  <si>
    <t>ES0031104198798005ZB0F</t>
  </si>
  <si>
    <t>ES0031104211997005BR0F-30916183</t>
  </si>
  <si>
    <t>ES0031104211997005BR0F</t>
  </si>
  <si>
    <t>ES0031104224562001LM0F-30912684</t>
  </si>
  <si>
    <t>ES0031104224562001LM0F</t>
  </si>
  <si>
    <t>ES0031104233090008LA0F-30916856</t>
  </si>
  <si>
    <t>ES0031104233090008LA0F</t>
  </si>
  <si>
    <t>ES0031104254244001XE0F-30912193</t>
  </si>
  <si>
    <t>ES0031104254244001XE0F</t>
  </si>
  <si>
    <t>ES0031104266102005PP0F-30914428</t>
  </si>
  <si>
    <t>ES0031104266102005PP0F</t>
  </si>
  <si>
    <t>ES0031104276467006KJ0F-30909753</t>
  </si>
  <si>
    <t>ES0031104276467006KJ0F</t>
  </si>
  <si>
    <t>ES0031104289067001XX0F-30913260</t>
  </si>
  <si>
    <t>ES0031104289067001XX0F</t>
  </si>
  <si>
    <t>ES0031104298046008TR0F-30915195</t>
  </si>
  <si>
    <t>ES0031104298046008TR0F</t>
  </si>
  <si>
    <t>ES0031104299506005KG0F-30927235</t>
  </si>
  <si>
    <t>ES0031104299506005KG0F</t>
  </si>
  <si>
    <t>ES0031104304993010FZ0F-30909244</t>
  </si>
  <si>
    <t>ES0031104304993010FZ0F</t>
  </si>
  <si>
    <t>ES0031104305023001TJ0F-30909027</t>
  </si>
  <si>
    <t>ES0031104305023001TJ0F</t>
  </si>
  <si>
    <t>ES0031104316403053DX0F-30923750</t>
  </si>
  <si>
    <t>ES0031104316403053DX0F</t>
  </si>
  <si>
    <t>ES0031104340230007CE0F-30914488</t>
  </si>
  <si>
    <t>ES0031104340230007CE0F</t>
  </si>
  <si>
    <t>ES0031104340453069JF0F-30912362</t>
  </si>
  <si>
    <t>ES0031104340453069JF0F</t>
  </si>
  <si>
    <t>ES0031104346487003CY0F-30912215</t>
  </si>
  <si>
    <t>ES0031104346487003CY0F</t>
  </si>
  <si>
    <t>ES0031104356010003VV0F-30900277</t>
  </si>
  <si>
    <t>ES0031104356010003VV0F</t>
  </si>
  <si>
    <t>ES0031104356998001XG0F-30912666</t>
  </si>
  <si>
    <t>ES0031104360992016JT0F-30905028</t>
  </si>
  <si>
    <t>ES0031104380381003QX0F-30889819</t>
  </si>
  <si>
    <t>ES0031104380381003QX0F</t>
  </si>
  <si>
    <t>ES0031104388939057BV0F-30882208</t>
  </si>
  <si>
    <t>ES0031104388939057BV0F</t>
  </si>
  <si>
    <t>ES0031104411109014SK0F-30903373</t>
  </si>
  <si>
    <t>ES0031104411109014SK0F</t>
  </si>
  <si>
    <t>ES0031104420897029NH0F-30910820</t>
  </si>
  <si>
    <t>ES0031104420897029NH0F</t>
  </si>
  <si>
    <t>ES0031104421338001AB0F-30910044</t>
  </si>
  <si>
    <t>ES0031104421338001AB0F</t>
  </si>
  <si>
    <t>ES0031104424402999WY0F-30911626</t>
  </si>
  <si>
    <t>ES0031104424402999WY0F</t>
  </si>
  <si>
    <t>ES0031104425847010HP0F-30905174</t>
  </si>
  <si>
    <t>ES0031104425847010HP0F</t>
  </si>
  <si>
    <t>ES0031104441364008BX0F-30916714</t>
  </si>
  <si>
    <t>ES0031104441364008BX0F</t>
  </si>
  <si>
    <t>ES0031104459668001ZM0F-30879777</t>
  </si>
  <si>
    <t>ES0031104459668001ZM0F</t>
  </si>
  <si>
    <t>ES0031104486851024YH0F-30887731</t>
  </si>
  <si>
    <t>ES0031104486851024YH0F</t>
  </si>
  <si>
    <t>ES0031104492997083NV0F-30923480</t>
  </si>
  <si>
    <t>ES0031104492997083NV0F</t>
  </si>
  <si>
    <t>ES0031104537785006HV0F-30917248</t>
  </si>
  <si>
    <t>ES0031104537785006HV0F</t>
  </si>
  <si>
    <t>ES0031104538188001ZY0F-30914317</t>
  </si>
  <si>
    <t>ES0031104538188001ZY0F</t>
  </si>
  <si>
    <t>ES0031104549176023KP0F-30916796</t>
  </si>
  <si>
    <t>ES0031104549176023KP0F</t>
  </si>
  <si>
    <t>ES0031104550650013YC0F-30875661</t>
  </si>
  <si>
    <t>ES0031104550650013YC0F</t>
  </si>
  <si>
    <t>ES0031104551746010WK0F-30916858</t>
  </si>
  <si>
    <t>ES0031104551746010WK0F</t>
  </si>
  <si>
    <t>ES0031104560358006CN0F-30910075</t>
  </si>
  <si>
    <t>ES0031104560358006CN0F</t>
  </si>
  <si>
    <t>ES0031104578280001CQ0F-30891801</t>
  </si>
  <si>
    <t>ES0031104578280001CQ0F</t>
  </si>
  <si>
    <t>ES0031104585195003QE0F-30874755</t>
  </si>
  <si>
    <t>ES0031104585195003QE0F</t>
  </si>
  <si>
    <t>ES0031104587763006GY0F-30921833</t>
  </si>
  <si>
    <t>ES0031104587763006GY0F</t>
  </si>
  <si>
    <t>ES0031104594201001FW0F-30912843</t>
  </si>
  <si>
    <t>ES0031104594201001FW0F</t>
  </si>
  <si>
    <t>ES0031104595218022LD0F-30912709</t>
  </si>
  <si>
    <t>ES0031104607765006AX0F-30882684</t>
  </si>
  <si>
    <t>ES0031104607765006AX0F</t>
  </si>
  <si>
    <t>ES0031104613625001ZL0F-30891792</t>
  </si>
  <si>
    <t>ES0031104613625001ZL0F</t>
  </si>
  <si>
    <t>ES0031104618011007VV0F-30916371</t>
  </si>
  <si>
    <t>ES0031104621898008JH0F-30916929</t>
  </si>
  <si>
    <t>ES0031104621898008JH0F</t>
  </si>
  <si>
    <t>ES0031104625890024KQ0F-30924529</t>
  </si>
  <si>
    <t>ES0031104625890024KQ0F</t>
  </si>
  <si>
    <t>ES0031104633238001ME0F-30915874</t>
  </si>
  <si>
    <t>ES0031104633238001ME0F</t>
  </si>
  <si>
    <t>ES0031104634252024WK0F-30893032</t>
  </si>
  <si>
    <t>ES0031104634252024WK0F</t>
  </si>
  <si>
    <t>ES0031104637830015HV0F-30924099</t>
  </si>
  <si>
    <t>ES0031104637830015HV0F</t>
  </si>
  <si>
    <t>ES0031104651933001NR0F-30912830</t>
  </si>
  <si>
    <t>ES0031104651933001NR0F</t>
  </si>
  <si>
    <t>ES0031104652681006NT0F-30883534</t>
  </si>
  <si>
    <t>ES0031104652681006NT0F</t>
  </si>
  <si>
    <t>ES0031104653653029EC0F-30920885</t>
  </si>
  <si>
    <t>ES0031104653653029EC0F</t>
  </si>
  <si>
    <t>ES0031104660617001DY0F-30904170</t>
  </si>
  <si>
    <t>ES0031104660617001DY0F</t>
  </si>
  <si>
    <t>ES0031104671827010FE0F-30892893</t>
  </si>
  <si>
    <t>ES0031104671827010FE0F</t>
  </si>
  <si>
    <t>ES0031104683205003LF0F-30882988</t>
  </si>
  <si>
    <t>ES0031104683205003LF0F</t>
  </si>
  <si>
    <t>ES0031104686094013WX0F-30916546</t>
  </si>
  <si>
    <t>ES0031104686094013WX0F</t>
  </si>
  <si>
    <t>ES0031104688605003VK0F-30923539</t>
  </si>
  <si>
    <t>ES0031104688605003VK0F</t>
  </si>
  <si>
    <t>ES0031104689952001WR0F-30909638</t>
  </si>
  <si>
    <t>ES0031104689952001WR0F</t>
  </si>
  <si>
    <t>ES0031104695598004RX0F-30915196</t>
  </si>
  <si>
    <t>ES0031104695598004RX0F</t>
  </si>
  <si>
    <t>ES0031104698837036EK0F-30915446</t>
  </si>
  <si>
    <t>ES0031104698837036EK0F</t>
  </si>
  <si>
    <t>ES0031104703491005SD0F-30919335</t>
  </si>
  <si>
    <t>ES0031104703491005SD0F</t>
  </si>
  <si>
    <t>ES0031104709332006ME0F-30926276</t>
  </si>
  <si>
    <t>ES0031104709332006ME0F</t>
  </si>
  <si>
    <t>ES0031104733277004CL0F-30882277</t>
  </si>
  <si>
    <t>ES0031104733277004CL0F</t>
  </si>
  <si>
    <t>ES0031104736080002JF0F-30893268</t>
  </si>
  <si>
    <t>ES0031104736080002JF0F</t>
  </si>
  <si>
    <t>ES0031104761905016AT0F-30891793</t>
  </si>
  <si>
    <t>ES0031104761905016AT0F</t>
  </si>
  <si>
    <t>ES0031104768425009ME0F-30913466</t>
  </si>
  <si>
    <t>ES0031104768425009ME0F</t>
  </si>
  <si>
    <t>ES0031104797300001PD0F-30885140</t>
  </si>
  <si>
    <t>ES0031104797300001PD0F</t>
  </si>
  <si>
    <t>ES0031104797586007TX0F-30878630</t>
  </si>
  <si>
    <t>ES0031104797586007TX0F</t>
  </si>
  <si>
    <t>ES0031104810656013TJ0F-30885636</t>
  </si>
  <si>
    <t>ES0031104810656013TJ0F</t>
  </si>
  <si>
    <t>ES0031104810656016TQ0F-30885295</t>
  </si>
  <si>
    <t>ES0031104810656016TQ0F</t>
  </si>
  <si>
    <t>ES0031104832762011YK0F-30887671</t>
  </si>
  <si>
    <t>ES0031104832762011YK0F</t>
  </si>
  <si>
    <t>ES0031104857750001JY0F-30887583</t>
  </si>
  <si>
    <t>ES0031104857750001JY0F</t>
  </si>
  <si>
    <t>ES0031104859301001NR0F-30881549</t>
  </si>
  <si>
    <t>ES0031104859301001NR0F</t>
  </si>
  <si>
    <t>ES0031104862668001PP0F-30881432</t>
  </si>
  <si>
    <t>ES0031104862668001PP0F</t>
  </si>
  <si>
    <t>ES0031104870955020HN0F-30910474</t>
  </si>
  <si>
    <t>ES0031104870955020HN0F</t>
  </si>
  <si>
    <t>ES0031104874062034GW0F-30917620</t>
  </si>
  <si>
    <t>ES0031104874062034GW0F</t>
  </si>
  <si>
    <t>ES0031104879014019GH0F-30910164</t>
  </si>
  <si>
    <t>ES0031104879014019GH0F</t>
  </si>
  <si>
    <t>ES0031104884651001WE0F-30915197</t>
  </si>
  <si>
    <t>ES0031104884651001WE0F</t>
  </si>
  <si>
    <t>ES0031104888110001CY0F-30911621</t>
  </si>
  <si>
    <t>ES0031104888110001CY0F</t>
  </si>
  <si>
    <t>ES0031104896079014GW0F-30913899</t>
  </si>
  <si>
    <t>ES0031104896079014GW0F</t>
  </si>
  <si>
    <t>ES0031104896285019JL0F-30916420</t>
  </si>
  <si>
    <t>ES0031104896285019JL0F</t>
  </si>
  <si>
    <t>ES0031104896286006XV0F-30891725</t>
  </si>
  <si>
    <t>ES0031104896286006XV0F</t>
  </si>
  <si>
    <t>ES0031104897456001GW0F-30885044</t>
  </si>
  <si>
    <t>ES0031104897456001GW0F</t>
  </si>
  <si>
    <t>ES0031104897650006KW0F-30878358</t>
  </si>
  <si>
    <t>ES0031104897650006KW0F</t>
  </si>
  <si>
    <t>ES0031104906061001QN0F-30903961</t>
  </si>
  <si>
    <t>ES0031104906061001QN0F</t>
  </si>
  <si>
    <t>ES0031104921705001BX0F-30887163</t>
  </si>
  <si>
    <t>ES0031104921705001BX0F</t>
  </si>
  <si>
    <t>ES0031104925982008JY0F-30914367</t>
  </si>
  <si>
    <t>ES0031104925982008JY0F</t>
  </si>
  <si>
    <t>ES0031104955374001TT0F-30923462</t>
  </si>
  <si>
    <t>ES0031104955374001TT0F</t>
  </si>
  <si>
    <t>ES0031104955685003CL0F-30891865</t>
  </si>
  <si>
    <t>ES0031104955685003CL0F</t>
  </si>
  <si>
    <t>ES0031104983998001ZV0F-30888490</t>
  </si>
  <si>
    <t>ES0031104983998001ZV0F</t>
  </si>
  <si>
    <t>ES0031104984004001EZ0F-30889191</t>
  </si>
  <si>
    <t>ES0031104984004001EZ0F</t>
  </si>
  <si>
    <t>ES0031104984155001DL0F-30890435</t>
  </si>
  <si>
    <t>ES0031104984155001DL0F</t>
  </si>
  <si>
    <t>ES0031105014397001SD0F-30923158</t>
  </si>
  <si>
    <t>ES0031105014397001SD0F</t>
  </si>
  <si>
    <t>ES0031105022787004HA0F-30910456</t>
  </si>
  <si>
    <t>ES0031105032228001SY0F-30917618</t>
  </si>
  <si>
    <t>ES0031105032228001SY0F</t>
  </si>
  <si>
    <t>ES0031105033171010YS0F-30922049</t>
  </si>
  <si>
    <t>ES0031105033171010YS0F</t>
  </si>
  <si>
    <t>ES0031105038672003AY0F-30887553</t>
  </si>
  <si>
    <t>ES0031105038672003AY0F</t>
  </si>
  <si>
    <t>ES0031105045922001MJ0F-30891794</t>
  </si>
  <si>
    <t>ES0031105045922001MJ0F</t>
  </si>
  <si>
    <t>ES0031105056535003ZX0F-30906106</t>
  </si>
  <si>
    <t>ES0031105056535003ZX0F</t>
  </si>
  <si>
    <t>ES0031105072128001EC0F-30915940</t>
  </si>
  <si>
    <t>ES0031105072128001EC0F</t>
  </si>
  <si>
    <t>ES0031105076482001ZM0F-30919626</t>
  </si>
  <si>
    <t>ES0031105076482001ZM0F</t>
  </si>
  <si>
    <t>ES0031105084254002BF0F-30922179</t>
  </si>
  <si>
    <t>ES0031105084254002BF0F</t>
  </si>
  <si>
    <t>ES0031105092411009AH0F-30873201</t>
  </si>
  <si>
    <t>ES0031105092411009AH0F</t>
  </si>
  <si>
    <t>ES0031105093126004VN0F-30890432</t>
  </si>
  <si>
    <t>ES0031105093126004VN0F</t>
  </si>
  <si>
    <t>ES0031105099410003VC0F-30922114</t>
  </si>
  <si>
    <t>ES0031105099410003VC0F</t>
  </si>
  <si>
    <t>ES0031105105913005HW0F-30919244</t>
  </si>
  <si>
    <t>ES0031105105913005HW0F</t>
  </si>
  <si>
    <t>ES0031105110905021BY0F-30875985</t>
  </si>
  <si>
    <t>ES0031105110905021BY0F</t>
  </si>
  <si>
    <t>ES0031105125048003HN0F-30882932</t>
  </si>
  <si>
    <t>ES0031105125048003HN0F</t>
  </si>
  <si>
    <t>ES0031105127440039ZW0F-30915867</t>
  </si>
  <si>
    <t>ES0031105127440039ZW0F</t>
  </si>
  <si>
    <t>ES0031105145683002PD0F-30905096</t>
  </si>
  <si>
    <t>ES0031105145683002PD0F</t>
  </si>
  <si>
    <t>ES0031105182265010BB0F-30928736</t>
  </si>
  <si>
    <t>ES0031105182265010BB0F</t>
  </si>
  <si>
    <t>ES0031105185674009QL0F-30873180</t>
  </si>
  <si>
    <t>ES0031105185674009QL0F</t>
  </si>
  <si>
    <t>ES0031105185674012QE0F-30873562</t>
  </si>
  <si>
    <t>ES0031105185674012QE0F</t>
  </si>
  <si>
    <t>ES0031105185674016VA0F-30881093</t>
  </si>
  <si>
    <t>ES0031105185674016VA0F</t>
  </si>
  <si>
    <t>ES0031105185677005DW0F-30874035</t>
  </si>
  <si>
    <t>ES0031105185677005DW0F</t>
  </si>
  <si>
    <t>ES0031105185677008DM0F-30874637</t>
  </si>
  <si>
    <t>ES0031105185677008DM0F</t>
  </si>
  <si>
    <t>ES0031105185677011DP0F-30874837</t>
  </si>
  <si>
    <t>ES0031105185677011DP0F</t>
  </si>
  <si>
    <t>ES0031105185677015DN0F-30874230</t>
  </si>
  <si>
    <t>ES0031105185677015DN0F</t>
  </si>
  <si>
    <t>ES0031105192925001QP0F-30903566</t>
  </si>
  <si>
    <t>ES0031105192925001QP0F</t>
  </si>
  <si>
    <t>ES0031105202520001QY0F-30894400</t>
  </si>
  <si>
    <t>ES0031105202520001QY0F</t>
  </si>
  <si>
    <t>ES0031105210411002NY0F-30916835</t>
  </si>
  <si>
    <t>ES0031105210411002NY0F</t>
  </si>
  <si>
    <t>ES0031105210411024JM0F-30878519</t>
  </si>
  <si>
    <t>ES0031105210411024JM0F</t>
  </si>
  <si>
    <t>ES0031105221629001JP0F-30913509</t>
  </si>
  <si>
    <t>ES0031105221629001JP0F</t>
  </si>
  <si>
    <t>ES0031105238055001ZY0F-30887533</t>
  </si>
  <si>
    <t>ES0031105238055001ZY0F</t>
  </si>
  <si>
    <t>ES0031105238568012DW0F-30891153</t>
  </si>
  <si>
    <t>ES0031105238568012DW0F</t>
  </si>
  <si>
    <t>ES0031105245098001DS0F-30905282</t>
  </si>
  <si>
    <t>ES0031105245098001DS0F</t>
  </si>
  <si>
    <t>ES0031105245109005MW0F-30873773</t>
  </si>
  <si>
    <t>ES0031105245109005MW0F</t>
  </si>
  <si>
    <t>ES0031105245759003KC0F-30915199</t>
  </si>
  <si>
    <t>ES0031105245759003KC0F</t>
  </si>
  <si>
    <t>ES0031105248456004MH0F-30883038</t>
  </si>
  <si>
    <t>ES0031105248456004MH0F</t>
  </si>
  <si>
    <t>ES0031105253042018XQ0F-30893670</t>
  </si>
  <si>
    <t>ES0031105253042018XQ0F</t>
  </si>
  <si>
    <t>ES0031105253043003FN0F-30894404</t>
  </si>
  <si>
    <t>ES0031105253043003FN0F</t>
  </si>
  <si>
    <t>ES0031105257644001LK0F-30890224</t>
  </si>
  <si>
    <t>ES0031105257644001LK0F</t>
  </si>
  <si>
    <t>ES0031105258106001GC0F-30900567</t>
  </si>
  <si>
    <t>ES0031105258106001GC0F</t>
  </si>
  <si>
    <t>ES0031105272577001JH0F-30892852</t>
  </si>
  <si>
    <t>ES0031105272577001JH0F</t>
  </si>
  <si>
    <t>ES0031105283495001NX0F-30884925</t>
  </si>
  <si>
    <t>ES0031105283495001NX0F</t>
  </si>
  <si>
    <t>ES0031105287264001FT0F-30873592</t>
  </si>
  <si>
    <t>ES0031105287264001FT0F</t>
  </si>
  <si>
    <t>ES0031105288816001AY0F-30917101</t>
  </si>
  <si>
    <t>ES0031105288816001AY0F</t>
  </si>
  <si>
    <t>ES0031105293858001FS0F-30873123</t>
  </si>
  <si>
    <t>ES0031105293858001FS0F</t>
  </si>
  <si>
    <t>ES0031105295856001YM0F-30909955</t>
  </si>
  <si>
    <t>ES0031105295856001YM0F</t>
  </si>
  <si>
    <t>ES0031105299632002YG0F-30895398</t>
  </si>
  <si>
    <t>ES0031105299632002YG0F</t>
  </si>
  <si>
    <t>ES0031105302987008XT0F-30893847</t>
  </si>
  <si>
    <t>ES0031105302987008XT0F</t>
  </si>
  <si>
    <t>ES0031105303597001NX0F-30904075</t>
  </si>
  <si>
    <t>ES0031105303597001NX0F</t>
  </si>
  <si>
    <t>ES0031105307818001VG0F-30915202</t>
  </si>
  <si>
    <t>ES0031105307818001VG0F</t>
  </si>
  <si>
    <t>ES0031105308513012JR0F-30892416</t>
  </si>
  <si>
    <t>ES0031105308513012JR0F</t>
  </si>
  <si>
    <t>ES0031105308513020JD0F-30895564</t>
  </si>
  <si>
    <t>ES0031105308513020JD0F</t>
  </si>
  <si>
    <t>ES0031105309057001CV0F-30891795</t>
  </si>
  <si>
    <t>ES0031105309057001CV0F</t>
  </si>
  <si>
    <t>ES0031105309609001PV0F-30909930</t>
  </si>
  <si>
    <t>ES0031105309609001PV0F</t>
  </si>
  <si>
    <t>ES0031105312058011CX0F-30890701</t>
  </si>
  <si>
    <t>ES0031105312058011CX0F</t>
  </si>
  <si>
    <t>ES0031105312887001EB0F-30900677</t>
  </si>
  <si>
    <t>ES0031105312887001EB0F</t>
  </si>
  <si>
    <t>ES0031105314143001YG0F-30890683</t>
  </si>
  <si>
    <t>ES0031105314143001YG0F</t>
  </si>
  <si>
    <t>ES0031105314562001FJ0F-30916284</t>
  </si>
  <si>
    <t>ES0031105314562001FJ0F</t>
  </si>
  <si>
    <t>ES0031105315827014SA0F-30893691</t>
  </si>
  <si>
    <t>ES0031105315827014SA0F</t>
  </si>
  <si>
    <t>ES0031105315828008NP0F-30889150</t>
  </si>
  <si>
    <t>ES0031105315828008NP0F</t>
  </si>
  <si>
    <t>ES0031105315828013NJ0F-30889854</t>
  </si>
  <si>
    <t>ES0031105315828013NJ0F</t>
  </si>
  <si>
    <t>ES0031105315830005FG0F-30881719</t>
  </si>
  <si>
    <t>ES0031105315830005FG0F</t>
  </si>
  <si>
    <t>ES0031105315834014CB0F-30888241</t>
  </si>
  <si>
    <t>ES0031105315834014CB0F</t>
  </si>
  <si>
    <t>ES0031105315835011VL0F-30891552</t>
  </si>
  <si>
    <t>ES0031105315835011VL0F</t>
  </si>
  <si>
    <t>ES0031105316386005PW0F-30881113</t>
  </si>
  <si>
    <t>ES0031105316386005PW0F</t>
  </si>
  <si>
    <t>ES0031105316556001QM0F-30891738</t>
  </si>
  <si>
    <t>ES0031105316556001QM0F</t>
  </si>
  <si>
    <t>ES0031105317796003VP0F-30891357</t>
  </si>
  <si>
    <t>ES0031105317796003VP0F</t>
  </si>
  <si>
    <t>ES0031105320349001LY0F-30909834</t>
  </si>
  <si>
    <t>ES0031105320349001LY0F</t>
  </si>
  <si>
    <t>ES0031105321333001KC0F-30891739</t>
  </si>
  <si>
    <t>ES0031105321333001KC0F</t>
  </si>
  <si>
    <t>ES0031105321807001EJ0F-30891757</t>
  </si>
  <si>
    <t>ES0031105321807001EJ0F</t>
  </si>
  <si>
    <t>ES0031105322992001RF0F-30865289</t>
  </si>
  <si>
    <t>ES0031105322992001RF0F</t>
  </si>
  <si>
    <t>ES0031105323268001HF0F-30881112</t>
  </si>
  <si>
    <t>ES0031105323268001HF0F</t>
  </si>
  <si>
    <t>ES0031105324115001KD0F-30890433</t>
  </si>
  <si>
    <t>ES0031105324115001KD0F</t>
  </si>
  <si>
    <t>ES0031105324434001KE0F-30881120</t>
  </si>
  <si>
    <t>ES0031105324434001KE0F</t>
  </si>
  <si>
    <t>ES0031105324638009JC0F-30890642</t>
  </si>
  <si>
    <t>ES0031105324638009JC0F</t>
  </si>
  <si>
    <t>ES0031105324638025ZJ0F-30891817</t>
  </si>
  <si>
    <t>ES0031105324638025ZJ0F</t>
  </si>
  <si>
    <t>ES0031105324666001BK0F-30891740</t>
  </si>
  <si>
    <t>ES0031105324666001BK0F</t>
  </si>
  <si>
    <t>ES0031105325475001HL0F-30891743</t>
  </si>
  <si>
    <t>ES0031105325475001HL0F</t>
  </si>
  <si>
    <t>ES0031105325585001VX0F-30891745</t>
  </si>
  <si>
    <t>ES0031105325585001VX0F</t>
  </si>
  <si>
    <t>ES0031105326075001TH0F-30884986</t>
  </si>
  <si>
    <t>ES0031105326075001TH0F</t>
  </si>
  <si>
    <t>ES0031105326154001PJ0F-30894259</t>
  </si>
  <si>
    <t>ES0031105326154001PJ0F</t>
  </si>
  <si>
    <t>ES0031105326720001FY0F-30885066</t>
  </si>
  <si>
    <t>ES0031105326720001FY0F</t>
  </si>
  <si>
    <t>ES0031105327414001MG0F-30910972</t>
  </si>
  <si>
    <t>ES0031105327414001MG0F</t>
  </si>
  <si>
    <t>ES0031105328257001HP0F-30891820</t>
  </si>
  <si>
    <t>ES0031105328257001HP0F</t>
  </si>
  <si>
    <t>ES0031105329307001SN0F-30919107</t>
  </si>
  <si>
    <t>ES0031105329307001SN0F</t>
  </si>
  <si>
    <t>ES0031105329400001BT0F-30921205</t>
  </si>
  <si>
    <t>ES0031105329400001BT0F</t>
  </si>
  <si>
    <t>ES0031105329451001CD0F-30876451</t>
  </si>
  <si>
    <t>ES0031105329451001CD0F</t>
  </si>
  <si>
    <t>ES0031105330906001PY0F-30917672</t>
  </si>
  <si>
    <t>ES0031105330906001PY0F</t>
  </si>
  <si>
    <t>ES0031105330958001SA0F-30916396</t>
  </si>
  <si>
    <t>ES0031105330958001SA0F</t>
  </si>
  <si>
    <t>ES0031105331270001XP0F-30885410</t>
  </si>
  <si>
    <t>ES0031105331270001XP0F</t>
  </si>
  <si>
    <t>ES0031105331582001MJ0F-30903800</t>
  </si>
  <si>
    <t>ES0031105331582001MJ0F</t>
  </si>
  <si>
    <t>ES0031105331726001XX0F-30903344</t>
  </si>
  <si>
    <t>ES0031105331726001XX0F</t>
  </si>
  <si>
    <t>ES0031105331812001TJ0F-30889009</t>
  </si>
  <si>
    <t>ES0031105331812001TJ0F</t>
  </si>
  <si>
    <t>ES0031105331993001GA0F-30899921</t>
  </si>
  <si>
    <t>ES0031105331993001GA0F</t>
  </si>
  <si>
    <t>ES0031105332010001FY0F-30892203</t>
  </si>
  <si>
    <t>ES0031105332010001FY0F</t>
  </si>
  <si>
    <t>ES0031105332768001GH0F-30885615</t>
  </si>
  <si>
    <t>ES0031105332768001GH0F</t>
  </si>
  <si>
    <t>ES0031105332790001HF0F-30905988</t>
  </si>
  <si>
    <t>ES0031105332790001HF0F</t>
  </si>
  <si>
    <t>ES0031105333238001SJ0F-30889950</t>
  </si>
  <si>
    <t>ES0031105333238001SJ0F</t>
  </si>
  <si>
    <t>ES0031105333590001RK0F-30881117</t>
  </si>
  <si>
    <t>ES0031105333590001RK0F</t>
  </si>
  <si>
    <t>ES0031105333710001KF0F-30871847</t>
  </si>
  <si>
    <t>ES0031105333710001KF0F</t>
  </si>
  <si>
    <t>ES0031105333747001CT0F-30891744</t>
  </si>
  <si>
    <t>ES0031105333747001CT0F</t>
  </si>
  <si>
    <t>ES0031105334091001AN0F-30913502</t>
  </si>
  <si>
    <t>ES0031105334091001AN0F</t>
  </si>
  <si>
    <t>ES0031105334163001ME0F-30903703</t>
  </si>
  <si>
    <t>ES0031105334163001ME0F</t>
  </si>
  <si>
    <t>ES0031105334197001NM0F-30891746</t>
  </si>
  <si>
    <t>ES0031105334197001NM0F</t>
  </si>
  <si>
    <t>ES0031105334555001YX0F-30912541</t>
  </si>
  <si>
    <t>ES0031105334555001YX0F</t>
  </si>
  <si>
    <t>ES0031105334601001MX0F-30885095</t>
  </si>
  <si>
    <t>ES0031105334601001MX0F</t>
  </si>
  <si>
    <t>ES0031105334749001TM0F-30877167</t>
  </si>
  <si>
    <t>ES0031105334749001TM0F</t>
  </si>
  <si>
    <t>ES0031105334777001KZ0F-30893999</t>
  </si>
  <si>
    <t>ES0031105334777001KZ0F</t>
  </si>
  <si>
    <t>ES0031105334888001VQ0F-30891748</t>
  </si>
  <si>
    <t>ES0031105334888001VQ0F</t>
  </si>
  <si>
    <t>ES0031105334974001FL0F-30891750</t>
  </si>
  <si>
    <t>ES0031105334974001FL0F</t>
  </si>
  <si>
    <t>ES0031105334986001TJ0F-30909715</t>
  </si>
  <si>
    <t>ES0031105335024001LV0F-30891749</t>
  </si>
  <si>
    <t>ES0031105335024001LV0F</t>
  </si>
  <si>
    <t>ES0031105335058001AT0F-30893576</t>
  </si>
  <si>
    <t>ES0031105335058001AT0F</t>
  </si>
  <si>
    <t>ES0031105335137001XH0F-30891751</t>
  </si>
  <si>
    <t>ES0031105335137001XH0F</t>
  </si>
  <si>
    <t>ES0031105335148001YR0F-30891752</t>
  </si>
  <si>
    <t>ES0031105335148001YR0F</t>
  </si>
  <si>
    <t>ES0031105335473001ZB0F-30891753</t>
  </si>
  <si>
    <t>ES0031105335473001ZB0F</t>
  </si>
  <si>
    <t>ES0031105335531001YM0F-30906636</t>
  </si>
  <si>
    <t>ES0031105335531001YM0F</t>
  </si>
  <si>
    <t>ES0031105335705001GX0F-30898443</t>
  </si>
  <si>
    <t>ES0031105335705001GX0F</t>
  </si>
  <si>
    <t>ES0031105335831001PQ0F-30876636</t>
  </si>
  <si>
    <t>ES0031105335831001PQ0F</t>
  </si>
  <si>
    <t>ES0031105336025001WB0F-30881702</t>
  </si>
  <si>
    <t>ES0031105336025001WB0F</t>
  </si>
  <si>
    <t>ES0031300000813001LY0F-30843048</t>
  </si>
  <si>
    <t>ES0031300000813001LY0F</t>
  </si>
  <si>
    <t>ES0031300001287003CR0F-30862026</t>
  </si>
  <si>
    <t>ES0031300001287003CR0F</t>
  </si>
  <si>
    <t>ES0031300001399016ZG0F-30830248</t>
  </si>
  <si>
    <t>ES0031300001399016ZG0F</t>
  </si>
  <si>
    <t>ES0031300002082004QF0F-30816852</t>
  </si>
  <si>
    <t>ES0031300002082004QF0F</t>
  </si>
  <si>
    <t>ES0031300002912007QD0F-30817988</t>
  </si>
  <si>
    <t>ES0031300002912007QD0F</t>
  </si>
  <si>
    <t>ES0031300003019009ES0F-30820285</t>
  </si>
  <si>
    <t>ES0031300003019009ES0F</t>
  </si>
  <si>
    <t>ES0031300012137021YE0F-30832716</t>
  </si>
  <si>
    <t>ES0031300012137021YE0F</t>
  </si>
  <si>
    <t>ES0031300013906063DL0F-30925642</t>
  </si>
  <si>
    <t>ES0031300013906063DL0F</t>
  </si>
  <si>
    <t>ES0031300017213029VE0F-30917092</t>
  </si>
  <si>
    <t>ES0031300017213029VE0F</t>
  </si>
  <si>
    <t>ES0031300017803022RL0F-30828637</t>
  </si>
  <si>
    <t>ES0031300017803022RL0F</t>
  </si>
  <si>
    <t>ES0031300018242013KD0F-30820653</t>
  </si>
  <si>
    <t>ES0031300018242013KD0F</t>
  </si>
  <si>
    <t>ES0031300018767010PP0F-30904387</t>
  </si>
  <si>
    <t>ES0031300018767010PP0F</t>
  </si>
  <si>
    <t>ES0031300019103010NR0F-30928569</t>
  </si>
  <si>
    <t>ES0031300019103010NR0F</t>
  </si>
  <si>
    <t>ES0031300019148038ZH0F-30827558</t>
  </si>
  <si>
    <t>ES0031300019148038ZH0F</t>
  </si>
  <si>
    <t>ES0031300019840044HT0F-30840733</t>
  </si>
  <si>
    <t>ES0031300019840044HT0F</t>
  </si>
  <si>
    <t>ES0031300020294044TA0F-30861036</t>
  </si>
  <si>
    <t>ES0031300020294044TA0F</t>
  </si>
  <si>
    <t>ES0031300020619017FD0F-30838542</t>
  </si>
  <si>
    <t>ES0031300020619017FD0F</t>
  </si>
  <si>
    <t>ES0031300023481015NW0F-30867155</t>
  </si>
  <si>
    <t>ES0031300023481015NW0F</t>
  </si>
  <si>
    <t>ES0031300023826020QF0F-30915215</t>
  </si>
  <si>
    <t>ES0031300023826020QF0F</t>
  </si>
  <si>
    <t>ES0031300024287004AW0F-30830617</t>
  </si>
  <si>
    <t>ES0031300024287004AW0F</t>
  </si>
  <si>
    <t>ES0031300024359008MQ0F-30814753</t>
  </si>
  <si>
    <t>ES0031300024359008MQ0F</t>
  </si>
  <si>
    <t>ES0031300024476013DC0F-30861124</t>
  </si>
  <si>
    <t>ES0031300024476013DC0F</t>
  </si>
  <si>
    <t>ES0031300025044013AN0F-30911317</t>
  </si>
  <si>
    <t>ES0031300025044013AN0F</t>
  </si>
  <si>
    <t>ES0031300027567004BH0F-30842460</t>
  </si>
  <si>
    <t>ES0031300027567004BH0F</t>
  </si>
  <si>
    <t>ES0031300041603006JV0F-30817830</t>
  </si>
  <si>
    <t>ES0031300041603006JV0F</t>
  </si>
  <si>
    <t>ES0031300042410003WJ0F-30912002</t>
  </si>
  <si>
    <t>ES0031300042410003WJ0F</t>
  </si>
  <si>
    <t>ES0031300043802039NC0F-30917017</t>
  </si>
  <si>
    <t>ES0031300043802039NC0F</t>
  </si>
  <si>
    <t>ES0031300045918022NA0F-30920735</t>
  </si>
  <si>
    <t>ES0031300045918022NA0F</t>
  </si>
  <si>
    <t>ES0031300048782010BP0F-30910711</t>
  </si>
  <si>
    <t>ES0031300048782010BP0F</t>
  </si>
  <si>
    <t>ES0031300050994002KK0F-30843014</t>
  </si>
  <si>
    <t>ES0031300050994002KK0F</t>
  </si>
  <si>
    <t>ES0031300073225002NA0F-30816212</t>
  </si>
  <si>
    <t>ES0031300073225002NA0F</t>
  </si>
  <si>
    <t>ES0031300134331003HH0F-30919142</t>
  </si>
  <si>
    <t>ES0031300134331003HH0F</t>
  </si>
  <si>
    <t>ES0031300138518001VG0F-30858858</t>
  </si>
  <si>
    <t>ES0031300138518001VG0F</t>
  </si>
  <si>
    <t>ES0031300168994010PR0F-30815598</t>
  </si>
  <si>
    <t>ES0031300168994010PR0F</t>
  </si>
  <si>
    <t>ES0031300227099001ST0F-30915237</t>
  </si>
  <si>
    <t>ES0031300227099001ST0F</t>
  </si>
  <si>
    <t>ES0031300243137011MH0F-30867035</t>
  </si>
  <si>
    <t>ES0031300243137011MH0F</t>
  </si>
  <si>
    <t>ES0031300243905001TS0F-30903971</t>
  </si>
  <si>
    <t>ES0031300243905001TS0F</t>
  </si>
  <si>
    <t>ES0031300252989001RG0F-30918087</t>
  </si>
  <si>
    <t>ES0031300252989001RG0F</t>
  </si>
  <si>
    <t>ES0031300254372010XT0F-30904207</t>
  </si>
  <si>
    <t>ES0031300254372010XT0F</t>
  </si>
  <si>
    <t>ES0031300258371001EG0F-30806727</t>
  </si>
  <si>
    <t>ES0031300258371001EG0F</t>
  </si>
  <si>
    <t>ES0031300273189003FA0F-30824084</t>
  </si>
  <si>
    <t>ES0031300273189003FA0F</t>
  </si>
  <si>
    <t>ES0031300294020004PL0F-30915138</t>
  </si>
  <si>
    <t>ES0031300294020004PL0F</t>
  </si>
  <si>
    <t>ES0031300317569004XD0F-30862522</t>
  </si>
  <si>
    <t>ES0031300317569004XD0F</t>
  </si>
  <si>
    <t>ES0031300503362001KH0F-30915216</t>
  </si>
  <si>
    <t>ES0031300503362001KH0F</t>
  </si>
  <si>
    <t>ES0031300516032001HP0F-30925801</t>
  </si>
  <si>
    <t>ES0031300516032001HP0F</t>
  </si>
  <si>
    <t>ES0031300529250001JT0F-30920826</t>
  </si>
  <si>
    <t>ES0031300529250001JT0F</t>
  </si>
  <si>
    <t>ES0031300551308001WB0F-30913220</t>
  </si>
  <si>
    <t>ES0031300551308001WB0F</t>
  </si>
  <si>
    <t>ES0031300568322014QG0F-30919969</t>
  </si>
  <si>
    <t>ES0031300568322014QG0F</t>
  </si>
  <si>
    <t>ES0031300631170001EP0F-30914719</t>
  </si>
  <si>
    <t>ES0031300631170001EP0F</t>
  </si>
  <si>
    <t>ES0031300649015001DK0F-30905177</t>
  </si>
  <si>
    <t>ES0031300649015001DK0F</t>
  </si>
  <si>
    <t>ES0031300653156042BG0F-30919606</t>
  </si>
  <si>
    <t>ES0031300653156042BG0F</t>
  </si>
  <si>
    <t>ES0031300653158003GX0F-30850300</t>
  </si>
  <si>
    <t>ES0031300653158003GX0F</t>
  </si>
  <si>
    <t>ES0031300666975011YK0F-30914421</t>
  </si>
  <si>
    <t>ES0031300666975011YK0F</t>
  </si>
  <si>
    <t>ES0031300668531001SS0F-30905073</t>
  </si>
  <si>
    <t>ES0031300668531001SS0F</t>
  </si>
  <si>
    <t>ES0031300670745010KK0F-30922910</t>
  </si>
  <si>
    <t>ES0031300670745010KK0F</t>
  </si>
  <si>
    <t>ES0031300675258001WK0F-30923124</t>
  </si>
  <si>
    <t>ES0031300675258001WK0F</t>
  </si>
  <si>
    <t>ES0031300680861001HZ0F-30915217</t>
  </si>
  <si>
    <t>ES0031300680861001HZ0F</t>
  </si>
  <si>
    <t>ES0031300680886009RK0F-30920024</t>
  </si>
  <si>
    <t>ES0031300680886009RK0F</t>
  </si>
  <si>
    <t>ES0031300686067013TE0F-30920127</t>
  </si>
  <si>
    <t>ES0031300686067013TE0F</t>
  </si>
  <si>
    <t>ES0031300703808016CK0F-30916895</t>
  </si>
  <si>
    <t>ES0031300703808016CK0F</t>
  </si>
  <si>
    <t>ES0031300707304004JD0F-30912030</t>
  </si>
  <si>
    <t>ES0031300707304004JD0F</t>
  </si>
  <si>
    <t>ES0031300719442001VD0F-30923810</t>
  </si>
  <si>
    <t>ES0031300719442001VD0F</t>
  </si>
  <si>
    <t>ES0031300729177001DY0F-30902516</t>
  </si>
  <si>
    <t>ES0031300729177001DY0F</t>
  </si>
  <si>
    <t>ES0031300808114003SL0F-30916260</t>
  </si>
  <si>
    <t>ES0031300808114003SL0F</t>
  </si>
  <si>
    <t>ES0031300815196001GH0F-30915074</t>
  </si>
  <si>
    <t>ES0031300815196001GH0F</t>
  </si>
  <si>
    <t>ES0031300831496009RH0F-30898026</t>
  </si>
  <si>
    <t>ES0031300831496009RH0F</t>
  </si>
  <si>
    <t>ES0031300837810012HS0F-30913723</t>
  </si>
  <si>
    <t>ES0031300837810012HS0F</t>
  </si>
  <si>
    <t>ES0031300837810013HQ0F-30910249</t>
  </si>
  <si>
    <t>ES0031300837810013HQ0F</t>
  </si>
  <si>
    <t>ES0031300838957001TV0F-30900121</t>
  </si>
  <si>
    <t>ES0031300838957001TV0F</t>
  </si>
  <si>
    <t>ES0031300839789017LP0F-30900378</t>
  </si>
  <si>
    <t>ES0031300839789017LP0F</t>
  </si>
  <si>
    <t>ES0031300841019002KE0F-30901800</t>
  </si>
  <si>
    <t>ES0031300841019002KE0F</t>
  </si>
  <si>
    <t>ES0031300842206001HZ0F-30914598</t>
  </si>
  <si>
    <t>ES0031300842206001HZ0F</t>
  </si>
  <si>
    <t>ES0031300843789001MQ0F-30915043</t>
  </si>
  <si>
    <t>ES0031300843789001MQ0F</t>
  </si>
  <si>
    <t>ES0031300845275001FD0F-30915529</t>
  </si>
  <si>
    <t>ES0031300845275001FD0F</t>
  </si>
  <si>
    <t>ES0031300845404001GW0F-30917259</t>
  </si>
  <si>
    <t>ES0031300845404001GW0F</t>
  </si>
  <si>
    <t>ES0031405009145009EH0F-30868186</t>
  </si>
  <si>
    <t>ES0031405009145009EH0F</t>
  </si>
  <si>
    <t>ES0031405024894001MJ0F-30864248</t>
  </si>
  <si>
    <t>ES0031405024894001MJ0F</t>
  </si>
  <si>
    <t>ES0031405025863024RT0F-30873718</t>
  </si>
  <si>
    <t>ES0031405025863024RT0F</t>
  </si>
  <si>
    <t>ES0031405027423022TT0F-30869965</t>
  </si>
  <si>
    <t>ES0031405027423022TT0F</t>
  </si>
  <si>
    <t>ES0031405028422003DE0F-30871527</t>
  </si>
  <si>
    <t>ES0031405028422003DE0F</t>
  </si>
  <si>
    <t>ES0031405042904002ZW0F-30864260</t>
  </si>
  <si>
    <t>ES0031405042904002ZW0F</t>
  </si>
  <si>
    <t>ES0031405046424001SN0F-30859227</t>
  </si>
  <si>
    <t>ES0031405046424001SN0F</t>
  </si>
  <si>
    <t>ES0031405056062017EQ0F-30858562</t>
  </si>
  <si>
    <t>ES0031405056062017EQ0F</t>
  </si>
  <si>
    <t>ES0031405057651001QE0F-30861766</t>
  </si>
  <si>
    <t>ES0031405057651001QE0F</t>
  </si>
  <si>
    <t>ES0031405060728030DL0F-30877263</t>
  </si>
  <si>
    <t>ES0031405060728030DL0F</t>
  </si>
  <si>
    <t>ES0031405063548020MW0F-30858697</t>
  </si>
  <si>
    <t>ES0031405063548020MW0F</t>
  </si>
  <si>
    <t>ES0031405066055001FY0F-30861241</t>
  </si>
  <si>
    <t>ES0031405066055001FY0F</t>
  </si>
  <si>
    <t>ES0031405077013001CR0F-30866894</t>
  </si>
  <si>
    <t>ES0031405077013001CR0F</t>
  </si>
  <si>
    <t>ES0031405093530001KB0F-30873812</t>
  </si>
  <si>
    <t>ES0031405093530001KB0F</t>
  </si>
  <si>
    <t>ES0031405111861004WZ0F-30878144</t>
  </si>
  <si>
    <t>ES0031405111861004WZ0F</t>
  </si>
  <si>
    <t>ES0031405112062001RZ0F-30862129</t>
  </si>
  <si>
    <t>ES0031405112062001RZ0F</t>
  </si>
  <si>
    <t>ES0031405117277002YH0F-30861813</t>
  </si>
  <si>
    <t>ES0031405117277002YH0F</t>
  </si>
  <si>
    <t>ES0031405124633018HJ0F-30863228</t>
  </si>
  <si>
    <t>ES0031405124633018HJ0F</t>
  </si>
  <si>
    <t>ES0031405127473001DW0F-30911471</t>
  </si>
  <si>
    <t>ES0031405127473001DW0F</t>
  </si>
  <si>
    <t>ES0031405135451001SS0F-30856912</t>
  </si>
  <si>
    <t>ES0031405135451001SS0F</t>
  </si>
  <si>
    <t>ES0031405143970001ZE0F-30863216</t>
  </si>
  <si>
    <t>ES0031405143970001ZE0F</t>
  </si>
  <si>
    <t>ES0031405157045001WM0F-30885023</t>
  </si>
  <si>
    <t>ES0031405157045001WM0F</t>
  </si>
  <si>
    <t>ES0031405165612001HB0F-30875046</t>
  </si>
  <si>
    <t>ES0031405165612001HB0F</t>
  </si>
  <si>
    <t>ES0031405165955001GN0F-30864227</t>
  </si>
  <si>
    <t>ES0031405165955001GN0F</t>
  </si>
  <si>
    <t>ES0031405185645007PV0F-30873734</t>
  </si>
  <si>
    <t>ES0031405185645007PV0F</t>
  </si>
  <si>
    <t>ES0031405209270001WD0F-30861230</t>
  </si>
  <si>
    <t>ES0031405209270001WD0F</t>
  </si>
  <si>
    <t>ES0031405213128002WJ0F-30862483</t>
  </si>
  <si>
    <t>ES0031405213128002WJ0F</t>
  </si>
  <si>
    <t>ES0031405214929008SG0F-30890287</t>
  </si>
  <si>
    <t>ES0031405214929008SG0F</t>
  </si>
  <si>
    <t>ES0031405222732006WE0F-30860174</t>
  </si>
  <si>
    <t>ES0031405222732006WE0F</t>
  </si>
  <si>
    <t>ES0031405224445001FT0F-30857096</t>
  </si>
  <si>
    <t>ES0031405224445001FT0F</t>
  </si>
  <si>
    <t>ES0031405247867013FP0F-30864713</t>
  </si>
  <si>
    <t>ES0031405247867013FP0F</t>
  </si>
  <si>
    <t>ES0031405264460003TQ0F-30857949</t>
  </si>
  <si>
    <t>ES0031405264460003TQ0F</t>
  </si>
  <si>
    <t>ES0031405278560002WA0F-30860730</t>
  </si>
  <si>
    <t>ES0031405278560002WA0F</t>
  </si>
  <si>
    <t>ES0031405285179016DP0F-30920897</t>
  </si>
  <si>
    <t>ES0031405285179016DP0F</t>
  </si>
  <si>
    <t>ES0031405285245008AJ0F-30903917</t>
  </si>
  <si>
    <t>ES0031405285486011QE0F-30912521</t>
  </si>
  <si>
    <t>ES0031405285486011QE0F</t>
  </si>
  <si>
    <t>ES0031405285546006AX0F-30861464</t>
  </si>
  <si>
    <t>ES0031405285546006AX0F</t>
  </si>
  <si>
    <t>ES0031405291620001GG0F-30915961</t>
  </si>
  <si>
    <t>ES0031405291620001GG0F</t>
  </si>
  <si>
    <t>ES0031405402272006GK0F-30861374</t>
  </si>
  <si>
    <t>ES0031405402272006GK0F</t>
  </si>
  <si>
    <t>ES0031405402328004RZ0F-30874562</t>
  </si>
  <si>
    <t>ES0031405402328004RZ0F</t>
  </si>
  <si>
    <t>ES0031405403498015HS0F-30860028</t>
  </si>
  <si>
    <t>ES0031405403498015HS0F</t>
  </si>
  <si>
    <t>ES0031405406429010XM0F-30905885</t>
  </si>
  <si>
    <t>ES0031405406429010XM0F</t>
  </si>
  <si>
    <t>ES0031405407105004FY0F-30885520</t>
  </si>
  <si>
    <t>ES0031405407105004FY0F</t>
  </si>
  <si>
    <t>ES0031405407818003AM0F-30901820</t>
  </si>
  <si>
    <t>ES0031405407818003AM0F</t>
  </si>
  <si>
    <t>ES0031405408125007BM0F-30865737</t>
  </si>
  <si>
    <t>ES0031405408125007BM0F</t>
  </si>
  <si>
    <t>ES0031405408417006XL0F-30877099</t>
  </si>
  <si>
    <t>ES0031405408417006XL0F</t>
  </si>
  <si>
    <t>ES0031405410060001FD0F-30868067</t>
  </si>
  <si>
    <t>ES0031405410060001FD0F</t>
  </si>
  <si>
    <t>ES0031405410629025EJ0F-30923166</t>
  </si>
  <si>
    <t>ES0031405410629025EJ0F</t>
  </si>
  <si>
    <t>ES0031405418331009BX0F-30915219</t>
  </si>
  <si>
    <t>ES0031405418331009BX0F</t>
  </si>
  <si>
    <t>ES0031405418957001LB0F-30900476</t>
  </si>
  <si>
    <t>ES0031405418957001LB0F</t>
  </si>
  <si>
    <t>ES0031405422677003EQ0F-30919705</t>
  </si>
  <si>
    <t>ES0031405422677003EQ0F</t>
  </si>
  <si>
    <t>ES0031405422729012YE0F-30917720</t>
  </si>
  <si>
    <t>ES0031405422729012YE0F</t>
  </si>
  <si>
    <t>ES0031405424398005YC0F-30865071</t>
  </si>
  <si>
    <t>ES0031405424398005YC0F</t>
  </si>
  <si>
    <t>ES0031405424680025DZ0F-30913118</t>
  </si>
  <si>
    <t>ES0031405425174012MF0F-30865157</t>
  </si>
  <si>
    <t>ES0031405425174012MF0F</t>
  </si>
  <si>
    <t>ES0031405425642015KY0F-30865693</t>
  </si>
  <si>
    <t>ES0031405425642015KY0F</t>
  </si>
  <si>
    <t>ES0031405428008001BM0F-30889606</t>
  </si>
  <si>
    <t>ES0031405428008001BM0F</t>
  </si>
  <si>
    <t>ES0031405428300001XC0F-30862232</t>
  </si>
  <si>
    <t>ES0031405428300001XC0F</t>
  </si>
  <si>
    <t>ES0031405431192009DP0F-30910366</t>
  </si>
  <si>
    <t>ES0031405431192009DP0F</t>
  </si>
  <si>
    <t>ES0031405432915003BA0F-30867469</t>
  </si>
  <si>
    <t>ES0031405432915003BA0F</t>
  </si>
  <si>
    <t>ES0031405434880014RD0F-30876542</t>
  </si>
  <si>
    <t>ES0031405434880014RD0F</t>
  </si>
  <si>
    <t>ES0031405443915026BT0F-30863508</t>
  </si>
  <si>
    <t>ES0031405443915026BT0F</t>
  </si>
  <si>
    <t>ES0031405445282004NL0F-30906079</t>
  </si>
  <si>
    <t>ES0031405445282004NL0F</t>
  </si>
  <si>
    <t>ES0031405446163017EV0F-30902098</t>
  </si>
  <si>
    <t>ES0031405446163017EV0F</t>
  </si>
  <si>
    <t>ES0031405449492001EG0F-30868721</t>
  </si>
  <si>
    <t>ES0031405449492001EG0F</t>
  </si>
  <si>
    <t>ES0031405449970009JA0F-30864571</t>
  </si>
  <si>
    <t>ES0031405449970009JA0F</t>
  </si>
  <si>
    <t>ES0031405455649001CL0F-30862201</t>
  </si>
  <si>
    <t>ES0031405455649001CL0F</t>
  </si>
  <si>
    <t>ES0031405456465003XG0F-30891028</t>
  </si>
  <si>
    <t>ES0031405456465003XG0F</t>
  </si>
  <si>
    <t>ES0031405457428002LQ0F-30865014</t>
  </si>
  <si>
    <t>ES0031405457428002LQ0F</t>
  </si>
  <si>
    <t>ES0031405457951001BH0F-30865599</t>
  </si>
  <si>
    <t>ES0031405457951001BH0F</t>
  </si>
  <si>
    <t>ES0031405458992017DP0F-30866490</t>
  </si>
  <si>
    <t>ES0031405458992017DP0F</t>
  </si>
  <si>
    <t>ES0031405459374004BB0F-30902433</t>
  </si>
  <si>
    <t>ES0031405459374004BB0F</t>
  </si>
  <si>
    <t>ES0031405460817016FA0F-30866433</t>
  </si>
  <si>
    <t>ES0031405460817016FA0F</t>
  </si>
  <si>
    <t>ES0031405462536015LM0F-30866962</t>
  </si>
  <si>
    <t>ES0031405462536015LM0F</t>
  </si>
  <si>
    <t>ES0031405464450018EV0F-30863211</t>
  </si>
  <si>
    <t>ES0031405464450018EV0F</t>
  </si>
  <si>
    <t>ES0031405466871002BK0F-30921849</t>
  </si>
  <si>
    <t>ES0031405466871002BK0F</t>
  </si>
  <si>
    <t>ES0031405467970002TN0F-30912116</t>
  </si>
  <si>
    <t>ES0031405467970002TN0F</t>
  </si>
  <si>
    <t>ES0031405469571005BP0F-30902534</t>
  </si>
  <si>
    <t>ES0031405469571005BP0F</t>
  </si>
  <si>
    <t>ES0031405472367014KE0F-30883259</t>
  </si>
  <si>
    <t>ES0031405472367014KE0F</t>
  </si>
  <si>
    <t>ES0031405473406009TS0F-30906390</t>
  </si>
  <si>
    <t>ES0031405473406009TS0F</t>
  </si>
  <si>
    <t>ES0031405473550019ME0F-30865110</t>
  </si>
  <si>
    <t>ES0031405473550019ME0F</t>
  </si>
  <si>
    <t>ES0031405473734009RN0F-30867858</t>
  </si>
  <si>
    <t>ES0031405473734009RN0F</t>
  </si>
  <si>
    <t>ES0031405489201010ML0F-30912927</t>
  </si>
  <si>
    <t>ES0031405490177018ME0F-30918095</t>
  </si>
  <si>
    <t>ES0031405492507005VV0F-30876502</t>
  </si>
  <si>
    <t>ES0031405492507005VV0F</t>
  </si>
  <si>
    <t>ES0031405502508005ML0F-30906224</t>
  </si>
  <si>
    <t>ES0031405502508005ML0F</t>
  </si>
  <si>
    <t>ES0031405503531001RK0F-30871487</t>
  </si>
  <si>
    <t>ES0031405503531001RK0F</t>
  </si>
  <si>
    <t>ES0031405520850001GK0F-30921639</t>
  </si>
  <si>
    <t>ES0031405520850001GK0F</t>
  </si>
  <si>
    <t>ES0031405524977002QV0F-30863553</t>
  </si>
  <si>
    <t>ES0031405524977002QV0F</t>
  </si>
  <si>
    <t>ES0031405537120004PP0F-30866761</t>
  </si>
  <si>
    <t>ES0031405537120004PP0F</t>
  </si>
  <si>
    <t>ES0031405542604001WT0F-30875979</t>
  </si>
  <si>
    <t>ES0031405542604001WT0F</t>
  </si>
  <si>
    <t>ES0031405543628009LW0F-30860105</t>
  </si>
  <si>
    <t>ES0031405543628009LW0F</t>
  </si>
  <si>
    <t>ES0031405544326001YJ0F-30898813</t>
  </si>
  <si>
    <t>ES0031405544326001YJ0F</t>
  </si>
  <si>
    <t>ES0031405549017008ED0F-30858551</t>
  </si>
  <si>
    <t>ES0031405549017008ED0F</t>
  </si>
  <si>
    <t>ES0031405549950016SE0F-30856943</t>
  </si>
  <si>
    <t>ES0031405549950016SE0F</t>
  </si>
  <si>
    <t>ES0031405550510007YD0F-30913257</t>
  </si>
  <si>
    <t>ES0031405550510007YD0F</t>
  </si>
  <si>
    <t>ES0031405562582007SE0F-30862998</t>
  </si>
  <si>
    <t>ES0031405562582007SE0F</t>
  </si>
  <si>
    <t>ES0031405568069001RK0F-30876916</t>
  </si>
  <si>
    <t>ES0031405568069001RK0F</t>
  </si>
  <si>
    <t>ES0031405583471008DD0F-30910536</t>
  </si>
  <si>
    <t>ES0031405602211002QV0F-30921669</t>
  </si>
  <si>
    <t>ES0031405602211002QV0F</t>
  </si>
  <si>
    <t>ES0031405630047001VJ0F-30865217</t>
  </si>
  <si>
    <t>ES0031405630047001VJ0F</t>
  </si>
  <si>
    <t>ES0031405630062002WH0F-30867150</t>
  </si>
  <si>
    <t>ES0031405630062002WH0F</t>
  </si>
  <si>
    <t>ES0031405637869005AQ0F-30875490</t>
  </si>
  <si>
    <t>ES0031405637869005AQ0F</t>
  </si>
  <si>
    <t>ES0031405639222010LT0F-30922732</t>
  </si>
  <si>
    <t>ES0031405639222010LT0F</t>
  </si>
  <si>
    <t>14/01/20188</t>
  </si>
  <si>
    <t>ES0031405640433005TE0F-30899480</t>
  </si>
  <si>
    <t>ES0031405640433005TE0F</t>
  </si>
  <si>
    <t>ES0031405652014006YV0F-30869768</t>
  </si>
  <si>
    <t>ES0031405652014006YV0F</t>
  </si>
  <si>
    <t>ES0031405652140010BG0F-30897156</t>
  </si>
  <si>
    <t>ES0031405652140010BG0F</t>
  </si>
  <si>
    <t>ES0031405652205004PT0F-30865218</t>
  </si>
  <si>
    <t>ES0031405652205004PT0F</t>
  </si>
  <si>
    <t>ES0031405653130004KD0F-30867329</t>
  </si>
  <si>
    <t>ES0031405653130004KD0F</t>
  </si>
  <si>
    <t>ES0031405659318001XV0F-30877217</t>
  </si>
  <si>
    <t>ES0031405659318001XV0F</t>
  </si>
  <si>
    <t>ES0031405670838001DF0F-30856784</t>
  </si>
  <si>
    <t>ES0031405670838001DF0F</t>
  </si>
  <si>
    <t>ES0031405700626002DH0F-30872984</t>
  </si>
  <si>
    <t>ES0031405700626002DH0F</t>
  </si>
  <si>
    <t>ES0031405706328017YB0F-30921354</t>
  </si>
  <si>
    <t>ES0031405711083017KZ0F-30869492</t>
  </si>
  <si>
    <t>ES0031405711083017KZ0F</t>
  </si>
  <si>
    <t>ES0031405731307001NY0F-30870076</t>
  </si>
  <si>
    <t>ES0031405731307001NY0F</t>
  </si>
  <si>
    <t>ES0031405733457001HN0F-30863562</t>
  </si>
  <si>
    <t>ES0031405733457001HN0F</t>
  </si>
  <si>
    <t>ES0031405740474007XV0F-30867712</t>
  </si>
  <si>
    <t>ES0031405740474007XV0F</t>
  </si>
  <si>
    <t>ES0031405804179002HA0F-30873962</t>
  </si>
  <si>
    <t>ES0031405804179002HA0F</t>
  </si>
  <si>
    <t>ES0031405806360001SG0F-30921218</t>
  </si>
  <si>
    <t>ES0031405826765001XW0F-30915222</t>
  </si>
  <si>
    <t>ES0031405826765001XW0F</t>
  </si>
  <si>
    <t>ES0031405862244001BF0F-30862181</t>
  </si>
  <si>
    <t>ES0031405862244001BF0F</t>
  </si>
  <si>
    <t>ES0031405871252004LZ0F-30918844</t>
  </si>
  <si>
    <t>ES0031405871259003RK0F-30915815</t>
  </si>
  <si>
    <t>ES0031405871259003RK0F</t>
  </si>
  <si>
    <t>ES0031405872627009WX0F-30873516</t>
  </si>
  <si>
    <t>ES0031405872627009WX0F</t>
  </si>
  <si>
    <t>ES0031405877376005DN0F-30912690</t>
  </si>
  <si>
    <t>ES0031405877376005DN0F</t>
  </si>
  <si>
    <t>ES0031405878612001CB0F-30881122</t>
  </si>
  <si>
    <t>ES0031405878612001CB0F</t>
  </si>
  <si>
    <t>ES0031405890171203KB0F-30898374</t>
  </si>
  <si>
    <t>ES0031405900517020MZ0F-30922576</t>
  </si>
  <si>
    <t>ES0031405900684008CE0F-30887270</t>
  </si>
  <si>
    <t>ES0031405900684008CE0F</t>
  </si>
  <si>
    <t>ES0031405916080004CW0F-30881138</t>
  </si>
  <si>
    <t>ES0031405916080004CW0F</t>
  </si>
  <si>
    <t>ES0031405916247003NK0F-30869050</t>
  </si>
  <si>
    <t>ES0031405916247003NK0F</t>
  </si>
  <si>
    <t>ES0031405919869008XD0F-30869028</t>
  </si>
  <si>
    <t>ES0031405919869008XD0F</t>
  </si>
  <si>
    <t>ES0031405937597006QK0F-30860407</t>
  </si>
  <si>
    <t>ES0031405937597006QK0F</t>
  </si>
  <si>
    <t>ES0031405954734038CY0F-30864859</t>
  </si>
  <si>
    <t>ES0031405954734038CY0F</t>
  </si>
  <si>
    <t>ES0031405968182001PF0F-30916024</t>
  </si>
  <si>
    <t>ES0031405970312023LE0F-30878442</t>
  </si>
  <si>
    <t>ES0031405970312023LE0F</t>
  </si>
  <si>
    <t>ES0031405972656004LG0F-30869434</t>
  </si>
  <si>
    <t>ES0031405972656004LG0F</t>
  </si>
  <si>
    <t>ES0031405973783010YX0F-30909645</t>
  </si>
  <si>
    <t>ES0031405973783010YX0F</t>
  </si>
  <si>
    <t>ES0031405973952008VG0F-30874864</t>
  </si>
  <si>
    <t>ES0031405973952008VG0F</t>
  </si>
  <si>
    <t>ES0031405976061011BE0F-30873894</t>
  </si>
  <si>
    <t>ES0031405976061011BE0F</t>
  </si>
  <si>
    <t>ES0031405976113014HE0F-30887714</t>
  </si>
  <si>
    <t>ES0031405976113014HE0F</t>
  </si>
  <si>
    <t>ES0031405976432020LH0F-30908704</t>
  </si>
  <si>
    <t>ES0031405976432020LH0F</t>
  </si>
  <si>
    <t>ES0031405978679009XE0F-30906647</t>
  </si>
  <si>
    <t>ES0031405978679009XE0F</t>
  </si>
  <si>
    <t>ES0031405979065024GM0F-30869206</t>
  </si>
  <si>
    <t>ES0031405979065024GM0F</t>
  </si>
  <si>
    <t>ES0031405980330003XF0F-30903740</t>
  </si>
  <si>
    <t>ES0031405980330003XF0F</t>
  </si>
  <si>
    <t>ES0031405980722017BD0F-30861445</t>
  </si>
  <si>
    <t>ES0031405980722017BD0F</t>
  </si>
  <si>
    <t>ES0031405985068012EQ0F-30870626</t>
  </si>
  <si>
    <t>ES0031405985068012EQ0F</t>
  </si>
  <si>
    <t>ES0031405986810025TD0F-30886444</t>
  </si>
  <si>
    <t>ES0031405986810025TD0F</t>
  </si>
  <si>
    <t>ES0031405989115031FR0F-30870749</t>
  </si>
  <si>
    <t>ES0031405989115031FR0F</t>
  </si>
  <si>
    <t>ES0031405991606003AG0F-30877286</t>
  </si>
  <si>
    <t>ES0031405991606003AG0F</t>
  </si>
  <si>
    <t>ES0031405992736023YB0F-30860554</t>
  </si>
  <si>
    <t>ES0031405992736023YB0F</t>
  </si>
  <si>
    <t>ES0031405993564008XL0F-30877187</t>
  </si>
  <si>
    <t>ES0031405993564008XL0F</t>
  </si>
  <si>
    <t>ES0031405994042033WN0F-30918957</t>
  </si>
  <si>
    <t>ES0031405994042033WN0F</t>
  </si>
  <si>
    <t>ES0031405994929013HC0F-30856695</t>
  </si>
  <si>
    <t>ES0031405994929013HC0F</t>
  </si>
  <si>
    <t>ES0031406013415008EH0F-30911182</t>
  </si>
  <si>
    <t>ES0031406013415008EH0F</t>
  </si>
  <si>
    <t>ES0031406017879001NX0F-30908828</t>
  </si>
  <si>
    <t>ES0031406044950001XX0F-30891761</t>
  </si>
  <si>
    <t>ES0031406044950001XX0F</t>
  </si>
  <si>
    <t>ES0031406057398002ZC0F-30858588</t>
  </si>
  <si>
    <t>ES0031406057398002ZC0F</t>
  </si>
  <si>
    <t>ES0031406105913001DS0F-30882597</t>
  </si>
  <si>
    <t>ES0031406105913001DS0F</t>
  </si>
  <si>
    <t>ES0031406142993009KK0F-30866058</t>
  </si>
  <si>
    <t>ES0031406142993009KK0F</t>
  </si>
  <si>
    <t>ES0031406145874001RX0F-30860726</t>
  </si>
  <si>
    <t>ES0031406145874001RX0F</t>
  </si>
  <si>
    <t>ES0031406149411017YV0F-30917868</t>
  </si>
  <si>
    <t>ES0031406149411017YV0F</t>
  </si>
  <si>
    <t>ES0031406163084016AE0F-30865219</t>
  </si>
  <si>
    <t>ES0031406163084016AE0F</t>
  </si>
  <si>
    <t>ES0031406163666001FS0F-30867240</t>
  </si>
  <si>
    <t>ES0031406163666001FS0F</t>
  </si>
  <si>
    <t>ES0031406167474008LG0F-30870279</t>
  </si>
  <si>
    <t>ES0031406167474008LG0F</t>
  </si>
  <si>
    <t>ES0031406168095001QC0F-30898810</t>
  </si>
  <si>
    <t>ES0031406168095001QC0F</t>
  </si>
  <si>
    <t>ES0031406170047002QB0F-30885682</t>
  </si>
  <si>
    <t>ES0031406170047002QB0F</t>
  </si>
  <si>
    <t>ES0031406175401006QY0F-30870179</t>
  </si>
  <si>
    <t>ES0031406175401006QY0F</t>
  </si>
  <si>
    <t>ES0031406179455002GE0F-30859730</t>
  </si>
  <si>
    <t>ES0031406179455002GE0F</t>
  </si>
  <si>
    <t>ES0031406195293001QZ0F-30877052</t>
  </si>
  <si>
    <t>ES0031406195293001QZ0F</t>
  </si>
  <si>
    <t>ES0031406212484031KQ0F-30913940</t>
  </si>
  <si>
    <t>ES0031406223975007TP0F-30910533</t>
  </si>
  <si>
    <t>ES0031406223975007TP0F</t>
  </si>
  <si>
    <t>ES0031406266711018DH0F-30875958</t>
  </si>
  <si>
    <t>ES0031406266711018DH0F</t>
  </si>
  <si>
    <t>ES0031406270904027QN0F-30867731</t>
  </si>
  <si>
    <t>ES0031406270904027QN0F</t>
  </si>
  <si>
    <t>ES0031406271923003KL0F-30912640</t>
  </si>
  <si>
    <t>ES0031406271923003KL0F</t>
  </si>
  <si>
    <t>ES0031406272399005VJ0F-30867008</t>
  </si>
  <si>
    <t>ES0031406272399005VJ0F</t>
  </si>
  <si>
    <t>ES0031406277328009PW0F-30866603</t>
  </si>
  <si>
    <t>ES0031406277328009PW0F</t>
  </si>
  <si>
    <t>ES0031406282514002VR0F-30903847</t>
  </si>
  <si>
    <t>ES0031406282514002VR0F</t>
  </si>
  <si>
    <t>ES0031406283593006XY0F-30921406</t>
  </si>
  <si>
    <t>ES0031406283593006XY0F</t>
  </si>
  <si>
    <t>ES0031406283685008PP0F-30874268</t>
  </si>
  <si>
    <t>ES0031406283685008PP0F</t>
  </si>
  <si>
    <t>ES0031406288320004AK0F-30914390</t>
  </si>
  <si>
    <t>ES0031406288320004AK0F</t>
  </si>
  <si>
    <t>ES0031406320915001DQ0F-30861358</t>
  </si>
  <si>
    <t>ES0031406320915001DQ0F</t>
  </si>
  <si>
    <t>ES0031406324592004YD0F-30877683</t>
  </si>
  <si>
    <t>ES0031406324592004YD0F</t>
  </si>
  <si>
    <t>ES0031406327401012FG0F-30863764</t>
  </si>
  <si>
    <t>ES0031406327401012FG0F</t>
  </si>
  <si>
    <t>ES0031406347529003XM0F-30858211</t>
  </si>
  <si>
    <t>ES0031406347529003XM0F</t>
  </si>
  <si>
    <t>ES0031406364135005VF0F-30870674</t>
  </si>
  <si>
    <t>ES0031406364135005VF0F</t>
  </si>
  <si>
    <t>ES0031406367502005JZ0F-30882435</t>
  </si>
  <si>
    <t>ES0031406367502005JZ0F</t>
  </si>
  <si>
    <t>ES0031408001950002PT0F-30865220</t>
  </si>
  <si>
    <t>ES0031408001950002PT0F</t>
  </si>
  <si>
    <t>ES0031408008669060VE0F-30856594</t>
  </si>
  <si>
    <t>ES0031408008669060VE0F</t>
  </si>
  <si>
    <t>ES0031408008904001CH0F-30909680</t>
  </si>
  <si>
    <t>ES0031408008904001CH0F</t>
  </si>
  <si>
    <t>ES0031408009543001LD0F-30900483</t>
  </si>
  <si>
    <t>ES0031408009543001LD0F</t>
  </si>
  <si>
    <t>ES0031408009543011LL0F-30909228</t>
  </si>
  <si>
    <t>ES0031408009543011LL0F</t>
  </si>
  <si>
    <t>ES0031408014014012SG0F-30914668</t>
  </si>
  <si>
    <t>ES0031408014014012SG0F</t>
  </si>
  <si>
    <t>ES0031408016399002AD0F-30910399</t>
  </si>
  <si>
    <t>ES0031408016399002AD0F</t>
  </si>
  <si>
    <t>ES0031408016528016TQ0F-30911660</t>
  </si>
  <si>
    <t>ES0031408016528016TQ0F</t>
  </si>
  <si>
    <t>ES0031408018375001BD0F-30873158</t>
  </si>
  <si>
    <t>ES0031408018375001BD0F</t>
  </si>
  <si>
    <t>ES0031408019040016ZW0F-30915469</t>
  </si>
  <si>
    <t>ES0031408019040016ZW0F</t>
  </si>
  <si>
    <t>ES0031408023120001MV0F-30917443</t>
  </si>
  <si>
    <t>ES0031408023120001MV0F</t>
  </si>
  <si>
    <t>ES0031408032964015EP0F-30911212</t>
  </si>
  <si>
    <t>ES0031408032964015EP0F</t>
  </si>
  <si>
    <t>ES0031408051925005RM0F-30875831</t>
  </si>
  <si>
    <t>ES0031408051925005RM0F</t>
  </si>
  <si>
    <t>ES0031408078829001YG0F-30888454</t>
  </si>
  <si>
    <t>ES0031408078829001YG0F</t>
  </si>
  <si>
    <t>ES0031408088186014PL0F-30862082</t>
  </si>
  <si>
    <t>ES0031408088186014PL0F</t>
  </si>
  <si>
    <t>ES0031408095706012CY0F-30867480</t>
  </si>
  <si>
    <t>ES0031408095706012CY0F</t>
  </si>
  <si>
    <t>ES0031408139317008FN0F-30858339</t>
  </si>
  <si>
    <t>ES0031408139317008FN0F</t>
  </si>
  <si>
    <t>ES0031408140942004AN0F-30900519</t>
  </si>
  <si>
    <t>ES0031408140942004AN0F</t>
  </si>
  <si>
    <t>ES0031408148013005CP0F-30869616</t>
  </si>
  <si>
    <t>ES0031408148013005CP0F</t>
  </si>
  <si>
    <t>ES0031408159974006XC0F-30874777</t>
  </si>
  <si>
    <t>ES0031408159974006XC0F</t>
  </si>
  <si>
    <t>ES0031408161448010CT0F-30871436</t>
  </si>
  <si>
    <t>ES0031408161448010CT0F</t>
  </si>
  <si>
    <t>ES0031408169971020DS0F-30876033</t>
  </si>
  <si>
    <t>ES0031408169971020DS0F</t>
  </si>
  <si>
    <t>ES0031408175745001FF0F-30862251</t>
  </si>
  <si>
    <t>ES0031408175745001FF0F</t>
  </si>
  <si>
    <t>ES0031408196543015TH0F-30866715</t>
  </si>
  <si>
    <t>ES0031408196543015TH0F</t>
  </si>
  <si>
    <t>ES0031408207559001GQ0F-30890734</t>
  </si>
  <si>
    <t>ES0031408207559001GQ0F</t>
  </si>
  <si>
    <t>ES0031408219190018TW0F-30875545</t>
  </si>
  <si>
    <t>ES0031408219190018TW0F</t>
  </si>
  <si>
    <t>ES0031408220064001AP0F-30912686</t>
  </si>
  <si>
    <t>ES0031408220064001AP0F</t>
  </si>
  <si>
    <t>ES0031408233715010XB0F-30876097</t>
  </si>
  <si>
    <t>ES0031408233715010XB0F</t>
  </si>
  <si>
    <t>ES0031408236972029DT0F-30870178</t>
  </si>
  <si>
    <t>ES0031408236972029DT0F</t>
  </si>
  <si>
    <t>ES0031408245376006KF0F-30860466</t>
  </si>
  <si>
    <t>ES0031408245376006KF0F</t>
  </si>
  <si>
    <t>ES0031408251420001MQ0F-30858853</t>
  </si>
  <si>
    <t>ES0031408251420001MQ0F</t>
  </si>
  <si>
    <t>ES0031408283805005NP0F-30857081</t>
  </si>
  <si>
    <t>ES0031408283805005NP0F</t>
  </si>
  <si>
    <t>ES0031408318472001ZR0F-30856700</t>
  </si>
  <si>
    <t>ES0031408318472001ZR0F</t>
  </si>
  <si>
    <t>ES0031408336460023DE0F-30875762</t>
  </si>
  <si>
    <t>ES0031408336460023DE0F</t>
  </si>
  <si>
    <t>ES0031408337537021FE0F-30867407</t>
  </si>
  <si>
    <t>ES0031408337537021FE0F</t>
  </si>
  <si>
    <t>ES0031408350446008EY0F-30876061</t>
  </si>
  <si>
    <t>ES0031408350446008EY0F</t>
  </si>
  <si>
    <t>ES0031408356890012XP0F-30861801</t>
  </si>
  <si>
    <t>ES0031408356890012XP0F</t>
  </si>
  <si>
    <t>ES0031408359216001DF0F-30869413</t>
  </si>
  <si>
    <t>ES0031408359216001DF0F</t>
  </si>
  <si>
    <t>ES0031408373734016SP0F-30862203</t>
  </si>
  <si>
    <t>ES0031408373734016SP0F</t>
  </si>
  <si>
    <t>ES0031408385802009BQ0F-30865586</t>
  </si>
  <si>
    <t>ES0031408385802009BQ0F</t>
  </si>
  <si>
    <t>ES0031408386939011LJ0F-30876736</t>
  </si>
  <si>
    <t>ES0031408386939011LJ0F</t>
  </si>
  <si>
    <t>ES0031408388361001KM0F-30871504</t>
  </si>
  <si>
    <t>ES0031408388361001KM0F</t>
  </si>
  <si>
    <t>ES0031408390632015KE0F-30860443</t>
  </si>
  <si>
    <t>ES0031408390632015KE0F</t>
  </si>
  <si>
    <t>ES0031408396523006RT0F-30863819</t>
  </si>
  <si>
    <t>ES0031408396523006RT0F</t>
  </si>
  <si>
    <t>ES0031408397390001EX0F-30881960</t>
  </si>
  <si>
    <t>ES0031408397390001EX0F</t>
  </si>
  <si>
    <t>ES0031408405480007EL0F-30861134</t>
  </si>
  <si>
    <t>ES0031408405480007EL0F</t>
  </si>
  <si>
    <t>ES0031408412773007PH0F-30863431</t>
  </si>
  <si>
    <t>ES0031408412773007PH0F</t>
  </si>
  <si>
    <t>ES0031408419582002LR0F-30900033</t>
  </si>
  <si>
    <t>ES0031408419582002LR0F</t>
  </si>
  <si>
    <t>ES0031408423225001DF0F-30913262</t>
  </si>
  <si>
    <t>ES0031408423225001DF0F</t>
  </si>
  <si>
    <t>ES0031408441620043ZV0F-30860203</t>
  </si>
  <si>
    <t>ES0031408441620043ZV0F</t>
  </si>
  <si>
    <t>ES0031408442825004XP0F-30889757</t>
  </si>
  <si>
    <t>ES0031408442825004XP0F</t>
  </si>
  <si>
    <t>ES0031408453192004HB0F-30856670</t>
  </si>
  <si>
    <t>ES0031408453192004HB0F</t>
  </si>
  <si>
    <t>ES0031408463413038MY0F-30918370</t>
  </si>
  <si>
    <t>ES0031408463413038MY0F</t>
  </si>
  <si>
    <t>ES0031408481085003JJ0F-30894299</t>
  </si>
  <si>
    <t>ES0031408481085003JJ0F</t>
  </si>
  <si>
    <t>ES0031408482447003ME0F-30896103</t>
  </si>
  <si>
    <t>ES0031408482447003ME0F</t>
  </si>
  <si>
    <t>ES0031408490334020NV0F-30874794</t>
  </si>
  <si>
    <t>ES0031408490334020NV0F</t>
  </si>
  <si>
    <t>ES0031408494437063VK0F-30863240</t>
  </si>
  <si>
    <t>ES0031408494437063VK0F</t>
  </si>
  <si>
    <t>ES0031408510202001GT0F-30861295</t>
  </si>
  <si>
    <t>ES0031408510202001GT0F</t>
  </si>
  <si>
    <t>ES0031408517012004NW0F-30869034</t>
  </si>
  <si>
    <t>ES0031408517012004NW0F</t>
  </si>
  <si>
    <t>ES0031408517068001PV0F-30924032</t>
  </si>
  <si>
    <t>ES0031408521494001WN0F-30862927</t>
  </si>
  <si>
    <t>ES0031408521494001WN0F</t>
  </si>
  <si>
    <t>ES0031408524019001YA0F-30866716</t>
  </si>
  <si>
    <t>ES0031408524019001YA0F</t>
  </si>
  <si>
    <t>ES0031408527777014YT0F-30856890</t>
  </si>
  <si>
    <t>ES0031408527777014YT0F</t>
  </si>
  <si>
    <t>ES0031408534590008YA0F-30877357</t>
  </si>
  <si>
    <t>ES0031408534590008YA0F</t>
  </si>
  <si>
    <t>ES0031408536624012YW0F-30869705</t>
  </si>
  <si>
    <t>ES0031408536624012YW0F</t>
  </si>
  <si>
    <t>ES0031408536626003TS0F-30864035</t>
  </si>
  <si>
    <t>ES0031408536626003TS0F</t>
  </si>
  <si>
    <t>ES0031408536626011RT0F-30866711</t>
  </si>
  <si>
    <t>ES0031408536626011RT0F</t>
  </si>
  <si>
    <t>ES0031408536627007KF0F-30867943</t>
  </si>
  <si>
    <t>ES0031408536627007KF0F</t>
  </si>
  <si>
    <t>ES0031408536719001LR0F-30869838</t>
  </si>
  <si>
    <t>ES0031408536719001LR0F</t>
  </si>
  <si>
    <t>ES0031408538288001HX0F-30873328</t>
  </si>
  <si>
    <t>ES0031408538288001HX0F</t>
  </si>
  <si>
    <t>ES0031408543269001SS0F-30890943</t>
  </si>
  <si>
    <t>ES0031408543269001SS0F</t>
  </si>
  <si>
    <t>ES0031408543269002SQ0F-30891207</t>
  </si>
  <si>
    <t>ES0031408543269002SQ0F</t>
  </si>
  <si>
    <t>ES0031408543269013QG0F-30923312</t>
  </si>
  <si>
    <t>ES0031408543269013QG0F</t>
  </si>
  <si>
    <t>ES0031408543269037VM0F-30910304</t>
  </si>
  <si>
    <t>ES0031408543269037VM0F</t>
  </si>
  <si>
    <t>ES0031408544015002CB0F-30900380</t>
  </si>
  <si>
    <t>ES0031408544015002CB0F</t>
  </si>
  <si>
    <t>ES0031408544418001QG0F-30917383</t>
  </si>
  <si>
    <t>ES0031408549122005EW0F-30875597</t>
  </si>
  <si>
    <t>ES0031408549122005EW0F</t>
  </si>
  <si>
    <t>ES0031408553040004PC0F-30856643</t>
  </si>
  <si>
    <t>ES0031408553040004PC0F</t>
  </si>
  <si>
    <t>ES0031408553040005PK0F-30858817</t>
  </si>
  <si>
    <t>ES0031408553040005PK0F</t>
  </si>
  <si>
    <t>ES0031408554425006NP0F-30862016</t>
  </si>
  <si>
    <t>ES0031408554425006NP0F</t>
  </si>
  <si>
    <t>ES0031408556312012SW0F-30874184</t>
  </si>
  <si>
    <t>ES0031408556312012SW0F</t>
  </si>
  <si>
    <t>ES0031408556410002CN0F-30864646</t>
  </si>
  <si>
    <t>ES0031408556410002CN0F</t>
  </si>
  <si>
    <t>ES0031408556410003CJ0F-30864540</t>
  </si>
  <si>
    <t>ES0031408556410003CJ0F</t>
  </si>
  <si>
    <t>ES0031408557104001HD0F-30921787</t>
  </si>
  <si>
    <t>ES0031408557104001HD0F</t>
  </si>
  <si>
    <t>ES0031408558388001TB0F-30909204</t>
  </si>
  <si>
    <t>ES0031408558388001TB0F</t>
  </si>
  <si>
    <t>ES0031408559488001DJ0F-30873081</t>
  </si>
  <si>
    <t>ES0031408559488001DJ0F</t>
  </si>
  <si>
    <t>ES0031408559512001HR0F-30873999</t>
  </si>
  <si>
    <t>ES0031408559512001HR0F</t>
  </si>
  <si>
    <t>ES0031408559638001EF0F-30850049</t>
  </si>
  <si>
    <t>ES0031408559638001EF0F</t>
  </si>
  <si>
    <t>ES0031408559979026ZB0F-30871978</t>
  </si>
  <si>
    <t>ES0031408559979026ZB0F</t>
  </si>
  <si>
    <t>ES0031408563288001VE0F-30871038</t>
  </si>
  <si>
    <t>ES0031408563288001VE0F</t>
  </si>
  <si>
    <t>ES0031408563566002YE0F-30899184</t>
  </si>
  <si>
    <t>ES0031408563566002YE0F</t>
  </si>
  <si>
    <t>ES0031408563756002XL0F-30868878</t>
  </si>
  <si>
    <t>ES0031408563756002XL0F</t>
  </si>
  <si>
    <t>ES0031408566312001MM0F-30866844</t>
  </si>
  <si>
    <t>ES0031408566312001MM0F</t>
  </si>
  <si>
    <t>ES0031408566605001WP0F-30874554</t>
  </si>
  <si>
    <t>ES0031408566605001WP0F</t>
  </si>
  <si>
    <t>ES0031408567037001QE0F-30872748</t>
  </si>
  <si>
    <t>ES0031408567037001QE0F</t>
  </si>
  <si>
    <t>ES0031408567539001QR0F-30909489</t>
  </si>
  <si>
    <t>ES0031408568462001BB0F-30917169</t>
  </si>
  <si>
    <t>ES0031408568462001BB0F</t>
  </si>
  <si>
    <t>ES0031408569078005EY0F-30866229</t>
  </si>
  <si>
    <t>ES0031408569078005EY0F</t>
  </si>
  <si>
    <t>ES0031408569321001FF0F-30887859</t>
  </si>
  <si>
    <t>ES0031408569321001FF0F</t>
  </si>
  <si>
    <t>ES0031408569338002XB0F-30869292</t>
  </si>
  <si>
    <t>ES0031408569338002XB0F</t>
  </si>
  <si>
    <t>ES0031408569688001RL0F-30861047</t>
  </si>
  <si>
    <t>ES0031408569688001RL0F</t>
  </si>
  <si>
    <t>ES0031408570262001AP0F-30926274</t>
  </si>
  <si>
    <t>ES0031408570262001AP0F</t>
  </si>
  <si>
    <t>ES0031408570398001MD0F-30872607</t>
  </si>
  <si>
    <t>ES0031408570398001MD0F</t>
  </si>
  <si>
    <t>ES0031408570566001HV0F-30872741</t>
  </si>
  <si>
    <t>ES0031408570566001HV0F</t>
  </si>
  <si>
    <t>ES0031408570923002SN0F-30875090</t>
  </si>
  <si>
    <t>ES0031408570923002SN0F</t>
  </si>
  <si>
    <t>ES0031408570923003SJ0F-30869443</t>
  </si>
  <si>
    <t>ES0031408570923003SJ0F</t>
  </si>
  <si>
    <t>ES0031408570923004SZ0F-30868781</t>
  </si>
  <si>
    <t>ES0031408570923004SZ0F</t>
  </si>
  <si>
    <t>ES0031408570923005SS0F-30868322</t>
  </si>
  <si>
    <t>ES0031408570923005SS0F</t>
  </si>
  <si>
    <t>ES0031408571636001BB0F-30870020</t>
  </si>
  <si>
    <t>ES0031408571636001BB0F</t>
  </si>
  <si>
    <t>ES0031408571640001RD0F-30888678</t>
  </si>
  <si>
    <t>ES0031408571640001RD0F</t>
  </si>
  <si>
    <t>ES0031408572435001CZ0F-30894291</t>
  </si>
  <si>
    <t>ES0031408572435001CZ0F</t>
  </si>
  <si>
    <t>ES0031408573142001PV0F-30888624</t>
  </si>
  <si>
    <t>ES0031408573142001PV0F</t>
  </si>
  <si>
    <t>ES0031408573169001DS0F-30866710</t>
  </si>
  <si>
    <t>ES0031408573169001DS0F</t>
  </si>
  <si>
    <t>ES0031408573555001WY0F-30912833</t>
  </si>
  <si>
    <t>ES0031408573555001WY0F</t>
  </si>
  <si>
    <t>ES0031408573946001MY0F-30876531</t>
  </si>
  <si>
    <t>ES0031408573946001MY0F</t>
  </si>
  <si>
    <t>ES0031408574497025LL0F-30868993</t>
  </si>
  <si>
    <t>ES0031408574497025LL0F</t>
  </si>
  <si>
    <t>ES0031408575416001RF0F-30898089</t>
  </si>
  <si>
    <t>ES0031408575416001RF0F</t>
  </si>
  <si>
    <t>ES0031408575541001PW0F-30890551</t>
  </si>
  <si>
    <t>ES0031408575541001PW0F</t>
  </si>
  <si>
    <t>ES0031408576181001GG0F-30918361</t>
  </si>
  <si>
    <t>ES0031408576181001GG0F</t>
  </si>
  <si>
    <t>ES0031408576205001NS0F-30898637</t>
  </si>
  <si>
    <t>ES0031408576205001NS0F</t>
  </si>
  <si>
    <t>ES0031408576529001TZ0F-30898416</t>
  </si>
  <si>
    <t>ES0031408576529001TZ0F</t>
  </si>
  <si>
    <t>ES0031408576836001PX0F-30860941</t>
  </si>
  <si>
    <t>ES0031408576836001PX0F</t>
  </si>
  <si>
    <t>ES0031408577068001KD0F-30866824</t>
  </si>
  <si>
    <t>ES0031408577068001KD0F</t>
  </si>
  <si>
    <t>ES0031408577254001NP0F-30860177</t>
  </si>
  <si>
    <t>ES0031408577254001NP0F</t>
  </si>
  <si>
    <t>ES0031408577519001BW0F-30866813</t>
  </si>
  <si>
    <t>ES0031408577519001BW0F</t>
  </si>
  <si>
    <t>ES0031408578085001DH0F-30872514</t>
  </si>
  <si>
    <t>ES0031408578085001DH0F</t>
  </si>
  <si>
    <t>ES0031408578112001XQ0F-30862953</t>
  </si>
  <si>
    <t>ES0031408578112001XQ0F</t>
  </si>
  <si>
    <t>ES0031408578225001RV0F-30866526</t>
  </si>
  <si>
    <t>ES0031408578225001RV0F</t>
  </si>
  <si>
    <t>ES0031408578309001LK0F-30873576</t>
  </si>
  <si>
    <t>ES0031408578309001LK0F</t>
  </si>
  <si>
    <t>ES0031408578473001CP0F-30872102</t>
  </si>
  <si>
    <t>ES0031408578473001CP0F</t>
  </si>
  <si>
    <t>ES0031408578591001KH0F-30863416</t>
  </si>
  <si>
    <t>ES0031408578591001KH0F</t>
  </si>
  <si>
    <t>ES0031408578704001NL0F-30892243</t>
  </si>
  <si>
    <t>ES0031408578704001NL0F</t>
  </si>
  <si>
    <t>ES0031408578944001MZ0F-30902578</t>
  </si>
  <si>
    <t>ES0031408578944001MZ0F</t>
  </si>
  <si>
    <t>ES0031408579145001GV0F-30865682</t>
  </si>
  <si>
    <t>ES0031408579145001GV0F</t>
  </si>
  <si>
    <t>ES0031446390807001AW0F-30856606</t>
  </si>
  <si>
    <t>ES0031446390807001AW0F</t>
  </si>
  <si>
    <t>ES0031446413534001FN0F-30905889</t>
  </si>
  <si>
    <t>ES0031446413534001FN0F</t>
  </si>
  <si>
    <t>ES0031446435310001HA0F-30861653</t>
  </si>
  <si>
    <t>ES0031446435310001HA0F</t>
  </si>
  <si>
    <t>ES0031446458477011VX0F-30860113</t>
  </si>
  <si>
    <t>ES0031446458477011VX0F</t>
  </si>
  <si>
    <t>ES0031448498515001YP0F-30861532</t>
  </si>
  <si>
    <t>ES0031448498515001YP0F</t>
  </si>
  <si>
    <t>ES0031448577771001JD0F-30861697</t>
  </si>
  <si>
    <t>ES0031448577771001JD0F</t>
  </si>
  <si>
    <t>ES0031448578340001GN0F-30861817</t>
  </si>
  <si>
    <t>ES0031448578340001GN0F</t>
  </si>
  <si>
    <t>ES0031500005207002QQ0F-30818414</t>
  </si>
  <si>
    <t>ES0031500005207002QQ0F</t>
  </si>
  <si>
    <t>ES0031500016903007PS0F-30915693</t>
  </si>
  <si>
    <t>ES0031500016903007PS0F</t>
  </si>
  <si>
    <t>ES0031500022805001YW0F-30893793</t>
  </si>
  <si>
    <t>ES0031500022805001YW0F</t>
  </si>
  <si>
    <t>ES0031500044209004BK0F-30843127</t>
  </si>
  <si>
    <t>ES0031500044209004BK0F</t>
  </si>
  <si>
    <t>ES0031500054999003BF0F-30875532</t>
  </si>
  <si>
    <t>ES0031500054999003BF0F</t>
  </si>
  <si>
    <t>ES0031500067604001XQ0F-30927245</t>
  </si>
  <si>
    <t>ES0031500067604001XQ0F</t>
  </si>
  <si>
    <t>ES0031500069448001YZ0F-30921902</t>
  </si>
  <si>
    <t>ES0031500069448001YZ0F</t>
  </si>
  <si>
    <t>ES0031500105436003NP0F-30918164</t>
  </si>
  <si>
    <t>ES0031500108517001QH0F-30883238</t>
  </si>
  <si>
    <t>ES0031500108517001QH0F</t>
  </si>
  <si>
    <t>ES0031500110928004DT0F-30808941</t>
  </si>
  <si>
    <t>ES0031500110928004DT0F</t>
  </si>
  <si>
    <t>ES0031500113424018VP0F-30876099</t>
  </si>
  <si>
    <t>ES0031500113424018VP0F</t>
  </si>
  <si>
    <t>ES0031500114709001LG0F-30817392</t>
  </si>
  <si>
    <t>ES0031500114709001LG0F</t>
  </si>
  <si>
    <t>ES0031500114825012AA0F-30920347</t>
  </si>
  <si>
    <t>ES0031500114825012AA0F</t>
  </si>
  <si>
    <t>ES0031500114825016AF0F-30891770</t>
  </si>
  <si>
    <t>ES0031500114825016AF0F</t>
  </si>
  <si>
    <t>ES0031500117177041FY0F-30852445</t>
  </si>
  <si>
    <t>ES0031500117177041FY0F</t>
  </si>
  <si>
    <t>ES0031500117276003PE0F-30904125</t>
  </si>
  <si>
    <t>ES0031500117276003PE0F</t>
  </si>
  <si>
    <t>ES0031500118271001YV0F-30858509</t>
  </si>
  <si>
    <t>ES0031500118271001YV0F</t>
  </si>
  <si>
    <t>ES0031500124048040EP0F-30864269</t>
  </si>
  <si>
    <t>ES0031500124048040EP0F</t>
  </si>
  <si>
    <t>ES0031500126125009GP0F-30899983</t>
  </si>
  <si>
    <t>ES0031500126125009GP0F</t>
  </si>
  <si>
    <t>ES0031500127970011CL0F-30860328</t>
  </si>
  <si>
    <t>ES0031500127970011CL0F</t>
  </si>
  <si>
    <t>ES0031500128490001CW0F-30894329</t>
  </si>
  <si>
    <t>ES0031500128490001CW0F</t>
  </si>
  <si>
    <t>ES0031500130581057QJ0F-30830311</t>
  </si>
  <si>
    <t>ES0031500130581057QJ0F</t>
  </si>
  <si>
    <t>ES0031500133280017QS0F-30911858</t>
  </si>
  <si>
    <t>ES0031500133280017QS0F</t>
  </si>
  <si>
    <t>ES0031500148808020MM0F-30860716</t>
  </si>
  <si>
    <t>ES0031500148808020MM0F</t>
  </si>
  <si>
    <t>ES0031500172905015GS0F-30897778</t>
  </si>
  <si>
    <t>ES0031500172905015GS0F</t>
  </si>
  <si>
    <t>ES0031500190403001SS0F-30814197</t>
  </si>
  <si>
    <t>ES0031500190403001SS0F</t>
  </si>
  <si>
    <t>ES0031500239548001PH0F-30892812</t>
  </si>
  <si>
    <t>ES0031500239548001PH0F</t>
  </si>
  <si>
    <t>ES0031500239741013MZ0F-30825177</t>
  </si>
  <si>
    <t>ES0031500239741013MZ0F</t>
  </si>
  <si>
    <t>ES0031500260643003BH0F-30888996</t>
  </si>
  <si>
    <t>ES0031500260643003BH0F</t>
  </si>
  <si>
    <t>ES0031500267112003MS0F-30844352</t>
  </si>
  <si>
    <t>ES0031500267112003MS0F</t>
  </si>
  <si>
    <t>ES0031500269235004BR0F-30884936</t>
  </si>
  <si>
    <t>ES0031500269235004BR0F</t>
  </si>
  <si>
    <t>ES0031500290324004YW0F-30836070</t>
  </si>
  <si>
    <t>ES0031500290324004YW0F</t>
  </si>
  <si>
    <t>ES0031500536486002LS0F-30916291</t>
  </si>
  <si>
    <t>ES0031500536486002LS0F</t>
  </si>
  <si>
    <t>ES0031500562646027QR0F-30899931</t>
  </si>
  <si>
    <t>ES0031500562646027QR0F</t>
  </si>
  <si>
    <t>ES0031500567716004VL0F-30921439</t>
  </si>
  <si>
    <t>ES0031500567716004VL0F</t>
  </si>
  <si>
    <t>ES0031500582608004TW0F-30920145</t>
  </si>
  <si>
    <t>ES0031500582608004TW0F</t>
  </si>
  <si>
    <t>ES0031500587379002CH0F-30891771</t>
  </si>
  <si>
    <t>ES0031500587379002CH0F</t>
  </si>
  <si>
    <t>ES0031500605883004WZ0F-30926036</t>
  </si>
  <si>
    <t>ES0031500605883004WZ0F</t>
  </si>
  <si>
    <t>ES0031500607703003JT0F-30898722</t>
  </si>
  <si>
    <t>ES0031500607703003JT0F</t>
  </si>
  <si>
    <t>ES0031500642822004WW0F-30904158</t>
  </si>
  <si>
    <t>ES0031500642822004WW0F</t>
  </si>
  <si>
    <t>ES0031500645685001GM0F-30900846</t>
  </si>
  <si>
    <t>ES0031500645685001GM0F</t>
  </si>
  <si>
    <t>ES0031500650015001XW0F-30886759</t>
  </si>
  <si>
    <t>ES0031500650015001XW0F</t>
  </si>
  <si>
    <t>ES0031500652000001HX0F-30882769</t>
  </si>
  <si>
    <t>ES0031500652000001HX0F</t>
  </si>
  <si>
    <t>ES0031500654883002QF0F-30885458</t>
  </si>
  <si>
    <t>ES0031500654883002QF0F</t>
  </si>
  <si>
    <t>ES0031500654883004QD0F-30887453</t>
  </si>
  <si>
    <t>ES0031500654883004QD0F</t>
  </si>
  <si>
    <t>ES0031500659451001LE0F-30901998</t>
  </si>
  <si>
    <t>ES0031500659451001LE0F</t>
  </si>
  <si>
    <t>ES0031500673698001HV0F-30881473</t>
  </si>
  <si>
    <t>ES0031500673698001HV0F</t>
  </si>
  <si>
    <t>ES0031500676250001TY0F-30910853</t>
  </si>
  <si>
    <t>ES0031500676250001TY0F</t>
  </si>
  <si>
    <t>ES0031500677827001WB0F-30909517</t>
  </si>
  <si>
    <t>ES0031500677827001WB0F</t>
  </si>
  <si>
    <t>ES0031500679767001DF0F-30913695</t>
  </si>
  <si>
    <t>ES0031500679767001DF0F</t>
  </si>
  <si>
    <t>ES0031500688258001XM0F-30886560</t>
  </si>
  <si>
    <t>ES0031500688258001XM0F</t>
  </si>
  <si>
    <t>ES0031500690420001DM0F-30900450</t>
  </si>
  <si>
    <t>ES0031500690420001DM0F</t>
  </si>
  <si>
    <t>ES0031500690710001JK0F-30882653</t>
  </si>
  <si>
    <t>ES0031500690710001JK0F</t>
  </si>
  <si>
    <t>ES0031500690903001XM0F-30915236</t>
  </si>
  <si>
    <t>ES0031500690903001XM0F</t>
  </si>
  <si>
    <t>ES0031500691952001DK0F-30866450</t>
  </si>
  <si>
    <t>ES0031500691952001DK0F</t>
  </si>
  <si>
    <t>ES0031500692027001GH0F-30874013</t>
  </si>
  <si>
    <t>ES0031500692027001GH0F</t>
  </si>
  <si>
    <t>ES0031500692130001KR0F-30900829</t>
  </si>
  <si>
    <t>ES0031500692130001KR0F</t>
  </si>
  <si>
    <t>ES0031500692235001DY0F-30882232</t>
  </si>
  <si>
    <t>ES0031500692235001DY0F</t>
  </si>
  <si>
    <t>ES0031500692281001PY0F-30894055</t>
  </si>
  <si>
    <t>ES0031500692281001PY0F</t>
  </si>
  <si>
    <t>ES0031500692304001LY0F-30891782</t>
  </si>
  <si>
    <t>ES0031500692304001LY0F</t>
  </si>
  <si>
    <t>ES0031500692321001ED0F-30891783</t>
  </si>
  <si>
    <t>ES0031500692321001ED0F</t>
  </si>
  <si>
    <t>ES0031500692379001ZA0F-30863957</t>
  </si>
  <si>
    <t>ES0031500692379001ZA0F</t>
  </si>
  <si>
    <t>ES0031500692542001VW0F-30867948</t>
  </si>
  <si>
    <t>ES0031500692542001VW0F</t>
  </si>
  <si>
    <t>ES0031500692620001GD0F-30861324</t>
  </si>
  <si>
    <t>ES0031500692620001GD0F</t>
  </si>
  <si>
    <t>ES0031600062060017AC0F-30923100</t>
  </si>
  <si>
    <t>ES0031600062060017AC0F</t>
  </si>
  <si>
    <t>ES0031600063034002PR0F-30921454</t>
  </si>
  <si>
    <t>ES0031600063034002PR0F</t>
  </si>
  <si>
    <t>ES0031600063034006PM0F-30921204</t>
  </si>
  <si>
    <t>ES0031600063034006PM0F</t>
  </si>
  <si>
    <t>ES0031600213275002HX0F-30914115</t>
  </si>
  <si>
    <t>ES0031600213275002HX0F</t>
  </si>
  <si>
    <t>ES0031600396748002SD0F-30916841</t>
  </si>
  <si>
    <t>ES0031600396748002SD0F</t>
  </si>
  <si>
    <t>ES0031601003448002JY0F-30906022</t>
  </si>
  <si>
    <t>ES0031601003448002JY0F</t>
  </si>
  <si>
    <t>ES0031601031871002MC0F-30907198</t>
  </si>
  <si>
    <t>ES0031601031871002MC0F</t>
  </si>
  <si>
    <t>ES0031601031871003MK0F-30908719</t>
  </si>
  <si>
    <t>ES0031601031871003MK0F</t>
  </si>
  <si>
    <t>ES0031601031871004ME0F-30907204</t>
  </si>
  <si>
    <t>ES0031601031871004ME0F</t>
  </si>
  <si>
    <t>ES0031601042517004TN0F-30915242</t>
  </si>
  <si>
    <t>ES0031601042517004TN0F</t>
  </si>
  <si>
    <t>ES0031601059509009TP0F-30912483</t>
  </si>
  <si>
    <t>ES0031601059509009TP0F</t>
  </si>
  <si>
    <t>ES0031601103752004AL0F-30911099</t>
  </si>
  <si>
    <t>ES0031601103752004AL0F</t>
  </si>
  <si>
    <t>ES0031601106785001ZY0F-30906127</t>
  </si>
  <si>
    <t>ES0031601106785001ZY0F</t>
  </si>
  <si>
    <t>ES0031601116039012TJ0F-30914359</t>
  </si>
  <si>
    <t>ES0031601116039012TJ0F</t>
  </si>
  <si>
    <t>ES0031601135264017GP0F-30911363</t>
  </si>
  <si>
    <t>ES0031601135264017GP0F</t>
  </si>
  <si>
    <t>ES0031601137501018KY0F-30925800</t>
  </si>
  <si>
    <t>ES0031601137501018KY0F</t>
  </si>
  <si>
    <t>ES0031601159633048DX0F-30906212</t>
  </si>
  <si>
    <t>ES0031601159633048DX0F</t>
  </si>
  <si>
    <t>ES0031601178786003PZ0F-30921384</t>
  </si>
  <si>
    <t>ES0031601178786003PZ0F</t>
  </si>
  <si>
    <t>ES0031601206736003KT0F-30897177</t>
  </si>
  <si>
    <t>ES0031601206736003KT0F</t>
  </si>
  <si>
    <t>ES0031601206736004KR0F-30897168</t>
  </si>
  <si>
    <t>ES0031601206736004KR0F</t>
  </si>
  <si>
    <t>ES0031601206736005KW0F-30897173</t>
  </si>
  <si>
    <t>ES0031601206736005KW0F</t>
  </si>
  <si>
    <t>ES0031601206736007KG0F-30897182</t>
  </si>
  <si>
    <t>ES0031601206736007KG0F</t>
  </si>
  <si>
    <t>ES0031601206736008KM0F-30897174</t>
  </si>
  <si>
    <t>ES0031601206736008KM0F</t>
  </si>
  <si>
    <t>ES0031601206736009KY0F-30897171</t>
  </si>
  <si>
    <t>ES0031601206736009KY0F</t>
  </si>
  <si>
    <t>ES0031601206736010KF0F-30897176</t>
  </si>
  <si>
    <t>ES0031601206736010KF0F</t>
  </si>
  <si>
    <t>ES0031601206736011KP0F-30897178</t>
  </si>
  <si>
    <t>ES0031601206736011KP0F</t>
  </si>
  <si>
    <t>ES0031601207601080MR0F-30898435</t>
  </si>
  <si>
    <t>ES0031601207601080MR0F</t>
  </si>
  <si>
    <t>ES0031601212334001AM0F-30912969</t>
  </si>
  <si>
    <t>ES0031601212334001AM0F</t>
  </si>
  <si>
    <t>ES0031601214994013BK0F-30920606</t>
  </si>
  <si>
    <t>ES0031601214994013BK0F</t>
  </si>
  <si>
    <t>ES0031601218966023RT0F-30913852</t>
  </si>
  <si>
    <t>ES0031601218966023RT0F</t>
  </si>
  <si>
    <t>ES0031601222319007PK0F-30910490</t>
  </si>
  <si>
    <t>ES0031601222319007PK0F</t>
  </si>
  <si>
    <t>ES0031601228462005LH0F-30904181</t>
  </si>
  <si>
    <t>ES0031601228462005LH0F</t>
  </si>
  <si>
    <t>ES0031601232393004LH0F-30920140</t>
  </si>
  <si>
    <t>ES0031601232393004LH0F</t>
  </si>
  <si>
    <t>ES0031601241440005KS0F-30916015</t>
  </si>
  <si>
    <t>ES0031601241440005KS0F</t>
  </si>
  <si>
    <t>ES0031601242068004RE0F-30909608</t>
  </si>
  <si>
    <t>ES0031601242068004RE0F</t>
  </si>
  <si>
    <t>ES0031601242068011WY0F-30910127</t>
  </si>
  <si>
    <t>ES0031601242068011WY0F</t>
  </si>
  <si>
    <t>ES0031601242068012WF0F-30910394</t>
  </si>
  <si>
    <t>ES0031601242068012WF0F</t>
  </si>
  <si>
    <t>ES0031601257624001BS0F-30915241</t>
  </si>
  <si>
    <t>ES0031601257624001BS0F</t>
  </si>
  <si>
    <t>ES0031601267656002JZ0F-30912754</t>
  </si>
  <si>
    <t>ES0031601267656002JZ0F</t>
  </si>
  <si>
    <t>ES0031601320104009AV0F-30916252</t>
  </si>
  <si>
    <t>ES0031601320104009AV0F</t>
  </si>
  <si>
    <t>ES0031601321787014ZC0F-30906594</t>
  </si>
  <si>
    <t>ES0031601321787014ZC0F</t>
  </si>
  <si>
    <t>ES0031601324431001QL0F-30915362</t>
  </si>
  <si>
    <t>ES0031601324431001QL0F</t>
  </si>
  <si>
    <t>ES0031601325296001CN0F-30917358</t>
  </si>
  <si>
    <t>ES0031601325296001CN0F</t>
  </si>
  <si>
    <t>ES0031601327161001DB0F-30916122</t>
  </si>
  <si>
    <t>ES0031601332031001XZ0F-30911259</t>
  </si>
  <si>
    <t>ES0031601332031001XZ0F</t>
  </si>
  <si>
    <t>ES0031601333191001YD0F-30917028</t>
  </si>
  <si>
    <t>ES0031601333191001YD0F</t>
  </si>
  <si>
    <t>ES0031601333318001PA0F-30915244</t>
  </si>
  <si>
    <t>ES0031601333318001PA0F</t>
  </si>
  <si>
    <t>ES0031601333830014MJ0F-30915245</t>
  </si>
  <si>
    <t>ES0031601333830014MJ0F</t>
  </si>
  <si>
    <t>ES0031601335458001QZ0F-30915246</t>
  </si>
  <si>
    <t>ES0031601335458001QZ0F</t>
  </si>
  <si>
    <t>ES0031601336306002VM0F-30915247</t>
  </si>
  <si>
    <t>ES0031601336306002VM0F</t>
  </si>
  <si>
    <t>ES0031601336306003VY0F-30915171</t>
  </si>
  <si>
    <t>ES0031601336306003VY0F</t>
  </si>
  <si>
    <t>ES0031601336306004VF0F-30915173</t>
  </si>
  <si>
    <t>ES0031601336306004VF0F</t>
  </si>
  <si>
    <t>ES0031601336306005VP0F-30915180</t>
  </si>
  <si>
    <t>ES0031601336306005VP0F</t>
  </si>
  <si>
    <t>ES0031601336306006VD0F-30915177</t>
  </si>
  <si>
    <t>ES0031601336306006VD0F</t>
  </si>
  <si>
    <t>ES0031601336306007VX0F-30915176</t>
  </si>
  <si>
    <t>ES0031601336306007VX0F</t>
  </si>
  <si>
    <t>ES0031601336306008VB0F-30915178</t>
  </si>
  <si>
    <t>ES0031601336306008VB0F</t>
  </si>
  <si>
    <t>ES0031601336306009VN0F-30915179</t>
  </si>
  <si>
    <t>ES0031601336306009VN0F</t>
  </si>
  <si>
    <t>ES0031601336306010VJ0F-30915181</t>
  </si>
  <si>
    <t>ES0031601336306010VJ0F</t>
  </si>
  <si>
    <t>ES0031601336950001AG0F-30901902</t>
  </si>
  <si>
    <t>ES0031601336950001AG0F</t>
  </si>
  <si>
    <t>ES0031601338217001MA0F-30897451</t>
  </si>
  <si>
    <t>ES0031601338217001MA0F</t>
  </si>
  <si>
    <t>ES0031601338429001EN0F-30915182</t>
  </si>
  <si>
    <t>ES0031601338429001EN0F</t>
  </si>
  <si>
    <t>ES0031607020515003PT0F-30900015</t>
  </si>
  <si>
    <t>ES0031607020515003PT0F</t>
  </si>
  <si>
    <t>ES0031607027912003FQ0F-30900165</t>
  </si>
  <si>
    <t>ES0031607027912003FQ0F</t>
  </si>
  <si>
    <t>ES0031607107356001TJ0F-30917212</t>
  </si>
  <si>
    <t>ES0031607107356001TJ0F</t>
  </si>
  <si>
    <t>ES0031607273426023TF0F-30917788</t>
  </si>
  <si>
    <t>ES0031607273426023TF0F</t>
  </si>
  <si>
    <t>ES0031607277575024WS0F-30909063</t>
  </si>
  <si>
    <t>ES0031607277575024WS0F</t>
  </si>
  <si>
    <t>ES0031607297027002FL0F-30914345</t>
  </si>
  <si>
    <t>ES0031607297027002FL0F</t>
  </si>
  <si>
    <t>ES0031607298746001LK0F-30900387</t>
  </si>
  <si>
    <t>ES0031607298746001LK0F</t>
  </si>
  <si>
    <t>ES0031607351568032XE0F-30832746</t>
  </si>
  <si>
    <t>ES0031607351568032XE0F</t>
  </si>
  <si>
    <t>ES0031607387398005EC0F-30912737</t>
  </si>
  <si>
    <t>ES0031607387398005EC0F</t>
  </si>
  <si>
    <t>ES0031607388804002LG0F-30896492</t>
  </si>
  <si>
    <t>ES0031607388804002LG0F</t>
  </si>
  <si>
    <t>ES0031607410073085TK0F-30909322</t>
  </si>
  <si>
    <t>ES0031607410073085TK0F</t>
  </si>
  <si>
    <t>ES0031607410073120WX0F-30909023</t>
  </si>
  <si>
    <t>ES0031607410073120WX0F</t>
  </si>
  <si>
    <t>ES0031607436147001WX0F-30897383</t>
  </si>
  <si>
    <t>ES0031607436147001WX0F</t>
  </si>
  <si>
    <t>ES0031607451515004AB0F-30923703</t>
  </si>
  <si>
    <t>ES0031607451515004AB0F</t>
  </si>
  <si>
    <t>ES0031607451515005AN0F-30923704</t>
  </si>
  <si>
    <t>ES0031607451515005AN0F</t>
  </si>
  <si>
    <t>ES0031607459171002QE0F-30909558</t>
  </si>
  <si>
    <t>ES0031607459171002QE0F</t>
  </si>
  <si>
    <t>ES0031607468551001FT0F-30893939</t>
  </si>
  <si>
    <t>ES0031607468551001FT0F</t>
  </si>
  <si>
    <t>ES0031607486850013TM0F-30903794</t>
  </si>
  <si>
    <t>ES0031607486850013TM0F</t>
  </si>
  <si>
    <t>ES0031607500579001QV0F-30909111</t>
  </si>
  <si>
    <t>ES0031607500579001QV0F</t>
  </si>
  <si>
    <t>ES0031607502700002GG0F-30915183</t>
  </si>
  <si>
    <t>ES0031607502700002GG0F</t>
  </si>
  <si>
    <t>ES0031607528659050WX0F-30927338</t>
  </si>
  <si>
    <t>ES0031607528659050WX0F</t>
  </si>
  <si>
    <t>ES0031607542368018EN0F-30897983</t>
  </si>
  <si>
    <t>ES0031607542368018EN0F</t>
  </si>
  <si>
    <t>ES0031607568762045AK0F-30920662</t>
  </si>
  <si>
    <t>ES0031607568762045AK0F</t>
  </si>
  <si>
    <t>ES0031607576279002KA0F-30909725</t>
  </si>
  <si>
    <t>ES0031607576279002KA0F</t>
  </si>
  <si>
    <t>ES0031609078130036HG0F-30910016</t>
  </si>
  <si>
    <t>ES0031609078130036HG0F</t>
  </si>
  <si>
    <t>ES0031609419181001ZT0F-30913619</t>
  </si>
  <si>
    <t>ES0031609419181001ZT0F</t>
  </si>
  <si>
    <t>ES0031101311750002EY0F-30933953</t>
  </si>
  <si>
    <t>ES0031101311750002EY0F</t>
  </si>
  <si>
    <t>ES0031101314735011QY0F-30916708</t>
  </si>
  <si>
    <t>ES0031101314735011QY0F</t>
  </si>
  <si>
    <t>15/01/20188</t>
  </si>
  <si>
    <t>ES0031101317156009YR0F-30931321</t>
  </si>
  <si>
    <t>ES0031101317156009YR0F</t>
  </si>
  <si>
    <t>ES0031101317495006WR0F-30846390</t>
  </si>
  <si>
    <t>ES0031101317495006WR0F</t>
  </si>
  <si>
    <t>ES0031101319926182CP0F-30901202</t>
  </si>
  <si>
    <t>ES0031101319926182CP0F</t>
  </si>
  <si>
    <t>ES0031101320452014CZ0F-30846739</t>
  </si>
  <si>
    <t>ES0031101320452014CZ0F</t>
  </si>
  <si>
    <t>ES0031101321942008BE0F-30947658</t>
  </si>
  <si>
    <t>ES0031101321942008BE0F</t>
  </si>
  <si>
    <t>ES0031101325140042KK0F-30891676</t>
  </si>
  <si>
    <t>ES0031101325140042KK0F</t>
  </si>
  <si>
    <t>ES0031101329322012PQ0F-30910106</t>
  </si>
  <si>
    <t>ES0031101329322012PQ0F</t>
  </si>
  <si>
    <t>ES0031101357536002KK0F-30850700</t>
  </si>
  <si>
    <t>ES0031101357536002KK0F</t>
  </si>
  <si>
    <t>ES0031101384857001XX0F-30869608</t>
  </si>
  <si>
    <t>ES0031101384857001XX0F</t>
  </si>
  <si>
    <t>ES0031101399631032SZ0F-30945500</t>
  </si>
  <si>
    <t>ES0031101399631032SZ0F</t>
  </si>
  <si>
    <t>ES0031101408037001EN0F-30945118</t>
  </si>
  <si>
    <t>ES0031101408037001EN0F</t>
  </si>
  <si>
    <t>ES0031101471215015WQ0F-30874874</t>
  </si>
  <si>
    <t>ES0031101471215015WQ0F</t>
  </si>
  <si>
    <t>ES0031101494595007QW0F-30941606</t>
  </si>
  <si>
    <t>ES0031101494595007QW0F</t>
  </si>
  <si>
    <t>ES0031101518333001TH0F-30865568</t>
  </si>
  <si>
    <t>ES0031101518333001TH0F</t>
  </si>
  <si>
    <t>ES0031101531949001AH0F-30936992</t>
  </si>
  <si>
    <t>ES0031101531949001AH0F</t>
  </si>
  <si>
    <t>ES0031101567723001CW0F-30932421</t>
  </si>
  <si>
    <t>ES0031101567723001CW0F</t>
  </si>
  <si>
    <t>ES0031101605917005ME0F-30861494</t>
  </si>
  <si>
    <t>ES0031101605917005ME0F</t>
  </si>
  <si>
    <t>ES0031101633081005EX0F-30883239</t>
  </si>
  <si>
    <t>ES0031101633081005EX0F</t>
  </si>
  <si>
    <t>ES0031101636098006GD0F-30857421</t>
  </si>
  <si>
    <t>ES0031101636098006GD0F</t>
  </si>
  <si>
    <t>ES0031101643660001RH0F-30844869</t>
  </si>
  <si>
    <t>ES0031101643660001RH0F</t>
  </si>
  <si>
    <t>ES0031101674631001DT0F-30861059</t>
  </si>
  <si>
    <t>ES0031101674631001DT0F</t>
  </si>
  <si>
    <t>ES0031101699855001HS0F-30850835</t>
  </si>
  <si>
    <t>ES0031101699855001HS0F</t>
  </si>
  <si>
    <t>ES0031101727006010EF0F-30866994</t>
  </si>
  <si>
    <t>ES0031101727006010EF0F</t>
  </si>
  <si>
    <t>ES0031101728048004QD0F-30864493</t>
  </si>
  <si>
    <t>ES0031101728048004QD0F</t>
  </si>
  <si>
    <t>ES0031101757826003LT0F-30849252</t>
  </si>
  <si>
    <t>ES0031101757826003LT0F</t>
  </si>
  <si>
    <t>ES0031101790557003AE0F-30916646</t>
  </si>
  <si>
    <t>ES0031101790557003AE0F</t>
  </si>
  <si>
    <t>ES0031101905301024JX0F-30899210</t>
  </si>
  <si>
    <t>ES0031101905301024JX0F</t>
  </si>
  <si>
    <t>ES0031101906039008ZQ0F-30943939</t>
  </si>
  <si>
    <t>ES0031101906039008ZQ0F</t>
  </si>
  <si>
    <t>ES0031101906063003EE0F-30935031</t>
  </si>
  <si>
    <t>ES0031101906063003EE0F</t>
  </si>
  <si>
    <t>ES0031101910124007VP0F-30902869</t>
  </si>
  <si>
    <t>ES0031101910124007VP0F</t>
  </si>
  <si>
    <t>ES0031101912328001WG0F-30875403</t>
  </si>
  <si>
    <t>ES0031101912328001WG0F</t>
  </si>
  <si>
    <t>ES0031101915717001NT0F-30931510</t>
  </si>
  <si>
    <t>ES0031101915717001NT0F</t>
  </si>
  <si>
    <t>ES0031101928287001FV0F-30865191</t>
  </si>
  <si>
    <t>ES0031101928287001FV0F</t>
  </si>
  <si>
    <t>ES0031101929757003AC0F-30908960</t>
  </si>
  <si>
    <t>ES0031101929757003AC0F</t>
  </si>
  <si>
    <t>ES0031101962724001ZZ0F-30852544</t>
  </si>
  <si>
    <t>ES0031101962724001ZZ0F</t>
  </si>
  <si>
    <t>ES0031101974893001DJ0F-30934334</t>
  </si>
  <si>
    <t>ES0031101974893001DJ0F</t>
  </si>
  <si>
    <t>ES0031101982712001AW0F-30936074</t>
  </si>
  <si>
    <t>ES0031101982712001AW0F</t>
  </si>
  <si>
    <t>ES0031101987534003XP0F-30866961</t>
  </si>
  <si>
    <t>ES0031101987534003XP0F</t>
  </si>
  <si>
    <t>ES0031102000707001AD0F-30938741</t>
  </si>
  <si>
    <t>ES0031102000707001AD0F</t>
  </si>
  <si>
    <t>ES0031102013514007EV0F-30933973</t>
  </si>
  <si>
    <t>ES0031102013514007EV0F</t>
  </si>
  <si>
    <t>ES0031102015523009QS0F-30870034</t>
  </si>
  <si>
    <t>ES0031102015523009QS0F</t>
  </si>
  <si>
    <t>ES0031102020356018LB0F-30947690</t>
  </si>
  <si>
    <t>ES0031102020356018LB0F</t>
  </si>
  <si>
    <t>ES0031102034501001KV0F-30873735</t>
  </si>
  <si>
    <t>ES0031102034501001KV0F</t>
  </si>
  <si>
    <t>ES0031102054850005CR0F-30908898</t>
  </si>
  <si>
    <t>ES0031102054850005CR0F</t>
  </si>
  <si>
    <t>ES0031102054850006CW0F-30906278</t>
  </si>
  <si>
    <t>ES0031102054850006CW0F</t>
  </si>
  <si>
    <t>ES0031102054850007CA0F-30910882</t>
  </si>
  <si>
    <t>ES0031102054850007CA0F</t>
  </si>
  <si>
    <t>ES0031102063339001WL0F-30861659</t>
  </si>
  <si>
    <t>ES0031102063339001WL0F</t>
  </si>
  <si>
    <t>ES0031102075388005RJ0F-30864595</t>
  </si>
  <si>
    <t>ES0031102075388005RJ0F</t>
  </si>
  <si>
    <t>ES0031102077173001PW0F-30852613</t>
  </si>
  <si>
    <t>ES0031102077173001PW0F</t>
  </si>
  <si>
    <t>ES0031102079329005ED0F-30914312</t>
  </si>
  <si>
    <t>ES0031102079329005ED0F</t>
  </si>
  <si>
    <t>ES0031102106402003SY0F-30945501</t>
  </si>
  <si>
    <t>ES0031102106402003SY0F</t>
  </si>
  <si>
    <t>ES0031102106643002MB0F-30915185</t>
  </si>
  <si>
    <t>ES0031102106643002MB0F</t>
  </si>
  <si>
    <t>ES0031102110823007KL0F-30877609</t>
  </si>
  <si>
    <t>ES0031102110823007KL0F</t>
  </si>
  <si>
    <t>ES0031102111764004VV0F-30876415</t>
  </si>
  <si>
    <t>ES0031102111764004VV0F</t>
  </si>
  <si>
    <t>ES0031102117875008VJ0F-30932710</t>
  </si>
  <si>
    <t>ES0031102117875008VJ0F</t>
  </si>
  <si>
    <t>ES0031102118840002KL0F-30932429</t>
  </si>
  <si>
    <t>ES0031102118840002KL0F</t>
  </si>
  <si>
    <t>ES0031102119641024AC0F-30845926</t>
  </si>
  <si>
    <t>ES0031102119641024AC0F</t>
  </si>
  <si>
    <t>ES0031102122302001PN0F-30853469</t>
  </si>
  <si>
    <t>ES0031102122302001PN0F</t>
  </si>
  <si>
    <t>ES0031102122333008ES0F-30914455</t>
  </si>
  <si>
    <t>ES0031102122333008ES0F</t>
  </si>
  <si>
    <t>ES0031102122544001LY0F-30840784</t>
  </si>
  <si>
    <t>ES0031102122544001LY0F</t>
  </si>
  <si>
    <t>ES0031102123190005TD0F-30934578</t>
  </si>
  <si>
    <t>ES0031102123190005TD0F</t>
  </si>
  <si>
    <t>ES0031102123621001VP0F-30930307</t>
  </si>
  <si>
    <t>ES0031102159975001CR0F-30912881</t>
  </si>
  <si>
    <t>ES0031102159975001CR0F</t>
  </si>
  <si>
    <t>ES0031102160011001KY0F-30870757</t>
  </si>
  <si>
    <t>ES0031102160011001KY0F</t>
  </si>
  <si>
    <t>ES0031102218188001PR0F-30841290</t>
  </si>
  <si>
    <t>ES0031102218188001PR0F</t>
  </si>
  <si>
    <t>ES0031102225210031BQ0F-30939837</t>
  </si>
  <si>
    <t>ES0031102225210031BQ0F</t>
  </si>
  <si>
    <t>ES0031102226802006KT0F-30930357</t>
  </si>
  <si>
    <t>ES0031102226802006KT0F</t>
  </si>
  <si>
    <t>ES0031102226959004QT0F-30930369</t>
  </si>
  <si>
    <t>ES0031102226959004QT0F</t>
  </si>
  <si>
    <t>ES0031102228670019WE0F-30934102</t>
  </si>
  <si>
    <t>ES0031102228670019WE0F</t>
  </si>
  <si>
    <t>ES0031102229822039LH0F-30941334</t>
  </si>
  <si>
    <t>ES0031102229822039LH0F</t>
  </si>
  <si>
    <t>ES0031102230233016VP0F-30900697</t>
  </si>
  <si>
    <t>ES0031102230233016VP0F</t>
  </si>
  <si>
    <t>ES0031102238548004RJ0F-30947043</t>
  </si>
  <si>
    <t>ES0031102238548004RJ0F</t>
  </si>
  <si>
    <t>ES0031102239848002NM0F-30947413</t>
  </si>
  <si>
    <t>ES0031102239848002NM0F</t>
  </si>
  <si>
    <t>ES0031102241418029XY0F-30915422</t>
  </si>
  <si>
    <t>ES0031102241418029XY0F</t>
  </si>
  <si>
    <t>ES0031102248919014TR0F-30931924</t>
  </si>
  <si>
    <t>ES0031102248919014TR0F</t>
  </si>
  <si>
    <t>ES0031102257596016ST0F-30929885</t>
  </si>
  <si>
    <t>ES0031102257596016ST0F</t>
  </si>
  <si>
    <t>ES0031102272834001KW0F-30932175</t>
  </si>
  <si>
    <t>ES0031102272834001KW0F</t>
  </si>
  <si>
    <t>ES0031102284528006HW0F-30860780</t>
  </si>
  <si>
    <t>ES0031102284528006HW0F</t>
  </si>
  <si>
    <t>ES0031102304277010BX0F-30848635</t>
  </si>
  <si>
    <t>ES0031102304277010BX0F</t>
  </si>
  <si>
    <t>ES0031102308843001LH0F-30899219</t>
  </si>
  <si>
    <t>ES0031102308843001LH0F</t>
  </si>
  <si>
    <t>ES0031102326994001VQ0F-30931861</t>
  </si>
  <si>
    <t>ES0031102326994001VQ0F</t>
  </si>
  <si>
    <t>ES0031102337947006CF0F-30930245</t>
  </si>
  <si>
    <t>ES0031102337947006CF0F</t>
  </si>
  <si>
    <t>ES0031102338547001WR0F-30861016</t>
  </si>
  <si>
    <t>ES0031102338547001WR0F</t>
  </si>
  <si>
    <t>ES0031102338854012XP0F-30935953</t>
  </si>
  <si>
    <t>ES0031102338854012XP0F</t>
  </si>
  <si>
    <t>ES0031102370998002AA0F-30865193</t>
  </si>
  <si>
    <t>ES0031102370998002AA0F</t>
  </si>
  <si>
    <t>ES0031102386500006BF0F-30931657</t>
  </si>
  <si>
    <t>ES0031102386500006BF0F</t>
  </si>
  <si>
    <t>ES0031102418075003JY0F-30862236</t>
  </si>
  <si>
    <t>ES0031102418075003JY0F</t>
  </si>
  <si>
    <t>ES0031102468156010SP0F-30858626</t>
  </si>
  <si>
    <t>ES0031102468156010SP0F</t>
  </si>
  <si>
    <t>ES0031102481476001MD0F-30910928</t>
  </si>
  <si>
    <t>ES0031102481476001MD0F</t>
  </si>
  <si>
    <t>ES0031102487202002DE0F-30938917</t>
  </si>
  <si>
    <t>ES0031102487202002DE0F</t>
  </si>
  <si>
    <t>ES0031102496859001ZB0F-30839533</t>
  </si>
  <si>
    <t>ES0031102496859001ZB0F</t>
  </si>
  <si>
    <t>ES0031102510486021JZ0F-30898022</t>
  </si>
  <si>
    <t>ES0031102510486021JZ0F</t>
  </si>
  <si>
    <t>ES0031102512404007YF0F-30933491</t>
  </si>
  <si>
    <t>ES0031102512404007YF0F</t>
  </si>
  <si>
    <t>ES0031102516447002EQ0F-30914981</t>
  </si>
  <si>
    <t>ES0031102516447002EQ0F</t>
  </si>
  <si>
    <t>ES0031102517384002ML0F-30850608</t>
  </si>
  <si>
    <t>ES0031102517384002ML0F</t>
  </si>
  <si>
    <t>ES0031102529093001XV0F-30852439</t>
  </si>
  <si>
    <t>ES0031102529093001XV0F</t>
  </si>
  <si>
    <t>ES0031102552926001DA0F-30877708</t>
  </si>
  <si>
    <t>ES0031102552926001DA0F</t>
  </si>
  <si>
    <t>ES0031102554059002GR0F-30934535</t>
  </si>
  <si>
    <t>ES0031102554059002GR0F</t>
  </si>
  <si>
    <t>ES0031102564000001MD0F-30941434</t>
  </si>
  <si>
    <t>ES0031102564000001MD0F</t>
  </si>
  <si>
    <t>ES0031102568165002JD0F-30926569</t>
  </si>
  <si>
    <t>ES0031102568165002JD0F</t>
  </si>
  <si>
    <t>ES0031102568897012FK0F-30947612</t>
  </si>
  <si>
    <t>ES0031102568897012FK0F</t>
  </si>
  <si>
    <t>ES0031102589022042CM0F-30931323</t>
  </si>
  <si>
    <t>ES0031102589022042CM0F</t>
  </si>
  <si>
    <t>ES0031102637573007ZV0F-30900718</t>
  </si>
  <si>
    <t>ES0031102637573007ZV0F</t>
  </si>
  <si>
    <t>ES0031102677188001GH0F-30931515</t>
  </si>
  <si>
    <t>ES0031102677188001GH0F</t>
  </si>
  <si>
    <t>ES0031102691524001DA0F-30900293</t>
  </si>
  <si>
    <t>ES0031102691524001DA0F</t>
  </si>
  <si>
    <t>ES0031102721985002ZB0F-30944771</t>
  </si>
  <si>
    <t>ES0031102721985002ZB0F</t>
  </si>
  <si>
    <t>ES0031102723655006NP0F-30944556</t>
  </si>
  <si>
    <t>ES0031102723655006NP0F</t>
  </si>
  <si>
    <t>ES0031102738967004QD0F-30889673</t>
  </si>
  <si>
    <t>ES0031102738967004QD0F</t>
  </si>
  <si>
    <t>ES0031102742163003YC0F-30843498</t>
  </si>
  <si>
    <t>ES0031102742163003YC0F</t>
  </si>
  <si>
    <t>ES0031102758803029KY0F-30944661</t>
  </si>
  <si>
    <t>ES0031102758803029KY0F</t>
  </si>
  <si>
    <t>ES0031102787267001RY0F-30930579</t>
  </si>
  <si>
    <t>ES0031102787267001RY0F</t>
  </si>
  <si>
    <t>ES0031102788265005ZV0F-30931264</t>
  </si>
  <si>
    <t>ES0031102788265005ZV0F</t>
  </si>
  <si>
    <t>ES0031102802652004MX0F-30947366</t>
  </si>
  <si>
    <t>ES0031102802652004MX0F</t>
  </si>
  <si>
    <t>ES0031102847279007YK0F-30931175</t>
  </si>
  <si>
    <t>ES0031102847279007YK0F</t>
  </si>
  <si>
    <t>ES0031102847778029ZN0F-30865966</t>
  </si>
  <si>
    <t>ES0031102847778029ZN0F</t>
  </si>
  <si>
    <t>ES0031102858135003TV0F-30842789</t>
  </si>
  <si>
    <t>ES0031102858135003TV0F</t>
  </si>
  <si>
    <t>ES0031102858563007WZ0F-30871175</t>
  </si>
  <si>
    <t>ES0031102858563007WZ0F</t>
  </si>
  <si>
    <t>ES0031102869292005VH0F-30853488</t>
  </si>
  <si>
    <t>ES0031102869292005VH0F</t>
  </si>
  <si>
    <t>ES0031102872052015GM0F-30853349</t>
  </si>
  <si>
    <t>ES0031102872052015GM0F</t>
  </si>
  <si>
    <t>ES0031102882816002ES0F-30912896</t>
  </si>
  <si>
    <t>ES0031102882816002ES0F</t>
  </si>
  <si>
    <t>ES0031102888867002NZ0F-30867865</t>
  </si>
  <si>
    <t>ES0031102888867002NZ0F</t>
  </si>
  <si>
    <t>ES0031102889070011FW0F-30932487</t>
  </si>
  <si>
    <t>ES0031102889070011FW0F</t>
  </si>
  <si>
    <t>ES0031102935390012VG0F-30874367</t>
  </si>
  <si>
    <t>ES0031102935390012VG0F</t>
  </si>
  <si>
    <t>ES0031102939237049TS0F-30932917</t>
  </si>
  <si>
    <t>ES0031102939237049TS0F</t>
  </si>
  <si>
    <t>ES0031102991570001WD0F-30935528</t>
  </si>
  <si>
    <t>ES0031102991570001WD0F</t>
  </si>
  <si>
    <t>ES0031103005600001LD0F-30849992</t>
  </si>
  <si>
    <t>ES0031103005600001LD0F</t>
  </si>
  <si>
    <t>ES0031103006942018QE0F-30917390</t>
  </si>
  <si>
    <t>ES0031103006942018QE0F</t>
  </si>
  <si>
    <t>ES0031103007780001LT0F-30920577</t>
  </si>
  <si>
    <t>ES0031103007780001LT0F</t>
  </si>
  <si>
    <t>ES0031103033853002AV0F-30913486</t>
  </si>
  <si>
    <t>ES0031103033853002AV0F</t>
  </si>
  <si>
    <t>ES0031103060095001EM0F-30915192</t>
  </si>
  <si>
    <t>ES0031103060095001EM0F</t>
  </si>
  <si>
    <t>ES0031103079914061WB0F-30862756</t>
  </si>
  <si>
    <t>ES0031103079914061WB0F</t>
  </si>
  <si>
    <t>ES0031103084473460TM0F-30853417</t>
  </si>
  <si>
    <t>ES0031103084473460TM0F</t>
  </si>
  <si>
    <t>ES0031103088046001DW0F-30872672</t>
  </si>
  <si>
    <t>ES0031103088046001DW0F</t>
  </si>
  <si>
    <t>ES0031103088744001LK0F-30910610</t>
  </si>
  <si>
    <t>ES0031103088744001LK0F</t>
  </si>
  <si>
    <t>ES0031103090397001ZB0F-30849740</t>
  </si>
  <si>
    <t>ES0031103090397001ZB0F</t>
  </si>
  <si>
    <t>ES0031103094608088WM0F-30932068</t>
  </si>
  <si>
    <t>ES0031103094608088WM0F</t>
  </si>
  <si>
    <t>ES0031103094994025SW0F-30876093</t>
  </si>
  <si>
    <t>ES0031103094994025SW0F</t>
  </si>
  <si>
    <t>ES0031103101958001RS0F-30847687</t>
  </si>
  <si>
    <t>ES0031103101958001RS0F</t>
  </si>
  <si>
    <t>ES0031103109061014FF0F-30844756</t>
  </si>
  <si>
    <t>ES0031103109061014FF0F</t>
  </si>
  <si>
    <t>ES0031103109600002GJ0F-30920715</t>
  </si>
  <si>
    <t>ES0031103109600002GJ0F</t>
  </si>
  <si>
    <t>ES0031103111104097BT0F-30839891</t>
  </si>
  <si>
    <t>ES0031103111104097BT0F</t>
  </si>
  <si>
    <t>ES0031103111124010WH0F-30935432</t>
  </si>
  <si>
    <t>ES0031103111124010WH0F</t>
  </si>
  <si>
    <t>ES0031103113245002NL0F-30947322</t>
  </si>
  <si>
    <t>ES0031103113245002NL0F</t>
  </si>
  <si>
    <t>ES0031103114686003JR0F-30935932</t>
  </si>
  <si>
    <t>ES0031103114686003JR0F</t>
  </si>
  <si>
    <t>ES0031103115805046EW0F-30865580</t>
  </si>
  <si>
    <t>ES0031103115805046EW0F</t>
  </si>
  <si>
    <t>ES0031103116692014ZK0F-30933236</t>
  </si>
  <si>
    <t>ES0031103116692014ZK0F</t>
  </si>
  <si>
    <t>ES0031103118796027EV0F-30912361</t>
  </si>
  <si>
    <t>ES0031103118796027EV0F</t>
  </si>
  <si>
    <t>ES0031103119197013EK0F-30840763</t>
  </si>
  <si>
    <t>ES0031103119197013EK0F</t>
  </si>
  <si>
    <t>ES0031103119866006ZJ0F-30936731</t>
  </si>
  <si>
    <t>ES0031103119866006ZJ0F</t>
  </si>
  <si>
    <t>ES0031103121972004QQ0F-30933828</t>
  </si>
  <si>
    <t>ES0031103121972004QQ0F</t>
  </si>
  <si>
    <t>ES0031103124023009LL0F-30858357</t>
  </si>
  <si>
    <t>ES0031103124023009LL0F</t>
  </si>
  <si>
    <t>ES0031103126043001PJ0F-30932299</t>
  </si>
  <si>
    <t>ES0031103126043001PJ0F</t>
  </si>
  <si>
    <t>ES0031103126453010XR0F-30931503</t>
  </si>
  <si>
    <t>ES0031103126453010XR0F</t>
  </si>
  <si>
    <t>ES0031103148745001FR0F-30846709</t>
  </si>
  <si>
    <t>ES0031103148745001FR0F</t>
  </si>
  <si>
    <t>ES0031103179841001KR0F-30930345</t>
  </si>
  <si>
    <t>ES0031103179841001KR0F</t>
  </si>
  <si>
    <t>ES0031103188670002CS0F-30919660</t>
  </si>
  <si>
    <t>ES0031103188670002CS0F</t>
  </si>
  <si>
    <t>ES0031103209564001RD0F-30931167</t>
  </si>
  <si>
    <t>ES0031103209564001RD0F</t>
  </si>
  <si>
    <t>ES0031103218663002XA0F-30839716</t>
  </si>
  <si>
    <t>ES0031103218663002XA0F</t>
  </si>
  <si>
    <t>ES0031103232509023DR0F-30937645</t>
  </si>
  <si>
    <t>ES0031103232509023DR0F</t>
  </si>
  <si>
    <t>ES0031103284034004WZ0F-30901789</t>
  </si>
  <si>
    <t>ES0031103284034004WZ0F</t>
  </si>
  <si>
    <t>ES0031103288742001KA0F-30868674</t>
  </si>
  <si>
    <t>ES0031103288742001KA0F</t>
  </si>
  <si>
    <t>ES0031103303721001ZT0F-30846018</t>
  </si>
  <si>
    <t>ES0031103303721001ZT0F</t>
  </si>
  <si>
    <t>ES0031103309461016YC0F-30860120</t>
  </si>
  <si>
    <t>ES0031103309461016YC0F</t>
  </si>
  <si>
    <t>ES0031103314073012ZX0F-30943465</t>
  </si>
  <si>
    <t>ES0031103314073012ZX0F</t>
  </si>
  <si>
    <t>ES0031103322897027GY0F-30866788</t>
  </si>
  <si>
    <t>ES0031103322897027GY0F</t>
  </si>
  <si>
    <t>ES0031103330952002EJ0F-30930289</t>
  </si>
  <si>
    <t>ES0031103330952002EJ0F</t>
  </si>
  <si>
    <t>ES0031103337782001AR0F-30935759</t>
  </si>
  <si>
    <t>ES0031103337782001AR0F</t>
  </si>
  <si>
    <t>ES0031103350944005RW0F-30896508</t>
  </si>
  <si>
    <t>ES0031103350944005RW0F</t>
  </si>
  <si>
    <t>ES0031103409472001EJ0F-30935633</t>
  </si>
  <si>
    <t>ES0031103409472001EJ0F</t>
  </si>
  <si>
    <t>ES0031103435705001VH0F-30841465</t>
  </si>
  <si>
    <t>ES0031103435705001VH0F</t>
  </si>
  <si>
    <t>ES0031103489717050KV0F-30895714</t>
  </si>
  <si>
    <t>ES0031103489717050KV0F</t>
  </si>
  <si>
    <t>ES0031103490924013ND0F-30896908</t>
  </si>
  <si>
    <t>ES0031103490924013ND0F</t>
  </si>
  <si>
    <t>ES0031103496923026LR0F-30861276</t>
  </si>
  <si>
    <t>ES0031103496923026LR0F</t>
  </si>
  <si>
    <t>ES0031103517339001PA0F-30898409</t>
  </si>
  <si>
    <t>ES0031103517339001PA0F</t>
  </si>
  <si>
    <t>ES0031103518692001TM0F-30941568</t>
  </si>
  <si>
    <t>ES0031103518692001TM0F</t>
  </si>
  <si>
    <t>ES0031103540515003FD0F-30930878</t>
  </si>
  <si>
    <t>ES0031103540515003FD0F</t>
  </si>
  <si>
    <t>ES0031103554343005GC0F-30944796</t>
  </si>
  <si>
    <t>ES0031103554343005GC0F</t>
  </si>
  <si>
    <t>ES0031103562744050GQ0F-30937240</t>
  </si>
  <si>
    <t>ES0031103562744050GQ0F</t>
  </si>
  <si>
    <t>ES0031103581148001YB0F-30870383</t>
  </si>
  <si>
    <t>ES0031103581148001YB0F</t>
  </si>
  <si>
    <t>ES0031103601384005JV0F-30940543</t>
  </si>
  <si>
    <t>ES0031103601384005JV0F</t>
  </si>
  <si>
    <t>ES0031103640102001BC0F-30932122</t>
  </si>
  <si>
    <t>ES0031103640102001BC0F</t>
  </si>
  <si>
    <t>ES0031103660911008TF0F-30940331</t>
  </si>
  <si>
    <t>ES0031103660911008TF0F</t>
  </si>
  <si>
    <t>ES0031103688840002LD0F-30945258</t>
  </si>
  <si>
    <t>ES0031103688840002LD0F</t>
  </si>
  <si>
    <t>ES0031103696413001NM0F-30928856</t>
  </si>
  <si>
    <t>ES0031103696413001NM0F</t>
  </si>
  <si>
    <t>ES0031103713172001RD0F-30946854</t>
  </si>
  <si>
    <t>ES0031103713172001RD0F</t>
  </si>
  <si>
    <t>ES0031103728650003RT0F-30916383</t>
  </si>
  <si>
    <t>ES0031103728650003RT0F</t>
  </si>
  <si>
    <t>ES0031104065709008ZP0F-30933832</t>
  </si>
  <si>
    <t>ES0031104065709008ZP0F</t>
  </si>
  <si>
    <t>ES0031104079212001AT0F-30945882</t>
  </si>
  <si>
    <t>ES0031104091535006TL0F-30945513</t>
  </si>
  <si>
    <t>ES0031104091535006TL0F</t>
  </si>
  <si>
    <t>ES0031104133077001FN0F-30935559</t>
  </si>
  <si>
    <t>ES0031104133077001FN0F</t>
  </si>
  <si>
    <t>ES0031104140927003ZE0F-30934733</t>
  </si>
  <si>
    <t>ES0031104140927003ZE0F</t>
  </si>
  <si>
    <t>ES0031104149156015XW0F-30931252</t>
  </si>
  <si>
    <t>ES0031104149156015XW0F</t>
  </si>
  <si>
    <t>ES0031104156848008RJ0F-30933297</t>
  </si>
  <si>
    <t>ES0031104156848008RJ0F</t>
  </si>
  <si>
    <t>ES0031104159731014ES0F-30931049</t>
  </si>
  <si>
    <t>ES0031104159731014ES0F</t>
  </si>
  <si>
    <t>ES0031104214621001VL0F-30924577</t>
  </si>
  <si>
    <t>ES0031104214621001VL0F</t>
  </si>
  <si>
    <t>ES0031104228528001TT0F-30931618</t>
  </si>
  <si>
    <t>ES0031104228528001TT0F</t>
  </si>
  <si>
    <t>ES0031104230576002XN0F-30936689</t>
  </si>
  <si>
    <t>ES0031104230576002XN0F</t>
  </si>
  <si>
    <t>ES0031104236711043CX0F-30942737</t>
  </si>
  <si>
    <t>ES0031104236711043CX0F</t>
  </si>
  <si>
    <t>ES0031104250365027HK0F-30935875</t>
  </si>
  <si>
    <t>ES0031104250365027HK0F</t>
  </si>
  <si>
    <t>ES0031104272063024LW0F-30944051</t>
  </si>
  <si>
    <t>ES0031104272063024LW0F</t>
  </si>
  <si>
    <t>ES0031104315228001AM0F-30934716</t>
  </si>
  <si>
    <t>ES0031104315228001AM0F</t>
  </si>
  <si>
    <t>ES0031104316776009DK0F-30933174</t>
  </si>
  <si>
    <t>ES0031104316776009DK0F</t>
  </si>
  <si>
    <t>ES0031104336407001RF0F-30924813</t>
  </si>
  <si>
    <t>ES0031104336407001RF0F</t>
  </si>
  <si>
    <t>ES0031104351607028JR0F-30945294</t>
  </si>
  <si>
    <t>ES0031104351607028JR0F</t>
  </si>
  <si>
    <t>ES0031104369859017PH0F-30947062</t>
  </si>
  <si>
    <t>ES0031104369859017PH0F</t>
  </si>
  <si>
    <t>ES0031104371361003SN0F-30938979</t>
  </si>
  <si>
    <t>ES0031104371361003SN0F</t>
  </si>
  <si>
    <t>ES0031104371361004SJ0F-30944010</t>
  </si>
  <si>
    <t>ES0031104371361004SJ0F</t>
  </si>
  <si>
    <t>ES0031104371361006SS0F-30939645</t>
  </si>
  <si>
    <t>ES0031104371361006SS0F</t>
  </si>
  <si>
    <t>ES0031104371361007SQ0F-30943982</t>
  </si>
  <si>
    <t>ES0031104371361007SQ0F</t>
  </si>
  <si>
    <t>ES0031104371361008SV0F-30943958</t>
  </si>
  <si>
    <t>ES0031104371361008SV0F</t>
  </si>
  <si>
    <t>ES0031104371361009SH0F-30943934</t>
  </si>
  <si>
    <t>ES0031104371361009SH0F</t>
  </si>
  <si>
    <t>ES0031104418667020TC0F-30931082</t>
  </si>
  <si>
    <t>ES0031104418667020TC0F</t>
  </si>
  <si>
    <t>ES0031104423865001WR0F-30942071</t>
  </si>
  <si>
    <t>ES0031104423865001WR0F</t>
  </si>
  <si>
    <t>ES0031104429581009DA0F-30932976</t>
  </si>
  <si>
    <t>ES0031104429581009DA0F</t>
  </si>
  <si>
    <t>ES0031104430360001EP0F-30932427</t>
  </si>
  <si>
    <t>ES0031104430360001EP0F</t>
  </si>
  <si>
    <t>ES0031104443323001QR0F-30936417</t>
  </si>
  <si>
    <t>ES0031104443323001QR0F</t>
  </si>
  <si>
    <t>ES0031104445282006KG0F-30943806</t>
  </si>
  <si>
    <t>ES0031104445282006KG0F</t>
  </si>
  <si>
    <t>ES0031104494936011HE0F-30945618</t>
  </si>
  <si>
    <t>ES0031104494936011HE0F</t>
  </si>
  <si>
    <t>ES0031104494936015LA0F-30944394</t>
  </si>
  <si>
    <t>ES0031104494936015LA0F</t>
  </si>
  <si>
    <t>ES0031104501437007TE0F-30939233</t>
  </si>
  <si>
    <t>ES0031104501437007TE0F</t>
  </si>
  <si>
    <t>ES0031104515054002RM0F-30936787</t>
  </si>
  <si>
    <t>ES0031104515054002RM0F</t>
  </si>
  <si>
    <t>ES0031104524763001NZ0F-30945113</t>
  </si>
  <si>
    <t>ES0031104524763001NZ0F</t>
  </si>
  <si>
    <t>ES0031104529073010TF0F-30946636</t>
  </si>
  <si>
    <t>ES0031104529073010TF0F</t>
  </si>
  <si>
    <t>ES0031104532847010MY0F-30899754</t>
  </si>
  <si>
    <t>ES0031104532847010MY0F</t>
  </si>
  <si>
    <t>ES0031104555100001PZ0F-30947829</t>
  </si>
  <si>
    <t>ES0031104555100001PZ0F</t>
  </si>
  <si>
    <t>ES0031104564275001DS0F-30947866</t>
  </si>
  <si>
    <t>ES0031104564275001DS0F</t>
  </si>
  <si>
    <t>ES0031104576546001TD0F-30946918</t>
  </si>
  <si>
    <t>ES0031104576546001TD0F</t>
  </si>
  <si>
    <t>ES0031104579310002EP0F-30903675</t>
  </si>
  <si>
    <t>ES0031104579310002EP0F</t>
  </si>
  <si>
    <t>ES0031104589890029TN0F-30935687</t>
  </si>
  <si>
    <t>ES0031104589890029TN0F</t>
  </si>
  <si>
    <t>ES0031104593698001XN0F-30902997</t>
  </si>
  <si>
    <t>ES0031104593698001XN0F</t>
  </si>
  <si>
    <t>ES0031104602926001SK0F-30942009</t>
  </si>
  <si>
    <t>ES0031104602926001SK0F</t>
  </si>
  <si>
    <t>ES0031104612767004QZ0F-30945255</t>
  </si>
  <si>
    <t>ES0031104612767004QZ0F</t>
  </si>
  <si>
    <t>ES0031104635513015LZ0F-30914722</t>
  </si>
  <si>
    <t>ES0031104635513015LZ0F</t>
  </si>
  <si>
    <t>ES0031104644361013VG0F-30930538</t>
  </si>
  <si>
    <t>ES0031104644361013VG0F</t>
  </si>
  <si>
    <t>ES0031104649655016FM0F-30943024</t>
  </si>
  <si>
    <t>ES0031104649655016FM0F</t>
  </si>
  <si>
    <t>ES0031104663294001CJ0F-30932720</t>
  </si>
  <si>
    <t>ES0031104663294001CJ0F</t>
  </si>
  <si>
    <t>ES0031104682465001EF0F-30945799</t>
  </si>
  <si>
    <t>ES0031104682465001EF0F</t>
  </si>
  <si>
    <t>ES0031104685492010WD0F-30933154</t>
  </si>
  <si>
    <t>ES0031104685492010WD0F</t>
  </si>
  <si>
    <t>ES0031104692723001YF0F-30929952</t>
  </si>
  <si>
    <t>ES0031104692723001YF0F</t>
  </si>
  <si>
    <t>ES0031104695845004EJ0F-30939054</t>
  </si>
  <si>
    <t>ES0031104695845004EJ0F</t>
  </si>
  <si>
    <t>ES0031104696784053WH0F-30942779</t>
  </si>
  <si>
    <t>ES0031104696784053WH0F</t>
  </si>
  <si>
    <t>ES0031104702989003QM0F-30929793</t>
  </si>
  <si>
    <t>ES0031104702989003QM0F</t>
  </si>
  <si>
    <t>ES0031104729941002SY0F-30898518</t>
  </si>
  <si>
    <t>ES0031104729941002SY0F</t>
  </si>
  <si>
    <t>ES0031104733271009JG0F-30915977</t>
  </si>
  <si>
    <t>ES0031104733271009JG0F</t>
  </si>
  <si>
    <t>ES0031104733274004MD0F-30916116</t>
  </si>
  <si>
    <t>ES0031104733274004MD0F</t>
  </si>
  <si>
    <t>ES0031104733277003CH0F-30916408</t>
  </si>
  <si>
    <t>ES0031104733277003CH0F</t>
  </si>
  <si>
    <t>ES0031104733277021KJ0F-30916246</t>
  </si>
  <si>
    <t>ES0031104733277021KJ0F</t>
  </si>
  <si>
    <t>ES0031104733278007HX0F-30915490</t>
  </si>
  <si>
    <t>ES0031104733278007HX0F</t>
  </si>
  <si>
    <t>ES0031104737857001VA0F-30899879</t>
  </si>
  <si>
    <t>ES0031104737857001VA0F</t>
  </si>
  <si>
    <t>ES0031104738422024LP0F-30914585</t>
  </si>
  <si>
    <t>ES0031104738422024LP0F</t>
  </si>
  <si>
    <t>ES0031104756349001YA0F-30902055</t>
  </si>
  <si>
    <t>ES0031104756349001YA0F</t>
  </si>
  <si>
    <t>ES0031104766023001JL0F-30940315</t>
  </si>
  <si>
    <t>ES0031104766023001JL0F</t>
  </si>
  <si>
    <t>ES0031104780939001GJ0F-30931205</t>
  </si>
  <si>
    <t>ES0031104780939001GJ0F</t>
  </si>
  <si>
    <t>ES0031104789056019YD0F-30929593</t>
  </si>
  <si>
    <t>ES0031104789056019YD0F</t>
  </si>
  <si>
    <t>ES0031104790373015CW0F-30940547</t>
  </si>
  <si>
    <t>ES0031104790373015CW0F</t>
  </si>
  <si>
    <t>ES0031104819709001DV0F-30934554</t>
  </si>
  <si>
    <t>ES0031104819709001DV0F</t>
  </si>
  <si>
    <t>ES0031104825132010LV0F-30931678</t>
  </si>
  <si>
    <t>ES0031104825132010LV0F</t>
  </si>
  <si>
    <t>ES0031104829149001DN0F-30917996</t>
  </si>
  <si>
    <t>ES0031104829149001DN0F</t>
  </si>
  <si>
    <t>ES0031104837236002VY0F-30908978</t>
  </si>
  <si>
    <t>ES0031104837236002VY0F</t>
  </si>
  <si>
    <t>ES0031104878932015GD0F-30936130</t>
  </si>
  <si>
    <t>ES0031104878932015GD0F</t>
  </si>
  <si>
    <t>ES0031104883053010PW0F-30942153</t>
  </si>
  <si>
    <t>ES0031104883053010PW0F</t>
  </si>
  <si>
    <t>ES0031104887042010EC0F-30912796</t>
  </si>
  <si>
    <t>ES0031104887042010EC0F</t>
  </si>
  <si>
    <t>ES0031104887828001HD0F-30932289</t>
  </si>
  <si>
    <t>ES0031104887828001HD0F</t>
  </si>
  <si>
    <t>ES0031104893126001KM0F-30900565</t>
  </si>
  <si>
    <t>ES0031104893126001KM0F</t>
  </si>
  <si>
    <t>ES0031104895388005KM0F-30943010</t>
  </si>
  <si>
    <t>ES0031104895388005KM0F</t>
  </si>
  <si>
    <t>ES0031104896285010JX0F-30941544</t>
  </si>
  <si>
    <t>ES0031104896285010JX0F</t>
  </si>
  <si>
    <t>ES0031104903324001HN0F-30906034</t>
  </si>
  <si>
    <t>ES0031104903324001HN0F</t>
  </si>
  <si>
    <t>ES0031104922024011NX0F-30916914</t>
  </si>
  <si>
    <t>ES0031104922024011NX0F</t>
  </si>
  <si>
    <t>ES0031104925982008JY0F-30932577</t>
  </si>
  <si>
    <t>ES0031104936837001DB0F-30915848</t>
  </si>
  <si>
    <t>ES0031104936837001DB0F</t>
  </si>
  <si>
    <t>ES0031104968085021DR0F-30912779</t>
  </si>
  <si>
    <t>ES0031104968085021DR0F</t>
  </si>
  <si>
    <t>ES0031104983997001VY0F-30916770</t>
  </si>
  <si>
    <t>ES0031104983997001VY0F</t>
  </si>
  <si>
    <t>ES0031104987553005CA0F-30934178</t>
  </si>
  <si>
    <t>ES0031104987553005CA0F</t>
  </si>
  <si>
    <t>ES0031104990209001SM0F-30912897</t>
  </si>
  <si>
    <t>ES0031104990209001SM0F</t>
  </si>
  <si>
    <t>ES0031105038459008BZ0F-30919206</t>
  </si>
  <si>
    <t>ES0031105038459008BZ0F</t>
  </si>
  <si>
    <t>ES0031105052713007SQ0F-30921524</t>
  </si>
  <si>
    <t>ES0031105052713007SQ0F</t>
  </si>
  <si>
    <t>ES0031105059157006AJ0F-30913191</t>
  </si>
  <si>
    <t>ES0031105059157006AJ0F</t>
  </si>
  <si>
    <t>ES0031105069870008JY0F-30936060</t>
  </si>
  <si>
    <t>ES0031105069870008JY0F</t>
  </si>
  <si>
    <t>ES0031105073320001YE0F-30898877</t>
  </si>
  <si>
    <t>ES0031105073320001YE0F</t>
  </si>
  <si>
    <t>ES0031105074755001EY0F-30942081</t>
  </si>
  <si>
    <t>ES0031105074755001EY0F</t>
  </si>
  <si>
    <t>ES0031105079113001AN0F-30945524</t>
  </si>
  <si>
    <t>ES0031105079113001AN0F</t>
  </si>
  <si>
    <t>ES0031105106516001SF0F-30906963</t>
  </si>
  <si>
    <t>ES0031105106516001SF0F</t>
  </si>
  <si>
    <t>ES0031105107398004EY0F-30920938</t>
  </si>
  <si>
    <t>ES0031105107398004EY0F</t>
  </si>
  <si>
    <t>ES0031105142234001BL0F-30936248</t>
  </si>
  <si>
    <t>ES0031105142234001BL0F</t>
  </si>
  <si>
    <t>ES0031105151915001RC0F-30923482</t>
  </si>
  <si>
    <t>ES0031105151915001RC0F</t>
  </si>
  <si>
    <t>ES0031105199844001WX0F-30939103</t>
  </si>
  <si>
    <t>ES0031105199844001WX0F</t>
  </si>
  <si>
    <t>ES0031105215000001PE0F-30917706</t>
  </si>
  <si>
    <t>ES0031105215000001PE0F</t>
  </si>
  <si>
    <t>ES0031105217185001HE0F-30930442</t>
  </si>
  <si>
    <t>ES0031105217185001HE0F</t>
  </si>
  <si>
    <t>ES0031105222122001NA0F-30932544</t>
  </si>
  <si>
    <t>ES0031105222122001NA0F</t>
  </si>
  <si>
    <t>ES0031105226327001BM0F-30930605</t>
  </si>
  <si>
    <t>ES0031105226327001BM0F</t>
  </si>
  <si>
    <t>ES0031105238568005PH0F-30898698</t>
  </si>
  <si>
    <t>ES0031105238568005PH0F</t>
  </si>
  <si>
    <t>ES0031105241279001AG0F-30932929</t>
  </si>
  <si>
    <t>ES0031105241279001AG0F</t>
  </si>
  <si>
    <t>ES0031105244861006DN0F-30921854</t>
  </si>
  <si>
    <t>ES0031105244861006DN0F</t>
  </si>
  <si>
    <t>ES0031105245047001TY0F-30915198</t>
  </si>
  <si>
    <t>ES0031105245047001TY0F</t>
  </si>
  <si>
    <t>ES0031105253040019SH0F-30911057</t>
  </si>
  <si>
    <t>ES0031105253040019SH0F</t>
  </si>
  <si>
    <t>ES0031105253043017PA0F-30911248</t>
  </si>
  <si>
    <t>ES0031105253043017PA0F</t>
  </si>
  <si>
    <t>ES0031105253749001KW0F-30935827</t>
  </si>
  <si>
    <t>ES0031105253749001KW0F</t>
  </si>
  <si>
    <t>ES0031105254546001NY0F-30898878</t>
  </si>
  <si>
    <t>ES0031105254546001NY0F</t>
  </si>
  <si>
    <t>ES0031105266762001AQ0F-30915200</t>
  </si>
  <si>
    <t>ES0031105266762001AQ0F</t>
  </si>
  <si>
    <t>ES0031105272985030KG0F-30911950</t>
  </si>
  <si>
    <t>ES0031105272985030KG0F</t>
  </si>
  <si>
    <t>ES0031105276290001BJ0F-30906502</t>
  </si>
  <si>
    <t>ES0031105276290001BJ0F</t>
  </si>
  <si>
    <t>ES0031105276820001DR0F-30906501</t>
  </si>
  <si>
    <t>ES0031105276820001DR0F</t>
  </si>
  <si>
    <t>ES0031105284702001GQ0F-30930874</t>
  </si>
  <si>
    <t>ES0031105284702001GQ0F</t>
  </si>
  <si>
    <t>ES0031105287788001LZ0F-30931808</t>
  </si>
  <si>
    <t>ES0031105287788001LZ0F</t>
  </si>
  <si>
    <t>ES0031105296629026JT0F-30900134</t>
  </si>
  <si>
    <t>ES0031105296629026JT0F</t>
  </si>
  <si>
    <t>ES0031105299632004YY0F-30931245</t>
  </si>
  <si>
    <t>ES0031105299632004YY0F</t>
  </si>
  <si>
    <t>ES0031105299940001BX0F-30933979</t>
  </si>
  <si>
    <t>ES0031105299940001BX0F</t>
  </si>
  <si>
    <t>ES0031105302665004QL0F-30915201</t>
  </si>
  <si>
    <t>ES0031105302665004QL0F</t>
  </si>
  <si>
    <t>ES0031105304299001JG0F-30911063</t>
  </si>
  <si>
    <t>ES0031105304299001JG0F</t>
  </si>
  <si>
    <t>ES0031105304302001MZ0F-30911194</t>
  </si>
  <si>
    <t>ES0031105304302001MZ0F</t>
  </si>
  <si>
    <t>ES0031105308130001ND0F-30945957</t>
  </si>
  <si>
    <t>ES0031105308130001ND0F</t>
  </si>
  <si>
    <t>ES0031105308513006NH0F-30896926</t>
  </si>
  <si>
    <t>ES0031105308513006NH0F</t>
  </si>
  <si>
    <t>ES0031105308513022JB0F-30917649</t>
  </si>
  <si>
    <t>ES0031105308513022JB0F</t>
  </si>
  <si>
    <t>ES0031105309780001ZN0F-30914848</t>
  </si>
  <si>
    <t>ES0031105309780001ZN0F</t>
  </si>
  <si>
    <t>ES0031105309788001VP0F-30913449</t>
  </si>
  <si>
    <t>ES0031105309788001VP0F</t>
  </si>
  <si>
    <t>ES0031105314261001FZ0F-30931365</t>
  </si>
  <si>
    <t>ES0031105314261001FZ0F</t>
  </si>
  <si>
    <t>ES0031105315827007ZL0F-30908506</t>
  </si>
  <si>
    <t>ES0031105315827007ZL0F</t>
  </si>
  <si>
    <t>ES0031105316577014DL0F-30900888</t>
  </si>
  <si>
    <t>ES0031105316577014DL0F</t>
  </si>
  <si>
    <t>ES0031105316580024WQ0F-30916492</t>
  </si>
  <si>
    <t>ES0031105316580024WQ0F</t>
  </si>
  <si>
    <t>ES0031105319151001GF0F-30910038</t>
  </si>
  <si>
    <t>ES0031105319151001GF0F</t>
  </si>
  <si>
    <t>ES0031105319269013YY0F-30908919</t>
  </si>
  <si>
    <t>ES0031105319269013YY0F</t>
  </si>
  <si>
    <t>ES0031105319786001JT0F-30930350</t>
  </si>
  <si>
    <t>ES0031105319786001JT0F</t>
  </si>
  <si>
    <t>ES0031105320100001AG0F-30947306</t>
  </si>
  <si>
    <t>ES0031105320100001AG0F</t>
  </si>
  <si>
    <t>ES0031105320879001QV0F-30897617</t>
  </si>
  <si>
    <t>ES0031105320879001QV0F</t>
  </si>
  <si>
    <t>ES0031105321722001YK0F-30906084</t>
  </si>
  <si>
    <t>ES0031105321722001YK0F</t>
  </si>
  <si>
    <t>ES0031105322329001VM0F-30942084</t>
  </si>
  <si>
    <t>ES0031105322329001VM0F</t>
  </si>
  <si>
    <t>ES0031105324407006KY0F-30909368</t>
  </si>
  <si>
    <t>ES0031105324407006KY0F</t>
  </si>
  <si>
    <t>ES0031105324409010QD0F-30909773</t>
  </si>
  <si>
    <t>ES0031105324409010QD0F</t>
  </si>
  <si>
    <t>ES0031105325249001JV0F-30933185</t>
  </si>
  <si>
    <t>ES0031105325249001JV0F</t>
  </si>
  <si>
    <t>ES0031105326102001RQ0F-30912390</t>
  </si>
  <si>
    <t>ES0031105326102001RQ0F</t>
  </si>
  <si>
    <t>ES0031105326568001EJ0F-30912786</t>
  </si>
  <si>
    <t>ES0031105326568001EJ0F</t>
  </si>
  <si>
    <t>ES0031105326998001LM0F-30928510</t>
  </si>
  <si>
    <t>ES0031105326998001LM0F</t>
  </si>
  <si>
    <t>ES0031105327137007JE0F-30917004</t>
  </si>
  <si>
    <t>ES0031105327137007JE0F</t>
  </si>
  <si>
    <t>ES0031105327965001HQ0F-30929559</t>
  </si>
  <si>
    <t>ES0031105327965001HQ0F</t>
  </si>
  <si>
    <t>ES0031105328522001VW0F-30913178</t>
  </si>
  <si>
    <t>ES0031105328522001VW0F</t>
  </si>
  <si>
    <t>ES0031105331376001LR0F-30935115</t>
  </si>
  <si>
    <t>ES0031105331376001LR0F</t>
  </si>
  <si>
    <t>ES0031105331743001JJ0F-30916462</t>
  </si>
  <si>
    <t>ES0031105331743001JJ0F</t>
  </si>
  <si>
    <t>ES0031105332408001SZ0F-30902392</t>
  </si>
  <si>
    <t>ES0031105332408001SZ0F</t>
  </si>
  <si>
    <t>ES0031105332422001AF0F-30906250</t>
  </si>
  <si>
    <t>ES0031105332422001AF0F</t>
  </si>
  <si>
    <t>ES0031105332961001RW0F-30912917</t>
  </si>
  <si>
    <t>ES0031105332961001RW0F</t>
  </si>
  <si>
    <t>ES0031105333011001JT0F-30913589</t>
  </si>
  <si>
    <t>ES0031105333011001JT0F</t>
  </si>
  <si>
    <t>ES0031105333276001BV0F-30920121</t>
  </si>
  <si>
    <t>ES0031105333276001BV0F</t>
  </si>
  <si>
    <t>ES0031105333317001TP0F-30931400</t>
  </si>
  <si>
    <t>ES0031105333317001TP0F</t>
  </si>
  <si>
    <t>ES0031105333548001SL0F-30922674</t>
  </si>
  <si>
    <t>ES0031105333548001SL0F</t>
  </si>
  <si>
    <t>ES0031105333673001EZ0F-30912078</t>
  </si>
  <si>
    <t>ES0031105333673001EZ0F</t>
  </si>
  <si>
    <t>ES0031105333698001MJ0F-30895694</t>
  </si>
  <si>
    <t>ES0031105333698001MJ0F</t>
  </si>
  <si>
    <t>ES0031105333726001AE0F-30915204</t>
  </si>
  <si>
    <t>ES0031105333726001AE0F</t>
  </si>
  <si>
    <t>ES0031105333835001MW0F-30941067</t>
  </si>
  <si>
    <t>ES0031105333835001MW0F</t>
  </si>
  <si>
    <t>ES0031105334050001ZK0F-30906138</t>
  </si>
  <si>
    <t>ES0031105334050001ZK0F</t>
  </si>
  <si>
    <t>ES0031105334343001NR0F-30915205</t>
  </si>
  <si>
    <t>ES0031105334343001NR0F</t>
  </si>
  <si>
    <t>ES0031105334613001KG0F-30910824</t>
  </si>
  <si>
    <t>ES0031105334613001KG0F</t>
  </si>
  <si>
    <t>ES0031105334772001BM0F-30915207</t>
  </si>
  <si>
    <t>ES0031105334772001BM0F</t>
  </si>
  <si>
    <t>ES0031105334815001VH0F-30906452</t>
  </si>
  <si>
    <t>ES0031105334815001VH0F</t>
  </si>
  <si>
    <t>ES0031105334827001XN0F-30902871</t>
  </si>
  <si>
    <t>ES0031105334827001XN0F</t>
  </si>
  <si>
    <t>ES0031105334860001LF0F-30915206</t>
  </si>
  <si>
    <t>ES0031105334860001LF0F</t>
  </si>
  <si>
    <t>ES0031105335026001ZQ0F-30915209</t>
  </si>
  <si>
    <t>ES0031105335026001ZQ0F</t>
  </si>
  <si>
    <t>ES0031105335194001MR0F-30900071</t>
  </si>
  <si>
    <t>ES0031105335194001MR0F</t>
  </si>
  <si>
    <t>ES0031105335210001XQ0F-30931229</t>
  </si>
  <si>
    <t>ES0031105335210001XQ0F</t>
  </si>
  <si>
    <t>ES0031105335356001XN0F-30915211</t>
  </si>
  <si>
    <t>ES0031105335356001XN0F</t>
  </si>
  <si>
    <t>ES0031105335357001PT0F-30941915</t>
  </si>
  <si>
    <t>ES0031105335357001PT0F</t>
  </si>
  <si>
    <t>ES0031105335485001FM0F-30906131</t>
  </si>
  <si>
    <t>ES0031105335485001FM0F</t>
  </si>
  <si>
    <t>ES0031105335527001QF0F-30906000</t>
  </si>
  <si>
    <t>ES0031105335527001QF0F</t>
  </si>
  <si>
    <t>ES0031105335537001ZW0F-30910139</t>
  </si>
  <si>
    <t>ES0031105335537001ZW0F</t>
  </si>
  <si>
    <t>ES0031105335604001YA0F-30914447</t>
  </si>
  <si>
    <t>ES0031105335604001YA0F</t>
  </si>
  <si>
    <t>ES0031105335677001YR0F-30915212</t>
  </si>
  <si>
    <t>ES0031105335677001YR0F</t>
  </si>
  <si>
    <t>ES0031105335728001SX0F-30899784</t>
  </si>
  <si>
    <t>ES0031105335728001SX0F</t>
  </si>
  <si>
    <t>ES0031300012258013TB0F-30943582</t>
  </si>
  <si>
    <t>ES0031300012258013TB0F</t>
  </si>
  <si>
    <t>ES0031300012480012SZ0F-30932557</t>
  </si>
  <si>
    <t>ES0031300012480012SZ0F</t>
  </si>
  <si>
    <t>ES0031300013733015FT0F-30931501</t>
  </si>
  <si>
    <t>ES0031300013733015FT0F</t>
  </si>
  <si>
    <t>ES0031300013901058EM0F-30943258</t>
  </si>
  <si>
    <t>ES0031300013901058EM0F</t>
  </si>
  <si>
    <t>ES0031300014069016XV0F-30940980</t>
  </si>
  <si>
    <t>ES0031300014069016XV0F</t>
  </si>
  <si>
    <t>ES0031300016327008CF0F-30945241</t>
  </si>
  <si>
    <t>ES0031300016327008CF0F</t>
  </si>
  <si>
    <t>ES0031300017824060LN0F-30947327</t>
  </si>
  <si>
    <t>ES0031300017824060LN0F</t>
  </si>
  <si>
    <t>ES0031300019848004LW0F-30932644</t>
  </si>
  <si>
    <t>ES0031300019848004LW0F</t>
  </si>
  <si>
    <t>ES0031300020079018NG0F-30930568</t>
  </si>
  <si>
    <t>ES0031300020079018NG0F</t>
  </si>
  <si>
    <t>ES0031300020098003DZ0F-30931006</t>
  </si>
  <si>
    <t>ES0031300020098003DZ0F</t>
  </si>
  <si>
    <t>ES0031300020173009GV0F-30936846</t>
  </si>
  <si>
    <t>ES0031300020173009GV0F</t>
  </si>
  <si>
    <t>ES0031300023535029ZN0F-30931754</t>
  </si>
  <si>
    <t>ES0031300023535029ZN0F</t>
  </si>
  <si>
    <t>ES0031300030650049JM0F-30935614</t>
  </si>
  <si>
    <t>ES0031300030650049JM0F</t>
  </si>
  <si>
    <t>ES0031300044744023MQ0F-30941323</t>
  </si>
  <si>
    <t>ES0031300044744023MQ0F</t>
  </si>
  <si>
    <t>ES0031300044796013NA0F-30937921</t>
  </si>
  <si>
    <t>ES0031300044796013NA0F</t>
  </si>
  <si>
    <t>ES0031300044846011TE0F-30936994</t>
  </si>
  <si>
    <t>ES0031300044846011TE0F</t>
  </si>
  <si>
    <t>ES0031300045893006MB0F-30933684</t>
  </si>
  <si>
    <t>ES0031300045893006MB0F</t>
  </si>
  <si>
    <t>ES0031300050070037FN0F-30934264</t>
  </si>
  <si>
    <t>ES0031300050070037FN0F</t>
  </si>
  <si>
    <t>ES0031300106115001XW0F-30942443</t>
  </si>
  <si>
    <t>ES0031300106115001XW0F</t>
  </si>
  <si>
    <t>ES0031300136287001PG0F-30947778</t>
  </si>
  <si>
    <t>ES0031300136287001PG0F</t>
  </si>
  <si>
    <t>ES0031300151260001QG0F-30942862</t>
  </si>
  <si>
    <t>ES0031300151260001QG0F</t>
  </si>
  <si>
    <t>ES0031300183037002ZK0F-30937102</t>
  </si>
  <si>
    <t>ES0031300183037002ZK0F</t>
  </si>
  <si>
    <t>ES0031300203653133NX0F-30943595</t>
  </si>
  <si>
    <t>ES0031300203653133NX0F</t>
  </si>
  <si>
    <t>ES0031300257510120JJ0F-30934338</t>
  </si>
  <si>
    <t>ES0031300257510120JJ0F</t>
  </si>
  <si>
    <t>ES0031300275273008LR0F-30937726</t>
  </si>
  <si>
    <t>ES0031300275273008LR0F</t>
  </si>
  <si>
    <t>ES0031300501345080MJ0F-30946949</t>
  </si>
  <si>
    <t>ES0031300501345080MJ0F</t>
  </si>
  <si>
    <t>ES0031300503200009QS0F-30935773</t>
  </si>
  <si>
    <t>ES0031300503200009QS0F</t>
  </si>
  <si>
    <t>ES0031300503720001QT0F-30933092</t>
  </si>
  <si>
    <t>ES0031300503720001QT0F</t>
  </si>
  <si>
    <t>ES0031300514572002CA0F-30936467</t>
  </si>
  <si>
    <t>ES0031300514572002CA0F</t>
  </si>
  <si>
    <t>ES0031300527907001HQ0F-30890781</t>
  </si>
  <si>
    <t>ES0031300527907001HQ0F</t>
  </si>
  <si>
    <t>ES0031300542637009HL0F-30944787</t>
  </si>
  <si>
    <t>ES0031300542637009HL0F</t>
  </si>
  <si>
    <t>ES0031300545329005SA0F-30945724</t>
  </si>
  <si>
    <t>ES0031300545329005SA0F</t>
  </si>
  <si>
    <t>ES0031300562635046YQ0F-30942155</t>
  </si>
  <si>
    <t>ES0031300562635046YQ0F</t>
  </si>
  <si>
    <t>ES0031300562635070FV0F-30942273</t>
  </si>
  <si>
    <t>ES0031300562635070FV0F</t>
  </si>
  <si>
    <t>ES0031300563191001MS0F-30940898</t>
  </si>
  <si>
    <t>ES0031300563191001MS0F</t>
  </si>
  <si>
    <t>ES0031300564020001PA0F-30934894</t>
  </si>
  <si>
    <t>ES0031300564020001PA0F</t>
  </si>
  <si>
    <t>ES0031300635488007NV0F-30946033</t>
  </si>
  <si>
    <t>ES0031300635488007NV0F</t>
  </si>
  <si>
    <t>ES0031300638891001XT0F-30931787</t>
  </si>
  <si>
    <t>ES0031300638891001XT0F</t>
  </si>
  <si>
    <t>ES0031300652380009BZ0F-30940086</t>
  </si>
  <si>
    <t>ES0031300652380009BZ0F</t>
  </si>
  <si>
    <t>ES0031300653158030MZ0F-30921556</t>
  </si>
  <si>
    <t>ES0031300653158030MZ0F</t>
  </si>
  <si>
    <t>ES0031300669785006GZ0F-30937829</t>
  </si>
  <si>
    <t>ES0031300669785006GZ0F</t>
  </si>
  <si>
    <t>ES0031300669858011GV0F-30932728</t>
  </si>
  <si>
    <t>ES0031300669858011GV0F</t>
  </si>
  <si>
    <t>ES0031300681455016QP0F-30945934</t>
  </si>
  <si>
    <t>ES0031300681455016QP0F</t>
  </si>
  <si>
    <t>ES0031300687125001TX0F-30919691</t>
  </si>
  <si>
    <t>ES0031300687125001TX0F</t>
  </si>
  <si>
    <t>ES0031300694686018RF0F-30932391</t>
  </si>
  <si>
    <t>ES0031300694686018RF0F</t>
  </si>
  <si>
    <t>ES0031300698208001CT0F-30945980</t>
  </si>
  <si>
    <t>ES0031300698208001CT0F</t>
  </si>
  <si>
    <t>ES0031300699294005HJ0F-30944800</t>
  </si>
  <si>
    <t>ES0031300699294005HJ0F</t>
  </si>
  <si>
    <t>ES0031300702341002QQ0F-30940952</t>
  </si>
  <si>
    <t>ES0031300702341002QQ0F</t>
  </si>
  <si>
    <t>ES0031300702624003QW0F-30945725</t>
  </si>
  <si>
    <t>ES0031300711458032GF0F-30934476</t>
  </si>
  <si>
    <t>ES0031300711458032GF0F</t>
  </si>
  <si>
    <t>ES0031300711937011ZB0F-30930927</t>
  </si>
  <si>
    <t>ES0031300711937011ZB0F</t>
  </si>
  <si>
    <t>ES0031300720762006TK0F-30921243</t>
  </si>
  <si>
    <t>ES0031300720762006TK0F</t>
  </si>
  <si>
    <t>ES0031300801112001PE0F-30935157</t>
  </si>
  <si>
    <t>ES0031300801112001PE0F</t>
  </si>
  <si>
    <t>ES0031300807918001GT0F-30944082</t>
  </si>
  <si>
    <t>ES0031300807918001GT0F</t>
  </si>
  <si>
    <t>ES0031300822959008RL0F-30938882</t>
  </si>
  <si>
    <t>ES0031300822959008RL0F</t>
  </si>
  <si>
    <t>ES0031300837810006HD0F-30941518</t>
  </si>
  <si>
    <t>ES0031300837810006HD0F</t>
  </si>
  <si>
    <t>ES0031300840263011LH0F-30939086</t>
  </si>
  <si>
    <t>ES0031300840263011LH0F</t>
  </si>
  <si>
    <t>ES0031300842321001GZ0F-30940273</t>
  </si>
  <si>
    <t>ES0031300842321001GZ0F</t>
  </si>
  <si>
    <t>ES0031300844195001QC0F-30941351</t>
  </si>
  <si>
    <t>ES0031300844195001QC0F</t>
  </si>
  <si>
    <t>ES0031300844793001AC0F-30918976</t>
  </si>
  <si>
    <t>ES0031300844793001AC0F</t>
  </si>
  <si>
    <t>ES0031300845146001XQ0F-30939018</t>
  </si>
  <si>
    <t>ES0031300845146001XQ0F</t>
  </si>
  <si>
    <t>ES0031300845162001QP0F-30936401</t>
  </si>
  <si>
    <t>ES0031300845162001QP0F</t>
  </si>
  <si>
    <t>ES0031300845834001TV0F-30945491</t>
  </si>
  <si>
    <t>ES0031300845834001TV0F</t>
  </si>
  <si>
    <t>ES0031300845905001MQ0F-30923212</t>
  </si>
  <si>
    <t>ES0031300845905001MQ0F</t>
  </si>
  <si>
    <t>ES0031405007389001BZ0F-30931367</t>
  </si>
  <si>
    <t>ES0031405007389001BZ0F</t>
  </si>
  <si>
    <t>ES0031405007406001ZV0F-30930028</t>
  </si>
  <si>
    <t>ES0031405007406001ZV0F</t>
  </si>
  <si>
    <t>ES0031405025711025QP0F-30893411</t>
  </si>
  <si>
    <t>ES0031405025711025QP0F</t>
  </si>
  <si>
    <t>ES0031405029269013JB0F-30896904</t>
  </si>
  <si>
    <t>ES0031405029269013JB0F</t>
  </si>
  <si>
    <t>ES0031405032542005QB0F-30933268</t>
  </si>
  <si>
    <t>ES0031405032542005QB0F</t>
  </si>
  <si>
    <t>ES0031405032779004QH0F-30929318</t>
  </si>
  <si>
    <t>ES0031405034601029TY0F-30930510</t>
  </si>
  <si>
    <t>ES0031405034601029TY0F</t>
  </si>
  <si>
    <t>ES0031405044480001HH0F-30933098</t>
  </si>
  <si>
    <t>ES0031405058914001YT0F-30912023</t>
  </si>
  <si>
    <t>ES0031405058914001YT0F</t>
  </si>
  <si>
    <t>ES0031405074563002BP0F-30904204</t>
  </si>
  <si>
    <t>ES0031405074563002BP0F</t>
  </si>
  <si>
    <t>ES0031405076845007YE0F-30930329</t>
  </si>
  <si>
    <t>ES0031405076845007YE0F</t>
  </si>
  <si>
    <t>ES0031405079528017AJ0F-30899705</t>
  </si>
  <si>
    <t>ES0031405079528017AJ0F</t>
  </si>
  <si>
    <t>ES0031405171374010RZ0F-30891108</t>
  </si>
  <si>
    <t>ES0031405171374010RZ0F</t>
  </si>
  <si>
    <t>ES0031405220083001NL0F-30897188</t>
  </si>
  <si>
    <t>ES0031405220083001NL0F</t>
  </si>
  <si>
    <t>ES0031405229006001MP0F-30884265</t>
  </si>
  <si>
    <t>ES0031405229006001MP0F</t>
  </si>
  <si>
    <t>ES0031405231184001XT0F-30891759</t>
  </si>
  <si>
    <t>ES0031405231184001XT0F</t>
  </si>
  <si>
    <t>ES0031405265399012WG0F-30899120</t>
  </si>
  <si>
    <t>ES0031405265399012WG0F</t>
  </si>
  <si>
    <t>ES0031405271251007XV0F-30943018</t>
  </si>
  <si>
    <t>ES0031405271251007XV0F</t>
  </si>
  <si>
    <t>ES0031405271346017RZ0F-30895026</t>
  </si>
  <si>
    <t>ES0031405271346017RZ0F</t>
  </si>
  <si>
    <t>ES0031405274041009JG0F-30884273</t>
  </si>
  <si>
    <t>ES0031405274041009JG0F</t>
  </si>
  <si>
    <t>ES0031405280207001BH0F-30934783</t>
  </si>
  <si>
    <t>ES0031405280207001BH0F</t>
  </si>
  <si>
    <t>ES0031405280384001WX0F-30881111</t>
  </si>
  <si>
    <t>ES0031405280384001WX0F</t>
  </si>
  <si>
    <t>ES0031405287191001VE0F-30885089</t>
  </si>
  <si>
    <t>ES0031405287191001VE0F</t>
  </si>
  <si>
    <t>ES0031405298123004GX0F-30900364</t>
  </si>
  <si>
    <t>ES0031405298123004GX0F</t>
  </si>
  <si>
    <t>ES0031405303516001CJ0F-30867577</t>
  </si>
  <si>
    <t>ES0031405303516001CJ0F</t>
  </si>
  <si>
    <t>ES0031405401944013GP0F-30913022</t>
  </si>
  <si>
    <t>ES0031405401944013GP0F</t>
  </si>
  <si>
    <t>ES0031405402272035YG0F-30944793</t>
  </si>
  <si>
    <t>ES0031405402272035YG0F</t>
  </si>
  <si>
    <t>ES0031405407787001NF0F-30944078</t>
  </si>
  <si>
    <t>ES0031405407787001NF0F</t>
  </si>
  <si>
    <t>ES0031405409080007VE0F-30919753</t>
  </si>
  <si>
    <t>ES0031405409080007VE0F</t>
  </si>
  <si>
    <t>ES0031405412662029WR0F-30947951</t>
  </si>
  <si>
    <t>ES0031405412662029WR0F</t>
  </si>
  <si>
    <t>ES0031405414470017LM0F-30944895</t>
  </si>
  <si>
    <t>ES0031405414470017LM0F</t>
  </si>
  <si>
    <t>ES0031405416644001XY0F-30910903</t>
  </si>
  <si>
    <t>ES0031405416644001XY0F</t>
  </si>
  <si>
    <t>ES0031405423194035PP0F-30900564</t>
  </si>
  <si>
    <t>ES0031405423194035PP0F</t>
  </si>
  <si>
    <t>ES0031405423284037BB0F-30895593</t>
  </si>
  <si>
    <t>ES0031405423284037BB0F</t>
  </si>
  <si>
    <t>ES0031405424408011GK0F-30900647</t>
  </si>
  <si>
    <t>ES0031405424408011GK0F</t>
  </si>
  <si>
    <t>ES0031405425819010BQ0F-30930590</t>
  </si>
  <si>
    <t>ES0031405425819010BQ0F</t>
  </si>
  <si>
    <t>ES0031405428448007MK0F-30890530</t>
  </si>
  <si>
    <t>ES0031405428448007MK0F</t>
  </si>
  <si>
    <t>ES0031405429401008VV0F-30936629</t>
  </si>
  <si>
    <t>ES0031405429401008VV0F</t>
  </si>
  <si>
    <t>ES0031405429401009VH0F-30936759</t>
  </si>
  <si>
    <t>ES0031405429401009VH0F</t>
  </si>
  <si>
    <t>ES0031405429401010VL0F-30939673</t>
  </si>
  <si>
    <t>ES0031405429401010VL0F</t>
  </si>
  <si>
    <t>ES0031405429401011VC0F-30939858</t>
  </si>
  <si>
    <t>ES0031405429401011VC0F</t>
  </si>
  <si>
    <t>ES0031405430854019BA0F-30946537</t>
  </si>
  <si>
    <t>ES0031405430854019BA0F</t>
  </si>
  <si>
    <t>ES0031405431114018EX0F-30887180</t>
  </si>
  <si>
    <t>ES0031405431114018EX0F</t>
  </si>
  <si>
    <t>ES0031405431144002SW0F-30896975</t>
  </si>
  <si>
    <t>ES0031405431144002SW0F</t>
  </si>
  <si>
    <t>ES0031405431710010ZA0F-30901483</t>
  </si>
  <si>
    <t>ES0031405431710010ZA0F</t>
  </si>
  <si>
    <t>ES0031405435530010HW0F-30899552</t>
  </si>
  <si>
    <t>ES0031405435530010HW0F</t>
  </si>
  <si>
    <t>ES0031405436274007GH0F-30887523</t>
  </si>
  <si>
    <t>ES0031405436274007GH0F</t>
  </si>
  <si>
    <t>ES0031405437192001NJ0F-30899477</t>
  </si>
  <si>
    <t>ES0031405437192001NJ0F</t>
  </si>
  <si>
    <t>ES0031405439378001CR0F-30941271</t>
  </si>
  <si>
    <t>ES0031405439378001CR0F</t>
  </si>
  <si>
    <t>ES0031405440747005VE0F-30901803</t>
  </si>
  <si>
    <t>ES0031405440747005VE0F</t>
  </si>
  <si>
    <t>ES0031405441990028NX0F-30901863</t>
  </si>
  <si>
    <t>ES0031405441990028NX0F</t>
  </si>
  <si>
    <t>ES0031405442469003EX0F-30901928</t>
  </si>
  <si>
    <t>ES0031405442469003EX0F</t>
  </si>
  <si>
    <t>ES0031405442983011ZZ0F-30941750</t>
  </si>
  <si>
    <t>ES0031405442983011ZZ0F</t>
  </si>
  <si>
    <t>ES0031405443009019HD0F-30902005</t>
  </si>
  <si>
    <t>ES0031405443009019HD0F</t>
  </si>
  <si>
    <t>ES0031405445334012CR0F-30945296</t>
  </si>
  <si>
    <t>ES0031405445334012CR0F</t>
  </si>
  <si>
    <t>ES0031405446157011ZZ0F-30940002</t>
  </si>
  <si>
    <t>ES0031405446157011ZZ0F</t>
  </si>
  <si>
    <t>ES0031405446174012VH0F-30902163</t>
  </si>
  <si>
    <t>ES0031405446174012VH0F</t>
  </si>
  <si>
    <t>ES0031405448553011KN0F-30902272</t>
  </si>
  <si>
    <t>ES0031405448553011KN0F</t>
  </si>
  <si>
    <t>ES0031405450015012ZH0F-30881626</t>
  </si>
  <si>
    <t>ES0031405450015012ZH0F</t>
  </si>
  <si>
    <t>ES0031405456338034DH0F-30902317</t>
  </si>
  <si>
    <t>ES0031405456338034DH0F</t>
  </si>
  <si>
    <t>ES0031405456613012MP0F-30947025</t>
  </si>
  <si>
    <t>ES0031405456613012MP0F</t>
  </si>
  <si>
    <t>ES0031405457045002LN0F-30899476</t>
  </si>
  <si>
    <t>ES0031405457045002LN0F</t>
  </si>
  <si>
    <t>ES0031405458654001XT0F-30913432</t>
  </si>
  <si>
    <t>ES0031405458654001XT0F</t>
  </si>
  <si>
    <t>ES0031405458654007XY0F-30883295</t>
  </si>
  <si>
    <t>ES0031405458654007XY0F</t>
  </si>
  <si>
    <t>ES0031405458654008XF0F-30882974</t>
  </si>
  <si>
    <t>ES0031405458654008XF0F</t>
  </si>
  <si>
    <t>ES0031405458897019LT0F-30885541</t>
  </si>
  <si>
    <t>ES0031405458897019LT0F</t>
  </si>
  <si>
    <t>ES0031405459472017VK0F-30902483</t>
  </si>
  <si>
    <t>ES0031405459472017VK0F</t>
  </si>
  <si>
    <t>ES0031405459915027MM0F-30944789</t>
  </si>
  <si>
    <t>ES0031405459915027MM0F</t>
  </si>
  <si>
    <t>ES0031405462107009LH0F-30929718</t>
  </si>
  <si>
    <t>ES0031405462383044SF0F-30912978</t>
  </si>
  <si>
    <t>ES0031405462383044SF0F</t>
  </si>
  <si>
    <t>ES0031405464271022ZF0F-30936263</t>
  </si>
  <si>
    <t>ES0031405464271022ZF0F</t>
  </si>
  <si>
    <t>ES0031405467310005DT0F-30935644</t>
  </si>
  <si>
    <t>ES0031405467310005DT0F</t>
  </si>
  <si>
    <t>ES0031405468401015HM0F-30941797</t>
  </si>
  <si>
    <t>ES0031405468401015HM0F</t>
  </si>
  <si>
    <t>ES0031405472367005KJ0F-30883225</t>
  </si>
  <si>
    <t>ES0031405472367005KJ0F</t>
  </si>
  <si>
    <t>ES0031405472444019NT0F-30898162</t>
  </si>
  <si>
    <t>ES0031405472444019NT0F</t>
  </si>
  <si>
    <t>ES0031405472477040KQ0F-30946843</t>
  </si>
  <si>
    <t>ES0031405472477040KQ0F</t>
  </si>
  <si>
    <t>ES0031405472727024BJ0F-30921315</t>
  </si>
  <si>
    <t>ES0031405472727024BJ0F</t>
  </si>
  <si>
    <t>ES0031405473390006VC0F-30922299</t>
  </si>
  <si>
    <t>ES0031405473390006VC0F</t>
  </si>
  <si>
    <t>ES0031405474224004FS0F-30892490</t>
  </si>
  <si>
    <t>ES0031405474224004FS0F</t>
  </si>
  <si>
    <t>ES0031405491130001VT0F-30945911</t>
  </si>
  <si>
    <t>ES0031405491130001VT0F</t>
  </si>
  <si>
    <t>ES0031405492401012DP0F-30929264</t>
  </si>
  <si>
    <t>ES0031405492401012DP0F</t>
  </si>
  <si>
    <t>ES0031405492666001FZ0F-30942673</t>
  </si>
  <si>
    <t>ES0031405492666001FZ0F</t>
  </si>
  <si>
    <t>ES0031405492879005ES0F-30933485</t>
  </si>
  <si>
    <t>ES0031405492879005ES0F</t>
  </si>
  <si>
    <t>ES0031405494003003VA0F-30901882</t>
  </si>
  <si>
    <t>ES0031405494003003VA0F</t>
  </si>
  <si>
    <t>ES0031405494994001WT0F-30900460</t>
  </si>
  <si>
    <t>ES0031405494994001WT0F</t>
  </si>
  <si>
    <t>ES0031405499606029XE0F-30900422</t>
  </si>
  <si>
    <t>ES0031405499606029XE0F</t>
  </si>
  <si>
    <t>ES0031405503011002WY0F-30929390</t>
  </si>
  <si>
    <t>ES0031405503011002WY0F</t>
  </si>
  <si>
    <t>ES0031405519606021ZL0F-30898589</t>
  </si>
  <si>
    <t>ES0031405519606021ZL0F</t>
  </si>
  <si>
    <t>ES0031405524075001ZF0F-30929338</t>
  </si>
  <si>
    <t>ES0031405524075001ZF0F</t>
  </si>
  <si>
    <t>ES0031405538737007RL0F-30882148</t>
  </si>
  <si>
    <t>ES0031405538737007RL0F</t>
  </si>
  <si>
    <t>ES0031405538856007TV0F-30931865</t>
  </si>
  <si>
    <t>ES0031405538856007TV0F</t>
  </si>
  <si>
    <t>ES0031405540398010EP0F-30898412</t>
  </si>
  <si>
    <t>ES0031405540398010EP0F</t>
  </si>
  <si>
    <t>ES0031405544825005JD0F-30902984</t>
  </si>
  <si>
    <t>ES0031405544825005JD0F</t>
  </si>
  <si>
    <t>ES0031405565441003MA0F-30943752</t>
  </si>
  <si>
    <t>ES0031405565441003MA0F</t>
  </si>
  <si>
    <t>ES0031405574826005MQ0F-30887676</t>
  </si>
  <si>
    <t>ES0031405574826005MQ0F</t>
  </si>
  <si>
    <t>ES0031405584479001CG0F-30934454</t>
  </si>
  <si>
    <t>ES0031405584479001CG0F</t>
  </si>
  <si>
    <t>ES0031405585036001HJ0F-30947486</t>
  </si>
  <si>
    <t>ES0031405585036001HJ0F</t>
  </si>
  <si>
    <t>ES0031405589011011TW0F-30892200</t>
  </si>
  <si>
    <t>ES0031405589011011TW0F</t>
  </si>
  <si>
    <t>ES0031405607814001DD0F-30882710</t>
  </si>
  <si>
    <t>ES0031405607814001DD0F</t>
  </si>
  <si>
    <t>ES0031405630756003TV0F-30943218</t>
  </si>
  <si>
    <t>ES0031405630756003TV0F</t>
  </si>
  <si>
    <t>ES0031405637368015WN0F-30882810</t>
  </si>
  <si>
    <t>ES0031405637368015WN0F</t>
  </si>
  <si>
    <t>ES0031405651059008TW0F-30897566</t>
  </si>
  <si>
    <t>ES0031405651059008TW0F</t>
  </si>
  <si>
    <t>ES0031405651862029TR0F-30890572</t>
  </si>
  <si>
    <t>ES0031405651862029TR0F</t>
  </si>
  <si>
    <t>ES0031405653103008CS0F-30896954</t>
  </si>
  <si>
    <t>ES0031405653103008CS0F</t>
  </si>
  <si>
    <t>ES0031405662394002GK0F-30923105</t>
  </si>
  <si>
    <t>ES0031405662394002GK0F</t>
  </si>
  <si>
    <t>ES0031405676177016RD0F-30900651</t>
  </si>
  <si>
    <t>ES0031405676177016RD0F</t>
  </si>
  <si>
    <t>ES0031405676478014RY0F-30893309</t>
  </si>
  <si>
    <t>ES0031405676478014RY0F</t>
  </si>
  <si>
    <t>ES0031405677156001SE0F-30915189</t>
  </si>
  <si>
    <t>ES0031405677156001SE0F</t>
  </si>
  <si>
    <t>ES0031405692248001EC0F-30930556</t>
  </si>
  <si>
    <t>ES0031405692248001EC0F</t>
  </si>
  <si>
    <t>ES0031405699500002CY0F-30943586</t>
  </si>
  <si>
    <t>ES0031405699500002CY0F</t>
  </si>
  <si>
    <t>ES0031405712698006LN0F-30898351</t>
  </si>
  <si>
    <t>ES0031405712698006LN0F</t>
  </si>
  <si>
    <t>ES0031405740442003EY0F-30890352</t>
  </si>
  <si>
    <t>ES0031405740442003EY0F</t>
  </si>
  <si>
    <t>ES0031405793202001FM0F-30932414</t>
  </si>
  <si>
    <t>ES0031405793202001FM0F</t>
  </si>
  <si>
    <t>ES0031405813367010DV0F-30887554</t>
  </si>
  <si>
    <t>ES0031405813367010DV0F</t>
  </si>
  <si>
    <t>ES0031405854911001BM0F-30921211</t>
  </si>
  <si>
    <t>ES0031405854911001BM0F</t>
  </si>
  <si>
    <t>ES0031405887543010QM0F-30946183</t>
  </si>
  <si>
    <t>ES0031405887543010QM0F</t>
  </si>
  <si>
    <t>ES0031405892959009CX0F-30929372</t>
  </si>
  <si>
    <t>ES0031405892959009CX0F</t>
  </si>
  <si>
    <t>ES0031405893502003FC0F-30933367</t>
  </si>
  <si>
    <t>ES0031405893502003FC0F</t>
  </si>
  <si>
    <t>ES0031405903859012HZ0F-30930583</t>
  </si>
  <si>
    <t>ES0031405903859012HZ0F</t>
  </si>
  <si>
    <t>ES0031405931248004LP0F-30944548</t>
  </si>
  <si>
    <t>ES0031405931248004LP0F</t>
  </si>
  <si>
    <t>ES0031405941110001NL0F-30886731</t>
  </si>
  <si>
    <t>ES0031405941110001NL0F</t>
  </si>
  <si>
    <t>ES0031405943405008KV0F-30881505</t>
  </si>
  <si>
    <t>ES0031405943405008KV0F</t>
  </si>
  <si>
    <t>ES0031405948100004GT0F-30906360</t>
  </si>
  <si>
    <t>ES0031405948100004GT0F</t>
  </si>
  <si>
    <t>ES0031405969597003MA0F-30894111</t>
  </si>
  <si>
    <t>ES0031405969597003MA0F</t>
  </si>
  <si>
    <t>ES0031405970076026VM0F-30902714</t>
  </si>
  <si>
    <t>ES0031405970076026VM0F</t>
  </si>
  <si>
    <t>ES0031405970815005SV0F-30887229</t>
  </si>
  <si>
    <t>ES0031405970815005SV0F</t>
  </si>
  <si>
    <t>ES0031405971311009FA0F-30929602</t>
  </si>
  <si>
    <t>ES0031405971311009FA0F</t>
  </si>
  <si>
    <t>ES0031405974092014DD0F-30929597</t>
  </si>
  <si>
    <t>ES0031405974092014DD0F</t>
  </si>
  <si>
    <t>ES0031405975970017BQ0F-30943588</t>
  </si>
  <si>
    <t>ES0031405975970017BQ0F</t>
  </si>
  <si>
    <t>ES0031405977816020WQ0F-30883355</t>
  </si>
  <si>
    <t>ES0031405977816020WQ0F</t>
  </si>
  <si>
    <t>ES0031405978330014VY0F-30883513</t>
  </si>
  <si>
    <t>ES0031405978330014VY0F</t>
  </si>
  <si>
    <t>ES0031405978471003YM0F-30932558</t>
  </si>
  <si>
    <t>ES0031405978471003YM0F</t>
  </si>
  <si>
    <t>ES0031405978482013RK0F-30903687</t>
  </si>
  <si>
    <t>ES0031405978482013RK0F</t>
  </si>
  <si>
    <t>ES0031405978498006FY0F-30883220</t>
  </si>
  <si>
    <t>ES0031405978498006FY0F</t>
  </si>
  <si>
    <t>ES0031405978498007FF0F-30883654</t>
  </si>
  <si>
    <t>ES0031405978498007FF0F</t>
  </si>
  <si>
    <t>ES0031405978498009FD0F-30881916</t>
  </si>
  <si>
    <t>ES0031405978498009FD0F</t>
  </si>
  <si>
    <t>ES0031405978498011FB0F-30882422</t>
  </si>
  <si>
    <t>ES0031405978498011FB0F</t>
  </si>
  <si>
    <t>ES0031405978498014FZ0F-30882142</t>
  </si>
  <si>
    <t>ES0031405978498014FZ0F</t>
  </si>
  <si>
    <t>ES0031405978498015FS0F-30881632</t>
  </si>
  <si>
    <t>ES0031405978498015FS0F</t>
  </si>
  <si>
    <t>ES0031405979259006CM0F-30901209</t>
  </si>
  <si>
    <t>ES0031405979259006CM0F</t>
  </si>
  <si>
    <t>ES0031405980463016CB0F-30902424</t>
  </si>
  <si>
    <t>ES0031405980463016CB0F</t>
  </si>
  <si>
    <t>ES0031405980696023PM0F-30883514</t>
  </si>
  <si>
    <t>ES0031405980696023PM0F</t>
  </si>
  <si>
    <t>ES0031405982322041WS0F-30903773</t>
  </si>
  <si>
    <t>ES0031405982322041WS0F</t>
  </si>
  <si>
    <t>ES0031405982438005FJ0F-30940471</t>
  </si>
  <si>
    <t>ES0031405982438005FJ0F</t>
  </si>
  <si>
    <t>ES0031405984421004CK0F-30903788</t>
  </si>
  <si>
    <t>ES0031405984421004CK0F</t>
  </si>
  <si>
    <t>ES0031405985341007RR0F-30944599</t>
  </si>
  <si>
    <t>ES0031405985341007RR0F</t>
  </si>
  <si>
    <t>ES0031405988409014SS0F-30946957</t>
  </si>
  <si>
    <t>ES0031405988409014SS0F</t>
  </si>
  <si>
    <t>ES0031405990155008MX0F-30887107</t>
  </si>
  <si>
    <t>ES0031405990155008MX0F</t>
  </si>
  <si>
    <t>ES0031405991684009JV0F-30896415</t>
  </si>
  <si>
    <t>ES0031405991684009JV0F</t>
  </si>
  <si>
    <t>ES0031405992378015BK0F-30937199</t>
  </si>
  <si>
    <t>ES0031405992448015LD0F-30881321</t>
  </si>
  <si>
    <t>ES0031405992448015LD0F</t>
  </si>
  <si>
    <t>ES0031405994060026WL0F-30892246</t>
  </si>
  <si>
    <t>ES0031405994060026WL0F</t>
  </si>
  <si>
    <t>ES0031405994394005XS0F-30903806</t>
  </si>
  <si>
    <t>ES0031405994394005XS0F</t>
  </si>
  <si>
    <t>ES0031406003935017DY0F-30903816</t>
  </si>
  <si>
    <t>ES0031406003935017DY0F</t>
  </si>
  <si>
    <t>ES0031406007356001YQ0F-30938783</t>
  </si>
  <si>
    <t>ES0031406043156012AK0F-30900171</t>
  </si>
  <si>
    <t>ES0031406043156012AK0F</t>
  </si>
  <si>
    <t>ES0031406100355007HV0F-30881510</t>
  </si>
  <si>
    <t>ES0031406100355007HV0F</t>
  </si>
  <si>
    <t>ES0031406108981012RX0F-30909730</t>
  </si>
  <si>
    <t>ES0031406108981012RX0F</t>
  </si>
  <si>
    <t>ES0031406118389001NX0F-30942944</t>
  </si>
  <si>
    <t>ES0031406118389001NX0F</t>
  </si>
  <si>
    <t>ES0031406121036005FJ0F-30944627</t>
  </si>
  <si>
    <t>ES0031406121036005FJ0F</t>
  </si>
  <si>
    <t>ES0031406125538025VJ0F-30886947</t>
  </si>
  <si>
    <t>ES0031406125538025VJ0F</t>
  </si>
  <si>
    <t>ES0031406127622003MF0F-30881792</t>
  </si>
  <si>
    <t>ES0031406127622003MF0F</t>
  </si>
  <si>
    <t>ES0031406138620001DA0F-30882091</t>
  </si>
  <si>
    <t>ES0031406138620001DA0F</t>
  </si>
  <si>
    <t>ES0031406139469008FB0F-30900818</t>
  </si>
  <si>
    <t>ES0031406139469008FB0F</t>
  </si>
  <si>
    <t>ES0031406166589008LK0F-30900538</t>
  </si>
  <si>
    <t>ES0031406166589008LK0F</t>
  </si>
  <si>
    <t>ES0031406167158019BN0F-30885283</t>
  </si>
  <si>
    <t>ES0031406167158019BN0F</t>
  </si>
  <si>
    <t>ES0031406167426008WM0F-30916765</t>
  </si>
  <si>
    <t>ES0031406167426008WM0F</t>
  </si>
  <si>
    <t>ES0031406169032012TB0F-30945127</t>
  </si>
  <si>
    <t>ES0031406169032012TB0F</t>
  </si>
  <si>
    <t>ES0031406169296001RY0F-30920787</t>
  </si>
  <si>
    <t>ES0031406169296001RY0F</t>
  </si>
  <si>
    <t>ES0031406170659004ZY0F-30890951</t>
  </si>
  <si>
    <t>ES0031406170659004ZY0F</t>
  </si>
  <si>
    <t>ES0031406221159009VS0F-30938945</t>
  </si>
  <si>
    <t>ES0031406221159009VS0F</t>
  </si>
  <si>
    <t>ES0031406221169008SD0F-30922224</t>
  </si>
  <si>
    <t>ES0031406221169008SD0F</t>
  </si>
  <si>
    <t>ES0031406247918003CG0F-30900199</t>
  </si>
  <si>
    <t>ES0031406247918003CG0F</t>
  </si>
  <si>
    <t>ES0031406268458001LJ0F-30929548</t>
  </si>
  <si>
    <t>ES0031406268458001LJ0F</t>
  </si>
  <si>
    <t>ES0031406270506009FD0F-30932225</t>
  </si>
  <si>
    <t>ES0031406270506009FD0F</t>
  </si>
  <si>
    <t>ES0031406270877005ZS0F-30938323</t>
  </si>
  <si>
    <t>ES0031406270877005ZS0F</t>
  </si>
  <si>
    <t>ES0031406282331014LR0F-30889457</t>
  </si>
  <si>
    <t>ES0031406282331014LR0F</t>
  </si>
  <si>
    <t>ES0031406282407007BW0F-30897980</t>
  </si>
  <si>
    <t>ES0031406282407007BW0F</t>
  </si>
  <si>
    <t>ES0031406284854003GM0F-30897446</t>
  </si>
  <si>
    <t>ES0031406284854003GM0F</t>
  </si>
  <si>
    <t>ES0031406286167045FT0F-30890049</t>
  </si>
  <si>
    <t>ES0031406286167045FT0F</t>
  </si>
  <si>
    <t>ES0031406289673001HC0F-30933709</t>
  </si>
  <si>
    <t>ES0031406290090001WF0F-30891282</t>
  </si>
  <si>
    <t>ES0031406290090001WF0F</t>
  </si>
  <si>
    <t>ES0031406301224001PY0F-30892308</t>
  </si>
  <si>
    <t>ES0031406301224001PY0F</t>
  </si>
  <si>
    <t>ES0031406309829012KG0F-30894094</t>
  </si>
  <si>
    <t>ES0031406309829012KG0F</t>
  </si>
  <si>
    <t>ES0031406315175023HX0F-30881325</t>
  </si>
  <si>
    <t>ES0031406315175023HX0F</t>
  </si>
  <si>
    <t>ES0031406315955010MK0F-30887982</t>
  </si>
  <si>
    <t>ES0031406315955010MK0F</t>
  </si>
  <si>
    <t>ES0031406322663003VH0F-30881341</t>
  </si>
  <si>
    <t>ES0031406322663003VH0F</t>
  </si>
  <si>
    <t>ES0031406334129003ZN0F-30897546</t>
  </si>
  <si>
    <t>ES0031406334129003ZN0F</t>
  </si>
  <si>
    <t>ES0031406345916004YL0F-30881410</t>
  </si>
  <si>
    <t>ES0031406345916004YL0F</t>
  </si>
  <si>
    <t>ES0031406347523003WP0F-30901911</t>
  </si>
  <si>
    <t>ES0031406347523003WP0F</t>
  </si>
  <si>
    <t>ES0031406366790001ZK0F-30899456</t>
  </si>
  <si>
    <t>ES0031406366790001ZK0F</t>
  </si>
  <si>
    <t>ES0031406368588008NA0F-30887133</t>
  </si>
  <si>
    <t>ES0031406368588008NA0F</t>
  </si>
  <si>
    <t>AV49 Punto de Medida en vuelo</t>
  </si>
  <si>
    <t>ES0031408018632001FF0F-30904287</t>
  </si>
  <si>
    <t>ES0031408018632001FF0F</t>
  </si>
  <si>
    <t>ES0031408019040018ZG0F-30942855</t>
  </si>
  <si>
    <t>ES0031408019040018ZG0F</t>
  </si>
  <si>
    <t>ES0031408019040042SM0F-30914403</t>
  </si>
  <si>
    <t>ES0031408019040042SM0F</t>
  </si>
  <si>
    <t>ES0031408021085001PB0F-30941433</t>
  </si>
  <si>
    <t>ES0031408021085001PB0F</t>
  </si>
  <si>
    <t>ES0031408021201011SD0F-30932670</t>
  </si>
  <si>
    <t>ES0031408021201011SD0F</t>
  </si>
  <si>
    <t>ES0031408024546012KM0F-30936551</t>
  </si>
  <si>
    <t>ES0031408024546012KM0F</t>
  </si>
  <si>
    <t>ES0031408027395010NQ0F-30936527</t>
  </si>
  <si>
    <t>ES0031408027395010NQ0F</t>
  </si>
  <si>
    <t>ES0031408049270005AX0F-30890401</t>
  </si>
  <si>
    <t>ES0031408049270005AX0F</t>
  </si>
  <si>
    <t>ES0031408059278001LQ0F-30890219</t>
  </si>
  <si>
    <t>ES0031408059278001LQ0F</t>
  </si>
  <si>
    <t>ES0031408081950019WZ0F-30894682</t>
  </si>
  <si>
    <t>ES0031408081950019WZ0F</t>
  </si>
  <si>
    <t>ES0031408112545004ZP0F-30891691</t>
  </si>
  <si>
    <t>ES0031408112545004ZP0F</t>
  </si>
  <si>
    <t>ES0031408115519002NZ0F-30898477</t>
  </si>
  <si>
    <t>ES0031408115519002NZ0F</t>
  </si>
  <si>
    <t>ES0031408124781141FF0F-30890919</t>
  </si>
  <si>
    <t>ES0031408124781141FF0F</t>
  </si>
  <si>
    <t>ES0031408129276002MR0F-30887921</t>
  </si>
  <si>
    <t>ES0031408129276002MR0F</t>
  </si>
  <si>
    <t>ES0031408137172008BS0F-30942675</t>
  </si>
  <si>
    <t>ES0031408137172008BS0F</t>
  </si>
  <si>
    <t>ES0031408153582007YC0F-30903785</t>
  </si>
  <si>
    <t>ES0031408153582007YC0F</t>
  </si>
  <si>
    <t>ES0031408193158001AY0F-30896346</t>
  </si>
  <si>
    <t>ES0031408193158001AY0F</t>
  </si>
  <si>
    <t>ES0031408198790008SA0F-30892134</t>
  </si>
  <si>
    <t>ES0031408198790008SA0F</t>
  </si>
  <si>
    <t>ES0031408206442002SN0F-30889059</t>
  </si>
  <si>
    <t>ES0031408206442002SN0F</t>
  </si>
  <si>
    <t>ES0031408209922001WL0F-30930570</t>
  </si>
  <si>
    <t>ES0031408209922001WL0F</t>
  </si>
  <si>
    <t>ES0031408212152015ZE0F-30902138</t>
  </si>
  <si>
    <t>ES0031408212152015ZE0F</t>
  </si>
  <si>
    <t>ES0031408228537007AK0F-30908951</t>
  </si>
  <si>
    <t>ES0031408228537007AK0F</t>
  </si>
  <si>
    <t>ES0031408245374011AJ0F-30881863</t>
  </si>
  <si>
    <t>ES0031408245374011AJ0F</t>
  </si>
  <si>
    <t>ES0031408245379008JL0F-30890007</t>
  </si>
  <si>
    <t>ES0031408245379008JL0F</t>
  </si>
  <si>
    <t>ES0031408246538001BL0F-30882890</t>
  </si>
  <si>
    <t>ES0031408246538001BL0F</t>
  </si>
  <si>
    <t>ES0031408256589005NT0F-30891124</t>
  </si>
  <si>
    <t>ES0031408256589005NT0F</t>
  </si>
  <si>
    <t>ES0031408259115008JM0F-30902282</t>
  </si>
  <si>
    <t>ES0031408259115008JM0F</t>
  </si>
  <si>
    <t>ES0031408259973001BY0F-30909126</t>
  </si>
  <si>
    <t>ES0031408259973001BY0F</t>
  </si>
  <si>
    <t>ES0031408278349010VG0F-30892569</t>
  </si>
  <si>
    <t>ES0031408278349010VG0F</t>
  </si>
  <si>
    <t>ES0031408288178001RZ0F-30889332</t>
  </si>
  <si>
    <t>ES0031408288178001RZ0F</t>
  </si>
  <si>
    <t>ES0031408292094002QN0F-30883293</t>
  </si>
  <si>
    <t>ES0031408292094002QN0F</t>
  </si>
  <si>
    <t>ES0031408294965008KC0F-30894906</t>
  </si>
  <si>
    <t>ES0031408294965008KC0F</t>
  </si>
  <si>
    <t>ES0031408307164006XW0F-30891765</t>
  </si>
  <si>
    <t>ES0031408307164006XW0F</t>
  </si>
  <si>
    <t>ES0031408309436091BD0F-30883996</t>
  </si>
  <si>
    <t>ES0031408309436091BD0F</t>
  </si>
  <si>
    <t>ES0031408330688003MJ0F-30885032</t>
  </si>
  <si>
    <t>ES0031408330688003MJ0F</t>
  </si>
  <si>
    <t>ES0031408331946002FG0F-30945376</t>
  </si>
  <si>
    <t>ES0031408331946002FG0F</t>
  </si>
  <si>
    <t>ES0031408335196001EB0F-30898343</t>
  </si>
  <si>
    <t>ES0031408335196001EB0F</t>
  </si>
  <si>
    <t>ES0031408344764004KZ0F-30885465</t>
  </si>
  <si>
    <t>ES0031408344764004KZ0F</t>
  </si>
  <si>
    <t>ES0031408350446018EQ0F-30899235</t>
  </si>
  <si>
    <t>ES0031408350446018EQ0F</t>
  </si>
  <si>
    <t>ES0031408366699019EK0F-30885500</t>
  </si>
  <si>
    <t>ES0031408366699019EK0F</t>
  </si>
  <si>
    <t>ES0031408384818003PL0F-30897767</t>
  </si>
  <si>
    <t>ES0031408384818003PL0F</t>
  </si>
  <si>
    <t>ES0031408390291010FS0F-30898170</t>
  </si>
  <si>
    <t>ES0031408390291010FS0F</t>
  </si>
  <si>
    <t>ES0031408400136012KM0F-30904228</t>
  </si>
  <si>
    <t>ES0031408400136012KM0F</t>
  </si>
  <si>
    <t>ES0031408402172016QA0F-30893975</t>
  </si>
  <si>
    <t>ES0031408402172016QA0F</t>
  </si>
  <si>
    <t>ES0031408403176004JH0F-30899458</t>
  </si>
  <si>
    <t>ES0031408403176004JH0F</t>
  </si>
  <si>
    <t>ES0031408405423004MX0F-30897032</t>
  </si>
  <si>
    <t>ES0031408405423004MX0F</t>
  </si>
  <si>
    <t>ES0031408407105065KN0F-30888123</t>
  </si>
  <si>
    <t>ES0031408407105065KN0F</t>
  </si>
  <si>
    <t>ES0031408431122007JD0F-30889273</t>
  </si>
  <si>
    <t>ES0031408431122007JD0F</t>
  </si>
  <si>
    <t>ES0031408434814001VC0F-30900467</t>
  </si>
  <si>
    <t>ES0031408434814001VC0F</t>
  </si>
  <si>
    <t>ES0031408439408006WM0F-30891799</t>
  </si>
  <si>
    <t>ES0031408439408006WM0F</t>
  </si>
  <si>
    <t>ES0031408444421009XC0F-30901554</t>
  </si>
  <si>
    <t>ES0031408444421009XC0F</t>
  </si>
  <si>
    <t>ES0031408457196003HD0F-30904060</t>
  </si>
  <si>
    <t>ES0031408457196003HD0F</t>
  </si>
  <si>
    <t>ES0031408459983005MD0F-30932476</t>
  </si>
  <si>
    <t>ES0031408459983005MD0F</t>
  </si>
  <si>
    <t>ES0031408471008008XP0F-30894328</t>
  </si>
  <si>
    <t>ES0031408471008008XP0F</t>
  </si>
  <si>
    <t>ES0031408472451007MX0F-30889593</t>
  </si>
  <si>
    <t>ES0031408472451007MX0F</t>
  </si>
  <si>
    <t>ES0031408474580010HH0F-30881362</t>
  </si>
  <si>
    <t>ES0031408474580010HH0F</t>
  </si>
  <si>
    <t>ES0031408480974001VD0F-30898284</t>
  </si>
  <si>
    <t>ES0031408480974001VD0F</t>
  </si>
  <si>
    <t>ES0031408481957001EN0F-30943335</t>
  </si>
  <si>
    <t>ES0031408481957001EN0F</t>
  </si>
  <si>
    <t>ES0031408493022013LT0F-30889920</t>
  </si>
  <si>
    <t>ES0031408493022013LT0F</t>
  </si>
  <si>
    <t>ES0031408498460003JP0F-30903829</t>
  </si>
  <si>
    <t>ES0031408498460003JP0F</t>
  </si>
  <si>
    <t>ES0031408508753001RT0F-30934726</t>
  </si>
  <si>
    <t>ES0031408508753001RT0F</t>
  </si>
  <si>
    <t>ES0031408514780066PF0F-30888705</t>
  </si>
  <si>
    <t>ES0031408514780066PF0F</t>
  </si>
  <si>
    <t>ES0031408519771028RS0F-30888998</t>
  </si>
  <si>
    <t>ES0031408519771028RS0F</t>
  </si>
  <si>
    <t>ES0031408528520005VE0F-30897651</t>
  </si>
  <si>
    <t>ES0031408528520005VE0F</t>
  </si>
  <si>
    <t>ES0031408533404001YZ0F-30891245</t>
  </si>
  <si>
    <t>ES0031408533404001YZ0F</t>
  </si>
  <si>
    <t>ES0031408534594007LT0F-30903602</t>
  </si>
  <si>
    <t>ES0031408534594007LT0F</t>
  </si>
  <si>
    <t>ES0031408534671046XN0F-30903842</t>
  </si>
  <si>
    <t>ES0031408534671046XN0F</t>
  </si>
  <si>
    <t>ES0031408534672017YV0F-30903860</t>
  </si>
  <si>
    <t>ES0031408534672017YV0F</t>
  </si>
  <si>
    <t>ES0031408534760081VZ0F-30903893</t>
  </si>
  <si>
    <t>ES0031408534760081VZ0F</t>
  </si>
  <si>
    <t>ES0031408535463005NN0F-30891564</t>
  </si>
  <si>
    <t>ES0031408535463005NN0F</t>
  </si>
  <si>
    <t>ES0031408535463024JP0F-30899367</t>
  </si>
  <si>
    <t>ES0031408535463024JP0F</t>
  </si>
  <si>
    <t>ES0031408536624004MV0F-30904315</t>
  </si>
  <si>
    <t>ES0031408536624004MV0F</t>
  </si>
  <si>
    <t>ES0031408536729007VW0F-30904022</t>
  </si>
  <si>
    <t>ES0031408536729007VW0F</t>
  </si>
  <si>
    <t>ES0031408536729039HB0F-30888179</t>
  </si>
  <si>
    <t>ES0031408536729039HB0F</t>
  </si>
  <si>
    <t>ES0031408538094013WG0F-30891068</t>
  </si>
  <si>
    <t>ES0031408538094013WG0F</t>
  </si>
  <si>
    <t>ES0031408543269060HM0F-30904042</t>
  </si>
  <si>
    <t>ES0031408543269060HM0F</t>
  </si>
  <si>
    <t>ES0031408544250005AT0F-30893282</t>
  </si>
  <si>
    <t>ES0031408544250005AT0F</t>
  </si>
  <si>
    <t>ES0031408544361001KK0F-30933601</t>
  </si>
  <si>
    <t>ES0031408544361001KK0F</t>
  </si>
  <si>
    <t>ES0031408544624021AJ0F-30898927</t>
  </si>
  <si>
    <t>ES0031408544624021AJ0F</t>
  </si>
  <si>
    <t>ES0031408544741007YK0F-30906396</t>
  </si>
  <si>
    <t>ES0031408544741007YK0F</t>
  </si>
  <si>
    <t>ES0031408544801009QQ0F-30890387</t>
  </si>
  <si>
    <t>ES0031408544801009QQ0F</t>
  </si>
  <si>
    <t>ES0031408545987003SS0F-30917772</t>
  </si>
  <si>
    <t>ES0031408545987003SS0F</t>
  </si>
  <si>
    <t>ES0031408547957001SV0F-30891768</t>
  </si>
  <si>
    <t>ES0031408547957001SV0F</t>
  </si>
  <si>
    <t>ES0031408548197001PN0F-30893421</t>
  </si>
  <si>
    <t>ES0031408548197001PN0F</t>
  </si>
  <si>
    <t>ES0031408549510001DB0F-30890242</t>
  </si>
  <si>
    <t>ES0031408549510001DB0F</t>
  </si>
  <si>
    <t>ES0031408549511001YE0F-30890672</t>
  </si>
  <si>
    <t>ES0031408549511001YE0F</t>
  </si>
  <si>
    <t>ES0031408550861011FR0F-30904063</t>
  </si>
  <si>
    <t>ES0031408550861011FR0F</t>
  </si>
  <si>
    <t>ES0031408554425005NF0F-30904103</t>
  </si>
  <si>
    <t>ES0031408554425005NF0F</t>
  </si>
  <si>
    <t>ES0031408556972006YB0F-30893225</t>
  </si>
  <si>
    <t>ES0031408556972006YB0F</t>
  </si>
  <si>
    <t>ES0031408557282001YN0F-30910151</t>
  </si>
  <si>
    <t>ES0031408557282001YN0F</t>
  </si>
  <si>
    <t>ES0031408557398001JT0F-30929398</t>
  </si>
  <si>
    <t>ES0031408557398001JT0F</t>
  </si>
  <si>
    <t>ES0031408558086016AQ0F-30893516</t>
  </si>
  <si>
    <t>ES0031408558086016AQ0F</t>
  </si>
  <si>
    <t>ES0031408560583013PH0F-30898851</t>
  </si>
  <si>
    <t>ES0031408560583013PH0F</t>
  </si>
  <si>
    <t>ES0031408561094001FS0F-30930513</t>
  </si>
  <si>
    <t>ES0031408561094001FS0F</t>
  </si>
  <si>
    <t>ES0031408563732001WF0F-30914912</t>
  </si>
  <si>
    <t>ES0031408563732001WF0F</t>
  </si>
  <si>
    <t>ES0031408563753002HD0F-30894019</t>
  </si>
  <si>
    <t>ES0031408563753002HD0F</t>
  </si>
  <si>
    <t>ES0031408563840001ME0F-30933909</t>
  </si>
  <si>
    <t>ES0031408563840001ME0F</t>
  </si>
  <si>
    <t>ES0031408564761001YX0F-30925802</t>
  </si>
  <si>
    <t>ES0031408564761001YX0F</t>
  </si>
  <si>
    <t>ES0031408567434001GL0F-30891536</t>
  </si>
  <si>
    <t>ES0031408567434001GL0F</t>
  </si>
  <si>
    <t>ES0031408570640001QA0F-30945326</t>
  </si>
  <si>
    <t>ES0031408570640001QA0F</t>
  </si>
  <si>
    <t>ES0031408570719001TK0F-30931843</t>
  </si>
  <si>
    <t>ES0031408570719001TK0F</t>
  </si>
  <si>
    <t>ES0031408570749001VY0F-30914611</t>
  </si>
  <si>
    <t>ES0031408570749001VY0F</t>
  </si>
  <si>
    <t>ES0031408571498001ZB0F-30942328</t>
  </si>
  <si>
    <t>ES0031408571498001ZB0F</t>
  </si>
  <si>
    <t>ES0031408574490026ZN0F-30897751</t>
  </si>
  <si>
    <t>ES0031408574490026ZN0F</t>
  </si>
  <si>
    <t>ES0031408574494032GQ0F-30897433</t>
  </si>
  <si>
    <t>ES0031408574494032GQ0F</t>
  </si>
  <si>
    <t>ES0031408574496017ET0F-30883067</t>
  </si>
  <si>
    <t>ES0031408574496017ET0F</t>
  </si>
  <si>
    <t>ES0031408574497022LQ0F-30900872</t>
  </si>
  <si>
    <t>ES0031408574497022LQ0F</t>
  </si>
  <si>
    <t>ES0031408575397001AM0F-30912131</t>
  </si>
  <si>
    <t>ES0031408575397001AM0F</t>
  </si>
  <si>
    <t>ES0031408575782001KP0F-30913085</t>
  </si>
  <si>
    <t>ES0031408575782001KP0F</t>
  </si>
  <si>
    <t>ES0031408575819001CR0F-30915359</t>
  </si>
  <si>
    <t>ES0031408575819001CR0F</t>
  </si>
  <si>
    <t>ES0031408576182001RS0F-30900313</t>
  </si>
  <si>
    <t>ES0031408576182001RS0F</t>
  </si>
  <si>
    <t>ES0031408576502001EQ0F-30944706</t>
  </si>
  <si>
    <t>ES0031408576502001EQ0F</t>
  </si>
  <si>
    <t>ES0031408577110001FB0F-30920008</t>
  </si>
  <si>
    <t>ES0031408577110001FB0F</t>
  </si>
  <si>
    <t>ES0031408578442001YN0F-30940726</t>
  </si>
  <si>
    <t>ES0031408578442001YN0F</t>
  </si>
  <si>
    <t>ES0031408578542001FP0F-30881126</t>
  </si>
  <si>
    <t>ES0031408578542001FP0F</t>
  </si>
  <si>
    <t>ES0031408578920001CA0F-30943311</t>
  </si>
  <si>
    <t>ES0031408578920001CA0F</t>
  </si>
  <si>
    <t>ES0031408578957001HL0F-30910957</t>
  </si>
  <si>
    <t>ES0031408578957001HL0F</t>
  </si>
  <si>
    <t>ES0031408578978001BC0F-30887041</t>
  </si>
  <si>
    <t>ES0031408578978001BC0F</t>
  </si>
  <si>
    <t>ES0031408579223001SR0F-30887094</t>
  </si>
  <si>
    <t>ES0031408579223001SR0F</t>
  </si>
  <si>
    <t>ES0031446391845035DT0F-30919112</t>
  </si>
  <si>
    <t>ES0031446391845035DT0F</t>
  </si>
  <si>
    <t>ES0031446393143005TB0F-30893620</t>
  </si>
  <si>
    <t>ES0031446393143005TB0F</t>
  </si>
  <si>
    <t>ES0031446413975005EZ0F-30897635</t>
  </si>
  <si>
    <t>ES0031446413975005EZ0F</t>
  </si>
  <si>
    <t>ES0031446434648005PQ0F-30899459</t>
  </si>
  <si>
    <t>ES0031446434648005PQ0F</t>
  </si>
  <si>
    <t>ES0031448038478014AM0F-30888396</t>
  </si>
  <si>
    <t>ES0031448038478014AM0F</t>
  </si>
  <si>
    <t>ES0031448075158001BY0F-30931164</t>
  </si>
  <si>
    <t>ES0031448075158001BY0F</t>
  </si>
  <si>
    <t>ES0031448203141012PT0F-30940155</t>
  </si>
  <si>
    <t>ES0031448203141012PT0F</t>
  </si>
  <si>
    <t>ES0031500021319501AA0F-30923458</t>
  </si>
  <si>
    <t>ES0031500021319501AA0F</t>
  </si>
  <si>
    <t>ES0031500044333012KJ0F-30932422</t>
  </si>
  <si>
    <t>ES0031500044333012KJ0F</t>
  </si>
  <si>
    <t>ES0031500051376001QB0F-30940968</t>
  </si>
  <si>
    <t>ES0031500051376001QB0F</t>
  </si>
  <si>
    <t>ES0031500100567001PZ0F-30941358</t>
  </si>
  <si>
    <t>ES0031500100567001PZ0F</t>
  </si>
  <si>
    <t>ES0031500104502003KS0F-30929884</t>
  </si>
  <si>
    <t>ES0031500104502003KS0F</t>
  </si>
  <si>
    <t>ES0031500104554005MZ0F-30935865</t>
  </si>
  <si>
    <t>ES0031500104554005MZ0F</t>
  </si>
  <si>
    <t>ES0031500105530006MX0F-30940078</t>
  </si>
  <si>
    <t>ES0031500105530006MX0F</t>
  </si>
  <si>
    <t>ES0031500106811004HT0F-30930203</t>
  </si>
  <si>
    <t>ES0031500106811004HT0F</t>
  </si>
  <si>
    <t>ES0031500107622008CR0F-30945557</t>
  </si>
  <si>
    <t>ES0031500107622008CR0F</t>
  </si>
  <si>
    <t>ES0031500111229014DD0F-30942157</t>
  </si>
  <si>
    <t>ES0031500111229014DD0F</t>
  </si>
  <si>
    <t>ES0031500118052001FT0F-30938199</t>
  </si>
  <si>
    <t>ES0031500118052001FT0F</t>
  </si>
  <si>
    <t>ES0031500155042001SC0F-30946305</t>
  </si>
  <si>
    <t>ES0031500155042001SC0F</t>
  </si>
  <si>
    <t>ES0031500184528001HC0F-30945211</t>
  </si>
  <si>
    <t>ES0031500184528001HC0F</t>
  </si>
  <si>
    <t>ES0031500261580007HW0F-30943446</t>
  </si>
  <si>
    <t>ES0031500261580007HW0F</t>
  </si>
  <si>
    <t>ES0031500262322001DQ0F-30923351</t>
  </si>
  <si>
    <t>ES0031500262322001DQ0F</t>
  </si>
  <si>
    <t>ES0031500262323001FG0F-30923715</t>
  </si>
  <si>
    <t>ES0031500262323001FG0F</t>
  </si>
  <si>
    <t>ES0031500294117002DR0F-30921416</t>
  </si>
  <si>
    <t>ES0031500294117002DR0F</t>
  </si>
  <si>
    <t>ES0031500303553005LR0F-30946331</t>
  </si>
  <si>
    <t>ES0031500303553005LR0F</t>
  </si>
  <si>
    <t>ES0031500548225007HG0F-30937277</t>
  </si>
  <si>
    <t>ES0031500548225007HG0F</t>
  </si>
  <si>
    <t>ES0031500565267010YL0F-30913503</t>
  </si>
  <si>
    <t>ES0031500565267010YL0F</t>
  </si>
  <si>
    <t>ES0031500612850003MZ0F-30923562</t>
  </si>
  <si>
    <t>ES0031500612850003MZ0F</t>
  </si>
  <si>
    <t>ES0031500658172006WB0F-30944816</t>
  </si>
  <si>
    <t>ES0031500658172006WB0F</t>
  </si>
  <si>
    <t>ES0031500669599003MX0F-30913236</t>
  </si>
  <si>
    <t>ES0031500669599003MX0F</t>
  </si>
  <si>
    <t>ES0031500671563016KF0F-30915233</t>
  </si>
  <si>
    <t>ES0031500671563016KF0F</t>
  </si>
  <si>
    <t>ES0031500675144011YV0F-30920716</t>
  </si>
  <si>
    <t>ES0031500675144011YV0F</t>
  </si>
  <si>
    <t>ES0031500678725001ZE0F-30915235</t>
  </si>
  <si>
    <t>ES0031500678725001ZE0F</t>
  </si>
  <si>
    <t>ES0031500679858002DC0F-30919993</t>
  </si>
  <si>
    <t>ES0031500679858002DC0F</t>
  </si>
  <si>
    <t>ES0031500680105001FE0F-30915243</t>
  </si>
  <si>
    <t>ES0031500680105001FE0F</t>
  </si>
  <si>
    <t>ES0031500680116001AM0F-30909300</t>
  </si>
  <si>
    <t>ES0031500680116001AM0F</t>
  </si>
  <si>
    <t>ES0031500684831005GD0F-30912330</t>
  </si>
  <si>
    <t>ES0031500684831005GD0F</t>
  </si>
  <si>
    <t>ES0031500690650004GP0F-30920569</t>
  </si>
  <si>
    <t>ES0031500690650004GP0F</t>
  </si>
  <si>
    <t>ES0031500691131001XY0F-30918589</t>
  </si>
  <si>
    <t>ES0031500691131001XY0F</t>
  </si>
  <si>
    <t>ES0031500691483001LZ0F-30917990</t>
  </si>
  <si>
    <t>ES0031500691483001LZ0F</t>
  </si>
  <si>
    <t>ES0031500692238001RQ0F-30915238</t>
  </si>
  <si>
    <t>ES0031500692238001RQ0F</t>
  </si>
  <si>
    <t>ES0031500692507001JP0F-30921264</t>
  </si>
  <si>
    <t>ES0031500692507001JP0F</t>
  </si>
  <si>
    <t>ES0031500692518001PZ0F-30921419</t>
  </si>
  <si>
    <t>ES0031500692518001PZ0F</t>
  </si>
  <si>
    <t>ES0031601010385047RK0F-30920398</t>
  </si>
  <si>
    <t>ES0031601010385047RK0F</t>
  </si>
  <si>
    <t>ES0031601020458002JB0F-30923146</t>
  </si>
  <si>
    <t>ES0031601020458002JB0F</t>
  </si>
  <si>
    <t>ES0031601049122002LP0F-30920372</t>
  </si>
  <si>
    <t>ES0031601049122002LP0F</t>
  </si>
  <si>
    <t>ES0031601065813001HE0F-30935049</t>
  </si>
  <si>
    <t>ES0031601065813001HE0F</t>
  </si>
  <si>
    <t>ES0031601075660009GV0F-30928872</t>
  </si>
  <si>
    <t>ES0031601075660009GV0F</t>
  </si>
  <si>
    <t>ES0031601078068002GW0F-30943910</t>
  </si>
  <si>
    <t>ES0031601078068002GW0F</t>
  </si>
  <si>
    <t>ES0031601116529005YZ0F-30934273</t>
  </si>
  <si>
    <t>ES0031601116529005YZ0F</t>
  </si>
  <si>
    <t>ES0031601135305009SZ0F-30928420</t>
  </si>
  <si>
    <t>ES0031601135305009SZ0F</t>
  </si>
  <si>
    <t>ES0031601138010006WG0F-30930332</t>
  </si>
  <si>
    <t>ES0031601138010006WG0F</t>
  </si>
  <si>
    <t>ES0031601138146001GT0F-30947979</t>
  </si>
  <si>
    <t>ES0031601138146001GT0F</t>
  </si>
  <si>
    <t>ES0031601144617005QT0F-30938665</t>
  </si>
  <si>
    <t>ES0031601144617005QT0F</t>
  </si>
  <si>
    <t>ES0031601147510008BV0F-30935076</t>
  </si>
  <si>
    <t>ES0031601147510008BV0F</t>
  </si>
  <si>
    <t>ES0031601159830003QQ0F-30929823</t>
  </si>
  <si>
    <t>ES0031601159830003QQ0F</t>
  </si>
  <si>
    <t>ES0031601174934007QN0F-30926206</t>
  </si>
  <si>
    <t>ES0031601174934007QN0F</t>
  </si>
  <si>
    <t>ES0031601179343002YE0F-30935102</t>
  </si>
  <si>
    <t>ES0031601179343002YE0F</t>
  </si>
  <si>
    <t>ES0031601179343003FT0F-30935074</t>
  </si>
  <si>
    <t>ES0031601179343003FT0F</t>
  </si>
  <si>
    <t>ES0031601179807002DC0F-30934810</t>
  </si>
  <si>
    <t>ES0031601179807002DC0F</t>
  </si>
  <si>
    <t>ES0031601205784006YL0F-30936980</t>
  </si>
  <si>
    <t>ES0031601205784006YL0F</t>
  </si>
  <si>
    <t>ES0031601217258019YE0F-30930050</t>
  </si>
  <si>
    <t>ES0031601217258019YE0F</t>
  </si>
  <si>
    <t>ES0031601222318034NZ0F-30944103</t>
  </si>
  <si>
    <t>ES0031601222318034NZ0F</t>
  </si>
  <si>
    <t>ES0031601222318064JK0F-30937994</t>
  </si>
  <si>
    <t>ES0031601222318064JK0F</t>
  </si>
  <si>
    <t>ES0031601248845100MF0F-30932361</t>
  </si>
  <si>
    <t>ES0031601248845100MF0F</t>
  </si>
  <si>
    <t>ES0031601257698008DP0F-30943975</t>
  </si>
  <si>
    <t>ES0031601257698008DP0F</t>
  </si>
  <si>
    <t>ES0031601257706007NA0F-30930482</t>
  </si>
  <si>
    <t>ES0031601257706007NA0F</t>
  </si>
  <si>
    <t>ES0031601272321001WS0F-30944513</t>
  </si>
  <si>
    <t>ES0031601272321001WS0F</t>
  </si>
  <si>
    <t>ES0031601284686004DB0F-30935542</t>
  </si>
  <si>
    <t>ES0031601284686004DB0F</t>
  </si>
  <si>
    <t>ES0031601315526001RK0F-30941357</t>
  </si>
  <si>
    <t>ES0031601315526001RK0F</t>
  </si>
  <si>
    <t>ES0031601323101001NV0F-30931421</t>
  </si>
  <si>
    <t>ES0031601323101001NV0F</t>
  </si>
  <si>
    <t>ES0031601323503001BT0F-30932693</t>
  </si>
  <si>
    <t>ES0031601323503001BT0F</t>
  </si>
  <si>
    <t>ES0031601324313028QJ0F-30924663</t>
  </si>
  <si>
    <t>ES0031601324313028QJ0F</t>
  </si>
  <si>
    <t>ES0031601332312003SW0F-30934234</t>
  </si>
  <si>
    <t>ES0031601332312003SW0F</t>
  </si>
  <si>
    <t>ES0031601333773001XV0F-30941422</t>
  </si>
  <si>
    <t>ES0031601333773001XV0F</t>
  </si>
  <si>
    <t>ES0031601334748001JR0F-30921585</t>
  </si>
  <si>
    <t>ES0031601334748001JR0F</t>
  </si>
  <si>
    <t>ES0031601335287001XL0F-30937167</t>
  </si>
  <si>
    <t>ES0031601335287001XL0F</t>
  </si>
  <si>
    <t>ES0031607002709001ZT0F-30938314</t>
  </si>
  <si>
    <t>ES0031607002709001ZT0F</t>
  </si>
  <si>
    <t>ES0031607009099007TP0F-30934356</t>
  </si>
  <si>
    <t>ES0031607009099007TP0F</t>
  </si>
  <si>
    <t>ES0031607011919020LZ0F-30925059</t>
  </si>
  <si>
    <t>ES0031607011919020LZ0F</t>
  </si>
  <si>
    <t>ES0031607020228002HQ0F-30931637</t>
  </si>
  <si>
    <t>ES0031607020228002HQ0F</t>
  </si>
  <si>
    <t>ES0031607020810011TX0F-30931224</t>
  </si>
  <si>
    <t>ES0031607020810011TX0F</t>
  </si>
  <si>
    <t>ES0031607024541015ET0F-30939121</t>
  </si>
  <si>
    <t>ES0031607024541015ET0F</t>
  </si>
  <si>
    <t>ES0031607024922178BF0F-30932090</t>
  </si>
  <si>
    <t>ES0031607024922178BF0F</t>
  </si>
  <si>
    <t>ES0031607146766001RL0F-30921434</t>
  </si>
  <si>
    <t>ES0031607146766001RL0F</t>
  </si>
  <si>
    <t>ES0031607148751008XB0F-30939396</t>
  </si>
  <si>
    <t>ES0031607148751008XB0F</t>
  </si>
  <si>
    <t>ES0031607268800139DK0F-30941360</t>
  </si>
  <si>
    <t>ES0031607268800139DK0F</t>
  </si>
  <si>
    <t>ES0031607277271006DB0F-30939960</t>
  </si>
  <si>
    <t>ES0031607277271006DB0F</t>
  </si>
  <si>
    <t>ES0031607279712039LP0F-30919337</t>
  </si>
  <si>
    <t>ES0031607279712039LP0F</t>
  </si>
  <si>
    <t>ES0031607297830079XM0F-30933481</t>
  </si>
  <si>
    <t>ES0031607297830079XM0F</t>
  </si>
  <si>
    <t>ES0031607307417002AE0F-30931623</t>
  </si>
  <si>
    <t>ES0031607307417002AE0F</t>
  </si>
  <si>
    <t>ES0031607319094010CE0F-30938653</t>
  </si>
  <si>
    <t>ES0031607319094010CE0F</t>
  </si>
  <si>
    <t>ES0031607395599001HK0F-30932104</t>
  </si>
  <si>
    <t>ES0031607395599001HK0F</t>
  </si>
  <si>
    <t>ES0031607398105006RS0F-30925631</t>
  </si>
  <si>
    <t>ES0031607398105006RS0F</t>
  </si>
  <si>
    <t>ES0031607408994003GF0F-30919624</t>
  </si>
  <si>
    <t>ES0031607408994003GF0F</t>
  </si>
  <si>
    <t>ES0031607410073050ED0F-30920755</t>
  </si>
  <si>
    <t>ES0031607410073050ED0F</t>
  </si>
  <si>
    <t>ES0031607410073060EL0F-30921093</t>
  </si>
  <si>
    <t>ES0031607410073060EL0F</t>
  </si>
  <si>
    <t>ES0031607410073078TZ0F-30919582</t>
  </si>
  <si>
    <t>ES0031607410073078TZ0F</t>
  </si>
  <si>
    <t>ES0031607411308007BG0F-30920778</t>
  </si>
  <si>
    <t>ES0031607411308007BG0F</t>
  </si>
  <si>
    <t>ES0031607450286017KY0F-30919445</t>
  </si>
  <si>
    <t>ES0031607450286017KY0F</t>
  </si>
  <si>
    <t>ES0031607450413001EF0F-30938508</t>
  </si>
  <si>
    <t>ES0031607450413001EF0F</t>
  </si>
  <si>
    <t>ES0031607485648018HJ0F-30919177</t>
  </si>
  <si>
    <t>ES0031607485648018HJ0F</t>
  </si>
  <si>
    <t>ES0031607507761013FA0F-30932791</t>
  </si>
  <si>
    <t>ES0031607507761013FA0F</t>
  </si>
  <si>
    <t>ES0031609076402006GX0F-30920957</t>
  </si>
  <si>
    <t>ES0031609076402006GX0F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</si>
</sst>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404040"/>
      <name val="Courier New"/>
      <family val="3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13">
    <xf numFmtId="0" fontId="0" fillId="0" borderId="0" xfId="0"/>
    <xf numFmtId="14" fontId="0" fillId="0" borderId="0" xfId="0" applyNumberFormat="1"/>
    <xf numFmtId="0" fontId="3" fillId="0" borderId="0" xfId="0" applyFont="1"/>
    <xf numFmtId="0" fontId="3" fillId="0" borderId="2" xfId="0" applyFont="1" applyBorder="1"/>
    <xf numFmtId="0" fontId="0" fillId="0" borderId="3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" fillId="2" borderId="4" xfId="1" applyFont="1" applyBorder="1" applyAlignment="1">
      <alignment horizontal="center" vertical="center" wrapText="1"/>
    </xf>
    <xf numFmtId="0" fontId="0" fillId="0" borderId="4" xfId="0" applyBorder="1"/>
    <xf numFmtId="0" fontId="4" fillId="0" borderId="0" xfId="0" applyFont="1"/>
    <xf numFmtId="0" fontId="0" fillId="2" borderId="1" xfId="1" applyFont="1"/>
    <xf numFmtId="14" fontId="0" fillId="0" borderId="4" xfId="0" applyNumberFormat="1" applyBorder="1"/>
    <xf numFmtId="49" fontId="2" fillId="3" borderId="4" xfId="1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tas" xfId="1" builtinId="1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142875</xdr:rowOff>
    </xdr:from>
    <xdr:to>
      <xdr:col>9</xdr:col>
      <xdr:colOff>142875</xdr:colOff>
      <xdr:row>35</xdr:row>
      <xdr:rowOff>142875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276225" y="142875"/>
          <a:ext cx="6724650" cy="6667500"/>
          <a:chOff x="276225" y="142875"/>
          <a:chExt cx="6724650" cy="6667500"/>
        </a:xfrm>
      </xdr:grpSpPr>
      <xdr:sp macro="" textlink="">
        <xdr:nvSpPr>
          <xdr:cNvPr id="2" name="Cuadro de texto 2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6225" y="142875"/>
            <a:ext cx="6724650" cy="6667500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rot="0" vert="horz" wrap="square" lIns="91440" tIns="45720" rIns="91440" bIns="45720" anchor="t" anchorCtr="0">
            <a:no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es-ES" sz="1100" b="1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PROCEDIMIENTO PARA ELABORAR INFORME </a:t>
            </a:r>
            <a:endParaRPr lang="es-ES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es-ES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Ejecutar los informes siguientes desde SF, acotando el intervalo de la fecha para extraer los datos :</a:t>
            </a:r>
          </a:p>
          <a:p>
            <a:pPr>
              <a:lnSpc>
                <a:spcPct val="107000"/>
              </a:lnSpc>
              <a:spcAft>
                <a:spcPts val="800"/>
              </a:spcAft>
            </a:pPr>
            <a:endParaRPr lang="es-ES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endParaRPr lang="es-ES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endParaRPr lang="es-ES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endParaRPr lang="es-ES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endParaRPr lang="es-ES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endParaRPr lang="es-ES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algn="just">
              <a:lnSpc>
                <a:spcPct val="107000"/>
              </a:lnSpc>
              <a:spcAft>
                <a:spcPts val="800"/>
              </a:spcAft>
            </a:pPr>
            <a:r>
              <a:rPr lang="es-ES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Eliminar los datos existentes de la hoja solicitudes_alta, teniendo en cuenta que no se debe eliminar las fórmulas de las columnas P-Q-R-S. Eliminar los datos de las hojas solicitudes_cod_paso_02 y solicitudes_cod_paso_05</a:t>
            </a:r>
          </a:p>
          <a:p>
            <a:pPr algn="just">
              <a:lnSpc>
                <a:spcPct val="107000"/>
              </a:lnSpc>
              <a:spcAft>
                <a:spcPts val="800"/>
              </a:spcAft>
            </a:pPr>
            <a:r>
              <a:rPr lang="es-ES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Pegar los resultados en las pestañas solicitudes_alta, solicitudes_cod_paso_02 y solicitudes_cod_paso_05 respectivamente.</a:t>
            </a:r>
          </a:p>
          <a:p>
            <a:pPr algn="just">
              <a:lnSpc>
                <a:spcPct val="107000"/>
              </a:lnSpc>
              <a:spcAft>
                <a:spcPts val="800"/>
              </a:spcAft>
            </a:pPr>
            <a:r>
              <a:rPr lang="es-ES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En las hojas solicitudes_cod_paso_02 y solicitudes_cod_paso_05 filtrar por la columna “Código de Paso”  las celdas con valores Vacíos y eliminar los registros (la extracción de SF devuelve los registros con código de paso 02 ó 05 según sea el caso y además los vacíos.</a:t>
            </a:r>
          </a:p>
          <a:p>
            <a:pPr algn="just">
              <a:lnSpc>
                <a:spcPct val="107000"/>
              </a:lnSpc>
              <a:spcAft>
                <a:spcPts val="800"/>
              </a:spcAft>
            </a:pPr>
            <a:r>
              <a:rPr lang="es-ES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Una vez pegado los datos en la hoja de solicitudes_alta, arrastrar las fórmulas de las ultimas columnas hasta la última fila con datos.</a:t>
            </a:r>
          </a:p>
          <a:p>
            <a:pPr algn="just">
              <a:lnSpc>
                <a:spcPct val="107000"/>
              </a:lnSpc>
              <a:spcAft>
                <a:spcPts val="800"/>
              </a:spcAft>
            </a:pPr>
            <a:r>
              <a:rPr lang="es-ES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En la hoja resumen, en la columna fecha, indicar las fechas de la semana del rango usado para la extracción de los datos en SF, y actualizar las celdas con las fórmulas para que actualice el resumen de los datos  </a:t>
            </a:r>
          </a:p>
          <a:p>
            <a:pPr algn="just">
              <a:lnSpc>
                <a:spcPct val="107000"/>
              </a:lnSpc>
              <a:spcAft>
                <a:spcPts val="800"/>
              </a:spcAft>
            </a:pPr>
            <a:r>
              <a:rPr lang="es-ES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 </a:t>
            </a:r>
          </a:p>
          <a:p>
            <a:pPr algn="just">
              <a:lnSpc>
                <a:spcPct val="107000"/>
              </a:lnSpc>
              <a:spcAft>
                <a:spcPts val="800"/>
              </a:spcAft>
            </a:pPr>
            <a:r>
              <a:rPr lang="es-ES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 </a:t>
            </a:r>
          </a:p>
          <a:p>
            <a:pPr algn="just">
              <a:lnSpc>
                <a:spcPct val="107000"/>
              </a:lnSpc>
              <a:spcAft>
                <a:spcPts val="800"/>
              </a:spcAft>
            </a:pPr>
            <a:r>
              <a:rPr lang="es-ES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 </a:t>
            </a:r>
          </a:p>
          <a:p>
            <a:pPr marL="352425">
              <a:lnSpc>
                <a:spcPct val="107000"/>
              </a:lnSpc>
              <a:spcBef>
                <a:spcPts val="675"/>
              </a:spcBef>
              <a:spcAft>
                <a:spcPts val="0"/>
              </a:spcAft>
            </a:pPr>
            <a:r>
              <a:rPr lang="es-ES" sz="2400" kern="1800">
                <a:solidFill>
                  <a:srgbClr val="000000"/>
                </a:solidFill>
                <a:effectLst/>
                <a:latin typeface="Arial" panose="020B0604020202020204" pitchFamily="34" charset="0"/>
                <a:ea typeface="Times New Roman" panose="02020603050405020304" pitchFamily="18" charset="0"/>
                <a:cs typeface="Times New Roman" panose="02020603050405020304" pitchFamily="18" charset="0"/>
              </a:rPr>
              <a:t> </a:t>
            </a:r>
            <a:endParaRPr lang="es-ES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es-ES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 </a:t>
            </a:r>
          </a:p>
        </xdr:txBody>
      </xdr:sp>
      <xdr:pic>
        <xdr:nvPicPr>
          <xdr:cNvPr id="3" name="Imagen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/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428625" y="762000"/>
            <a:ext cx="6068060" cy="149352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3</xdr:row>
          <xdr:rowOff>38100</xdr:rowOff>
        </xdr:from>
        <xdr:to>
          <xdr:col>11</xdr:col>
          <xdr:colOff>409575</xdr:colOff>
          <xdr:row>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10</xdr:row>
          <xdr:rowOff>171450</xdr:rowOff>
        </xdr:from>
        <xdr:to>
          <xdr:col>11</xdr:col>
          <xdr:colOff>352425</xdr:colOff>
          <xdr:row>14</xdr:row>
          <xdr:rowOff>47625</xdr:rowOff>
        </xdr:to>
        <xdr:sp macro="" textlink="">
          <xdr:nvSpPr>
            <xdr:cNvPr id="1027" name="Botó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Botón 3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A3_mensajes_74" growShrinkType="insertClear" connectionId="3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A3_mensajes_55" growShrinkType="insertClear" connectionId="1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A3_mensajes_50" growShrinkType="insertClear" connectionId="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A3_mensajes_54" growShrinkType="insertClear" connectionId="1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A3_mensajes_45" growShrinkType="insertClear" connectionId="3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A3_mensajes_46" growShrinkType="insertClear" connectionId="3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A3_mensajes_58" growShrinkType="insertClear" connectionId="1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A3_mensajes_72" growShrinkType="insertClear" connectionId="3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A3_mensajes_52" growShrinkType="insertClear" connectionId="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A3_mensajes" growShrinkType="insertClear" connectionId="2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A3_mensajes_41" growShrinkType="insertClear" connectionId="3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A3_mensajes_62" growShrinkType="insertClear" connectionId="1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A3_mensajes_42" growShrinkType="insertClear" connectionId="3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A3_mensajes_56" growShrinkType="insertClear" connectionId="1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A3_mensajes_65" growShrinkType="insertClear" connectionId="2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A3_mensajes_61" growShrinkType="insertClear" connectionId="1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A3_mensajes_59" growShrinkType="insertClear" connectionId="1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A3_mensajes_44" growShrinkType="insertClear" connectionId="3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A3_mensajes_63" growShrinkType="insertClear" connectionId="2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A3_mensajes_40" growShrinkType="insertClear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A3_mensajes_49" growShrinkType="insertClear" connectionId="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A3_mensajes_71" growShrinkType="insertClear" connectionId="2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A3_mensajes_64" growShrinkType="insertClear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A3_mensajes_57" growShrinkType="insertClear" connectionId="1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A3_mensajes_53" growShrinkType="insertClear" connectionId="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A3_mensajes_39" growShrinkType="insertClear" connectionId="1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A3_mensajes_51" growShrinkType="insertClear" connectionId="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A3_mensajes_48" growShrinkType="insertClear" connectionId="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A3_mensajes_60" growShrinkType="insertClear" connectionId="1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A3_mensajes_47" growShrinkType="insertClear" connectionId="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A3_mensajes_68" growShrinkType="insertClear" connectionId="2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A3_mensajes_43" growShrinkType="insertClear" connectionId="3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A3_mensajes_69" growShrinkType="insertClear" connectionId="2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A3_mensajes_70" growShrinkType="insertClear" connectionId="2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A3_mensajes_73" growShrinkType="insertClear" connectionId="3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A3_mensajes.dsv" growShrinkType="insertClear" connectionId="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A3_mensajes_66" growShrinkType="insertClear" connectionId="2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A3_mensajes_67" growShrinkType="insertClear" connectionId="2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9" Type="http://schemas.openxmlformats.org/officeDocument/2006/relationships/queryTable" Target="../queryTables/queryTable38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34" Type="http://schemas.openxmlformats.org/officeDocument/2006/relationships/queryTable" Target="../queryTables/queryTable33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K23"/>
  <sheetViews>
    <sheetView showGridLines="0" workbookViewId="0">
      <selection activeCell="J25" sqref="J25"/>
    </sheetView>
  </sheetViews>
  <sheetFormatPr baseColWidth="10" defaultRowHeight="15" x14ac:dyDescent="0.25"/>
  <sheetData>
    <row r="2" spans="2:11" x14ac:dyDescent="0.25">
      <c r="B2" s="2" t="s">
        <v>68</v>
      </c>
    </row>
    <row r="3" spans="2:11" x14ac:dyDescent="0.25">
      <c r="B3" s="2" t="s">
        <v>11</v>
      </c>
      <c r="C3" s="1">
        <f>MIN(B:B)</f>
        <v>43108</v>
      </c>
      <c r="H3" s="1"/>
    </row>
    <row r="4" spans="2:11" x14ac:dyDescent="0.25">
      <c r="B4" s="2" t="s">
        <v>12</v>
      </c>
      <c r="C4" s="1">
        <f>MAX(B:B)</f>
        <v>43119</v>
      </c>
      <c r="H4" s="1"/>
    </row>
    <row r="5" spans="2:11" x14ac:dyDescent="0.25">
      <c r="H5" s="1"/>
    </row>
    <row r="6" spans="2:11" x14ac:dyDescent="0.25">
      <c r="B6" s="3" t="s">
        <v>13</v>
      </c>
      <c r="C6" s="3">
        <f ca="1">SUM(E:E)</f>
        <v>0</v>
      </c>
      <c r="E6" s="3" t="s">
        <v>67</v>
      </c>
      <c r="F6" s="3">
        <f ca="1">SUM(I:I)</f>
        <v>3</v>
      </c>
      <c r="H6" s="1"/>
    </row>
    <row r="7" spans="2:11" ht="18.75" x14ac:dyDescent="0.3">
      <c r="B7" s="3" t="s">
        <v>14</v>
      </c>
      <c r="C7" s="3">
        <f ca="1">SUM(G:G)</f>
        <v>0</v>
      </c>
      <c r="K7" s="9"/>
    </row>
    <row r="9" spans="2:11" x14ac:dyDescent="0.25">
      <c r="B9" s="4" t="s">
        <v>15</v>
      </c>
      <c r="C9" s="4" t="s">
        <v>16</v>
      </c>
      <c r="D9" s="4" t="s">
        <v>17</v>
      </c>
      <c r="E9" s="4" t="s">
        <v>18</v>
      </c>
      <c r="F9" s="4" t="s">
        <v>19</v>
      </c>
      <c r="G9" s="4" t="s">
        <v>20</v>
      </c>
      <c r="H9" s="4" t="s">
        <v>64</v>
      </c>
      <c r="I9" s="4" t="s">
        <v>65</v>
      </c>
    </row>
    <row r="10" spans="2:11" x14ac:dyDescent="0.25">
      <c r="B10" s="5">
        <v>43108</v>
      </c>
      <c r="C10" s="6">
        <f ca="1">COUNTIFS(solicitudes_alta!E:E,Resumen!B10)</f>
        <v>788</v>
      </c>
      <c r="D10" s="6">
        <f ca="1">COUNTIFS(solicitudes_alta!E:E,Resumen!B10,solicitudes_alta!G:G,"&lt;&gt;"&amp;"")</f>
        <v>788</v>
      </c>
      <c r="E10" s="6">
        <f ca="1">COUNTIFS(solicitudes_alta!E:E,Resumen!B10,solicitudes_alta!AG:AG,"FALTA_02")</f>
        <v>0</v>
      </c>
      <c r="F10" s="6">
        <f ca="1">COUNTIFS(solicitudes_alta!E:E,Resumen!B10,solicitudes_alta!I:I,"&lt;&gt;"&amp;"")</f>
        <v>401</v>
      </c>
      <c r="G10" s="6">
        <f ca="1">COUNTIFS(solicitudes_alta!E:E,Resumen!B10,solicitudes_alta!AJ:AJ,"FALTA_05")</f>
        <v>0</v>
      </c>
      <c r="H10">
        <f ca="1">COUNTIFS(solicitudes_alta!E:E,Resumen!B10,solicitudes_alta!F:F,"Rejected")</f>
        <v>29</v>
      </c>
      <c r="I10">
        <f ca="1">COUNTIFS(solicitudes_alta!E:E,Resumen!B10,solicitudes_alta!AI:AI,"FALTA_04")</f>
        <v>0</v>
      </c>
    </row>
    <row r="11" spans="2:11" x14ac:dyDescent="0.25">
      <c r="B11" s="5">
        <f>B10+1</f>
        <v>43109</v>
      </c>
      <c r="C11" s="6">
        <f ca="1">COUNTIFS(solicitudes_alta!E:E,Resumen!B11)</f>
        <v>751</v>
      </c>
      <c r="D11" s="6">
        <f ca="1">COUNTIFS(solicitudes_alta!E:E,Resumen!B11,solicitudes_alta!G:G,"&lt;&gt;"&amp;"")</f>
        <v>751</v>
      </c>
      <c r="E11" s="6">
        <f ca="1">COUNTIFS(solicitudes_alta!E:E,Resumen!B11,solicitudes_alta!AG:AG,"FALTA_02")</f>
        <v>0</v>
      </c>
      <c r="F11" s="6">
        <f ca="1">COUNTIFS(solicitudes_alta!E:E,Resumen!B11,solicitudes_alta!I:I,"&lt;&gt;"&amp;"")</f>
        <v>313</v>
      </c>
      <c r="G11" s="6">
        <f ca="1">COUNTIFS(solicitudes_alta!E:E,Resumen!B11,solicitudes_alta!AJ:AJ,"FALTA_05")</f>
        <v>0</v>
      </c>
      <c r="H11">
        <f ca="1">COUNTIFS(solicitudes_alta!E:E,Resumen!B11,solicitudes_alta!F:F,"Rejected")</f>
        <v>22</v>
      </c>
      <c r="I11">
        <f ca="1">COUNTIFS(solicitudes_alta!E:E,Resumen!B11,solicitudes_alta!AI:AI,"FALTA_04")</f>
        <v>1</v>
      </c>
    </row>
    <row r="12" spans="2:11" x14ac:dyDescent="0.25">
      <c r="B12" s="5">
        <f t="shared" ref="B12:B21" si="0">B11+1</f>
        <v>43110</v>
      </c>
      <c r="C12" s="6">
        <f ca="1">COUNTIFS(solicitudes_alta!E:E,Resumen!B12)</f>
        <v>769</v>
      </c>
      <c r="D12" s="6">
        <f ca="1">COUNTIFS(solicitudes_alta!E:E,Resumen!B12,solicitudes_alta!G:G,"&lt;&gt;"&amp;"")</f>
        <v>769</v>
      </c>
      <c r="E12" s="6">
        <f ca="1">COUNTIFS(solicitudes_alta!E:E,Resumen!B12,solicitudes_alta!AG:AG,"FALTA_02")</f>
        <v>0</v>
      </c>
      <c r="F12" s="6">
        <f ca="1">COUNTIFS(solicitudes_alta!E:E,Resumen!B12,solicitudes_alta!I:I,"&lt;&gt;"&amp;"")</f>
        <v>266</v>
      </c>
      <c r="G12" s="6">
        <f ca="1">COUNTIFS(solicitudes_alta!E:E,Resumen!B12,solicitudes_alta!AJ:AJ,"FALTA_05")</f>
        <v>0</v>
      </c>
      <c r="H12">
        <f ca="1">COUNTIFS(solicitudes_alta!E:E,Resumen!B12,solicitudes_alta!F:F,"Rejected")</f>
        <v>10</v>
      </c>
      <c r="I12">
        <f ca="1">COUNTIFS(solicitudes_alta!E:E,Resumen!B12,solicitudes_alta!AI:AI,"FALTA_04")</f>
        <v>1</v>
      </c>
    </row>
    <row r="13" spans="2:11" x14ac:dyDescent="0.25">
      <c r="B13" s="5">
        <f t="shared" si="0"/>
        <v>43111</v>
      </c>
      <c r="C13" s="6">
        <f ca="1">COUNTIFS(solicitudes_alta!E:E,Resumen!B13)</f>
        <v>581</v>
      </c>
      <c r="D13" s="6">
        <f ca="1">COUNTIFS(solicitudes_alta!E:E,Resumen!B13,solicitudes_alta!G:G,"&lt;&gt;"&amp;"")</f>
        <v>581</v>
      </c>
      <c r="E13" s="6">
        <f ca="1">COUNTIFS(solicitudes_alta!E:E,Resumen!B13,solicitudes_alta!AG:AG,"FALTA_02")</f>
        <v>0</v>
      </c>
      <c r="F13" s="6">
        <f ca="1">COUNTIFS(solicitudes_alta!E:E,Resumen!B13,solicitudes_alta!I:I,"&lt;&gt;"&amp;"")</f>
        <v>187</v>
      </c>
      <c r="G13" s="6">
        <f ca="1">COUNTIFS(solicitudes_alta!E:E,Resumen!B13,solicitudes_alta!AJ:AJ,"FALTA_05")</f>
        <v>0</v>
      </c>
      <c r="H13">
        <f ca="1">COUNTIFS(solicitudes_alta!E:E,Resumen!B13,solicitudes_alta!F:F,"Rejected")</f>
        <v>5</v>
      </c>
      <c r="I13">
        <f ca="1">COUNTIFS(solicitudes_alta!E:E,Resumen!B13,solicitudes_alta!AI:AI,"FALTA_04")</f>
        <v>1</v>
      </c>
    </row>
    <row r="14" spans="2:11" x14ac:dyDescent="0.25">
      <c r="B14" s="5">
        <f t="shared" si="0"/>
        <v>43112</v>
      </c>
      <c r="C14" s="6">
        <f ca="1">COUNTIFS(solicitudes_alta!E:E,Resumen!B14)</f>
        <v>328</v>
      </c>
      <c r="D14" s="6">
        <f ca="1">COUNTIFS(solicitudes_alta!E:E,Resumen!B14,solicitudes_alta!G:G,"&lt;&gt;"&amp;"")</f>
        <v>328</v>
      </c>
      <c r="E14" s="6">
        <f ca="1">COUNTIFS(solicitudes_alta!E:E,Resumen!B14,solicitudes_alta!AG:AG,"FALTA_02")</f>
        <v>0</v>
      </c>
      <c r="F14" s="6">
        <f ca="1">COUNTIFS(solicitudes_alta!E:E,Resumen!B14,solicitudes_alta!I:I,"&lt;&gt;"&amp;"")</f>
        <v>84</v>
      </c>
      <c r="G14" s="6">
        <f ca="1">COUNTIFS(solicitudes_alta!E:E,Resumen!B14,solicitudes_alta!AJ:AJ,"FALTA_05")</f>
        <v>0</v>
      </c>
      <c r="H14">
        <f ca="1">COUNTIFS(solicitudes_alta!E:E,Resumen!B14,solicitudes_alta!F:F,"Rejected")</f>
        <v>2</v>
      </c>
      <c r="I14">
        <f ca="1">COUNTIFS(solicitudes_alta!E:E,Resumen!B14,solicitudes_alta!AI:AI,"FALTA_04")</f>
        <v>0</v>
      </c>
    </row>
    <row r="15" spans="2:11" x14ac:dyDescent="0.25">
      <c r="B15" s="5">
        <f t="shared" si="0"/>
        <v>43113</v>
      </c>
      <c r="C15" s="6">
        <f ca="1">COUNTIFS(solicitudes_alta!E:E,Resumen!B15)</f>
        <v>12</v>
      </c>
      <c r="D15" s="6">
        <f ca="1">COUNTIFS(solicitudes_alta!E:E,Resumen!B15,solicitudes_alta!G:G,"&lt;&gt;"&amp;"")</f>
        <v>12</v>
      </c>
      <c r="E15" s="6">
        <f ca="1">COUNTIFS(solicitudes_alta!E:E,Resumen!B15,solicitudes_alta!AG:AG,"FALTA_02")</f>
        <v>0</v>
      </c>
      <c r="F15" s="6">
        <f ca="1">COUNTIFS(solicitudes_alta!E:E,Resumen!B15,solicitudes_alta!I:I,"&lt;&gt;"&amp;"")</f>
        <v>8</v>
      </c>
      <c r="G15" s="6">
        <f ca="1">COUNTIFS(solicitudes_alta!E:E,Resumen!B15,solicitudes_alta!AJ:AJ,"FALTA_05")</f>
        <v>0</v>
      </c>
      <c r="H15">
        <f ca="1">COUNTIFS(solicitudes_alta!E:E,Resumen!B15,solicitudes_alta!F:F,"Rejected")</f>
        <v>0</v>
      </c>
      <c r="I15">
        <f ca="1">COUNTIFS(solicitudes_alta!E:E,Resumen!B15,solicitudes_alta!AI:AI,"FALTA_04")</f>
        <v>0</v>
      </c>
    </row>
    <row r="16" spans="2:11" x14ac:dyDescent="0.25">
      <c r="B16" s="5">
        <f t="shared" si="0"/>
        <v>43114</v>
      </c>
      <c r="C16" s="6">
        <f ca="1">COUNTIFS(solicitudes_alta!E:E,Resumen!B16)</f>
        <v>2</v>
      </c>
      <c r="D16" s="6">
        <f ca="1">COUNTIFS(solicitudes_alta!E:E,Resumen!B16,solicitudes_alta!G:G,"&lt;&gt;"&amp;"")</f>
        <v>2</v>
      </c>
      <c r="E16" s="6">
        <f ca="1">COUNTIFS(solicitudes_alta!E:E,Resumen!B16,solicitudes_alta!AG:AG,"FALTA_02")</f>
        <v>0</v>
      </c>
      <c r="F16" s="6">
        <f ca="1">COUNTIFS(solicitudes_alta!E:E,Resumen!B16,solicitudes_alta!I:I,"&lt;&gt;"&amp;"")</f>
        <v>0</v>
      </c>
      <c r="G16" s="6">
        <f ca="1">COUNTIFS(solicitudes_alta!E:E,Resumen!B16,solicitudes_alta!AJ:AJ,"FALTA_05")</f>
        <v>0</v>
      </c>
      <c r="H16">
        <f ca="1">COUNTIFS(solicitudes_alta!E:E,Resumen!B16,solicitudes_alta!F:F,"Rejected")</f>
        <v>0</v>
      </c>
      <c r="I16">
        <f ca="1">COUNTIFS(solicitudes_alta!E:E,Resumen!B16,solicitudes_alta!AI:AI,"FALTA_04")</f>
        <v>0</v>
      </c>
    </row>
    <row r="17" spans="2:9" x14ac:dyDescent="0.25">
      <c r="B17" s="5">
        <f t="shared" si="0"/>
        <v>43115</v>
      </c>
      <c r="C17" s="6">
        <f ca="1">COUNTIFS(solicitudes_alta!E:E,Resumen!B17)</f>
        <v>0</v>
      </c>
      <c r="D17" s="6">
        <f ca="1">COUNTIFS(solicitudes_alta!E:E,Resumen!B17,solicitudes_alta!G:G,"&lt;&gt;"&amp;"")</f>
        <v>0</v>
      </c>
      <c r="E17" s="6">
        <f ca="1">COUNTIFS(solicitudes_alta!E:E,Resumen!B17,solicitudes_alta!AG:AG,"FALTA_02")</f>
        <v>0</v>
      </c>
      <c r="F17" s="6">
        <f ca="1">COUNTIFS(solicitudes_alta!E:E,Resumen!B17,solicitudes_alta!I:I,"&lt;&gt;"&amp;"")</f>
        <v>0</v>
      </c>
      <c r="G17" s="6">
        <f ca="1">COUNTIFS(solicitudes_alta!E:E,Resumen!B17,solicitudes_alta!AJ:AJ,"FALTA_05")</f>
        <v>0</v>
      </c>
      <c r="H17">
        <f ca="1">COUNTIFS(solicitudes_alta!E:E,Resumen!B17,solicitudes_alta!F:F,"Rejected")</f>
        <v>0</v>
      </c>
      <c r="I17">
        <f ca="1">COUNTIFS(solicitudes_alta!E:E,Resumen!B17,solicitudes_alta!AI:AI,"FALTA_04")</f>
        <v>0</v>
      </c>
    </row>
    <row r="18" spans="2:9" x14ac:dyDescent="0.25">
      <c r="B18" s="5">
        <f t="shared" si="0"/>
        <v>43116</v>
      </c>
      <c r="C18" s="6">
        <f ca="1">COUNTIFS(solicitudes_alta!E:E,Resumen!B18)</f>
        <v>0</v>
      </c>
      <c r="D18" s="6">
        <f ca="1">COUNTIFS(solicitudes_alta!E:E,Resumen!B18,solicitudes_alta!G:G,"&lt;&gt;"&amp;"")</f>
        <v>0</v>
      </c>
      <c r="E18" s="6">
        <f ca="1">COUNTIFS(solicitudes_alta!E:E,Resumen!B18,solicitudes_alta!AG:AG,"FALTA_02")</f>
        <v>0</v>
      </c>
      <c r="F18" s="6">
        <f ca="1">COUNTIFS(solicitudes_alta!E:E,Resumen!B18,solicitudes_alta!I:I,"&lt;&gt;"&amp;"")</f>
        <v>0</v>
      </c>
      <c r="G18" s="6">
        <f ca="1">COUNTIFS(solicitudes_alta!E:E,Resumen!B18,solicitudes_alta!AJ:AJ,"FALTA_05")</f>
        <v>0</v>
      </c>
      <c r="H18">
        <f ca="1">COUNTIFS(solicitudes_alta!E:E,Resumen!B18,solicitudes_alta!F:F,"Rejected")</f>
        <v>0</v>
      </c>
      <c r="I18">
        <f ca="1">COUNTIFS(solicitudes_alta!E:E,Resumen!B18,solicitudes_alta!AI:AI,"FALTA_04")</f>
        <v>0</v>
      </c>
    </row>
    <row r="19" spans="2:9" x14ac:dyDescent="0.25">
      <c r="B19" s="5">
        <f t="shared" si="0"/>
        <v>43117</v>
      </c>
      <c r="C19" s="6">
        <f ca="1">COUNTIFS(solicitudes_alta!E:E,Resumen!B19)</f>
        <v>0</v>
      </c>
      <c r="D19" s="6">
        <f ca="1">COUNTIFS(solicitudes_alta!E:E,Resumen!B19,solicitudes_alta!G:G,"&lt;&gt;"&amp;"")</f>
        <v>0</v>
      </c>
      <c r="E19" s="6">
        <f ca="1">COUNTIFS(solicitudes_alta!E:E,Resumen!B19,solicitudes_alta!AG:AG,"FALTA_02")</f>
        <v>0</v>
      </c>
      <c r="F19" s="6">
        <f ca="1">COUNTIFS(solicitudes_alta!E:E,Resumen!B19,solicitudes_alta!I:I,"&lt;&gt;"&amp;"")</f>
        <v>0</v>
      </c>
      <c r="G19" s="6">
        <f ca="1">COUNTIFS(solicitudes_alta!E:E,Resumen!B19,solicitudes_alta!AJ:AJ,"FALTA_05")</f>
        <v>0</v>
      </c>
      <c r="H19">
        <f ca="1">COUNTIFS(solicitudes_alta!E:E,Resumen!B19,solicitudes_alta!F:F,"Rejected")</f>
        <v>0</v>
      </c>
      <c r="I19">
        <f ca="1">COUNTIFS(solicitudes_alta!E:E,Resumen!B19,solicitudes_alta!AI:AI,"FALTA_04")</f>
        <v>0</v>
      </c>
    </row>
    <row r="20" spans="2:9" x14ac:dyDescent="0.25">
      <c r="B20" s="5">
        <f t="shared" si="0"/>
        <v>43118</v>
      </c>
      <c r="C20" s="6">
        <f ca="1">COUNTIFS(solicitudes_alta!E:E,Resumen!B20)</f>
        <v>0</v>
      </c>
      <c r="D20" s="6">
        <f ca="1">COUNTIFS(solicitudes_alta!E:E,Resumen!B20,solicitudes_alta!G:G,"&lt;&gt;"&amp;"")</f>
        <v>0</v>
      </c>
      <c r="E20" s="6">
        <f ca="1">COUNTIFS(solicitudes_alta!E:E,Resumen!B20,solicitudes_alta!AG:AG,"FALTA_02")</f>
        <v>0</v>
      </c>
      <c r="F20" s="6">
        <f ca="1">COUNTIFS(solicitudes_alta!E:E,Resumen!B20,solicitudes_alta!I:I,"&lt;&gt;"&amp;"")</f>
        <v>0</v>
      </c>
      <c r="G20" s="6">
        <f ca="1">COUNTIFS(solicitudes_alta!E:E,Resumen!B20,solicitudes_alta!AJ:AJ,"FALTA_05")</f>
        <v>0</v>
      </c>
      <c r="H20">
        <f ca="1">COUNTIFS(solicitudes_alta!E:E,Resumen!B20,solicitudes_alta!F:F,"Rejected")</f>
        <v>0</v>
      </c>
      <c r="I20">
        <f ca="1">COUNTIFS(solicitudes_alta!E:E,Resumen!B20,solicitudes_alta!AI:AI,"FALTA_04")</f>
        <v>0</v>
      </c>
    </row>
    <row r="21" spans="2:9" x14ac:dyDescent="0.25">
      <c r="B21" s="5">
        <f t="shared" si="0"/>
        <v>43119</v>
      </c>
      <c r="C21" s="6">
        <f ca="1">COUNTIFS(solicitudes_alta!E:E,Resumen!B21)</f>
        <v>0</v>
      </c>
      <c r="D21" s="6">
        <f ca="1">COUNTIFS(solicitudes_alta!E:E,Resumen!B21,solicitudes_alta!G:G,"&lt;&gt;"&amp;"")</f>
        <v>0</v>
      </c>
      <c r="E21" s="6">
        <f ca="1">COUNTIFS(solicitudes_alta!E:E,Resumen!B21,solicitudes_alta!AG:AG,"FALTA_02")</f>
        <v>0</v>
      </c>
      <c r="F21" s="6">
        <f ca="1">COUNTIFS(solicitudes_alta!E:E,Resumen!B21,solicitudes_alta!I:I,"&lt;&gt;"&amp;"")</f>
        <v>0</v>
      </c>
      <c r="G21" s="6">
        <f ca="1">COUNTIFS(solicitudes_alta!E:E,Resumen!B21,solicitudes_alta!AJ:AJ,"FALTA_05")</f>
        <v>0</v>
      </c>
      <c r="H21">
        <f ca="1">COUNTIFS(solicitudes_alta!E:E,Resumen!B21,solicitudes_alta!F:F,"Rejected")</f>
        <v>0</v>
      </c>
      <c r="I21">
        <f ca="1">COUNTIFS(solicitudes_alta!E:E,Resumen!B21,solicitudes_alta!AI:AI,"FALTA_04")</f>
        <v>0</v>
      </c>
    </row>
    <row r="22" spans="2:9" x14ac:dyDescent="0.25">
      <c r="B22" s="6"/>
      <c r="C22" s="6"/>
      <c r="D22" s="6"/>
      <c r="E22" s="6"/>
      <c r="F22" s="6"/>
      <c r="G22" s="6"/>
    </row>
    <row r="23" spans="2:9" x14ac:dyDescent="0.25">
      <c r="B23" s="6"/>
      <c r="C23" s="6"/>
      <c r="D23" s="6"/>
      <c r="E23" s="6"/>
      <c r="F23" s="6"/>
      <c r="G23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Q4079"/>
  <sheetViews>
    <sheetView showGridLines="0" tabSelected="1" workbookViewId="0">
      <pane ySplit="1" topLeftCell="A2" activePane="bottomLeft" state="frozen"/>
      <selection activeCell="H1" sqref="H1"/>
      <selection pane="bottomLeft" activeCell="A2" sqref="A2"/>
    </sheetView>
  </sheetViews>
  <sheetFormatPr baseColWidth="10" defaultColWidth="140.85546875" defaultRowHeight="15" x14ac:dyDescent="0.25"/>
  <cols>
    <col min="1" max="1" width="34" style="8" bestFit="1" customWidth="1"/>
    <col min="2" max="2" width="25" style="8" bestFit="1" customWidth="1"/>
    <col min="3" max="3" width="26.7109375" style="8" bestFit="1" customWidth="1"/>
    <col min="4" max="4" width="8.140625" style="8" bestFit="1" customWidth="1"/>
    <col min="5" max="5" width="18" style="8" bestFit="1" customWidth="1"/>
    <col min="6" max="6" width="20.5703125" style="8" bestFit="1" customWidth="1"/>
    <col min="7" max="7" width="27.5703125" style="8" bestFit="1" customWidth="1"/>
    <col min="8" max="8" width="28.140625" style="8" bestFit="1" customWidth="1"/>
    <col min="9" max="9" width="18" style="8" bestFit="1" customWidth="1"/>
    <col min="10" max="10" width="27.42578125" style="8" bestFit="1" customWidth="1"/>
    <col min="11" max="11" width="17.7109375" style="8" bestFit="1" customWidth="1"/>
    <col min="12" max="12" width="16.42578125" style="8" bestFit="1" customWidth="1"/>
    <col min="13" max="13" width="29.7109375" style="8" bestFit="1" customWidth="1"/>
    <col min="14" max="14" width="23" style="8" bestFit="1" customWidth="1"/>
    <col min="15" max="15" width="11.7109375" style="8" bestFit="1" customWidth="1"/>
    <col min="16" max="16" width="11.140625" style="8" bestFit="1" customWidth="1"/>
    <col min="17" max="17" width="12.28515625" style="8" bestFit="1" customWidth="1"/>
    <col min="18" max="18" width="24.28515625" style="8" bestFit="1" customWidth="1"/>
    <col min="19" max="19" width="14.7109375" style="8" bestFit="1" customWidth="1"/>
    <col min="20" max="31" width="7.5703125" style="8" bestFit="1" customWidth="1"/>
    <col min="32" max="43" width="8.28515625" style="8" bestFit="1" customWidth="1"/>
    <col min="44" max="46" width="200.7109375" style="8" customWidth="1"/>
    <col min="47" max="16384" width="140.85546875" style="8"/>
  </cols>
  <sheetData>
    <row r="1" spans="1:43" x14ac:dyDescent="0.25">
      <c r="A1" s="7" t="s">
        <v>28</v>
      </c>
      <c r="B1" s="7" t="s">
        <v>0</v>
      </c>
      <c r="C1" s="7" t="s">
        <v>1</v>
      </c>
      <c r="D1" s="7" t="s">
        <v>27</v>
      </c>
      <c r="E1" s="7" t="s">
        <v>2</v>
      </c>
      <c r="F1" s="7" t="s">
        <v>6</v>
      </c>
      <c r="G1" s="7" t="s">
        <v>3</v>
      </c>
      <c r="H1" s="7" t="s">
        <v>9</v>
      </c>
      <c r="I1" s="7" t="s">
        <v>4</v>
      </c>
      <c r="J1" s="7" t="s">
        <v>10</v>
      </c>
      <c r="K1" s="7" t="s">
        <v>5</v>
      </c>
      <c r="L1" s="7" t="s">
        <v>7</v>
      </c>
      <c r="M1" s="7" t="s">
        <v>21</v>
      </c>
      <c r="N1" s="7" t="s">
        <v>22</v>
      </c>
      <c r="O1" s="7" t="s">
        <v>8</v>
      </c>
      <c r="P1" s="7" t="s">
        <v>30</v>
      </c>
      <c r="Q1" s="7" t="s">
        <v>29</v>
      </c>
      <c r="R1" s="7" t="s">
        <v>23</v>
      </c>
      <c r="S1" s="7" t="s">
        <v>24</v>
      </c>
      <c r="T1" s="12" t="s">
        <v>33</v>
      </c>
      <c r="U1" s="12" t="s">
        <v>34</v>
      </c>
      <c r="V1" s="12" t="s">
        <v>35</v>
      </c>
      <c r="W1" s="12" t="s">
        <v>36</v>
      </c>
      <c r="X1" s="12" t="s">
        <v>37</v>
      </c>
      <c r="Y1" s="12" t="s">
        <v>38</v>
      </c>
      <c r="Z1" s="12" t="s">
        <v>39</v>
      </c>
      <c r="AA1" s="12" t="s">
        <v>40</v>
      </c>
      <c r="AB1" s="12" t="s">
        <v>41</v>
      </c>
      <c r="AC1" s="12" t="s">
        <v>42</v>
      </c>
      <c r="AD1" s="12" t="s">
        <v>43</v>
      </c>
      <c r="AE1" s="12" t="s">
        <v>44</v>
      </c>
      <c r="AF1" s="8" t="s">
        <v>45</v>
      </c>
      <c r="AG1" s="8" t="s">
        <v>46</v>
      </c>
      <c r="AH1" s="8" t="s">
        <v>47</v>
      </c>
      <c r="AI1" s="8" t="s">
        <v>48</v>
      </c>
      <c r="AJ1" s="8" t="s">
        <v>49</v>
      </c>
      <c r="AK1" s="8" t="s">
        <v>50</v>
      </c>
      <c r="AL1" s="8" t="s">
        <v>51</v>
      </c>
      <c r="AM1" s="8" t="s">
        <v>52</v>
      </c>
      <c r="AN1" s="8" t="s">
        <v>53</v>
      </c>
      <c r="AO1" s="8" t="s">
        <v>54</v>
      </c>
      <c r="AP1" s="8" t="s">
        <v>55</v>
      </c>
      <c r="AQ1" s="8" t="s">
        <v>56</v>
      </c>
    </row>
    <row r="2" spans="1:43" x14ac:dyDescent="0.25">
      <c r="A2" s="8" t="s">
        <v>4701</v>
      </c>
      <c r="B2" s="8" t="s">
        <v>4702</v>
      </c>
      <c r="C2" s="8">
        <v>30873332</v>
      </c>
      <c r="D2" s="8">
        <v>5</v>
      </c>
      <c r="E2" s="11">
        <v>43110</v>
      </c>
      <c r="F2" s="11" t="s">
        <v>57</v>
      </c>
      <c r="G2" s="11">
        <v>43114</v>
      </c>
      <c r="H2" s="8" t="s">
        <v>25</v>
      </c>
      <c r="I2" s="11"/>
      <c r="J2" s="8" t="s">
        <v>25</v>
      </c>
      <c r="N2" s="8" t="s">
        <v>58</v>
      </c>
      <c r="O2" s="8" t="s">
        <v>59</v>
      </c>
      <c r="P2" s="8" t="s">
        <v>59</v>
      </c>
      <c r="R2" s="8">
        <v>0</v>
      </c>
      <c r="S2" s="8">
        <v>0</v>
      </c>
      <c r="T2" s="8">
        <v>1</v>
      </c>
      <c r="U2" s="8">
        <v>2</v>
      </c>
      <c r="AG2" s="8" t="str">
        <f ca="1">IF(AND(U2="",G2&lt;&gt;"",NOT(OR(R2,S2))),IF(NETWORKDAYS.INTL(G2,TODAY(),11)&lt;5,"En Plazo",IF(NETWORKDAYS.INTL(G2,TODAY(),11)=5,"Riesgo Incumplimiento","FALTA_02")),"")</f>
        <v/>
      </c>
      <c r="AI2" s="8" t="str">
        <f>IF(AND(O2&lt;&gt;"B1",F2="Rejected"),IF(W2="","FALTA_04",""),"")</f>
        <v/>
      </c>
      <c r="AJ2" s="8" t="str">
        <f t="shared" ref="AJ2" ca="1" si="0">IF(AND(X2="",I2&lt;&gt;"",NOT(OR(R2,S2))),IF(NETWORKDAYS.INTL(G2,TODAY(),11)&lt;=1,"En Plazo",IF(OR(AND(X2="",O2&lt;&gt;"M1"),AND(O2="M1",(OR(Q2="S - S",Q2="S - T",)))),"FALTA_05","")),"")</f>
        <v/>
      </c>
      <c r="AL2" s="8" t="str">
        <f>IF(AND(O2="B1",F2="Rejected"),IF(Z2="","FALTA_07",""),"")</f>
        <v/>
      </c>
    </row>
    <row r="3" spans="1:43" x14ac:dyDescent="0.25">
      <c r="A3" s="8" t="s">
        <v>4703</v>
      </c>
      <c r="B3" s="8" t="s">
        <v>4704</v>
      </c>
      <c r="C3" s="8">
        <v>30873330</v>
      </c>
      <c r="D3" s="8">
        <v>5</v>
      </c>
      <c r="E3" s="11">
        <v>43110</v>
      </c>
      <c r="F3" s="8" t="s">
        <v>57</v>
      </c>
      <c r="G3" s="11">
        <v>43114</v>
      </c>
      <c r="H3" s="8" t="s">
        <v>25</v>
      </c>
      <c r="J3" s="8" t="s">
        <v>25</v>
      </c>
      <c r="N3" s="8" t="s">
        <v>58</v>
      </c>
      <c r="O3" s="8" t="s">
        <v>59</v>
      </c>
      <c r="P3" s="8" t="s">
        <v>59</v>
      </c>
      <c r="R3" s="8">
        <v>0</v>
      </c>
      <c r="S3" s="8">
        <v>0</v>
      </c>
      <c r="T3" s="8">
        <v>1</v>
      </c>
      <c r="U3" s="8">
        <v>2</v>
      </c>
      <c r="AG3" s="8" t="str">
        <f t="shared" ref="AG3:AG66" si="1">IF(AND(U3="",G3&lt;&gt;"",NOT(OR(R3,S3))),IF(NETWORKDAYS.INTL(G3,TODAY(),11)&lt;5,"En Plazo",IF(NETWORKDAYS.INTL(G3,TODAY(),11)=5,"Riesgo Incumplimiento","FALTA_02")),"")</f>
        <v/>
      </c>
      <c r="AI3" s="8" t="str">
        <f t="shared" ref="AI3:AI66" si="2">IF(AND(O3&lt;&gt;"B1",F3="Rejected"),IF(W3="","FALTA_04",""),"")</f>
        <v/>
      </c>
      <c r="AJ3" s="8" t="str">
        <f t="shared" ref="AJ3:AJ66" si="3">IF(AND(X3="",I3&lt;&gt;"",NOT(OR(R3,S3))),IF(NETWORKDAYS.INTL(G3,TODAY(),11)&lt;=1,"En Plazo",IF(OR(AND(X3="",O3&lt;&gt;"M1"),AND(O3="M1",(OR(Q3="S - S",Q3="S - T",)))),"FALTA_05","")),"")</f>
        <v/>
      </c>
      <c r="AL3" s="8" t="str">
        <f t="shared" ref="AL3:AL66" si="4">IF(AND(O3="B1",F3="Rejected"),IF(Z3="","FALTA_07",""),"")</f>
        <v/>
      </c>
    </row>
    <row r="4" spans="1:43" x14ac:dyDescent="0.25">
      <c r="A4" s="8" t="s">
        <v>1656</v>
      </c>
      <c r="B4" s="8" t="s">
        <v>1657</v>
      </c>
      <c r="C4" s="8">
        <v>30875955</v>
      </c>
      <c r="D4" s="8">
        <v>5</v>
      </c>
      <c r="E4" s="11">
        <v>43110</v>
      </c>
      <c r="F4" s="8" t="s">
        <v>61</v>
      </c>
      <c r="G4" s="11">
        <v>43110</v>
      </c>
      <c r="H4" s="8" t="s">
        <v>25</v>
      </c>
      <c r="J4" s="8" t="s">
        <v>25</v>
      </c>
      <c r="K4" s="11">
        <v>43110</v>
      </c>
      <c r="N4" s="8" t="s">
        <v>58</v>
      </c>
      <c r="O4" s="8" t="s">
        <v>59</v>
      </c>
      <c r="P4" s="8" t="s">
        <v>59</v>
      </c>
      <c r="R4" s="8">
        <v>0</v>
      </c>
      <c r="S4" s="8">
        <v>0</v>
      </c>
      <c r="T4" s="8">
        <v>1</v>
      </c>
      <c r="U4" s="8">
        <v>2</v>
      </c>
      <c r="Y4" s="8">
        <v>6</v>
      </c>
      <c r="Z4" s="8">
        <v>7</v>
      </c>
      <c r="AG4" s="8" t="str">
        <f t="shared" si="1"/>
        <v/>
      </c>
      <c r="AI4" s="8" t="str">
        <f t="shared" si="2"/>
        <v/>
      </c>
      <c r="AJ4" s="8" t="str">
        <f t="shared" si="3"/>
        <v/>
      </c>
      <c r="AL4" s="8" t="str">
        <f t="shared" si="4"/>
        <v/>
      </c>
    </row>
    <row r="5" spans="1:43" x14ac:dyDescent="0.25">
      <c r="A5" s="8" t="s">
        <v>3258</v>
      </c>
      <c r="B5" s="8" t="s">
        <v>1657</v>
      </c>
      <c r="C5" s="8">
        <v>30890280</v>
      </c>
      <c r="D5" s="8">
        <v>5</v>
      </c>
      <c r="E5" s="11">
        <v>43111</v>
      </c>
      <c r="F5" s="8" t="s">
        <v>58</v>
      </c>
      <c r="G5" s="11">
        <v>43111</v>
      </c>
      <c r="H5" s="8" t="s">
        <v>25</v>
      </c>
      <c r="I5" s="11">
        <v>43111</v>
      </c>
      <c r="J5" s="8" t="s">
        <v>25</v>
      </c>
      <c r="N5" s="8" t="s">
        <v>58</v>
      </c>
      <c r="O5" s="8" t="s">
        <v>59</v>
      </c>
      <c r="P5" s="8" t="s">
        <v>59</v>
      </c>
      <c r="R5" s="8">
        <v>0</v>
      </c>
      <c r="S5" s="8">
        <v>0</v>
      </c>
      <c r="T5" s="8">
        <v>1</v>
      </c>
      <c r="U5" s="8">
        <v>2</v>
      </c>
      <c r="X5" s="8">
        <v>5</v>
      </c>
      <c r="AG5" s="8" t="str">
        <f t="shared" si="1"/>
        <v/>
      </c>
      <c r="AI5" s="8" t="str">
        <f t="shared" si="2"/>
        <v/>
      </c>
      <c r="AJ5" s="8" t="str">
        <f t="shared" si="3"/>
        <v/>
      </c>
      <c r="AL5" s="8" t="str">
        <f t="shared" si="4"/>
        <v/>
      </c>
    </row>
    <row r="6" spans="1:43" x14ac:dyDescent="0.25">
      <c r="A6" s="8" t="s">
        <v>1658</v>
      </c>
      <c r="B6" s="8" t="s">
        <v>1659</v>
      </c>
      <c r="C6" s="8">
        <v>30875954</v>
      </c>
      <c r="D6" s="8">
        <v>5</v>
      </c>
      <c r="E6" s="11">
        <v>43110</v>
      </c>
      <c r="F6" s="8" t="s">
        <v>61</v>
      </c>
      <c r="G6" s="11">
        <v>43110</v>
      </c>
      <c r="H6" s="8" t="s">
        <v>25</v>
      </c>
      <c r="J6" s="8" t="s">
        <v>25</v>
      </c>
      <c r="K6" s="11">
        <v>43110</v>
      </c>
      <c r="N6" s="8" t="s">
        <v>58</v>
      </c>
      <c r="O6" s="8" t="s">
        <v>59</v>
      </c>
      <c r="P6" s="8" t="s">
        <v>59</v>
      </c>
      <c r="R6" s="8">
        <v>0</v>
      </c>
      <c r="S6" s="8">
        <v>0</v>
      </c>
      <c r="T6" s="8">
        <v>1</v>
      </c>
      <c r="U6" s="8">
        <v>2</v>
      </c>
      <c r="Y6" s="8">
        <v>6</v>
      </c>
      <c r="Z6" s="8">
        <v>7</v>
      </c>
      <c r="AG6" s="8" t="str">
        <f t="shared" si="1"/>
        <v/>
      </c>
      <c r="AI6" s="8" t="str">
        <f t="shared" si="2"/>
        <v/>
      </c>
      <c r="AJ6" s="8" t="str">
        <f t="shared" si="3"/>
        <v/>
      </c>
      <c r="AL6" s="8" t="str">
        <f t="shared" si="4"/>
        <v/>
      </c>
    </row>
    <row r="7" spans="1:43" x14ac:dyDescent="0.25">
      <c r="A7" s="8" t="s">
        <v>3259</v>
      </c>
      <c r="B7" s="8" t="s">
        <v>1659</v>
      </c>
      <c r="C7" s="8">
        <v>30890283</v>
      </c>
      <c r="D7" s="8">
        <v>5</v>
      </c>
      <c r="E7" s="11">
        <v>43111</v>
      </c>
      <c r="F7" s="8" t="s">
        <v>58</v>
      </c>
      <c r="G7" s="11">
        <v>43111</v>
      </c>
      <c r="H7" s="8" t="s">
        <v>25</v>
      </c>
      <c r="I7" s="11">
        <v>43111</v>
      </c>
      <c r="J7" s="8" t="s">
        <v>25</v>
      </c>
      <c r="N7" s="8" t="s">
        <v>58</v>
      </c>
      <c r="O7" s="8" t="s">
        <v>59</v>
      </c>
      <c r="P7" s="8" t="s">
        <v>59</v>
      </c>
      <c r="R7" s="8">
        <v>0</v>
      </c>
      <c r="S7" s="8">
        <v>0</v>
      </c>
      <c r="T7" s="8">
        <v>1</v>
      </c>
      <c r="U7" s="8">
        <v>2</v>
      </c>
      <c r="X7" s="8">
        <v>5</v>
      </c>
      <c r="AG7" s="8" t="str">
        <f t="shared" si="1"/>
        <v/>
      </c>
      <c r="AI7" s="8" t="str">
        <f t="shared" si="2"/>
        <v/>
      </c>
      <c r="AJ7" s="8" t="str">
        <f t="shared" si="3"/>
        <v/>
      </c>
      <c r="AL7" s="8" t="str">
        <f t="shared" si="4"/>
        <v/>
      </c>
    </row>
    <row r="8" spans="1:43" x14ac:dyDescent="0.25">
      <c r="A8" s="8" t="s">
        <v>768</v>
      </c>
      <c r="B8" s="8" t="s">
        <v>769</v>
      </c>
      <c r="C8" s="8">
        <v>30827137</v>
      </c>
      <c r="D8" s="8">
        <v>5</v>
      </c>
      <c r="E8" s="11">
        <v>43108</v>
      </c>
      <c r="F8" s="8" t="s">
        <v>57</v>
      </c>
      <c r="G8" s="11">
        <v>43109</v>
      </c>
      <c r="H8" s="8" t="s">
        <v>25</v>
      </c>
      <c r="J8" s="8" t="s">
        <v>25</v>
      </c>
      <c r="N8" s="8" t="s">
        <v>58</v>
      </c>
      <c r="O8" s="8" t="s">
        <v>59</v>
      </c>
      <c r="P8" s="8" t="s">
        <v>59</v>
      </c>
      <c r="R8" s="8">
        <v>0</v>
      </c>
      <c r="S8" s="8">
        <v>0</v>
      </c>
      <c r="T8" s="8">
        <v>1</v>
      </c>
      <c r="U8" s="8">
        <v>2</v>
      </c>
      <c r="AG8" s="8" t="str">
        <f t="shared" si="1"/>
        <v/>
      </c>
      <c r="AI8" s="8" t="str">
        <f t="shared" si="2"/>
        <v/>
      </c>
      <c r="AJ8" s="8" t="str">
        <f t="shared" si="3"/>
        <v/>
      </c>
      <c r="AL8" s="8" t="str">
        <f t="shared" si="4"/>
        <v/>
      </c>
    </row>
    <row r="9" spans="1:43" x14ac:dyDescent="0.25">
      <c r="A9" s="8" t="s">
        <v>143</v>
      </c>
      <c r="B9" s="8" t="s">
        <v>144</v>
      </c>
      <c r="C9" s="8">
        <v>30818377</v>
      </c>
      <c r="D9" s="8">
        <v>5</v>
      </c>
      <c r="E9" s="11">
        <v>43108</v>
      </c>
      <c r="F9" s="8" t="s">
        <v>57</v>
      </c>
      <c r="G9" s="11">
        <v>43108</v>
      </c>
      <c r="H9" s="8" t="s">
        <v>25</v>
      </c>
      <c r="J9" s="8" t="s">
        <v>25</v>
      </c>
      <c r="N9" s="8" t="s">
        <v>58</v>
      </c>
      <c r="O9" s="8" t="s">
        <v>59</v>
      </c>
      <c r="P9" s="8" t="s">
        <v>59</v>
      </c>
      <c r="R9" s="8">
        <v>0</v>
      </c>
      <c r="S9" s="8">
        <v>0</v>
      </c>
      <c r="T9" s="8">
        <v>1</v>
      </c>
      <c r="U9" s="8">
        <v>2</v>
      </c>
      <c r="AG9" s="8" t="str">
        <f t="shared" si="1"/>
        <v/>
      </c>
      <c r="AI9" s="8" t="str">
        <f t="shared" si="2"/>
        <v/>
      </c>
      <c r="AJ9" s="8" t="str">
        <f t="shared" si="3"/>
        <v/>
      </c>
      <c r="AL9" s="8" t="str">
        <f t="shared" si="4"/>
        <v/>
      </c>
    </row>
    <row r="10" spans="1:43" x14ac:dyDescent="0.25">
      <c r="A10" s="8" t="s">
        <v>4705</v>
      </c>
      <c r="B10" s="8" t="s">
        <v>4706</v>
      </c>
      <c r="C10" s="8">
        <v>30916179</v>
      </c>
      <c r="D10" s="8">
        <v>5</v>
      </c>
      <c r="E10" s="11">
        <v>43112</v>
      </c>
      <c r="F10" s="8" t="s">
        <v>58</v>
      </c>
      <c r="G10" s="11">
        <v>43112</v>
      </c>
      <c r="H10" s="8" t="s">
        <v>25</v>
      </c>
      <c r="I10" s="11">
        <v>43112</v>
      </c>
      <c r="J10" s="8" t="s">
        <v>25</v>
      </c>
      <c r="N10" s="8" t="s">
        <v>58</v>
      </c>
      <c r="O10" s="8" t="s">
        <v>59</v>
      </c>
      <c r="P10" s="8" t="s">
        <v>59</v>
      </c>
      <c r="R10" s="8">
        <v>0</v>
      </c>
      <c r="S10" s="8">
        <v>0</v>
      </c>
      <c r="T10" s="8">
        <v>1</v>
      </c>
      <c r="U10" s="8">
        <v>2</v>
      </c>
      <c r="X10" s="8">
        <v>5</v>
      </c>
      <c r="AG10" s="8" t="str">
        <f t="shared" si="1"/>
        <v/>
      </c>
      <c r="AI10" s="8" t="str">
        <f t="shared" si="2"/>
        <v/>
      </c>
      <c r="AJ10" s="8" t="str">
        <f t="shared" si="3"/>
        <v/>
      </c>
      <c r="AL10" s="8" t="str">
        <f t="shared" si="4"/>
        <v/>
      </c>
    </row>
    <row r="11" spans="1:43" x14ac:dyDescent="0.25">
      <c r="A11" s="8" t="s">
        <v>4707</v>
      </c>
      <c r="B11" s="8" t="s">
        <v>4708</v>
      </c>
      <c r="C11" s="8">
        <v>30882311</v>
      </c>
      <c r="D11" s="8">
        <v>5</v>
      </c>
      <c r="E11" s="11">
        <v>43111</v>
      </c>
      <c r="F11" s="8" t="s">
        <v>57</v>
      </c>
      <c r="G11" s="11">
        <v>43112</v>
      </c>
      <c r="H11" s="8" t="s">
        <v>25</v>
      </c>
      <c r="J11" s="8" t="s">
        <v>25</v>
      </c>
      <c r="N11" s="8" t="s">
        <v>58</v>
      </c>
      <c r="O11" s="8" t="s">
        <v>59</v>
      </c>
      <c r="P11" s="8" t="s">
        <v>59</v>
      </c>
      <c r="R11" s="8">
        <v>0</v>
      </c>
      <c r="S11" s="8">
        <v>0</v>
      </c>
      <c r="T11" s="8">
        <v>1</v>
      </c>
      <c r="U11" s="8">
        <v>2</v>
      </c>
      <c r="AG11" s="8" t="str">
        <f t="shared" si="1"/>
        <v/>
      </c>
      <c r="AI11" s="8" t="str">
        <f t="shared" si="2"/>
        <v/>
      </c>
      <c r="AJ11" s="8" t="str">
        <f t="shared" si="3"/>
        <v/>
      </c>
      <c r="AL11" s="8" t="str">
        <f t="shared" si="4"/>
        <v/>
      </c>
    </row>
    <row r="12" spans="1:43" x14ac:dyDescent="0.25">
      <c r="A12" s="8" t="s">
        <v>3260</v>
      </c>
      <c r="B12" s="8" t="s">
        <v>3261</v>
      </c>
      <c r="C12" s="8">
        <v>30893223</v>
      </c>
      <c r="D12" s="8">
        <v>4</v>
      </c>
      <c r="E12" s="11">
        <v>43111</v>
      </c>
      <c r="F12" s="8" t="s">
        <v>57</v>
      </c>
      <c r="G12" s="11">
        <v>43111</v>
      </c>
      <c r="H12" s="8" t="s">
        <v>25</v>
      </c>
      <c r="J12" s="8" t="s">
        <v>25</v>
      </c>
      <c r="N12" s="8" t="s">
        <v>58</v>
      </c>
      <c r="O12" s="8" t="s">
        <v>59</v>
      </c>
      <c r="P12" s="8" t="s">
        <v>59</v>
      </c>
      <c r="R12" s="8">
        <v>0</v>
      </c>
      <c r="S12" s="8">
        <v>0</v>
      </c>
      <c r="T12" s="8">
        <v>1</v>
      </c>
      <c r="U12" s="8">
        <v>2</v>
      </c>
      <c r="AG12" s="8" t="str">
        <f t="shared" si="1"/>
        <v/>
      </c>
      <c r="AI12" s="8" t="str">
        <f t="shared" si="2"/>
        <v/>
      </c>
      <c r="AJ12" s="8" t="str">
        <f t="shared" si="3"/>
        <v/>
      </c>
      <c r="AL12" s="8" t="str">
        <f t="shared" si="4"/>
        <v/>
      </c>
    </row>
    <row r="13" spans="1:43" x14ac:dyDescent="0.25">
      <c r="A13" s="8" t="s">
        <v>3262</v>
      </c>
      <c r="B13" s="8" t="s">
        <v>3263</v>
      </c>
      <c r="C13" s="8">
        <v>30865188</v>
      </c>
      <c r="D13" s="8">
        <v>5</v>
      </c>
      <c r="E13" s="11">
        <v>43110</v>
      </c>
      <c r="F13" s="8" t="s">
        <v>58</v>
      </c>
      <c r="G13" s="11">
        <v>43111</v>
      </c>
      <c r="H13" s="8" t="s">
        <v>25</v>
      </c>
      <c r="I13" s="11">
        <v>43115</v>
      </c>
      <c r="J13" s="8" t="s">
        <v>25</v>
      </c>
      <c r="N13" s="8" t="s">
        <v>58</v>
      </c>
      <c r="O13" s="8" t="s">
        <v>59</v>
      </c>
      <c r="P13" s="8" t="s">
        <v>59</v>
      </c>
      <c r="R13" s="8">
        <v>0</v>
      </c>
      <c r="S13" s="8">
        <v>0</v>
      </c>
      <c r="T13" s="8">
        <v>1</v>
      </c>
      <c r="U13" s="8">
        <v>2</v>
      </c>
      <c r="X13" s="8">
        <v>5</v>
      </c>
      <c r="AG13" s="8" t="str">
        <f t="shared" si="1"/>
        <v/>
      </c>
      <c r="AI13" s="8" t="str">
        <f t="shared" si="2"/>
        <v/>
      </c>
      <c r="AJ13" s="8" t="str">
        <f t="shared" si="3"/>
        <v/>
      </c>
      <c r="AL13" s="8" t="str">
        <f t="shared" si="4"/>
        <v/>
      </c>
    </row>
    <row r="14" spans="1:43" x14ac:dyDescent="0.25">
      <c r="A14" s="8" t="s">
        <v>3264</v>
      </c>
      <c r="B14" s="8" t="s">
        <v>3265</v>
      </c>
      <c r="C14" s="8">
        <v>30881965</v>
      </c>
      <c r="D14" s="8">
        <v>5</v>
      </c>
      <c r="E14" s="11">
        <v>43111</v>
      </c>
      <c r="F14" s="8" t="s">
        <v>58</v>
      </c>
      <c r="G14" s="11">
        <v>43111</v>
      </c>
      <c r="H14" s="8" t="s">
        <v>25</v>
      </c>
      <c r="I14" s="11">
        <v>43111</v>
      </c>
      <c r="J14" s="8" t="s">
        <v>25</v>
      </c>
      <c r="N14" s="8" t="s">
        <v>58</v>
      </c>
      <c r="O14" s="8" t="s">
        <v>59</v>
      </c>
      <c r="P14" s="8" t="s">
        <v>59</v>
      </c>
      <c r="R14" s="8">
        <v>0</v>
      </c>
      <c r="S14" s="8">
        <v>0</v>
      </c>
      <c r="T14" s="8">
        <v>1</v>
      </c>
      <c r="U14" s="8">
        <v>2</v>
      </c>
      <c r="X14" s="8">
        <v>5</v>
      </c>
      <c r="AG14" s="8" t="str">
        <f t="shared" si="1"/>
        <v/>
      </c>
      <c r="AI14" s="8" t="str">
        <f t="shared" si="2"/>
        <v/>
      </c>
      <c r="AJ14" s="8" t="str">
        <f t="shared" si="3"/>
        <v/>
      </c>
      <c r="AL14" s="8" t="str">
        <f t="shared" si="4"/>
        <v/>
      </c>
    </row>
    <row r="15" spans="1:43" x14ac:dyDescent="0.25">
      <c r="A15" s="8" t="s">
        <v>1660</v>
      </c>
      <c r="B15" s="8" t="s">
        <v>1661</v>
      </c>
      <c r="C15" s="8">
        <v>30858417</v>
      </c>
      <c r="D15" s="8">
        <v>5</v>
      </c>
      <c r="E15" s="11">
        <v>43110</v>
      </c>
      <c r="F15" s="8" t="s">
        <v>57</v>
      </c>
      <c r="G15" s="11">
        <v>43110</v>
      </c>
      <c r="H15" s="8" t="s">
        <v>25</v>
      </c>
      <c r="J15" s="8" t="s">
        <v>25</v>
      </c>
      <c r="N15" s="8" t="s">
        <v>58</v>
      </c>
      <c r="O15" s="8" t="s">
        <v>59</v>
      </c>
      <c r="P15" s="8" t="s">
        <v>59</v>
      </c>
      <c r="R15" s="8">
        <v>0</v>
      </c>
      <c r="S15" s="8">
        <v>0</v>
      </c>
      <c r="T15" s="8">
        <v>1</v>
      </c>
      <c r="U15" s="8">
        <v>2</v>
      </c>
      <c r="AG15" s="8" t="str">
        <f t="shared" si="1"/>
        <v/>
      </c>
      <c r="AI15" s="8" t="str">
        <f t="shared" si="2"/>
        <v/>
      </c>
      <c r="AJ15" s="8" t="str">
        <f t="shared" si="3"/>
        <v/>
      </c>
      <c r="AL15" s="8" t="str">
        <f t="shared" si="4"/>
        <v/>
      </c>
    </row>
    <row r="16" spans="1:43" x14ac:dyDescent="0.25">
      <c r="A16" s="8" t="s">
        <v>3266</v>
      </c>
      <c r="B16" s="8" t="s">
        <v>3267</v>
      </c>
      <c r="C16" s="8">
        <v>30875599</v>
      </c>
      <c r="D16" s="8">
        <v>5</v>
      </c>
      <c r="E16" s="11">
        <v>43110</v>
      </c>
      <c r="F16" s="8" t="s">
        <v>58</v>
      </c>
      <c r="G16" s="11">
        <v>43111</v>
      </c>
      <c r="H16" s="8" t="s">
        <v>25</v>
      </c>
      <c r="I16" s="11">
        <v>43111</v>
      </c>
      <c r="J16" s="8" t="s">
        <v>25</v>
      </c>
      <c r="N16" s="8" t="s">
        <v>58</v>
      </c>
      <c r="O16" s="8" t="s">
        <v>59</v>
      </c>
      <c r="P16" s="8" t="s">
        <v>59</v>
      </c>
      <c r="R16" s="8">
        <v>0</v>
      </c>
      <c r="S16" s="8">
        <v>0</v>
      </c>
      <c r="T16" s="8">
        <v>1</v>
      </c>
      <c r="U16" s="8">
        <v>2</v>
      </c>
      <c r="X16" s="8">
        <v>5</v>
      </c>
      <c r="AG16" s="8" t="str">
        <f t="shared" si="1"/>
        <v/>
      </c>
      <c r="AI16" s="8" t="str">
        <f t="shared" si="2"/>
        <v/>
      </c>
      <c r="AJ16" s="8" t="str">
        <f t="shared" si="3"/>
        <v/>
      </c>
      <c r="AL16" s="8" t="str">
        <f t="shared" si="4"/>
        <v/>
      </c>
    </row>
    <row r="17" spans="1:38" x14ac:dyDescent="0.25">
      <c r="A17" s="8" t="s">
        <v>6521</v>
      </c>
      <c r="B17" s="8" t="s">
        <v>6522</v>
      </c>
      <c r="C17" s="8">
        <v>30933953</v>
      </c>
      <c r="D17" s="8">
        <v>5</v>
      </c>
      <c r="E17" s="11">
        <v>43115</v>
      </c>
      <c r="F17" s="8" t="s">
        <v>58</v>
      </c>
      <c r="G17" s="11">
        <v>43115</v>
      </c>
      <c r="H17" s="8" t="s">
        <v>25</v>
      </c>
      <c r="I17" s="11">
        <v>43115</v>
      </c>
      <c r="J17" s="8" t="s">
        <v>25</v>
      </c>
      <c r="N17" s="8" t="s">
        <v>58</v>
      </c>
      <c r="O17" s="8" t="s">
        <v>59</v>
      </c>
      <c r="P17" s="8" t="s">
        <v>59</v>
      </c>
      <c r="R17" s="8">
        <v>0</v>
      </c>
      <c r="S17" s="8">
        <v>0</v>
      </c>
      <c r="T17" s="8">
        <v>1</v>
      </c>
      <c r="U17" s="8">
        <v>2</v>
      </c>
      <c r="X17" s="8">
        <v>5</v>
      </c>
      <c r="AG17" s="8" t="str">
        <f t="shared" si="1"/>
        <v/>
      </c>
      <c r="AI17" s="8" t="str">
        <f t="shared" si="2"/>
        <v/>
      </c>
      <c r="AJ17" s="8" t="str">
        <f t="shared" si="3"/>
        <v/>
      </c>
      <c r="AL17" s="8" t="str">
        <f t="shared" si="4"/>
        <v/>
      </c>
    </row>
    <row r="18" spans="1:38" x14ac:dyDescent="0.25">
      <c r="A18" s="8" t="s">
        <v>6523</v>
      </c>
      <c r="B18" s="8" t="s">
        <v>6524</v>
      </c>
      <c r="C18" s="8">
        <v>30916708</v>
      </c>
      <c r="D18" s="8">
        <v>5</v>
      </c>
      <c r="E18" s="11">
        <v>43112</v>
      </c>
      <c r="F18" s="8" t="s">
        <v>57</v>
      </c>
      <c r="G18" s="11">
        <v>43115</v>
      </c>
      <c r="H18" s="8" t="s">
        <v>25</v>
      </c>
      <c r="J18" s="8" t="s">
        <v>25</v>
      </c>
      <c r="N18" s="8" t="s">
        <v>58</v>
      </c>
      <c r="O18" s="8" t="s">
        <v>59</v>
      </c>
      <c r="P18" s="8" t="s">
        <v>59</v>
      </c>
      <c r="R18" s="8">
        <v>0</v>
      </c>
      <c r="S18" s="8">
        <v>0</v>
      </c>
      <c r="T18" s="8">
        <v>1</v>
      </c>
      <c r="U18" s="8">
        <v>2</v>
      </c>
      <c r="AG18" s="8" t="str">
        <f t="shared" si="1"/>
        <v/>
      </c>
      <c r="AI18" s="8" t="str">
        <f t="shared" si="2"/>
        <v/>
      </c>
      <c r="AJ18" s="8" t="str">
        <f t="shared" si="3"/>
        <v/>
      </c>
      <c r="AL18" s="8" t="str">
        <f t="shared" si="4"/>
        <v/>
      </c>
    </row>
    <row r="19" spans="1:38" x14ac:dyDescent="0.25">
      <c r="A19" s="8" t="s">
        <v>4709</v>
      </c>
      <c r="B19" s="8" t="s">
        <v>4710</v>
      </c>
      <c r="C19" s="8">
        <v>30923774</v>
      </c>
      <c r="D19" s="8">
        <v>5</v>
      </c>
      <c r="E19" s="11">
        <v>43112</v>
      </c>
      <c r="F19" s="8" t="s">
        <v>58</v>
      </c>
      <c r="G19" s="11">
        <v>43112</v>
      </c>
      <c r="H19" s="8" t="s">
        <v>25</v>
      </c>
      <c r="I19" s="11">
        <v>43115</v>
      </c>
      <c r="J19" s="8" t="s">
        <v>25</v>
      </c>
      <c r="N19" s="8" t="s">
        <v>58</v>
      </c>
      <c r="O19" s="8" t="s">
        <v>59</v>
      </c>
      <c r="P19" s="8" t="s">
        <v>59</v>
      </c>
      <c r="R19" s="8">
        <v>0</v>
      </c>
      <c r="S19" s="8">
        <v>0</v>
      </c>
      <c r="T19" s="8">
        <v>1</v>
      </c>
      <c r="U19" s="8">
        <v>2</v>
      </c>
      <c r="X19" s="8">
        <v>5</v>
      </c>
      <c r="AG19" s="8" t="str">
        <f t="shared" si="1"/>
        <v/>
      </c>
      <c r="AI19" s="8" t="str">
        <f t="shared" si="2"/>
        <v/>
      </c>
      <c r="AJ19" s="8" t="str">
        <f t="shared" si="3"/>
        <v/>
      </c>
      <c r="AL19" s="8" t="str">
        <f t="shared" si="4"/>
        <v/>
      </c>
    </row>
    <row r="20" spans="1:38" x14ac:dyDescent="0.25">
      <c r="A20" s="8" t="s">
        <v>770</v>
      </c>
      <c r="B20" s="8" t="s">
        <v>75</v>
      </c>
      <c r="C20" s="8">
        <v>30837972</v>
      </c>
      <c r="D20" s="8">
        <v>5</v>
      </c>
      <c r="E20" s="11">
        <v>43109</v>
      </c>
      <c r="F20" s="8" t="s">
        <v>60</v>
      </c>
      <c r="G20" s="11">
        <v>43109</v>
      </c>
      <c r="H20" s="8" t="s">
        <v>25</v>
      </c>
      <c r="J20" s="8" t="s">
        <v>145</v>
      </c>
      <c r="L20" s="8" t="s">
        <v>6525</v>
      </c>
      <c r="N20" s="8" t="s">
        <v>58</v>
      </c>
      <c r="O20" s="8" t="s">
        <v>59</v>
      </c>
      <c r="P20" s="8" t="s">
        <v>59</v>
      </c>
      <c r="R20" s="8">
        <v>0</v>
      </c>
      <c r="S20" s="8">
        <v>0</v>
      </c>
      <c r="T20" s="8">
        <v>1</v>
      </c>
      <c r="U20" s="8">
        <v>2</v>
      </c>
      <c r="W20" s="8">
        <v>4</v>
      </c>
      <c r="AG20" s="8" t="str">
        <f t="shared" si="1"/>
        <v/>
      </c>
      <c r="AI20" s="8" t="str">
        <f t="shared" si="2"/>
        <v/>
      </c>
      <c r="AJ20" s="8" t="str">
        <f t="shared" si="3"/>
        <v/>
      </c>
      <c r="AL20" s="8" t="str">
        <f t="shared" si="4"/>
        <v/>
      </c>
    </row>
    <row r="21" spans="1:38" x14ac:dyDescent="0.25">
      <c r="A21" s="8" t="s">
        <v>4711</v>
      </c>
      <c r="B21" s="8" t="s">
        <v>4712</v>
      </c>
      <c r="C21" s="8">
        <v>30920093</v>
      </c>
      <c r="D21" s="8">
        <v>5</v>
      </c>
      <c r="E21" s="11">
        <v>43112</v>
      </c>
      <c r="F21" s="8" t="s">
        <v>57</v>
      </c>
      <c r="G21" s="11">
        <v>43112</v>
      </c>
      <c r="H21" s="8" t="s">
        <v>25</v>
      </c>
      <c r="J21" s="8" t="s">
        <v>25</v>
      </c>
      <c r="N21" s="8" t="s">
        <v>58</v>
      </c>
      <c r="O21" s="8" t="s">
        <v>59</v>
      </c>
      <c r="P21" s="8" t="s">
        <v>59</v>
      </c>
      <c r="R21" s="8">
        <v>0</v>
      </c>
      <c r="S21" s="8">
        <v>0</v>
      </c>
      <c r="T21" s="8">
        <v>1</v>
      </c>
      <c r="U21" s="8">
        <v>2</v>
      </c>
      <c r="AG21" s="8" t="str">
        <f t="shared" si="1"/>
        <v/>
      </c>
      <c r="AI21" s="8" t="str">
        <f t="shared" si="2"/>
        <v/>
      </c>
      <c r="AJ21" s="8" t="str">
        <f t="shared" si="3"/>
        <v/>
      </c>
      <c r="AL21" s="8" t="str">
        <f t="shared" si="4"/>
        <v/>
      </c>
    </row>
    <row r="22" spans="1:38" x14ac:dyDescent="0.25">
      <c r="A22" s="8" t="s">
        <v>147</v>
      </c>
      <c r="B22" s="8" t="s">
        <v>148</v>
      </c>
      <c r="C22" s="8">
        <v>30818589</v>
      </c>
      <c r="D22" s="8">
        <v>4</v>
      </c>
      <c r="E22" s="11">
        <v>43108</v>
      </c>
      <c r="F22" s="8" t="s">
        <v>60</v>
      </c>
      <c r="G22" s="11">
        <v>43108</v>
      </c>
      <c r="H22" s="8" t="s">
        <v>25</v>
      </c>
      <c r="J22" s="8" t="s">
        <v>25</v>
      </c>
      <c r="L22" s="8" t="s">
        <v>146</v>
      </c>
      <c r="N22" s="8" t="s">
        <v>58</v>
      </c>
      <c r="O22" s="8" t="s">
        <v>59</v>
      </c>
      <c r="P22" s="8" t="s">
        <v>59</v>
      </c>
      <c r="R22" s="8">
        <v>0</v>
      </c>
      <c r="S22" s="8">
        <v>0</v>
      </c>
      <c r="T22" s="8">
        <v>1</v>
      </c>
      <c r="U22" s="8">
        <v>2</v>
      </c>
      <c r="W22" s="8">
        <v>4</v>
      </c>
      <c r="AG22" s="8" t="str">
        <f t="shared" si="1"/>
        <v/>
      </c>
      <c r="AI22" s="8" t="str">
        <f t="shared" si="2"/>
        <v/>
      </c>
      <c r="AJ22" s="8" t="str">
        <f t="shared" si="3"/>
        <v/>
      </c>
      <c r="AL22" s="8" t="str">
        <f t="shared" si="4"/>
        <v/>
      </c>
    </row>
    <row r="23" spans="1:38" x14ac:dyDescent="0.25">
      <c r="A23" s="8" t="s">
        <v>771</v>
      </c>
      <c r="B23" s="8" t="s">
        <v>148</v>
      </c>
      <c r="C23" s="8">
        <v>30846952</v>
      </c>
      <c r="D23" s="8">
        <v>4</v>
      </c>
      <c r="E23" s="11">
        <v>43109</v>
      </c>
      <c r="F23" s="8" t="s">
        <v>60</v>
      </c>
      <c r="G23" s="11">
        <v>43109</v>
      </c>
      <c r="H23" s="8" t="s">
        <v>25</v>
      </c>
      <c r="J23" s="8" t="s">
        <v>25</v>
      </c>
      <c r="L23" s="8" t="s">
        <v>1662</v>
      </c>
      <c r="N23" s="8" t="s">
        <v>58</v>
      </c>
      <c r="O23" s="8" t="s">
        <v>59</v>
      </c>
      <c r="P23" s="8" t="s">
        <v>59</v>
      </c>
      <c r="R23" s="8">
        <v>0</v>
      </c>
      <c r="S23" s="8">
        <v>0</v>
      </c>
      <c r="T23" s="8">
        <v>1</v>
      </c>
      <c r="U23" s="8">
        <v>2</v>
      </c>
      <c r="W23" s="8">
        <v>4</v>
      </c>
      <c r="AG23" s="8" t="str">
        <f t="shared" si="1"/>
        <v/>
      </c>
      <c r="AI23" s="8" t="str">
        <f t="shared" si="2"/>
        <v/>
      </c>
      <c r="AJ23" s="8" t="str">
        <f t="shared" si="3"/>
        <v/>
      </c>
      <c r="AL23" s="8" t="str">
        <f t="shared" si="4"/>
        <v/>
      </c>
    </row>
    <row r="24" spans="1:38" x14ac:dyDescent="0.25">
      <c r="A24" s="8" t="s">
        <v>3268</v>
      </c>
      <c r="B24" s="8" t="s">
        <v>148</v>
      </c>
      <c r="C24" s="8">
        <v>30882044</v>
      </c>
      <c r="D24" s="8">
        <v>4</v>
      </c>
      <c r="E24" s="11">
        <v>43111</v>
      </c>
      <c r="F24" s="8" t="s">
        <v>60</v>
      </c>
      <c r="G24" s="11">
        <v>43111</v>
      </c>
      <c r="H24" s="8" t="s">
        <v>25</v>
      </c>
      <c r="J24" s="8" t="s">
        <v>25</v>
      </c>
      <c r="L24" s="8" t="s">
        <v>6525</v>
      </c>
      <c r="N24" s="8" t="s">
        <v>58</v>
      </c>
      <c r="O24" s="8" t="s">
        <v>59</v>
      </c>
      <c r="P24" s="8" t="s">
        <v>59</v>
      </c>
      <c r="R24" s="8">
        <v>0</v>
      </c>
      <c r="S24" s="8">
        <v>0</v>
      </c>
      <c r="T24" s="8">
        <v>1</v>
      </c>
      <c r="U24" s="8">
        <v>2</v>
      </c>
      <c r="W24" s="8">
        <v>4</v>
      </c>
      <c r="AG24" s="8" t="str">
        <f t="shared" si="1"/>
        <v/>
      </c>
      <c r="AI24" s="8" t="str">
        <f t="shared" si="2"/>
        <v/>
      </c>
      <c r="AJ24" s="8" t="str">
        <f t="shared" si="3"/>
        <v/>
      </c>
      <c r="AL24" s="8" t="str">
        <f t="shared" si="4"/>
        <v/>
      </c>
    </row>
    <row r="25" spans="1:38" x14ac:dyDescent="0.25">
      <c r="A25" s="8" t="s">
        <v>6526</v>
      </c>
      <c r="B25" s="8" t="s">
        <v>6527</v>
      </c>
      <c r="C25" s="8">
        <v>30931321</v>
      </c>
      <c r="D25" s="8">
        <v>5</v>
      </c>
      <c r="E25" s="11">
        <v>43115</v>
      </c>
      <c r="F25" s="8" t="s">
        <v>57</v>
      </c>
      <c r="G25" s="11">
        <v>43115</v>
      </c>
      <c r="H25" s="8" t="s">
        <v>25</v>
      </c>
      <c r="J25" s="8" t="s">
        <v>25</v>
      </c>
      <c r="N25" s="8" t="s">
        <v>58</v>
      </c>
      <c r="O25" s="8" t="s">
        <v>59</v>
      </c>
      <c r="P25" s="8" t="s">
        <v>59</v>
      </c>
      <c r="R25" s="8">
        <v>0</v>
      </c>
      <c r="S25" s="8">
        <v>0</v>
      </c>
      <c r="T25" s="8">
        <v>1</v>
      </c>
      <c r="U25" s="8">
        <v>2</v>
      </c>
      <c r="AG25" s="8" t="str">
        <f t="shared" si="1"/>
        <v/>
      </c>
      <c r="AI25" s="8" t="str">
        <f t="shared" si="2"/>
        <v/>
      </c>
      <c r="AJ25" s="8" t="str">
        <f t="shared" si="3"/>
        <v/>
      </c>
      <c r="AL25" s="8" t="str">
        <f t="shared" si="4"/>
        <v/>
      </c>
    </row>
    <row r="26" spans="1:38" x14ac:dyDescent="0.25">
      <c r="A26" s="8" t="s">
        <v>149</v>
      </c>
      <c r="B26" s="8" t="s">
        <v>150</v>
      </c>
      <c r="C26" s="8">
        <v>30815560</v>
      </c>
      <c r="D26" s="8">
        <v>5</v>
      </c>
      <c r="E26" s="11">
        <v>43108</v>
      </c>
      <c r="F26" s="8" t="s">
        <v>58</v>
      </c>
      <c r="G26" s="11">
        <v>43108</v>
      </c>
      <c r="H26" s="8" t="s">
        <v>25</v>
      </c>
      <c r="I26" s="11">
        <v>43109</v>
      </c>
      <c r="J26" s="8" t="s">
        <v>25</v>
      </c>
      <c r="N26" s="8" t="s">
        <v>58</v>
      </c>
      <c r="O26" s="8" t="s">
        <v>59</v>
      </c>
      <c r="P26" s="8" t="s">
        <v>59</v>
      </c>
      <c r="R26" s="8">
        <v>0</v>
      </c>
      <c r="S26" s="8">
        <v>0</v>
      </c>
      <c r="T26" s="8">
        <v>1</v>
      </c>
      <c r="U26" s="8">
        <v>2</v>
      </c>
      <c r="X26" s="8">
        <v>5</v>
      </c>
      <c r="AG26" s="8" t="str">
        <f t="shared" si="1"/>
        <v/>
      </c>
      <c r="AI26" s="8" t="str">
        <f t="shared" si="2"/>
        <v/>
      </c>
      <c r="AJ26" s="8" t="str">
        <f t="shared" si="3"/>
        <v/>
      </c>
      <c r="AL26" s="8" t="str">
        <f t="shared" si="4"/>
        <v/>
      </c>
    </row>
    <row r="27" spans="1:38" x14ac:dyDescent="0.25">
      <c r="A27" s="8" t="s">
        <v>151</v>
      </c>
      <c r="B27" s="8" t="s">
        <v>152</v>
      </c>
      <c r="C27" s="8">
        <v>30824542</v>
      </c>
      <c r="D27" s="8">
        <v>5</v>
      </c>
      <c r="E27" s="11">
        <v>43108</v>
      </c>
      <c r="F27" s="8" t="s">
        <v>58</v>
      </c>
      <c r="G27" s="11">
        <v>43108</v>
      </c>
      <c r="H27" s="8" t="s">
        <v>25</v>
      </c>
      <c r="I27" s="11">
        <v>43112</v>
      </c>
      <c r="J27" s="8" t="s">
        <v>145</v>
      </c>
      <c r="N27" s="8" t="s">
        <v>58</v>
      </c>
      <c r="O27" s="8" t="s">
        <v>59</v>
      </c>
      <c r="P27" s="8" t="s">
        <v>59</v>
      </c>
      <c r="R27" s="8">
        <v>0</v>
      </c>
      <c r="S27" s="8">
        <v>0</v>
      </c>
      <c r="T27" s="8">
        <v>1</v>
      </c>
      <c r="U27" s="8">
        <v>2</v>
      </c>
      <c r="X27" s="8">
        <v>5</v>
      </c>
      <c r="AG27" s="8" t="str">
        <f t="shared" si="1"/>
        <v/>
      </c>
      <c r="AI27" s="8" t="str">
        <f t="shared" si="2"/>
        <v/>
      </c>
      <c r="AJ27" s="8" t="str">
        <f t="shared" si="3"/>
        <v/>
      </c>
      <c r="AL27" s="8" t="str">
        <f t="shared" si="4"/>
        <v/>
      </c>
    </row>
    <row r="28" spans="1:38" x14ac:dyDescent="0.25">
      <c r="A28" s="8" t="s">
        <v>772</v>
      </c>
      <c r="B28" s="8" t="s">
        <v>773</v>
      </c>
      <c r="C28" s="8">
        <v>30846604</v>
      </c>
      <c r="D28" s="8">
        <v>5</v>
      </c>
      <c r="E28" s="11">
        <v>43109</v>
      </c>
      <c r="F28" s="8" t="s">
        <v>57</v>
      </c>
      <c r="G28" s="11">
        <v>43109</v>
      </c>
      <c r="H28" s="8" t="s">
        <v>25</v>
      </c>
      <c r="J28" s="8" t="s">
        <v>25</v>
      </c>
      <c r="N28" s="8" t="s">
        <v>58</v>
      </c>
      <c r="O28" s="8" t="s">
        <v>59</v>
      </c>
      <c r="P28" s="8" t="s">
        <v>59</v>
      </c>
      <c r="R28" s="8">
        <v>0</v>
      </c>
      <c r="S28" s="8">
        <v>0</v>
      </c>
      <c r="T28" s="8">
        <v>1</v>
      </c>
      <c r="U28" s="8">
        <v>2</v>
      </c>
      <c r="AG28" s="8" t="str">
        <f t="shared" si="1"/>
        <v/>
      </c>
      <c r="AI28" s="8" t="str">
        <f t="shared" si="2"/>
        <v/>
      </c>
      <c r="AJ28" s="8" t="str">
        <f t="shared" si="3"/>
        <v/>
      </c>
      <c r="AL28" s="8" t="str">
        <f t="shared" si="4"/>
        <v/>
      </c>
    </row>
    <row r="29" spans="1:38" x14ac:dyDescent="0.25">
      <c r="A29" s="8" t="s">
        <v>6528</v>
      </c>
      <c r="B29" s="8" t="s">
        <v>6529</v>
      </c>
      <c r="C29" s="8">
        <v>30846390</v>
      </c>
      <c r="D29" s="8">
        <v>5</v>
      </c>
      <c r="E29" s="11">
        <v>43109</v>
      </c>
      <c r="F29" s="8" t="s">
        <v>57</v>
      </c>
      <c r="G29" s="11">
        <v>43115</v>
      </c>
      <c r="H29" s="8" t="s">
        <v>145</v>
      </c>
      <c r="J29" s="8" t="s">
        <v>25</v>
      </c>
      <c r="N29" s="8" t="s">
        <v>58</v>
      </c>
      <c r="O29" s="8" t="s">
        <v>59</v>
      </c>
      <c r="P29" s="8" t="s">
        <v>59</v>
      </c>
      <c r="R29" s="8">
        <v>0</v>
      </c>
      <c r="S29" s="8">
        <v>0</v>
      </c>
      <c r="T29" s="8">
        <v>1</v>
      </c>
      <c r="U29" s="8">
        <v>2</v>
      </c>
      <c r="AG29" s="8" t="str">
        <f t="shared" si="1"/>
        <v/>
      </c>
      <c r="AI29" s="8" t="str">
        <f t="shared" si="2"/>
        <v/>
      </c>
      <c r="AJ29" s="8" t="str">
        <f t="shared" si="3"/>
        <v/>
      </c>
      <c r="AL29" s="8" t="str">
        <f t="shared" si="4"/>
        <v/>
      </c>
    </row>
    <row r="30" spans="1:38" x14ac:dyDescent="0.25">
      <c r="A30" s="8" t="s">
        <v>774</v>
      </c>
      <c r="B30" s="8" t="s">
        <v>775</v>
      </c>
      <c r="C30" s="8">
        <v>30846805</v>
      </c>
      <c r="D30" s="8">
        <v>5</v>
      </c>
      <c r="E30" s="11">
        <v>43109</v>
      </c>
      <c r="F30" s="8" t="s">
        <v>57</v>
      </c>
      <c r="G30" s="11">
        <v>43109</v>
      </c>
      <c r="H30" s="8" t="s">
        <v>25</v>
      </c>
      <c r="J30" s="8" t="s">
        <v>25</v>
      </c>
      <c r="N30" s="8" t="s">
        <v>58</v>
      </c>
      <c r="O30" s="8" t="s">
        <v>59</v>
      </c>
      <c r="P30" s="8" t="s">
        <v>59</v>
      </c>
      <c r="R30" s="8">
        <v>0</v>
      </c>
      <c r="S30" s="8">
        <v>0</v>
      </c>
      <c r="T30" s="8">
        <v>1</v>
      </c>
      <c r="U30" s="8">
        <v>2</v>
      </c>
      <c r="AG30" s="8" t="str">
        <f t="shared" si="1"/>
        <v/>
      </c>
      <c r="AI30" s="8" t="str">
        <f t="shared" si="2"/>
        <v/>
      </c>
      <c r="AJ30" s="8" t="str">
        <f t="shared" si="3"/>
        <v/>
      </c>
      <c r="AL30" s="8" t="str">
        <f t="shared" si="4"/>
        <v/>
      </c>
    </row>
    <row r="31" spans="1:38" x14ac:dyDescent="0.25">
      <c r="A31" s="8" t="s">
        <v>776</v>
      </c>
      <c r="B31" s="8" t="s">
        <v>777</v>
      </c>
      <c r="C31" s="8">
        <v>30846702</v>
      </c>
      <c r="D31" s="8">
        <v>5</v>
      </c>
      <c r="E31" s="11">
        <v>43109</v>
      </c>
      <c r="F31" s="8" t="s">
        <v>58</v>
      </c>
      <c r="G31" s="11">
        <v>43109</v>
      </c>
      <c r="H31" s="8" t="s">
        <v>25</v>
      </c>
      <c r="I31" s="11">
        <v>43109</v>
      </c>
      <c r="J31" s="8" t="s">
        <v>25</v>
      </c>
      <c r="N31" s="8" t="s">
        <v>58</v>
      </c>
      <c r="O31" s="8" t="s">
        <v>59</v>
      </c>
      <c r="P31" s="8" t="s">
        <v>59</v>
      </c>
      <c r="R31" s="8">
        <v>0</v>
      </c>
      <c r="S31" s="8">
        <v>0</v>
      </c>
      <c r="T31" s="8">
        <v>1</v>
      </c>
      <c r="U31" s="8">
        <v>2</v>
      </c>
      <c r="X31" s="8">
        <v>5</v>
      </c>
      <c r="AG31" s="8" t="str">
        <f t="shared" si="1"/>
        <v/>
      </c>
      <c r="AI31" s="8" t="str">
        <f t="shared" si="2"/>
        <v/>
      </c>
      <c r="AJ31" s="8" t="str">
        <f t="shared" si="3"/>
        <v/>
      </c>
      <c r="AL31" s="8" t="str">
        <f t="shared" si="4"/>
        <v/>
      </c>
    </row>
    <row r="32" spans="1:38" x14ac:dyDescent="0.25">
      <c r="A32" s="8" t="s">
        <v>3269</v>
      </c>
      <c r="B32" s="8" t="s">
        <v>3270</v>
      </c>
      <c r="C32" s="8">
        <v>30892454</v>
      </c>
      <c r="D32" s="8">
        <v>5</v>
      </c>
      <c r="E32" s="11">
        <v>43111</v>
      </c>
      <c r="F32" s="8" t="s">
        <v>58</v>
      </c>
      <c r="G32" s="11">
        <v>43111</v>
      </c>
      <c r="H32" s="8" t="s">
        <v>25</v>
      </c>
      <c r="I32" s="11">
        <v>43111</v>
      </c>
      <c r="J32" s="8" t="s">
        <v>25</v>
      </c>
      <c r="N32" s="8" t="s">
        <v>58</v>
      </c>
      <c r="O32" s="8" t="s">
        <v>59</v>
      </c>
      <c r="P32" s="8" t="s">
        <v>59</v>
      </c>
      <c r="R32" s="8">
        <v>0</v>
      </c>
      <c r="S32" s="8">
        <v>0</v>
      </c>
      <c r="T32" s="8">
        <v>1</v>
      </c>
      <c r="U32" s="8">
        <v>2</v>
      </c>
      <c r="X32" s="8">
        <v>5</v>
      </c>
      <c r="AG32" s="8" t="str">
        <f t="shared" si="1"/>
        <v/>
      </c>
      <c r="AI32" s="8" t="str">
        <f t="shared" si="2"/>
        <v/>
      </c>
      <c r="AJ32" s="8" t="str">
        <f t="shared" si="3"/>
        <v/>
      </c>
      <c r="AL32" s="8" t="str">
        <f t="shared" si="4"/>
        <v/>
      </c>
    </row>
    <row r="33" spans="1:38" x14ac:dyDescent="0.25">
      <c r="A33" s="8" t="s">
        <v>153</v>
      </c>
      <c r="B33" s="8" t="s">
        <v>154</v>
      </c>
      <c r="C33" s="8">
        <v>30815142</v>
      </c>
      <c r="D33" s="8">
        <v>5</v>
      </c>
      <c r="E33" s="11">
        <v>43108</v>
      </c>
      <c r="F33" s="8" t="s">
        <v>58</v>
      </c>
      <c r="G33" s="11">
        <v>43108</v>
      </c>
      <c r="H33" s="8" t="s">
        <v>25</v>
      </c>
      <c r="I33" s="11">
        <v>43111</v>
      </c>
      <c r="J33" s="8" t="s">
        <v>25</v>
      </c>
      <c r="N33" s="8" t="s">
        <v>58</v>
      </c>
      <c r="O33" s="8" t="s">
        <v>59</v>
      </c>
      <c r="P33" s="8" t="s">
        <v>59</v>
      </c>
      <c r="R33" s="8">
        <v>0</v>
      </c>
      <c r="S33" s="8">
        <v>0</v>
      </c>
      <c r="T33" s="8">
        <v>1</v>
      </c>
      <c r="U33" s="8">
        <v>2</v>
      </c>
      <c r="X33" s="8">
        <v>5</v>
      </c>
      <c r="AG33" s="8" t="str">
        <f t="shared" si="1"/>
        <v/>
      </c>
      <c r="AI33" s="8" t="str">
        <f t="shared" si="2"/>
        <v/>
      </c>
      <c r="AJ33" s="8" t="str">
        <f t="shared" si="3"/>
        <v/>
      </c>
      <c r="AL33" s="8" t="str">
        <f t="shared" si="4"/>
        <v/>
      </c>
    </row>
    <row r="34" spans="1:38" x14ac:dyDescent="0.25">
      <c r="A34" s="8" t="s">
        <v>4713</v>
      </c>
      <c r="B34" s="8" t="s">
        <v>4714</v>
      </c>
      <c r="C34" s="8">
        <v>30830888</v>
      </c>
      <c r="D34" s="8">
        <v>5</v>
      </c>
      <c r="E34" s="11">
        <v>43109</v>
      </c>
      <c r="F34" s="8" t="s">
        <v>57</v>
      </c>
      <c r="G34" s="11">
        <v>43115</v>
      </c>
      <c r="H34" s="8" t="s">
        <v>145</v>
      </c>
      <c r="J34" s="8" t="s">
        <v>25</v>
      </c>
      <c r="N34" s="8" t="s">
        <v>58</v>
      </c>
      <c r="O34" s="8" t="s">
        <v>59</v>
      </c>
      <c r="P34" s="8" t="s">
        <v>59</v>
      </c>
      <c r="R34" s="8">
        <v>0</v>
      </c>
      <c r="S34" s="8">
        <v>0</v>
      </c>
      <c r="T34" s="8">
        <v>1</v>
      </c>
      <c r="U34" s="8">
        <v>2</v>
      </c>
      <c r="AG34" s="8" t="str">
        <f t="shared" si="1"/>
        <v/>
      </c>
      <c r="AI34" s="8" t="str">
        <f t="shared" si="2"/>
        <v/>
      </c>
      <c r="AJ34" s="8" t="str">
        <f t="shared" si="3"/>
        <v/>
      </c>
      <c r="AL34" s="8" t="str">
        <f t="shared" si="4"/>
        <v/>
      </c>
    </row>
    <row r="35" spans="1:38" x14ac:dyDescent="0.25">
      <c r="A35" s="8" t="s">
        <v>4715</v>
      </c>
      <c r="B35" s="8" t="s">
        <v>4716</v>
      </c>
      <c r="C35" s="8">
        <v>30885020</v>
      </c>
      <c r="D35" s="8">
        <v>5</v>
      </c>
      <c r="E35" s="11">
        <v>43111</v>
      </c>
      <c r="F35" s="8" t="s">
        <v>57</v>
      </c>
      <c r="G35" s="11">
        <v>43112</v>
      </c>
      <c r="H35" s="8" t="s">
        <v>25</v>
      </c>
      <c r="J35" s="8" t="s">
        <v>25</v>
      </c>
      <c r="N35" s="8" t="s">
        <v>58</v>
      </c>
      <c r="O35" s="8" t="s">
        <v>59</v>
      </c>
      <c r="P35" s="8" t="s">
        <v>59</v>
      </c>
      <c r="R35" s="8">
        <v>0</v>
      </c>
      <c r="S35" s="8">
        <v>0</v>
      </c>
      <c r="T35" s="8">
        <v>1</v>
      </c>
      <c r="U35" s="8">
        <v>2</v>
      </c>
      <c r="AG35" s="8" t="str">
        <f t="shared" si="1"/>
        <v/>
      </c>
      <c r="AI35" s="8" t="str">
        <f t="shared" si="2"/>
        <v/>
      </c>
      <c r="AJ35" s="8" t="str">
        <f t="shared" si="3"/>
        <v/>
      </c>
      <c r="AL35" s="8" t="str">
        <f t="shared" si="4"/>
        <v/>
      </c>
    </row>
    <row r="36" spans="1:38" x14ac:dyDescent="0.25">
      <c r="A36" s="8" t="s">
        <v>6530</v>
      </c>
      <c r="B36" s="8" t="s">
        <v>6531</v>
      </c>
      <c r="C36" s="8">
        <v>30901202</v>
      </c>
      <c r="D36" s="8">
        <v>5</v>
      </c>
      <c r="E36" s="11">
        <v>43111</v>
      </c>
      <c r="F36" s="8" t="s">
        <v>57</v>
      </c>
      <c r="G36" s="11">
        <v>43115</v>
      </c>
      <c r="H36" s="8" t="s">
        <v>25</v>
      </c>
      <c r="J36" s="8" t="s">
        <v>25</v>
      </c>
      <c r="N36" s="8" t="s">
        <v>58</v>
      </c>
      <c r="O36" s="8" t="s">
        <v>59</v>
      </c>
      <c r="P36" s="8" t="s">
        <v>59</v>
      </c>
      <c r="R36" s="8">
        <v>0</v>
      </c>
      <c r="S36" s="8">
        <v>0</v>
      </c>
      <c r="T36" s="8">
        <v>1</v>
      </c>
      <c r="U36" s="8">
        <v>2</v>
      </c>
      <c r="AG36" s="8" t="str">
        <f t="shared" si="1"/>
        <v/>
      </c>
      <c r="AI36" s="8" t="str">
        <f t="shared" si="2"/>
        <v/>
      </c>
      <c r="AJ36" s="8" t="str">
        <f t="shared" si="3"/>
        <v/>
      </c>
      <c r="AL36" s="8" t="str">
        <f t="shared" si="4"/>
        <v/>
      </c>
    </row>
    <row r="37" spans="1:38" x14ac:dyDescent="0.25">
      <c r="A37" s="8" t="s">
        <v>778</v>
      </c>
      <c r="B37" s="8" t="s">
        <v>779</v>
      </c>
      <c r="C37" s="8">
        <v>30840214</v>
      </c>
      <c r="D37" s="8">
        <v>5</v>
      </c>
      <c r="E37" s="11">
        <v>43109</v>
      </c>
      <c r="F37" s="8" t="s">
        <v>57</v>
      </c>
      <c r="G37" s="11">
        <v>43109</v>
      </c>
      <c r="H37" s="8" t="s">
        <v>25</v>
      </c>
      <c r="J37" s="8" t="s">
        <v>25</v>
      </c>
      <c r="N37" s="8" t="s">
        <v>58</v>
      </c>
      <c r="O37" s="8" t="s">
        <v>59</v>
      </c>
      <c r="P37" s="8" t="s">
        <v>59</v>
      </c>
      <c r="R37" s="8">
        <v>0</v>
      </c>
      <c r="S37" s="8">
        <v>0</v>
      </c>
      <c r="T37" s="8">
        <v>1</v>
      </c>
      <c r="U37" s="8">
        <v>2</v>
      </c>
      <c r="AG37" s="8" t="str">
        <f t="shared" si="1"/>
        <v/>
      </c>
      <c r="AI37" s="8" t="str">
        <f t="shared" si="2"/>
        <v/>
      </c>
      <c r="AJ37" s="8" t="str">
        <f t="shared" si="3"/>
        <v/>
      </c>
      <c r="AL37" s="8" t="str">
        <f t="shared" si="4"/>
        <v/>
      </c>
    </row>
    <row r="38" spans="1:38" x14ac:dyDescent="0.25">
      <c r="A38" s="8" t="s">
        <v>6532</v>
      </c>
      <c r="B38" s="8" t="s">
        <v>6533</v>
      </c>
      <c r="C38" s="8">
        <v>30846739</v>
      </c>
      <c r="D38" s="8">
        <v>5</v>
      </c>
      <c r="E38" s="11">
        <v>43109</v>
      </c>
      <c r="F38" s="8" t="s">
        <v>57</v>
      </c>
      <c r="G38" s="11">
        <v>43115</v>
      </c>
      <c r="H38" s="8" t="s">
        <v>145</v>
      </c>
      <c r="J38" s="8" t="s">
        <v>25</v>
      </c>
      <c r="N38" s="8" t="s">
        <v>58</v>
      </c>
      <c r="O38" s="8" t="s">
        <v>59</v>
      </c>
      <c r="P38" s="8" t="s">
        <v>59</v>
      </c>
      <c r="R38" s="8">
        <v>0</v>
      </c>
      <c r="S38" s="8">
        <v>0</v>
      </c>
      <c r="T38" s="8">
        <v>1</v>
      </c>
      <c r="U38" s="8">
        <v>2</v>
      </c>
      <c r="AG38" s="8" t="str">
        <f t="shared" si="1"/>
        <v/>
      </c>
      <c r="AI38" s="8" t="str">
        <f t="shared" si="2"/>
        <v/>
      </c>
      <c r="AJ38" s="8" t="str">
        <f t="shared" si="3"/>
        <v/>
      </c>
      <c r="AL38" s="8" t="str">
        <f t="shared" si="4"/>
        <v/>
      </c>
    </row>
    <row r="39" spans="1:38" x14ac:dyDescent="0.25">
      <c r="A39" s="8" t="s">
        <v>6534</v>
      </c>
      <c r="B39" s="8" t="s">
        <v>6535</v>
      </c>
      <c r="C39" s="8">
        <v>30947658</v>
      </c>
      <c r="D39" s="8">
        <v>5</v>
      </c>
      <c r="E39" s="11">
        <v>43115</v>
      </c>
      <c r="F39" s="8" t="s">
        <v>57</v>
      </c>
      <c r="G39" s="11">
        <v>43115</v>
      </c>
      <c r="H39" s="8" t="s">
        <v>25</v>
      </c>
      <c r="J39" s="8" t="s">
        <v>25</v>
      </c>
      <c r="N39" s="8" t="s">
        <v>58</v>
      </c>
      <c r="O39" s="8" t="s">
        <v>59</v>
      </c>
      <c r="P39" s="8" t="s">
        <v>59</v>
      </c>
      <c r="R39" s="8">
        <v>0</v>
      </c>
      <c r="S39" s="8">
        <v>0</v>
      </c>
      <c r="T39" s="8">
        <v>1</v>
      </c>
      <c r="U39" s="8">
        <v>2</v>
      </c>
      <c r="AG39" s="8" t="str">
        <f t="shared" si="1"/>
        <v/>
      </c>
      <c r="AI39" s="8" t="str">
        <f t="shared" si="2"/>
        <v/>
      </c>
      <c r="AJ39" s="8" t="str">
        <f t="shared" si="3"/>
        <v/>
      </c>
      <c r="AL39" s="8" t="str">
        <f t="shared" si="4"/>
        <v/>
      </c>
    </row>
    <row r="40" spans="1:38" x14ac:dyDescent="0.25">
      <c r="A40" s="8" t="s">
        <v>1663</v>
      </c>
      <c r="B40" s="8" t="s">
        <v>1664</v>
      </c>
      <c r="C40" s="8">
        <v>30842834</v>
      </c>
      <c r="D40" s="8">
        <v>5</v>
      </c>
      <c r="E40" s="11">
        <v>43109</v>
      </c>
      <c r="F40" s="8" t="s">
        <v>58</v>
      </c>
      <c r="G40" s="11">
        <v>43110</v>
      </c>
      <c r="H40" s="8" t="s">
        <v>25</v>
      </c>
      <c r="I40" s="11">
        <v>43115</v>
      </c>
      <c r="J40" s="8" t="s">
        <v>145</v>
      </c>
      <c r="N40" s="8" t="s">
        <v>58</v>
      </c>
      <c r="O40" s="8" t="s">
        <v>59</v>
      </c>
      <c r="P40" s="8" t="s">
        <v>59</v>
      </c>
      <c r="R40" s="8">
        <v>0</v>
      </c>
      <c r="S40" s="8">
        <v>0</v>
      </c>
      <c r="T40" s="8">
        <v>1</v>
      </c>
      <c r="U40" s="8">
        <v>2</v>
      </c>
      <c r="X40" s="8">
        <v>5</v>
      </c>
      <c r="AG40" s="8" t="str">
        <f t="shared" si="1"/>
        <v/>
      </c>
      <c r="AI40" s="8" t="str">
        <f t="shared" si="2"/>
        <v/>
      </c>
      <c r="AJ40" s="8" t="str">
        <f t="shared" si="3"/>
        <v/>
      </c>
      <c r="AL40" s="8" t="str">
        <f t="shared" si="4"/>
        <v/>
      </c>
    </row>
    <row r="41" spans="1:38" x14ac:dyDescent="0.25">
      <c r="A41" s="8" t="s">
        <v>3271</v>
      </c>
      <c r="B41" s="8" t="s">
        <v>3272</v>
      </c>
      <c r="C41" s="8">
        <v>30858579</v>
      </c>
      <c r="D41" s="8">
        <v>5</v>
      </c>
      <c r="E41" s="11">
        <v>43110</v>
      </c>
      <c r="F41" s="8" t="s">
        <v>58</v>
      </c>
      <c r="G41" s="11">
        <v>43111</v>
      </c>
      <c r="H41" s="8" t="s">
        <v>25</v>
      </c>
      <c r="I41" s="11">
        <v>43115</v>
      </c>
      <c r="J41" s="8" t="s">
        <v>25</v>
      </c>
      <c r="N41" s="8" t="s">
        <v>58</v>
      </c>
      <c r="O41" s="8" t="s">
        <v>59</v>
      </c>
      <c r="P41" s="8" t="s">
        <v>59</v>
      </c>
      <c r="R41" s="8">
        <v>0</v>
      </c>
      <c r="S41" s="8">
        <v>0</v>
      </c>
      <c r="T41" s="8">
        <v>1</v>
      </c>
      <c r="U41" s="8">
        <v>2</v>
      </c>
      <c r="X41" s="8">
        <v>5</v>
      </c>
      <c r="AG41" s="8" t="str">
        <f t="shared" si="1"/>
        <v/>
      </c>
      <c r="AI41" s="8" t="str">
        <f t="shared" si="2"/>
        <v/>
      </c>
      <c r="AJ41" s="8" t="str">
        <f t="shared" si="3"/>
        <v/>
      </c>
      <c r="AL41" s="8" t="str">
        <f t="shared" si="4"/>
        <v/>
      </c>
    </row>
    <row r="42" spans="1:38" x14ac:dyDescent="0.25">
      <c r="A42" s="8" t="s">
        <v>4717</v>
      </c>
      <c r="B42" s="8" t="s">
        <v>4718</v>
      </c>
      <c r="C42" s="8">
        <v>30892488</v>
      </c>
      <c r="D42" s="8">
        <v>5</v>
      </c>
      <c r="E42" s="11">
        <v>43111</v>
      </c>
      <c r="F42" s="8" t="s">
        <v>60</v>
      </c>
      <c r="G42" s="11">
        <v>43112</v>
      </c>
      <c r="H42" s="8" t="s">
        <v>25</v>
      </c>
      <c r="J42" s="8" t="s">
        <v>25</v>
      </c>
      <c r="L42" s="8" t="s">
        <v>6525</v>
      </c>
      <c r="N42" s="8" t="s">
        <v>58</v>
      </c>
      <c r="O42" s="8" t="s">
        <v>59</v>
      </c>
      <c r="P42" s="8" t="s">
        <v>59</v>
      </c>
      <c r="R42" s="8">
        <v>0</v>
      </c>
      <c r="S42" s="8">
        <v>0</v>
      </c>
      <c r="T42" s="8">
        <v>1</v>
      </c>
      <c r="U42" s="8">
        <v>2</v>
      </c>
      <c r="W42" s="8">
        <v>4</v>
      </c>
      <c r="AG42" s="8" t="str">
        <f t="shared" si="1"/>
        <v/>
      </c>
      <c r="AI42" s="8" t="str">
        <f t="shared" si="2"/>
        <v/>
      </c>
      <c r="AJ42" s="8" t="str">
        <f t="shared" si="3"/>
        <v/>
      </c>
      <c r="AL42" s="8" t="str">
        <f t="shared" si="4"/>
        <v/>
      </c>
    </row>
    <row r="43" spans="1:38" x14ac:dyDescent="0.25">
      <c r="A43" s="8" t="s">
        <v>6536</v>
      </c>
      <c r="B43" s="8" t="s">
        <v>6537</v>
      </c>
      <c r="C43" s="8">
        <v>30891676</v>
      </c>
      <c r="D43" s="8">
        <v>5</v>
      </c>
      <c r="E43" s="11">
        <v>43111</v>
      </c>
      <c r="F43" s="8" t="s">
        <v>57</v>
      </c>
      <c r="G43" s="11">
        <v>43115</v>
      </c>
      <c r="H43" s="8" t="s">
        <v>25</v>
      </c>
      <c r="J43" s="8" t="s">
        <v>25</v>
      </c>
      <c r="N43" s="8" t="s">
        <v>58</v>
      </c>
      <c r="O43" s="8" t="s">
        <v>59</v>
      </c>
      <c r="P43" s="8" t="s">
        <v>59</v>
      </c>
      <c r="R43" s="8">
        <v>0</v>
      </c>
      <c r="S43" s="8">
        <v>0</v>
      </c>
      <c r="T43" s="8">
        <v>1</v>
      </c>
      <c r="U43" s="8">
        <v>2</v>
      </c>
      <c r="AG43" s="8" t="str">
        <f t="shared" si="1"/>
        <v/>
      </c>
      <c r="AI43" s="8" t="str">
        <f t="shared" si="2"/>
        <v/>
      </c>
      <c r="AJ43" s="8" t="str">
        <f t="shared" si="3"/>
        <v/>
      </c>
      <c r="AL43" s="8" t="str">
        <f t="shared" si="4"/>
        <v/>
      </c>
    </row>
    <row r="44" spans="1:38" x14ac:dyDescent="0.25">
      <c r="A44" s="8" t="s">
        <v>155</v>
      </c>
      <c r="B44" s="8" t="s">
        <v>156</v>
      </c>
      <c r="C44" s="8">
        <v>30821265</v>
      </c>
      <c r="D44" s="8">
        <v>5</v>
      </c>
      <c r="E44" s="11">
        <v>43108</v>
      </c>
      <c r="F44" s="8" t="s">
        <v>58</v>
      </c>
      <c r="G44" s="11">
        <v>43108</v>
      </c>
      <c r="H44" s="8" t="s">
        <v>25</v>
      </c>
      <c r="I44" s="11">
        <v>43115</v>
      </c>
      <c r="J44" s="8" t="s">
        <v>856</v>
      </c>
      <c r="N44" s="8" t="s">
        <v>58</v>
      </c>
      <c r="O44" s="8" t="s">
        <v>59</v>
      </c>
      <c r="P44" s="8" t="s">
        <v>59</v>
      </c>
      <c r="R44" s="8">
        <v>0</v>
      </c>
      <c r="S44" s="8">
        <v>0</v>
      </c>
      <c r="T44" s="8">
        <v>1</v>
      </c>
      <c r="U44" s="8">
        <v>2</v>
      </c>
      <c r="X44" s="8">
        <v>5</v>
      </c>
      <c r="AG44" s="8" t="str">
        <f t="shared" si="1"/>
        <v/>
      </c>
      <c r="AI44" s="8" t="str">
        <f t="shared" si="2"/>
        <v/>
      </c>
      <c r="AJ44" s="8" t="str">
        <f t="shared" si="3"/>
        <v/>
      </c>
      <c r="AL44" s="8" t="str">
        <f t="shared" si="4"/>
        <v/>
      </c>
    </row>
    <row r="45" spans="1:38" x14ac:dyDescent="0.25">
      <c r="A45" s="8" t="s">
        <v>4719</v>
      </c>
      <c r="B45" s="8" t="s">
        <v>4720</v>
      </c>
      <c r="C45" s="8">
        <v>30921144</v>
      </c>
      <c r="D45" s="8">
        <v>5</v>
      </c>
      <c r="E45" s="11">
        <v>43112</v>
      </c>
      <c r="F45" s="8" t="s">
        <v>58</v>
      </c>
      <c r="G45" s="11">
        <v>43112</v>
      </c>
      <c r="H45" s="8" t="s">
        <v>25</v>
      </c>
      <c r="I45" s="11">
        <v>43112</v>
      </c>
      <c r="J45" s="8" t="s">
        <v>25</v>
      </c>
      <c r="N45" s="8" t="s">
        <v>58</v>
      </c>
      <c r="O45" s="8" t="s">
        <v>59</v>
      </c>
      <c r="P45" s="8" t="s">
        <v>59</v>
      </c>
      <c r="R45" s="8">
        <v>0</v>
      </c>
      <c r="S45" s="8">
        <v>0</v>
      </c>
      <c r="T45" s="8">
        <v>1</v>
      </c>
      <c r="U45" s="8">
        <v>2</v>
      </c>
      <c r="X45" s="8">
        <v>5</v>
      </c>
      <c r="AG45" s="8" t="str">
        <f t="shared" si="1"/>
        <v/>
      </c>
      <c r="AI45" s="8" t="str">
        <f t="shared" si="2"/>
        <v/>
      </c>
      <c r="AJ45" s="8" t="str">
        <f t="shared" si="3"/>
        <v/>
      </c>
      <c r="AL45" s="8" t="str">
        <f t="shared" si="4"/>
        <v/>
      </c>
    </row>
    <row r="46" spans="1:38" x14ac:dyDescent="0.25">
      <c r="A46" s="8" t="s">
        <v>780</v>
      </c>
      <c r="B46" s="8" t="s">
        <v>781</v>
      </c>
      <c r="C46" s="8">
        <v>30839082</v>
      </c>
      <c r="D46" s="8">
        <v>5</v>
      </c>
      <c r="E46" s="11">
        <v>43109</v>
      </c>
      <c r="F46" s="8" t="s">
        <v>58</v>
      </c>
      <c r="G46" s="11">
        <v>43109</v>
      </c>
      <c r="H46" s="8" t="s">
        <v>25</v>
      </c>
      <c r="I46" s="11">
        <v>43112</v>
      </c>
      <c r="J46" s="8" t="s">
        <v>25</v>
      </c>
      <c r="N46" s="8" t="s">
        <v>58</v>
      </c>
      <c r="O46" s="8" t="s">
        <v>59</v>
      </c>
      <c r="P46" s="8" t="s">
        <v>59</v>
      </c>
      <c r="R46" s="8">
        <v>0</v>
      </c>
      <c r="S46" s="8">
        <v>0</v>
      </c>
      <c r="T46" s="8">
        <v>1</v>
      </c>
      <c r="U46" s="8">
        <v>2</v>
      </c>
      <c r="X46" s="8">
        <v>5</v>
      </c>
      <c r="AG46" s="8" t="str">
        <f t="shared" si="1"/>
        <v/>
      </c>
      <c r="AI46" s="8" t="str">
        <f t="shared" si="2"/>
        <v/>
      </c>
      <c r="AJ46" s="8" t="str">
        <f t="shared" si="3"/>
        <v/>
      </c>
      <c r="AL46" s="8" t="str">
        <f t="shared" si="4"/>
        <v/>
      </c>
    </row>
    <row r="47" spans="1:38" x14ac:dyDescent="0.25">
      <c r="A47" s="8" t="s">
        <v>782</v>
      </c>
      <c r="B47" s="8" t="s">
        <v>783</v>
      </c>
      <c r="C47" s="8">
        <v>30846028</v>
      </c>
      <c r="D47" s="8">
        <v>5</v>
      </c>
      <c r="E47" s="11">
        <v>43109</v>
      </c>
      <c r="F47" s="8" t="s">
        <v>58</v>
      </c>
      <c r="G47" s="11">
        <v>43109</v>
      </c>
      <c r="H47" s="8" t="s">
        <v>25</v>
      </c>
      <c r="I47" s="11">
        <v>43109</v>
      </c>
      <c r="J47" s="8" t="s">
        <v>25</v>
      </c>
      <c r="N47" s="8" t="s">
        <v>58</v>
      </c>
      <c r="O47" s="8" t="s">
        <v>59</v>
      </c>
      <c r="P47" s="8" t="s">
        <v>59</v>
      </c>
      <c r="R47" s="8">
        <v>0</v>
      </c>
      <c r="S47" s="8">
        <v>0</v>
      </c>
      <c r="T47" s="8">
        <v>1</v>
      </c>
      <c r="U47" s="8">
        <v>2</v>
      </c>
      <c r="X47" s="8">
        <v>5</v>
      </c>
      <c r="AG47" s="8" t="str">
        <f t="shared" si="1"/>
        <v/>
      </c>
      <c r="AI47" s="8" t="str">
        <f t="shared" si="2"/>
        <v/>
      </c>
      <c r="AJ47" s="8" t="str">
        <f t="shared" si="3"/>
        <v/>
      </c>
      <c r="AL47" s="8" t="str">
        <f t="shared" si="4"/>
        <v/>
      </c>
    </row>
    <row r="48" spans="1:38" x14ac:dyDescent="0.25">
      <c r="A48" s="8" t="s">
        <v>6538</v>
      </c>
      <c r="B48" s="8" t="s">
        <v>6539</v>
      </c>
      <c r="C48" s="8">
        <v>30910106</v>
      </c>
      <c r="D48" s="8">
        <v>5</v>
      </c>
      <c r="E48" s="11">
        <v>43112</v>
      </c>
      <c r="F48" s="8" t="s">
        <v>57</v>
      </c>
      <c r="G48" s="11">
        <v>43115</v>
      </c>
      <c r="H48" s="8" t="s">
        <v>25</v>
      </c>
      <c r="J48" s="8" t="s">
        <v>25</v>
      </c>
      <c r="N48" s="8" t="s">
        <v>58</v>
      </c>
      <c r="O48" s="8" t="s">
        <v>59</v>
      </c>
      <c r="P48" s="8" t="s">
        <v>59</v>
      </c>
      <c r="R48" s="8">
        <v>0</v>
      </c>
      <c r="S48" s="8">
        <v>0</v>
      </c>
      <c r="T48" s="8">
        <v>1</v>
      </c>
      <c r="U48" s="8">
        <v>2</v>
      </c>
      <c r="AG48" s="8" t="str">
        <f t="shared" si="1"/>
        <v/>
      </c>
      <c r="AI48" s="8" t="str">
        <f t="shared" si="2"/>
        <v/>
      </c>
      <c r="AJ48" s="8" t="str">
        <f t="shared" si="3"/>
        <v/>
      </c>
      <c r="AL48" s="8" t="str">
        <f t="shared" si="4"/>
        <v/>
      </c>
    </row>
    <row r="49" spans="1:38" x14ac:dyDescent="0.25">
      <c r="A49" s="8" t="s">
        <v>4721</v>
      </c>
      <c r="B49" s="8" t="s">
        <v>4722</v>
      </c>
      <c r="C49" s="8">
        <v>30910616</v>
      </c>
      <c r="D49" s="8">
        <v>5</v>
      </c>
      <c r="E49" s="11">
        <v>43112</v>
      </c>
      <c r="F49" s="8" t="s">
        <v>58</v>
      </c>
      <c r="G49" s="11">
        <v>43112</v>
      </c>
      <c r="H49" s="8" t="s">
        <v>25</v>
      </c>
      <c r="I49" s="11">
        <v>43112</v>
      </c>
      <c r="J49" s="8" t="s">
        <v>25</v>
      </c>
      <c r="N49" s="8" t="s">
        <v>58</v>
      </c>
      <c r="O49" s="8" t="s">
        <v>59</v>
      </c>
      <c r="P49" s="8" t="s">
        <v>59</v>
      </c>
      <c r="R49" s="8">
        <v>0</v>
      </c>
      <c r="S49" s="8">
        <v>0</v>
      </c>
      <c r="T49" s="8">
        <v>1</v>
      </c>
      <c r="U49" s="8">
        <v>2</v>
      </c>
      <c r="X49" s="8">
        <v>5</v>
      </c>
      <c r="AG49" s="8" t="str">
        <f t="shared" si="1"/>
        <v/>
      </c>
      <c r="AI49" s="8" t="str">
        <f t="shared" si="2"/>
        <v/>
      </c>
      <c r="AJ49" s="8" t="str">
        <f t="shared" si="3"/>
        <v/>
      </c>
      <c r="AL49" s="8" t="str">
        <f t="shared" si="4"/>
        <v/>
      </c>
    </row>
    <row r="50" spans="1:38" x14ac:dyDescent="0.25">
      <c r="A50" s="8" t="s">
        <v>4723</v>
      </c>
      <c r="B50" s="8" t="s">
        <v>4724</v>
      </c>
      <c r="C50" s="8">
        <v>30914501</v>
      </c>
      <c r="D50" s="8">
        <v>5</v>
      </c>
      <c r="E50" s="11">
        <v>43112</v>
      </c>
      <c r="F50" s="8" t="s">
        <v>58</v>
      </c>
      <c r="G50" s="11">
        <v>43112</v>
      </c>
      <c r="H50" s="8" t="s">
        <v>25</v>
      </c>
      <c r="I50" s="11">
        <v>43112</v>
      </c>
      <c r="J50" s="8" t="s">
        <v>25</v>
      </c>
      <c r="N50" s="8" t="s">
        <v>58</v>
      </c>
      <c r="O50" s="8" t="s">
        <v>59</v>
      </c>
      <c r="P50" s="8" t="s">
        <v>59</v>
      </c>
      <c r="R50" s="8">
        <v>0</v>
      </c>
      <c r="S50" s="8">
        <v>0</v>
      </c>
      <c r="T50" s="8">
        <v>1</v>
      </c>
      <c r="U50" s="8">
        <v>2</v>
      </c>
      <c r="X50" s="8">
        <v>5</v>
      </c>
      <c r="AG50" s="8" t="str">
        <f t="shared" si="1"/>
        <v/>
      </c>
      <c r="AI50" s="8" t="str">
        <f t="shared" si="2"/>
        <v/>
      </c>
      <c r="AJ50" s="8" t="str">
        <f t="shared" si="3"/>
        <v/>
      </c>
      <c r="AL50" s="8" t="str">
        <f t="shared" si="4"/>
        <v/>
      </c>
    </row>
    <row r="51" spans="1:38" x14ac:dyDescent="0.25">
      <c r="A51" s="8" t="s">
        <v>4725</v>
      </c>
      <c r="B51" s="8" t="s">
        <v>4726</v>
      </c>
      <c r="C51" s="8">
        <v>30925982</v>
      </c>
      <c r="D51" s="8">
        <v>5</v>
      </c>
      <c r="E51" s="11">
        <v>43113</v>
      </c>
      <c r="F51" s="8" t="s">
        <v>58</v>
      </c>
      <c r="G51" s="11">
        <v>43113</v>
      </c>
      <c r="H51" s="8" t="s">
        <v>25</v>
      </c>
      <c r="I51" s="11">
        <v>43114</v>
      </c>
      <c r="J51" s="8" t="s">
        <v>25</v>
      </c>
      <c r="N51" s="8" t="s">
        <v>58</v>
      </c>
      <c r="O51" s="8" t="s">
        <v>59</v>
      </c>
      <c r="P51" s="8" t="s">
        <v>59</v>
      </c>
      <c r="R51" s="8">
        <v>0</v>
      </c>
      <c r="S51" s="8">
        <v>0</v>
      </c>
      <c r="T51" s="8">
        <v>1</v>
      </c>
      <c r="U51" s="8">
        <v>2</v>
      </c>
      <c r="X51" s="8">
        <v>5</v>
      </c>
      <c r="AG51" s="8" t="str">
        <f t="shared" si="1"/>
        <v/>
      </c>
      <c r="AI51" s="8" t="str">
        <f t="shared" si="2"/>
        <v/>
      </c>
      <c r="AJ51" s="8" t="str">
        <f t="shared" si="3"/>
        <v/>
      </c>
      <c r="AL51" s="8" t="str">
        <f t="shared" si="4"/>
        <v/>
      </c>
    </row>
    <row r="52" spans="1:38" x14ac:dyDescent="0.25">
      <c r="A52" s="8" t="s">
        <v>784</v>
      </c>
      <c r="B52" s="8" t="s">
        <v>785</v>
      </c>
      <c r="C52" s="8">
        <v>30829057</v>
      </c>
      <c r="D52" s="8">
        <v>5</v>
      </c>
      <c r="E52" s="11">
        <v>43108</v>
      </c>
      <c r="F52" s="8" t="s">
        <v>58</v>
      </c>
      <c r="G52" s="11">
        <v>43109</v>
      </c>
      <c r="H52" s="8" t="s">
        <v>25</v>
      </c>
      <c r="I52" s="11">
        <v>43109</v>
      </c>
      <c r="J52" s="8" t="s">
        <v>25</v>
      </c>
      <c r="N52" s="8" t="s">
        <v>58</v>
      </c>
      <c r="O52" s="8" t="s">
        <v>59</v>
      </c>
      <c r="P52" s="8" t="s">
        <v>59</v>
      </c>
      <c r="R52" s="8">
        <v>0</v>
      </c>
      <c r="S52" s="8">
        <v>0</v>
      </c>
      <c r="T52" s="8">
        <v>1</v>
      </c>
      <c r="U52" s="8">
        <v>2</v>
      </c>
      <c r="X52" s="8">
        <v>5</v>
      </c>
      <c r="AG52" s="8" t="str">
        <f t="shared" si="1"/>
        <v/>
      </c>
      <c r="AI52" s="8" t="str">
        <f t="shared" si="2"/>
        <v/>
      </c>
      <c r="AJ52" s="8" t="str">
        <f t="shared" si="3"/>
        <v/>
      </c>
      <c r="AL52" s="8" t="str">
        <f t="shared" si="4"/>
        <v/>
      </c>
    </row>
    <row r="53" spans="1:38" x14ac:dyDescent="0.25">
      <c r="A53" s="8" t="s">
        <v>4727</v>
      </c>
      <c r="B53" s="8" t="s">
        <v>4728</v>
      </c>
      <c r="C53" s="8">
        <v>30838479</v>
      </c>
      <c r="D53" s="8">
        <v>5</v>
      </c>
      <c r="E53" s="11">
        <v>43109</v>
      </c>
      <c r="F53" s="8" t="s">
        <v>57</v>
      </c>
      <c r="G53" s="11">
        <v>43115</v>
      </c>
      <c r="H53" s="8" t="s">
        <v>145</v>
      </c>
      <c r="J53" s="8" t="s">
        <v>25</v>
      </c>
      <c r="N53" s="8" t="s">
        <v>58</v>
      </c>
      <c r="O53" s="8" t="s">
        <v>59</v>
      </c>
      <c r="P53" s="8" t="s">
        <v>59</v>
      </c>
      <c r="R53" s="8">
        <v>0</v>
      </c>
      <c r="S53" s="8">
        <v>0</v>
      </c>
      <c r="T53" s="8">
        <v>1</v>
      </c>
      <c r="U53" s="8">
        <v>2</v>
      </c>
      <c r="AG53" s="8" t="str">
        <f t="shared" si="1"/>
        <v/>
      </c>
      <c r="AI53" s="8" t="str">
        <f t="shared" si="2"/>
        <v/>
      </c>
      <c r="AJ53" s="8" t="str">
        <f t="shared" si="3"/>
        <v/>
      </c>
      <c r="AL53" s="8" t="str">
        <f t="shared" si="4"/>
        <v/>
      </c>
    </row>
    <row r="54" spans="1:38" x14ac:dyDescent="0.25">
      <c r="A54" s="8" t="s">
        <v>6540</v>
      </c>
      <c r="B54" s="8" t="s">
        <v>6541</v>
      </c>
      <c r="C54" s="8">
        <v>30850700</v>
      </c>
      <c r="D54" s="8">
        <v>5</v>
      </c>
      <c r="E54" s="11">
        <v>43109</v>
      </c>
      <c r="F54" s="8" t="s">
        <v>57</v>
      </c>
      <c r="G54" s="11">
        <v>43115</v>
      </c>
      <c r="H54" s="8" t="s">
        <v>145</v>
      </c>
      <c r="J54" s="8" t="s">
        <v>25</v>
      </c>
      <c r="N54" s="8" t="s">
        <v>58</v>
      </c>
      <c r="O54" s="8" t="s">
        <v>59</v>
      </c>
      <c r="P54" s="8" t="s">
        <v>59</v>
      </c>
      <c r="R54" s="8">
        <v>0</v>
      </c>
      <c r="S54" s="8">
        <v>0</v>
      </c>
      <c r="T54" s="8">
        <v>1</v>
      </c>
      <c r="U54" s="8">
        <v>2</v>
      </c>
      <c r="AG54" s="8" t="str">
        <f t="shared" si="1"/>
        <v/>
      </c>
      <c r="AI54" s="8" t="str">
        <f t="shared" si="2"/>
        <v/>
      </c>
      <c r="AJ54" s="8" t="str">
        <f t="shared" si="3"/>
        <v/>
      </c>
      <c r="AL54" s="8" t="str">
        <f t="shared" si="4"/>
        <v/>
      </c>
    </row>
    <row r="55" spans="1:38" x14ac:dyDescent="0.25">
      <c r="A55" s="8" t="s">
        <v>3273</v>
      </c>
      <c r="B55" s="8" t="s">
        <v>3274</v>
      </c>
      <c r="C55" s="8">
        <v>30852819</v>
      </c>
      <c r="D55" s="8">
        <v>5</v>
      </c>
      <c r="E55" s="11">
        <v>43109</v>
      </c>
      <c r="F55" s="8" t="s">
        <v>57</v>
      </c>
      <c r="G55" s="11">
        <v>43111</v>
      </c>
      <c r="H55" s="8" t="s">
        <v>25</v>
      </c>
      <c r="J55" s="8" t="s">
        <v>25</v>
      </c>
      <c r="N55" s="8" t="s">
        <v>58</v>
      </c>
      <c r="O55" s="8" t="s">
        <v>59</v>
      </c>
      <c r="P55" s="8" t="s">
        <v>59</v>
      </c>
      <c r="R55" s="8">
        <v>0</v>
      </c>
      <c r="S55" s="8">
        <v>0</v>
      </c>
      <c r="T55" s="8">
        <v>1</v>
      </c>
      <c r="U55" s="8">
        <v>2</v>
      </c>
      <c r="AG55" s="8" t="str">
        <f t="shared" si="1"/>
        <v/>
      </c>
      <c r="AI55" s="8" t="str">
        <f t="shared" si="2"/>
        <v/>
      </c>
      <c r="AJ55" s="8" t="str">
        <f t="shared" si="3"/>
        <v/>
      </c>
      <c r="AL55" s="8" t="str">
        <f t="shared" si="4"/>
        <v/>
      </c>
    </row>
    <row r="56" spans="1:38" x14ac:dyDescent="0.25">
      <c r="A56" s="8" t="s">
        <v>4729</v>
      </c>
      <c r="B56" s="8" t="s">
        <v>4730</v>
      </c>
      <c r="C56" s="8">
        <v>30903868</v>
      </c>
      <c r="D56" s="8">
        <v>5</v>
      </c>
      <c r="E56" s="11">
        <v>43111</v>
      </c>
      <c r="F56" s="8" t="s">
        <v>58</v>
      </c>
      <c r="G56" s="11">
        <v>43112</v>
      </c>
      <c r="H56" s="8" t="s">
        <v>25</v>
      </c>
      <c r="I56" s="11">
        <v>43112</v>
      </c>
      <c r="J56" s="8" t="s">
        <v>25</v>
      </c>
      <c r="N56" s="8" t="s">
        <v>58</v>
      </c>
      <c r="O56" s="8" t="s">
        <v>59</v>
      </c>
      <c r="P56" s="8" t="s">
        <v>59</v>
      </c>
      <c r="R56" s="8">
        <v>0</v>
      </c>
      <c r="S56" s="8">
        <v>0</v>
      </c>
      <c r="T56" s="8">
        <v>1</v>
      </c>
      <c r="U56" s="8">
        <v>2</v>
      </c>
      <c r="X56" s="8">
        <v>5</v>
      </c>
      <c r="AG56" s="8" t="str">
        <f t="shared" si="1"/>
        <v/>
      </c>
      <c r="AI56" s="8" t="str">
        <f t="shared" si="2"/>
        <v/>
      </c>
      <c r="AJ56" s="8" t="str">
        <f t="shared" si="3"/>
        <v/>
      </c>
      <c r="AL56" s="8" t="str">
        <f t="shared" si="4"/>
        <v/>
      </c>
    </row>
    <row r="57" spans="1:38" x14ac:dyDescent="0.25">
      <c r="A57" s="8" t="s">
        <v>3275</v>
      </c>
      <c r="B57" s="8" t="s">
        <v>3276</v>
      </c>
      <c r="C57" s="8">
        <v>30852817</v>
      </c>
      <c r="D57" s="8">
        <v>5</v>
      </c>
      <c r="E57" s="11">
        <v>43109</v>
      </c>
      <c r="F57" s="8" t="s">
        <v>58</v>
      </c>
      <c r="G57" s="11">
        <v>43111</v>
      </c>
      <c r="H57" s="8" t="s">
        <v>25</v>
      </c>
      <c r="I57" s="11">
        <v>43112</v>
      </c>
      <c r="J57" s="8" t="s">
        <v>25</v>
      </c>
      <c r="N57" s="8" t="s">
        <v>58</v>
      </c>
      <c r="O57" s="8" t="s">
        <v>59</v>
      </c>
      <c r="P57" s="8" t="s">
        <v>59</v>
      </c>
      <c r="R57" s="8">
        <v>0</v>
      </c>
      <c r="S57" s="8">
        <v>0</v>
      </c>
      <c r="T57" s="8">
        <v>1</v>
      </c>
      <c r="U57" s="8">
        <v>2</v>
      </c>
      <c r="X57" s="8">
        <v>5</v>
      </c>
      <c r="AG57" s="8" t="str">
        <f t="shared" si="1"/>
        <v/>
      </c>
      <c r="AI57" s="8" t="str">
        <f t="shared" si="2"/>
        <v/>
      </c>
      <c r="AJ57" s="8" t="str">
        <f t="shared" si="3"/>
        <v/>
      </c>
      <c r="AL57" s="8" t="str">
        <f t="shared" si="4"/>
        <v/>
      </c>
    </row>
    <row r="58" spans="1:38" x14ac:dyDescent="0.25">
      <c r="A58" s="8" t="s">
        <v>786</v>
      </c>
      <c r="B58" s="8" t="s">
        <v>787</v>
      </c>
      <c r="C58" s="8">
        <v>30818383</v>
      </c>
      <c r="D58" s="8">
        <v>5</v>
      </c>
      <c r="E58" s="11">
        <v>43108</v>
      </c>
      <c r="F58" s="8" t="s">
        <v>58</v>
      </c>
      <c r="G58" s="11">
        <v>43109</v>
      </c>
      <c r="H58" s="8" t="s">
        <v>25</v>
      </c>
      <c r="I58" s="11">
        <v>43110</v>
      </c>
      <c r="J58" s="8" t="s">
        <v>25</v>
      </c>
      <c r="N58" s="8" t="s">
        <v>58</v>
      </c>
      <c r="O58" s="8" t="s">
        <v>59</v>
      </c>
      <c r="P58" s="8" t="s">
        <v>59</v>
      </c>
      <c r="R58" s="8">
        <v>0</v>
      </c>
      <c r="S58" s="8">
        <v>0</v>
      </c>
      <c r="T58" s="8">
        <v>1</v>
      </c>
      <c r="U58" s="8">
        <v>2</v>
      </c>
      <c r="X58" s="8">
        <v>5</v>
      </c>
      <c r="AG58" s="8" t="str">
        <f t="shared" si="1"/>
        <v/>
      </c>
      <c r="AI58" s="8" t="str">
        <f t="shared" si="2"/>
        <v/>
      </c>
      <c r="AJ58" s="8" t="str">
        <f t="shared" si="3"/>
        <v/>
      </c>
      <c r="AL58" s="8" t="str">
        <f t="shared" si="4"/>
        <v/>
      </c>
    </row>
    <row r="59" spans="1:38" x14ac:dyDescent="0.25">
      <c r="A59" s="8" t="s">
        <v>3277</v>
      </c>
      <c r="B59" s="8" t="s">
        <v>3278</v>
      </c>
      <c r="C59" s="8">
        <v>30902393</v>
      </c>
      <c r="D59" s="8">
        <v>5</v>
      </c>
      <c r="E59" s="11">
        <v>43111</v>
      </c>
      <c r="F59" s="8" t="s">
        <v>61</v>
      </c>
      <c r="G59" s="11">
        <v>43111</v>
      </c>
      <c r="H59" s="8" t="s">
        <v>25</v>
      </c>
      <c r="J59" s="8" t="s">
        <v>25</v>
      </c>
      <c r="K59" s="11">
        <v>43111</v>
      </c>
      <c r="N59" s="8" t="s">
        <v>58</v>
      </c>
      <c r="O59" s="8" t="s">
        <v>59</v>
      </c>
      <c r="P59" s="8" t="s">
        <v>59</v>
      </c>
      <c r="R59" s="8">
        <v>0</v>
      </c>
      <c r="S59" s="8">
        <v>0</v>
      </c>
      <c r="T59" s="8">
        <v>1</v>
      </c>
      <c r="U59" s="8">
        <v>2</v>
      </c>
      <c r="Y59" s="8">
        <v>6</v>
      </c>
      <c r="Z59" s="8">
        <v>7</v>
      </c>
      <c r="AG59" s="8" t="str">
        <f t="shared" si="1"/>
        <v/>
      </c>
      <c r="AI59" s="8" t="str">
        <f t="shared" si="2"/>
        <v/>
      </c>
      <c r="AJ59" s="8" t="str">
        <f t="shared" si="3"/>
        <v/>
      </c>
      <c r="AL59" s="8" t="str">
        <f t="shared" si="4"/>
        <v/>
      </c>
    </row>
    <row r="60" spans="1:38" x14ac:dyDescent="0.25">
      <c r="A60" s="8" t="s">
        <v>6542</v>
      </c>
      <c r="B60" s="8" t="s">
        <v>6543</v>
      </c>
      <c r="C60" s="8">
        <v>30869608</v>
      </c>
      <c r="D60" s="8">
        <v>5</v>
      </c>
      <c r="E60" s="11">
        <v>43110</v>
      </c>
      <c r="F60" s="8" t="s">
        <v>57</v>
      </c>
      <c r="G60" s="11">
        <v>43115</v>
      </c>
      <c r="H60" s="8" t="s">
        <v>145</v>
      </c>
      <c r="J60" s="8" t="s">
        <v>25</v>
      </c>
      <c r="N60" s="8" t="s">
        <v>58</v>
      </c>
      <c r="O60" s="8" t="s">
        <v>59</v>
      </c>
      <c r="P60" s="8" t="s">
        <v>59</v>
      </c>
      <c r="R60" s="8">
        <v>0</v>
      </c>
      <c r="S60" s="8">
        <v>0</v>
      </c>
      <c r="T60" s="8">
        <v>1</v>
      </c>
      <c r="U60" s="8">
        <v>2</v>
      </c>
      <c r="AG60" s="8" t="str">
        <f t="shared" si="1"/>
        <v/>
      </c>
      <c r="AI60" s="8" t="str">
        <f t="shared" si="2"/>
        <v/>
      </c>
      <c r="AJ60" s="8" t="str">
        <f t="shared" si="3"/>
        <v/>
      </c>
      <c r="AL60" s="8" t="str">
        <f t="shared" si="4"/>
        <v/>
      </c>
    </row>
    <row r="61" spans="1:38" x14ac:dyDescent="0.25">
      <c r="A61" s="8" t="s">
        <v>157</v>
      </c>
      <c r="B61" s="8" t="s">
        <v>158</v>
      </c>
      <c r="C61" s="8">
        <v>30815196</v>
      </c>
      <c r="D61" s="8">
        <v>5</v>
      </c>
      <c r="E61" s="11">
        <v>43108</v>
      </c>
      <c r="F61" s="8" t="s">
        <v>58</v>
      </c>
      <c r="G61" s="11">
        <v>43108</v>
      </c>
      <c r="H61" s="8" t="s">
        <v>25</v>
      </c>
      <c r="I61" s="11">
        <v>43112</v>
      </c>
      <c r="J61" s="8" t="s">
        <v>145</v>
      </c>
      <c r="N61" s="8" t="s">
        <v>58</v>
      </c>
      <c r="O61" s="8" t="s">
        <v>59</v>
      </c>
      <c r="P61" s="8" t="s">
        <v>59</v>
      </c>
      <c r="R61" s="8">
        <v>0</v>
      </c>
      <c r="S61" s="8">
        <v>0</v>
      </c>
      <c r="T61" s="8">
        <v>1</v>
      </c>
      <c r="U61" s="8">
        <v>2</v>
      </c>
      <c r="X61" s="8">
        <v>5</v>
      </c>
      <c r="AG61" s="8" t="str">
        <f t="shared" si="1"/>
        <v/>
      </c>
      <c r="AI61" s="8" t="str">
        <f t="shared" si="2"/>
        <v/>
      </c>
      <c r="AJ61" s="8" t="str">
        <f t="shared" si="3"/>
        <v/>
      </c>
      <c r="AL61" s="8" t="str">
        <f t="shared" si="4"/>
        <v/>
      </c>
    </row>
    <row r="62" spans="1:38" x14ac:dyDescent="0.25">
      <c r="A62" s="8" t="s">
        <v>3279</v>
      </c>
      <c r="B62" s="8" t="s">
        <v>3280</v>
      </c>
      <c r="C62" s="8">
        <v>30900502</v>
      </c>
      <c r="D62" s="8">
        <v>5</v>
      </c>
      <c r="E62" s="11">
        <v>43111</v>
      </c>
      <c r="F62" s="8" t="s">
        <v>57</v>
      </c>
      <c r="G62" s="11">
        <v>43111</v>
      </c>
      <c r="H62" s="8" t="s">
        <v>25</v>
      </c>
      <c r="J62" s="8" t="s">
        <v>25</v>
      </c>
      <c r="N62" s="8" t="s">
        <v>58</v>
      </c>
      <c r="O62" s="8" t="s">
        <v>59</v>
      </c>
      <c r="P62" s="8" t="s">
        <v>59</v>
      </c>
      <c r="R62" s="8">
        <v>0</v>
      </c>
      <c r="S62" s="8">
        <v>0</v>
      </c>
      <c r="T62" s="8">
        <v>1</v>
      </c>
      <c r="U62" s="8">
        <v>2</v>
      </c>
      <c r="AG62" s="8" t="str">
        <f t="shared" si="1"/>
        <v/>
      </c>
      <c r="AI62" s="8" t="str">
        <f t="shared" si="2"/>
        <v/>
      </c>
      <c r="AJ62" s="8" t="str">
        <f t="shared" si="3"/>
        <v/>
      </c>
      <c r="AL62" s="8" t="str">
        <f t="shared" si="4"/>
        <v/>
      </c>
    </row>
    <row r="63" spans="1:38" x14ac:dyDescent="0.25">
      <c r="A63" s="8" t="s">
        <v>4731</v>
      </c>
      <c r="B63" s="8" t="s">
        <v>4732</v>
      </c>
      <c r="C63" s="8">
        <v>30891767</v>
      </c>
      <c r="D63" s="8">
        <v>5</v>
      </c>
      <c r="E63" s="11">
        <v>43111</v>
      </c>
      <c r="F63" s="8" t="s">
        <v>57</v>
      </c>
      <c r="G63" s="11">
        <v>43112</v>
      </c>
      <c r="H63" s="8" t="s">
        <v>25</v>
      </c>
      <c r="J63" s="8" t="s">
        <v>25</v>
      </c>
      <c r="N63" s="8" t="s">
        <v>58</v>
      </c>
      <c r="O63" s="8" t="s">
        <v>59</v>
      </c>
      <c r="P63" s="8" t="s">
        <v>59</v>
      </c>
      <c r="R63" s="8">
        <v>0</v>
      </c>
      <c r="S63" s="8">
        <v>0</v>
      </c>
      <c r="T63" s="8">
        <v>1</v>
      </c>
      <c r="U63" s="8">
        <v>2</v>
      </c>
      <c r="AG63" s="8" t="str">
        <f t="shared" si="1"/>
        <v/>
      </c>
      <c r="AI63" s="8" t="str">
        <f t="shared" si="2"/>
        <v/>
      </c>
      <c r="AJ63" s="8" t="str">
        <f t="shared" si="3"/>
        <v/>
      </c>
      <c r="AL63" s="8" t="str">
        <f t="shared" si="4"/>
        <v/>
      </c>
    </row>
    <row r="64" spans="1:38" x14ac:dyDescent="0.25">
      <c r="A64" s="8" t="s">
        <v>6544</v>
      </c>
      <c r="B64" s="8" t="s">
        <v>6545</v>
      </c>
      <c r="C64" s="8">
        <v>30945500</v>
      </c>
      <c r="D64" s="8">
        <v>5</v>
      </c>
      <c r="E64" s="11">
        <v>43115</v>
      </c>
      <c r="F64" s="8" t="s">
        <v>57</v>
      </c>
      <c r="G64" s="11">
        <v>43115</v>
      </c>
      <c r="H64" s="8" t="s">
        <v>25</v>
      </c>
      <c r="J64" s="8" t="s">
        <v>25</v>
      </c>
      <c r="N64" s="8" t="s">
        <v>58</v>
      </c>
      <c r="O64" s="8" t="s">
        <v>59</v>
      </c>
      <c r="P64" s="8" t="s">
        <v>59</v>
      </c>
      <c r="R64" s="8">
        <v>0</v>
      </c>
      <c r="S64" s="8">
        <v>0</v>
      </c>
      <c r="T64" s="8">
        <v>1</v>
      </c>
      <c r="U64" s="8">
        <v>2</v>
      </c>
      <c r="AG64" s="8" t="str">
        <f t="shared" si="1"/>
        <v/>
      </c>
      <c r="AI64" s="8" t="str">
        <f t="shared" si="2"/>
        <v/>
      </c>
      <c r="AJ64" s="8" t="str">
        <f t="shared" si="3"/>
        <v/>
      </c>
      <c r="AL64" s="8" t="str">
        <f t="shared" si="4"/>
        <v/>
      </c>
    </row>
    <row r="65" spans="1:38" x14ac:dyDescent="0.25">
      <c r="A65" s="8" t="s">
        <v>159</v>
      </c>
      <c r="B65" s="8" t="s">
        <v>160</v>
      </c>
      <c r="C65" s="8">
        <v>30827008</v>
      </c>
      <c r="D65" s="8">
        <v>5</v>
      </c>
      <c r="E65" s="11">
        <v>43108</v>
      </c>
      <c r="F65" s="8" t="s">
        <v>58</v>
      </c>
      <c r="G65" s="11">
        <v>43108</v>
      </c>
      <c r="H65" s="8" t="s">
        <v>25</v>
      </c>
      <c r="I65" s="11">
        <v>43108</v>
      </c>
      <c r="J65" s="8" t="s">
        <v>25</v>
      </c>
      <c r="N65" s="8" t="s">
        <v>58</v>
      </c>
      <c r="O65" s="8" t="s">
        <v>59</v>
      </c>
      <c r="P65" s="8" t="s">
        <v>59</v>
      </c>
      <c r="R65" s="8">
        <v>0</v>
      </c>
      <c r="S65" s="8">
        <v>0</v>
      </c>
      <c r="T65" s="8">
        <v>1</v>
      </c>
      <c r="U65" s="8">
        <v>2</v>
      </c>
      <c r="X65" s="8">
        <v>5</v>
      </c>
      <c r="AG65" s="8" t="str">
        <f t="shared" si="1"/>
        <v/>
      </c>
      <c r="AI65" s="8" t="str">
        <f t="shared" si="2"/>
        <v/>
      </c>
      <c r="AJ65" s="8" t="str">
        <f t="shared" si="3"/>
        <v/>
      </c>
      <c r="AL65" s="8" t="str">
        <f t="shared" si="4"/>
        <v/>
      </c>
    </row>
    <row r="66" spans="1:38" x14ac:dyDescent="0.25">
      <c r="A66" s="8" t="s">
        <v>6546</v>
      </c>
      <c r="B66" s="8" t="s">
        <v>6547</v>
      </c>
      <c r="C66" s="8">
        <v>30945118</v>
      </c>
      <c r="D66" s="8">
        <v>5</v>
      </c>
      <c r="E66" s="11">
        <v>43115</v>
      </c>
      <c r="F66" s="8" t="s">
        <v>57</v>
      </c>
      <c r="G66" s="11">
        <v>43115</v>
      </c>
      <c r="H66" s="8" t="s">
        <v>25</v>
      </c>
      <c r="J66" s="8" t="s">
        <v>25</v>
      </c>
      <c r="N66" s="8" t="s">
        <v>58</v>
      </c>
      <c r="O66" s="8" t="s">
        <v>59</v>
      </c>
      <c r="P66" s="8" t="s">
        <v>59</v>
      </c>
      <c r="R66" s="8">
        <v>0</v>
      </c>
      <c r="S66" s="8">
        <v>0</v>
      </c>
      <c r="T66" s="8">
        <v>1</v>
      </c>
      <c r="U66" s="8">
        <v>2</v>
      </c>
      <c r="AG66" s="8" t="str">
        <f t="shared" si="1"/>
        <v/>
      </c>
      <c r="AI66" s="8" t="str">
        <f t="shared" si="2"/>
        <v/>
      </c>
      <c r="AJ66" s="8" t="str">
        <f t="shared" si="3"/>
        <v/>
      </c>
      <c r="AL66" s="8" t="str">
        <f t="shared" si="4"/>
        <v/>
      </c>
    </row>
    <row r="67" spans="1:38" x14ac:dyDescent="0.25">
      <c r="A67" s="8" t="s">
        <v>788</v>
      </c>
      <c r="B67" s="8" t="s">
        <v>789</v>
      </c>
      <c r="C67" s="8">
        <v>30851535</v>
      </c>
      <c r="D67" s="8">
        <v>5</v>
      </c>
      <c r="E67" s="11">
        <v>43109</v>
      </c>
      <c r="F67" s="8" t="s">
        <v>57</v>
      </c>
      <c r="G67" s="11">
        <v>43109</v>
      </c>
      <c r="H67" s="8" t="s">
        <v>25</v>
      </c>
      <c r="J67" s="8" t="s">
        <v>25</v>
      </c>
      <c r="N67" s="8" t="s">
        <v>58</v>
      </c>
      <c r="O67" s="8" t="s">
        <v>59</v>
      </c>
      <c r="P67" s="8" t="s">
        <v>59</v>
      </c>
      <c r="R67" s="8">
        <v>0</v>
      </c>
      <c r="S67" s="8">
        <v>0</v>
      </c>
      <c r="T67" s="8">
        <v>1</v>
      </c>
      <c r="U67" s="8">
        <v>2</v>
      </c>
      <c r="AG67" s="8" t="str">
        <f t="shared" ref="AG67:AG130" si="5">IF(AND(U67="",G67&lt;&gt;"",NOT(OR(R67,S67))),IF(NETWORKDAYS.INTL(G67,TODAY(),11)&lt;5,"En Plazo",IF(NETWORKDAYS.INTL(G67,TODAY(),11)=5,"Riesgo Incumplimiento","FALTA_02")),"")</f>
        <v/>
      </c>
      <c r="AI67" s="8" t="str">
        <f t="shared" ref="AI67:AI130" si="6">IF(AND(O67&lt;&gt;"B1",F67="Rejected"),IF(W67="","FALTA_04",""),"")</f>
        <v/>
      </c>
      <c r="AJ67" s="8" t="str">
        <f t="shared" ref="AJ67:AJ130" si="7">IF(AND(X67="",I67&lt;&gt;"",NOT(OR(R67,S67))),IF(NETWORKDAYS.INTL(G67,TODAY(),11)&lt;=1,"En Plazo",IF(OR(AND(X67="",O67&lt;&gt;"M1"),AND(O67="M1",(OR(Q67="S - S",Q67="S - T",)))),"FALTA_05","")),"")</f>
        <v/>
      </c>
      <c r="AL67" s="8" t="str">
        <f t="shared" ref="AL67:AL130" si="8">IF(AND(O67="B1",F67="Rejected"),IF(Z67="","FALTA_07",""),"")</f>
        <v/>
      </c>
    </row>
    <row r="68" spans="1:38" x14ac:dyDescent="0.25">
      <c r="A68" s="8" t="s">
        <v>4733</v>
      </c>
      <c r="B68" s="8" t="s">
        <v>4734</v>
      </c>
      <c r="C68" s="8">
        <v>30885204</v>
      </c>
      <c r="D68" s="8">
        <v>5</v>
      </c>
      <c r="E68" s="11">
        <v>43111</v>
      </c>
      <c r="F68" s="8" t="s">
        <v>57</v>
      </c>
      <c r="G68" s="11">
        <v>43112</v>
      </c>
      <c r="H68" s="8" t="s">
        <v>25</v>
      </c>
      <c r="J68" s="8" t="s">
        <v>25</v>
      </c>
      <c r="N68" s="8" t="s">
        <v>58</v>
      </c>
      <c r="O68" s="8" t="s">
        <v>59</v>
      </c>
      <c r="P68" s="8" t="s">
        <v>59</v>
      </c>
      <c r="R68" s="8">
        <v>0</v>
      </c>
      <c r="S68" s="8">
        <v>0</v>
      </c>
      <c r="T68" s="8">
        <v>1</v>
      </c>
      <c r="U68" s="8">
        <v>2</v>
      </c>
      <c r="AG68" s="8" t="str">
        <f t="shared" si="5"/>
        <v/>
      </c>
      <c r="AI68" s="8" t="str">
        <f t="shared" si="6"/>
        <v/>
      </c>
      <c r="AJ68" s="8" t="str">
        <f t="shared" si="7"/>
        <v/>
      </c>
      <c r="AL68" s="8" t="str">
        <f t="shared" si="8"/>
        <v/>
      </c>
    </row>
    <row r="69" spans="1:38" x14ac:dyDescent="0.25">
      <c r="A69" s="8" t="s">
        <v>4735</v>
      </c>
      <c r="B69" s="8" t="s">
        <v>4736</v>
      </c>
      <c r="C69" s="8">
        <v>30917500</v>
      </c>
      <c r="D69" s="8">
        <v>5</v>
      </c>
      <c r="E69" s="11">
        <v>43112</v>
      </c>
      <c r="F69" s="8" t="s">
        <v>58</v>
      </c>
      <c r="G69" s="11">
        <v>43112</v>
      </c>
      <c r="H69" s="8" t="s">
        <v>25</v>
      </c>
      <c r="I69" s="11">
        <v>43112</v>
      </c>
      <c r="J69" s="8" t="s">
        <v>25</v>
      </c>
      <c r="N69" s="8" t="s">
        <v>58</v>
      </c>
      <c r="O69" s="8" t="s">
        <v>59</v>
      </c>
      <c r="P69" s="8" t="s">
        <v>59</v>
      </c>
      <c r="R69" s="8">
        <v>0</v>
      </c>
      <c r="S69" s="8">
        <v>0</v>
      </c>
      <c r="T69" s="8">
        <v>1</v>
      </c>
      <c r="U69" s="8">
        <v>2</v>
      </c>
      <c r="X69" s="8">
        <v>5</v>
      </c>
      <c r="AG69" s="8" t="str">
        <f t="shared" si="5"/>
        <v/>
      </c>
      <c r="AI69" s="8" t="str">
        <f t="shared" si="6"/>
        <v/>
      </c>
      <c r="AJ69" s="8" t="str">
        <f t="shared" si="7"/>
        <v/>
      </c>
      <c r="AL69" s="8" t="str">
        <f t="shared" si="8"/>
        <v/>
      </c>
    </row>
    <row r="70" spans="1:38" x14ac:dyDescent="0.25">
      <c r="A70" s="8" t="s">
        <v>4737</v>
      </c>
      <c r="B70" s="8" t="s">
        <v>4738</v>
      </c>
      <c r="C70" s="8">
        <v>30915184</v>
      </c>
      <c r="D70" s="8">
        <v>5</v>
      </c>
      <c r="E70" s="11">
        <v>43112</v>
      </c>
      <c r="F70" s="8" t="s">
        <v>57</v>
      </c>
      <c r="G70" s="11">
        <v>43112</v>
      </c>
      <c r="H70" s="8" t="s">
        <v>25</v>
      </c>
      <c r="J70" s="8" t="s">
        <v>25</v>
      </c>
      <c r="N70" s="8" t="s">
        <v>58</v>
      </c>
      <c r="O70" s="8" t="s">
        <v>59</v>
      </c>
      <c r="P70" s="8" t="s">
        <v>59</v>
      </c>
      <c r="R70" s="8">
        <v>0</v>
      </c>
      <c r="S70" s="8">
        <v>0</v>
      </c>
      <c r="T70" s="8">
        <v>1</v>
      </c>
      <c r="U70" s="8">
        <v>2</v>
      </c>
      <c r="AG70" s="8" t="str">
        <f t="shared" si="5"/>
        <v/>
      </c>
      <c r="AI70" s="8" t="str">
        <f t="shared" si="6"/>
        <v/>
      </c>
      <c r="AJ70" s="8" t="str">
        <f t="shared" si="7"/>
        <v/>
      </c>
      <c r="AL70" s="8" t="str">
        <f t="shared" si="8"/>
        <v/>
      </c>
    </row>
    <row r="71" spans="1:38" x14ac:dyDescent="0.25">
      <c r="A71" s="8" t="s">
        <v>6548</v>
      </c>
      <c r="B71" s="8" t="s">
        <v>6549</v>
      </c>
      <c r="C71" s="8">
        <v>30874874</v>
      </c>
      <c r="D71" s="8">
        <v>5</v>
      </c>
      <c r="E71" s="11">
        <v>43110</v>
      </c>
      <c r="F71" s="8" t="s">
        <v>57</v>
      </c>
      <c r="G71" s="11">
        <v>43115</v>
      </c>
      <c r="H71" s="8" t="s">
        <v>145</v>
      </c>
      <c r="J71" s="8" t="s">
        <v>25</v>
      </c>
      <c r="N71" s="8" t="s">
        <v>58</v>
      </c>
      <c r="O71" s="8" t="s">
        <v>59</v>
      </c>
      <c r="P71" s="8" t="s">
        <v>59</v>
      </c>
      <c r="R71" s="8">
        <v>0</v>
      </c>
      <c r="S71" s="8">
        <v>0</v>
      </c>
      <c r="T71" s="8">
        <v>1</v>
      </c>
      <c r="U71" s="8">
        <v>2</v>
      </c>
      <c r="AG71" s="8" t="str">
        <f t="shared" si="5"/>
        <v/>
      </c>
      <c r="AI71" s="8" t="str">
        <f t="shared" si="6"/>
        <v/>
      </c>
      <c r="AJ71" s="8" t="str">
        <f t="shared" si="7"/>
        <v/>
      </c>
      <c r="AL71" s="8" t="str">
        <f t="shared" si="8"/>
        <v/>
      </c>
    </row>
    <row r="72" spans="1:38" x14ac:dyDescent="0.25">
      <c r="A72" s="8" t="s">
        <v>4739</v>
      </c>
      <c r="B72" s="8" t="s">
        <v>4740</v>
      </c>
      <c r="C72" s="8">
        <v>30886963</v>
      </c>
      <c r="D72" s="8">
        <v>5</v>
      </c>
      <c r="E72" s="11">
        <v>43111</v>
      </c>
      <c r="F72" s="8" t="s">
        <v>57</v>
      </c>
      <c r="G72" s="11">
        <v>43112</v>
      </c>
      <c r="H72" s="8" t="s">
        <v>25</v>
      </c>
      <c r="J72" s="8" t="s">
        <v>25</v>
      </c>
      <c r="N72" s="8" t="s">
        <v>58</v>
      </c>
      <c r="O72" s="8" t="s">
        <v>59</v>
      </c>
      <c r="P72" s="8" t="s">
        <v>59</v>
      </c>
      <c r="R72" s="8">
        <v>0</v>
      </c>
      <c r="S72" s="8">
        <v>0</v>
      </c>
      <c r="T72" s="8">
        <v>1</v>
      </c>
      <c r="U72" s="8">
        <v>2</v>
      </c>
      <c r="AG72" s="8" t="str">
        <f t="shared" si="5"/>
        <v/>
      </c>
      <c r="AI72" s="8" t="str">
        <f t="shared" si="6"/>
        <v/>
      </c>
      <c r="AJ72" s="8" t="str">
        <f t="shared" si="7"/>
        <v/>
      </c>
      <c r="AL72" s="8" t="str">
        <f t="shared" si="8"/>
        <v/>
      </c>
    </row>
    <row r="73" spans="1:38" x14ac:dyDescent="0.25">
      <c r="A73" s="8" t="s">
        <v>161</v>
      </c>
      <c r="B73" s="8" t="s">
        <v>162</v>
      </c>
      <c r="C73" s="8">
        <v>30806913</v>
      </c>
      <c r="D73" s="8">
        <v>5</v>
      </c>
      <c r="E73" s="11">
        <v>43108</v>
      </c>
      <c r="F73" s="8" t="s">
        <v>57</v>
      </c>
      <c r="G73" s="11">
        <v>43108</v>
      </c>
      <c r="H73" s="8" t="s">
        <v>25</v>
      </c>
      <c r="J73" s="8" t="s">
        <v>25</v>
      </c>
      <c r="N73" s="8" t="s">
        <v>58</v>
      </c>
      <c r="O73" s="8" t="s">
        <v>59</v>
      </c>
      <c r="P73" s="8" t="s">
        <v>59</v>
      </c>
      <c r="R73" s="8">
        <v>0</v>
      </c>
      <c r="S73" s="8">
        <v>0</v>
      </c>
      <c r="T73" s="8">
        <v>1</v>
      </c>
      <c r="U73" s="8">
        <v>2</v>
      </c>
      <c r="AG73" s="8" t="str">
        <f t="shared" si="5"/>
        <v/>
      </c>
      <c r="AI73" s="8" t="str">
        <f t="shared" si="6"/>
        <v/>
      </c>
      <c r="AJ73" s="8" t="str">
        <f t="shared" si="7"/>
        <v/>
      </c>
      <c r="AL73" s="8" t="str">
        <f t="shared" si="8"/>
        <v/>
      </c>
    </row>
    <row r="74" spans="1:38" x14ac:dyDescent="0.25">
      <c r="A74" s="8" t="s">
        <v>4741</v>
      </c>
      <c r="B74" s="8" t="s">
        <v>116</v>
      </c>
      <c r="C74" s="8">
        <v>30915537</v>
      </c>
      <c r="D74" s="8">
        <v>5</v>
      </c>
      <c r="E74" s="11">
        <v>43112</v>
      </c>
      <c r="F74" s="8" t="s">
        <v>57</v>
      </c>
      <c r="G74" s="11">
        <v>43112</v>
      </c>
      <c r="H74" s="8" t="s">
        <v>25</v>
      </c>
      <c r="J74" s="8" t="s">
        <v>25</v>
      </c>
      <c r="N74" s="8" t="s">
        <v>58</v>
      </c>
      <c r="O74" s="8" t="s">
        <v>59</v>
      </c>
      <c r="P74" s="8" t="s">
        <v>59</v>
      </c>
      <c r="R74" s="8">
        <v>0</v>
      </c>
      <c r="S74" s="8">
        <v>0</v>
      </c>
      <c r="T74" s="8">
        <v>1</v>
      </c>
      <c r="U74" s="8">
        <v>2</v>
      </c>
      <c r="AG74" s="8" t="str">
        <f t="shared" si="5"/>
        <v/>
      </c>
      <c r="AI74" s="8" t="str">
        <f t="shared" si="6"/>
        <v/>
      </c>
      <c r="AJ74" s="8" t="str">
        <f t="shared" si="7"/>
        <v/>
      </c>
      <c r="AL74" s="8" t="str">
        <f t="shared" si="8"/>
        <v/>
      </c>
    </row>
    <row r="75" spans="1:38" x14ac:dyDescent="0.25">
      <c r="A75" s="8" t="s">
        <v>4742</v>
      </c>
      <c r="B75" s="8" t="s">
        <v>4743</v>
      </c>
      <c r="C75" s="8">
        <v>30910029</v>
      </c>
      <c r="D75" s="8">
        <v>5</v>
      </c>
      <c r="E75" s="11">
        <v>43112</v>
      </c>
      <c r="F75" s="8" t="s">
        <v>58</v>
      </c>
      <c r="G75" s="11">
        <v>43112</v>
      </c>
      <c r="H75" s="8" t="s">
        <v>25</v>
      </c>
      <c r="I75" s="11">
        <v>43112</v>
      </c>
      <c r="J75" s="8" t="s">
        <v>25</v>
      </c>
      <c r="N75" s="8" t="s">
        <v>58</v>
      </c>
      <c r="O75" s="8" t="s">
        <v>59</v>
      </c>
      <c r="P75" s="8" t="s">
        <v>59</v>
      </c>
      <c r="R75" s="8">
        <v>0</v>
      </c>
      <c r="S75" s="8">
        <v>0</v>
      </c>
      <c r="T75" s="8">
        <v>1</v>
      </c>
      <c r="U75" s="8">
        <v>2</v>
      </c>
      <c r="X75" s="8">
        <v>5</v>
      </c>
      <c r="AG75" s="8" t="str">
        <f t="shared" si="5"/>
        <v/>
      </c>
      <c r="AI75" s="8" t="str">
        <f t="shared" si="6"/>
        <v/>
      </c>
      <c r="AJ75" s="8" t="str">
        <f t="shared" si="7"/>
        <v/>
      </c>
      <c r="AL75" s="8" t="str">
        <f t="shared" si="8"/>
        <v/>
      </c>
    </row>
    <row r="76" spans="1:38" x14ac:dyDescent="0.25">
      <c r="A76" s="8" t="s">
        <v>6550</v>
      </c>
      <c r="B76" s="8" t="s">
        <v>6551</v>
      </c>
      <c r="C76" s="8">
        <v>30941606</v>
      </c>
      <c r="D76" s="8">
        <v>5</v>
      </c>
      <c r="E76" s="11">
        <v>43115</v>
      </c>
      <c r="F76" s="8" t="s">
        <v>57</v>
      </c>
      <c r="G76" s="11">
        <v>43115</v>
      </c>
      <c r="H76" s="8" t="s">
        <v>25</v>
      </c>
      <c r="J76" s="8" t="s">
        <v>25</v>
      </c>
      <c r="N76" s="8" t="s">
        <v>58</v>
      </c>
      <c r="O76" s="8" t="s">
        <v>59</v>
      </c>
      <c r="P76" s="8" t="s">
        <v>59</v>
      </c>
      <c r="R76" s="8">
        <v>0</v>
      </c>
      <c r="S76" s="8">
        <v>0</v>
      </c>
      <c r="T76" s="8">
        <v>1</v>
      </c>
      <c r="U76" s="8">
        <v>2</v>
      </c>
      <c r="AG76" s="8" t="str">
        <f t="shared" si="5"/>
        <v/>
      </c>
      <c r="AI76" s="8" t="str">
        <f t="shared" si="6"/>
        <v/>
      </c>
      <c r="AJ76" s="8" t="str">
        <f t="shared" si="7"/>
        <v/>
      </c>
      <c r="AL76" s="8" t="str">
        <f t="shared" si="8"/>
        <v/>
      </c>
    </row>
    <row r="77" spans="1:38" x14ac:dyDescent="0.25">
      <c r="A77" s="8" t="s">
        <v>3281</v>
      </c>
      <c r="B77" s="8" t="s">
        <v>3282</v>
      </c>
      <c r="C77" s="8">
        <v>30894126</v>
      </c>
      <c r="D77" s="8">
        <v>5</v>
      </c>
      <c r="E77" s="11">
        <v>43111</v>
      </c>
      <c r="F77" s="8" t="s">
        <v>58</v>
      </c>
      <c r="G77" s="11">
        <v>43111</v>
      </c>
      <c r="H77" s="8" t="s">
        <v>25</v>
      </c>
      <c r="I77" s="11">
        <v>43111</v>
      </c>
      <c r="J77" s="8" t="s">
        <v>25</v>
      </c>
      <c r="N77" s="8" t="s">
        <v>58</v>
      </c>
      <c r="O77" s="8" t="s">
        <v>59</v>
      </c>
      <c r="P77" s="8" t="s">
        <v>59</v>
      </c>
      <c r="R77" s="8">
        <v>0</v>
      </c>
      <c r="S77" s="8">
        <v>0</v>
      </c>
      <c r="T77" s="8">
        <v>1</v>
      </c>
      <c r="U77" s="8">
        <v>2</v>
      </c>
      <c r="X77" s="8">
        <v>5</v>
      </c>
      <c r="AG77" s="8" t="str">
        <f t="shared" si="5"/>
        <v/>
      </c>
      <c r="AI77" s="8" t="str">
        <f t="shared" si="6"/>
        <v/>
      </c>
      <c r="AJ77" s="8" t="str">
        <f t="shared" si="7"/>
        <v/>
      </c>
      <c r="AL77" s="8" t="str">
        <f t="shared" si="8"/>
        <v/>
      </c>
    </row>
    <row r="78" spans="1:38" x14ac:dyDescent="0.25">
      <c r="A78" s="8" t="s">
        <v>790</v>
      </c>
      <c r="B78" s="8" t="s">
        <v>791</v>
      </c>
      <c r="C78" s="8">
        <v>30839913</v>
      </c>
      <c r="D78" s="8">
        <v>5</v>
      </c>
      <c r="E78" s="11">
        <v>43109</v>
      </c>
      <c r="F78" s="8" t="s">
        <v>58</v>
      </c>
      <c r="G78" s="11">
        <v>43109</v>
      </c>
      <c r="H78" s="8" t="s">
        <v>25</v>
      </c>
      <c r="I78" s="11">
        <v>43111</v>
      </c>
      <c r="J78" s="8" t="s">
        <v>25</v>
      </c>
      <c r="N78" s="8" t="s">
        <v>58</v>
      </c>
      <c r="O78" s="8" t="s">
        <v>59</v>
      </c>
      <c r="P78" s="8" t="s">
        <v>59</v>
      </c>
      <c r="R78" s="8">
        <v>0</v>
      </c>
      <c r="S78" s="8">
        <v>0</v>
      </c>
      <c r="T78" s="8">
        <v>1</v>
      </c>
      <c r="U78" s="8">
        <v>2</v>
      </c>
      <c r="X78" s="8">
        <v>5</v>
      </c>
      <c r="AG78" s="8" t="str">
        <f t="shared" si="5"/>
        <v/>
      </c>
      <c r="AI78" s="8" t="str">
        <f t="shared" si="6"/>
        <v/>
      </c>
      <c r="AJ78" s="8" t="str">
        <f t="shared" si="7"/>
        <v/>
      </c>
      <c r="AL78" s="8" t="str">
        <f t="shared" si="8"/>
        <v/>
      </c>
    </row>
    <row r="79" spans="1:38" x14ac:dyDescent="0.25">
      <c r="A79" s="8" t="s">
        <v>163</v>
      </c>
      <c r="B79" s="8" t="s">
        <v>164</v>
      </c>
      <c r="C79" s="8">
        <v>30818378</v>
      </c>
      <c r="D79" s="8">
        <v>5</v>
      </c>
      <c r="E79" s="11">
        <v>43108</v>
      </c>
      <c r="F79" s="8" t="s">
        <v>58</v>
      </c>
      <c r="G79" s="11">
        <v>43108</v>
      </c>
      <c r="H79" s="8" t="s">
        <v>25</v>
      </c>
      <c r="I79" s="11">
        <v>43111</v>
      </c>
      <c r="J79" s="8" t="s">
        <v>25</v>
      </c>
      <c r="N79" s="8" t="s">
        <v>58</v>
      </c>
      <c r="O79" s="8" t="s">
        <v>59</v>
      </c>
      <c r="P79" s="8" t="s">
        <v>59</v>
      </c>
      <c r="R79" s="8">
        <v>0</v>
      </c>
      <c r="S79" s="8">
        <v>0</v>
      </c>
      <c r="T79" s="8">
        <v>1</v>
      </c>
      <c r="U79" s="8">
        <v>2</v>
      </c>
      <c r="X79" s="8">
        <v>5</v>
      </c>
      <c r="AG79" s="8" t="str">
        <f t="shared" si="5"/>
        <v/>
      </c>
      <c r="AI79" s="8" t="str">
        <f t="shared" si="6"/>
        <v/>
      </c>
      <c r="AJ79" s="8" t="str">
        <f t="shared" si="7"/>
        <v/>
      </c>
      <c r="AL79" s="8" t="str">
        <f t="shared" si="8"/>
        <v/>
      </c>
    </row>
    <row r="80" spans="1:38" x14ac:dyDescent="0.25">
      <c r="A80" s="8" t="s">
        <v>4744</v>
      </c>
      <c r="B80" s="8" t="s">
        <v>4745</v>
      </c>
      <c r="C80" s="8">
        <v>30818380</v>
      </c>
      <c r="D80" s="8">
        <v>5</v>
      </c>
      <c r="E80" s="11">
        <v>43108</v>
      </c>
      <c r="F80" s="8" t="s">
        <v>57</v>
      </c>
      <c r="G80" s="11">
        <v>43112</v>
      </c>
      <c r="H80" s="8" t="s">
        <v>145</v>
      </c>
      <c r="J80" s="8" t="s">
        <v>25</v>
      </c>
      <c r="N80" s="8" t="s">
        <v>58</v>
      </c>
      <c r="O80" s="8" t="s">
        <v>59</v>
      </c>
      <c r="P80" s="8" t="s">
        <v>59</v>
      </c>
      <c r="R80" s="8">
        <v>0</v>
      </c>
      <c r="S80" s="8">
        <v>0</v>
      </c>
      <c r="T80" s="8">
        <v>1</v>
      </c>
      <c r="U80" s="8">
        <v>2</v>
      </c>
      <c r="AG80" s="8" t="str">
        <f t="shared" si="5"/>
        <v/>
      </c>
      <c r="AI80" s="8" t="str">
        <f t="shared" si="6"/>
        <v/>
      </c>
      <c r="AJ80" s="8" t="str">
        <f t="shared" si="7"/>
        <v/>
      </c>
      <c r="AL80" s="8" t="str">
        <f t="shared" si="8"/>
        <v/>
      </c>
    </row>
    <row r="81" spans="1:38" x14ac:dyDescent="0.25">
      <c r="A81" s="8" t="s">
        <v>6552</v>
      </c>
      <c r="B81" s="8" t="s">
        <v>6553</v>
      </c>
      <c r="C81" s="8">
        <v>30865568</v>
      </c>
      <c r="D81" s="8">
        <v>5</v>
      </c>
      <c r="E81" s="11">
        <v>43110</v>
      </c>
      <c r="F81" s="8" t="s">
        <v>57</v>
      </c>
      <c r="G81" s="11">
        <v>43115</v>
      </c>
      <c r="H81" s="8" t="s">
        <v>145</v>
      </c>
      <c r="J81" s="8" t="s">
        <v>25</v>
      </c>
      <c r="N81" s="8" t="s">
        <v>58</v>
      </c>
      <c r="O81" s="8" t="s">
        <v>59</v>
      </c>
      <c r="P81" s="8" t="s">
        <v>59</v>
      </c>
      <c r="R81" s="8">
        <v>0</v>
      </c>
      <c r="S81" s="8">
        <v>0</v>
      </c>
      <c r="T81" s="8">
        <v>1</v>
      </c>
      <c r="U81" s="8">
        <v>2</v>
      </c>
      <c r="AG81" s="8" t="str">
        <f t="shared" si="5"/>
        <v/>
      </c>
      <c r="AI81" s="8" t="str">
        <f t="shared" si="6"/>
        <v/>
      </c>
      <c r="AJ81" s="8" t="str">
        <f t="shared" si="7"/>
        <v/>
      </c>
      <c r="AL81" s="8" t="str">
        <f t="shared" si="8"/>
        <v/>
      </c>
    </row>
    <row r="82" spans="1:38" x14ac:dyDescent="0.25">
      <c r="A82" s="8" t="s">
        <v>4746</v>
      </c>
      <c r="B82" s="8" t="s">
        <v>4747</v>
      </c>
      <c r="C82" s="8">
        <v>30814063</v>
      </c>
      <c r="D82" s="8">
        <v>5</v>
      </c>
      <c r="E82" s="11">
        <v>43108</v>
      </c>
      <c r="F82" s="8" t="s">
        <v>57</v>
      </c>
      <c r="G82" s="11">
        <v>43112</v>
      </c>
      <c r="H82" s="8" t="s">
        <v>145</v>
      </c>
      <c r="J82" s="8" t="s">
        <v>25</v>
      </c>
      <c r="N82" s="8" t="s">
        <v>58</v>
      </c>
      <c r="O82" s="8" t="s">
        <v>59</v>
      </c>
      <c r="P82" s="8" t="s">
        <v>59</v>
      </c>
      <c r="R82" s="8">
        <v>0</v>
      </c>
      <c r="S82" s="8">
        <v>0</v>
      </c>
      <c r="T82" s="8">
        <v>1</v>
      </c>
      <c r="U82" s="8">
        <v>2</v>
      </c>
      <c r="AG82" s="8" t="str">
        <f t="shared" si="5"/>
        <v/>
      </c>
      <c r="AI82" s="8" t="str">
        <f t="shared" si="6"/>
        <v/>
      </c>
      <c r="AJ82" s="8" t="str">
        <f t="shared" si="7"/>
        <v/>
      </c>
      <c r="AL82" s="8" t="str">
        <f t="shared" si="8"/>
        <v/>
      </c>
    </row>
    <row r="83" spans="1:38" x14ac:dyDescent="0.25">
      <c r="A83" s="8" t="s">
        <v>3283</v>
      </c>
      <c r="B83" s="8" t="s">
        <v>3284</v>
      </c>
      <c r="C83" s="8">
        <v>30892570</v>
      </c>
      <c r="D83" s="8">
        <v>5</v>
      </c>
      <c r="E83" s="11">
        <v>43111</v>
      </c>
      <c r="F83" s="8" t="s">
        <v>58</v>
      </c>
      <c r="G83" s="11">
        <v>43111</v>
      </c>
      <c r="H83" s="8" t="s">
        <v>25</v>
      </c>
      <c r="I83" s="11">
        <v>43112</v>
      </c>
      <c r="J83" s="8" t="s">
        <v>25</v>
      </c>
      <c r="N83" s="8" t="s">
        <v>58</v>
      </c>
      <c r="O83" s="8" t="s">
        <v>59</v>
      </c>
      <c r="P83" s="8" t="s">
        <v>59</v>
      </c>
      <c r="R83" s="8">
        <v>0</v>
      </c>
      <c r="S83" s="8">
        <v>0</v>
      </c>
      <c r="T83" s="8">
        <v>1</v>
      </c>
      <c r="U83" s="8">
        <v>2</v>
      </c>
      <c r="X83" s="8">
        <v>5</v>
      </c>
      <c r="AG83" s="8" t="str">
        <f t="shared" si="5"/>
        <v/>
      </c>
      <c r="AI83" s="8" t="str">
        <f t="shared" si="6"/>
        <v/>
      </c>
      <c r="AJ83" s="8" t="str">
        <f t="shared" si="7"/>
        <v/>
      </c>
      <c r="AL83" s="8" t="str">
        <f t="shared" si="8"/>
        <v/>
      </c>
    </row>
    <row r="84" spans="1:38" x14ac:dyDescent="0.25">
      <c r="A84" s="8" t="s">
        <v>4748</v>
      </c>
      <c r="B84" s="8" t="s">
        <v>4749</v>
      </c>
      <c r="C84" s="8">
        <v>30810155</v>
      </c>
      <c r="D84" s="8">
        <v>5</v>
      </c>
      <c r="E84" s="11">
        <v>43108</v>
      </c>
      <c r="F84" s="8" t="s">
        <v>57</v>
      </c>
      <c r="G84" s="11">
        <v>43112</v>
      </c>
      <c r="H84" s="8" t="s">
        <v>145</v>
      </c>
      <c r="J84" s="8" t="s">
        <v>25</v>
      </c>
      <c r="N84" s="8" t="s">
        <v>58</v>
      </c>
      <c r="O84" s="8" t="s">
        <v>59</v>
      </c>
      <c r="P84" s="8" t="s">
        <v>59</v>
      </c>
      <c r="R84" s="8">
        <v>0</v>
      </c>
      <c r="S84" s="8">
        <v>0</v>
      </c>
      <c r="T84" s="8">
        <v>1</v>
      </c>
      <c r="U84" s="8">
        <v>2</v>
      </c>
      <c r="AG84" s="8" t="str">
        <f t="shared" si="5"/>
        <v/>
      </c>
      <c r="AI84" s="8" t="str">
        <f t="shared" si="6"/>
        <v/>
      </c>
      <c r="AJ84" s="8" t="str">
        <f t="shared" si="7"/>
        <v/>
      </c>
      <c r="AL84" s="8" t="str">
        <f t="shared" si="8"/>
        <v/>
      </c>
    </row>
    <row r="85" spans="1:38" x14ac:dyDescent="0.25">
      <c r="A85" s="8" t="s">
        <v>4750</v>
      </c>
      <c r="B85" s="8" t="s">
        <v>4751</v>
      </c>
      <c r="C85" s="8">
        <v>30905310</v>
      </c>
      <c r="D85" s="8">
        <v>5</v>
      </c>
      <c r="E85" s="11">
        <v>43112</v>
      </c>
      <c r="F85" s="8" t="s">
        <v>58</v>
      </c>
      <c r="G85" s="11">
        <v>43112</v>
      </c>
      <c r="H85" s="8" t="s">
        <v>25</v>
      </c>
      <c r="I85" s="11">
        <v>43115</v>
      </c>
      <c r="J85" s="8" t="s">
        <v>25</v>
      </c>
      <c r="N85" s="8" t="s">
        <v>58</v>
      </c>
      <c r="O85" s="8" t="s">
        <v>59</v>
      </c>
      <c r="P85" s="8" t="s">
        <v>59</v>
      </c>
      <c r="R85" s="8">
        <v>0</v>
      </c>
      <c r="S85" s="8">
        <v>0</v>
      </c>
      <c r="T85" s="8">
        <v>1</v>
      </c>
      <c r="U85" s="8">
        <v>2</v>
      </c>
      <c r="X85" s="8">
        <v>5</v>
      </c>
      <c r="AG85" s="8" t="str">
        <f t="shared" si="5"/>
        <v/>
      </c>
      <c r="AI85" s="8" t="str">
        <f t="shared" si="6"/>
        <v/>
      </c>
      <c r="AJ85" s="8" t="str">
        <f t="shared" si="7"/>
        <v/>
      </c>
      <c r="AL85" s="8" t="str">
        <f t="shared" si="8"/>
        <v/>
      </c>
    </row>
    <row r="86" spans="1:38" x14ac:dyDescent="0.25">
      <c r="A86" s="8" t="s">
        <v>1665</v>
      </c>
      <c r="B86" s="8" t="s">
        <v>1666</v>
      </c>
      <c r="C86" s="8">
        <v>30862249</v>
      </c>
      <c r="D86" s="8">
        <v>5</v>
      </c>
      <c r="E86" s="11">
        <v>43110</v>
      </c>
      <c r="F86" s="8" t="s">
        <v>58</v>
      </c>
      <c r="G86" s="11">
        <v>43110</v>
      </c>
      <c r="H86" s="8" t="s">
        <v>25</v>
      </c>
      <c r="I86" s="11">
        <v>43110</v>
      </c>
      <c r="J86" s="8" t="s">
        <v>25</v>
      </c>
      <c r="N86" s="8" t="s">
        <v>58</v>
      </c>
      <c r="O86" s="8" t="s">
        <v>59</v>
      </c>
      <c r="P86" s="8" t="s">
        <v>59</v>
      </c>
      <c r="R86" s="8">
        <v>0</v>
      </c>
      <c r="S86" s="8">
        <v>0</v>
      </c>
      <c r="T86" s="8">
        <v>1</v>
      </c>
      <c r="U86" s="8">
        <v>2</v>
      </c>
      <c r="X86" s="8">
        <v>5</v>
      </c>
      <c r="AG86" s="8" t="str">
        <f t="shared" si="5"/>
        <v/>
      </c>
      <c r="AI86" s="8" t="str">
        <f t="shared" si="6"/>
        <v/>
      </c>
      <c r="AJ86" s="8" t="str">
        <f t="shared" si="7"/>
        <v/>
      </c>
      <c r="AL86" s="8" t="str">
        <f t="shared" si="8"/>
        <v/>
      </c>
    </row>
    <row r="87" spans="1:38" x14ac:dyDescent="0.25">
      <c r="A87" s="8" t="s">
        <v>3285</v>
      </c>
      <c r="B87" s="8" t="s">
        <v>3286</v>
      </c>
      <c r="C87" s="8">
        <v>30885555</v>
      </c>
      <c r="D87" s="8">
        <v>5</v>
      </c>
      <c r="E87" s="11">
        <v>43111</v>
      </c>
      <c r="F87" s="8" t="s">
        <v>58</v>
      </c>
      <c r="G87" s="11">
        <v>43111</v>
      </c>
      <c r="H87" s="8" t="s">
        <v>25</v>
      </c>
      <c r="I87" s="11">
        <v>43112</v>
      </c>
      <c r="J87" s="8" t="s">
        <v>25</v>
      </c>
      <c r="N87" s="8" t="s">
        <v>58</v>
      </c>
      <c r="O87" s="8" t="s">
        <v>59</v>
      </c>
      <c r="P87" s="8" t="s">
        <v>59</v>
      </c>
      <c r="R87" s="8">
        <v>0</v>
      </c>
      <c r="S87" s="8">
        <v>0</v>
      </c>
      <c r="T87" s="8">
        <v>1</v>
      </c>
      <c r="U87" s="8">
        <v>2</v>
      </c>
      <c r="X87" s="8">
        <v>5</v>
      </c>
      <c r="AG87" s="8" t="str">
        <f t="shared" si="5"/>
        <v/>
      </c>
      <c r="AI87" s="8" t="str">
        <f t="shared" si="6"/>
        <v/>
      </c>
      <c r="AJ87" s="8" t="str">
        <f t="shared" si="7"/>
        <v/>
      </c>
      <c r="AL87" s="8" t="str">
        <f t="shared" si="8"/>
        <v/>
      </c>
    </row>
    <row r="88" spans="1:38" x14ac:dyDescent="0.25">
      <c r="A88" s="8" t="s">
        <v>165</v>
      </c>
      <c r="B88" s="8" t="s">
        <v>166</v>
      </c>
      <c r="C88" s="8">
        <v>30828594</v>
      </c>
      <c r="D88" s="8">
        <v>5</v>
      </c>
      <c r="E88" s="11">
        <v>43108</v>
      </c>
      <c r="F88" s="8" t="s">
        <v>58</v>
      </c>
      <c r="G88" s="11">
        <v>43108</v>
      </c>
      <c r="H88" s="8" t="s">
        <v>25</v>
      </c>
      <c r="I88" s="11">
        <v>43110</v>
      </c>
      <c r="J88" s="8" t="s">
        <v>25</v>
      </c>
      <c r="N88" s="8" t="s">
        <v>58</v>
      </c>
      <c r="O88" s="8" t="s">
        <v>59</v>
      </c>
      <c r="P88" s="8" t="s">
        <v>59</v>
      </c>
      <c r="R88" s="8">
        <v>0</v>
      </c>
      <c r="S88" s="8">
        <v>0</v>
      </c>
      <c r="T88" s="8">
        <v>1</v>
      </c>
      <c r="U88" s="8">
        <v>2</v>
      </c>
      <c r="X88" s="8">
        <v>5</v>
      </c>
      <c r="AG88" s="8" t="str">
        <f t="shared" si="5"/>
        <v/>
      </c>
      <c r="AI88" s="8" t="str">
        <f t="shared" si="6"/>
        <v/>
      </c>
      <c r="AJ88" s="8" t="str">
        <f t="shared" si="7"/>
        <v/>
      </c>
      <c r="AL88" s="8" t="str">
        <f t="shared" si="8"/>
        <v/>
      </c>
    </row>
    <row r="89" spans="1:38" x14ac:dyDescent="0.25">
      <c r="A89" s="8" t="s">
        <v>167</v>
      </c>
      <c r="B89" s="8" t="s">
        <v>168</v>
      </c>
      <c r="C89" s="8">
        <v>30827242</v>
      </c>
      <c r="D89" s="8">
        <v>5</v>
      </c>
      <c r="E89" s="11">
        <v>43108</v>
      </c>
      <c r="F89" s="8" t="s">
        <v>57</v>
      </c>
      <c r="G89" s="11">
        <v>43108</v>
      </c>
      <c r="H89" s="8" t="s">
        <v>25</v>
      </c>
      <c r="J89" s="8" t="s">
        <v>25</v>
      </c>
      <c r="N89" s="8" t="s">
        <v>58</v>
      </c>
      <c r="O89" s="8" t="s">
        <v>59</v>
      </c>
      <c r="P89" s="8" t="s">
        <v>59</v>
      </c>
      <c r="R89" s="8">
        <v>0</v>
      </c>
      <c r="S89" s="8">
        <v>0</v>
      </c>
      <c r="T89" s="8">
        <v>1</v>
      </c>
      <c r="U89" s="8">
        <v>2</v>
      </c>
      <c r="AG89" s="8" t="str">
        <f t="shared" si="5"/>
        <v/>
      </c>
      <c r="AI89" s="8" t="str">
        <f t="shared" si="6"/>
        <v/>
      </c>
      <c r="AJ89" s="8" t="str">
        <f t="shared" si="7"/>
        <v/>
      </c>
      <c r="AL89" s="8" t="str">
        <f t="shared" si="8"/>
        <v/>
      </c>
    </row>
    <row r="90" spans="1:38" x14ac:dyDescent="0.25">
      <c r="A90" s="8" t="s">
        <v>6554</v>
      </c>
      <c r="B90" s="8" t="s">
        <v>6555</v>
      </c>
      <c r="C90" s="8">
        <v>30936992</v>
      </c>
      <c r="D90" s="8">
        <v>5</v>
      </c>
      <c r="E90" s="11">
        <v>43115</v>
      </c>
      <c r="F90" s="8" t="s">
        <v>57</v>
      </c>
      <c r="G90" s="11">
        <v>43115</v>
      </c>
      <c r="H90" s="8" t="s">
        <v>25</v>
      </c>
      <c r="J90" s="8" t="s">
        <v>25</v>
      </c>
      <c r="N90" s="8" t="s">
        <v>58</v>
      </c>
      <c r="O90" s="8" t="s">
        <v>59</v>
      </c>
      <c r="P90" s="8" t="s">
        <v>59</v>
      </c>
      <c r="R90" s="8">
        <v>0</v>
      </c>
      <c r="S90" s="8">
        <v>0</v>
      </c>
      <c r="T90" s="8">
        <v>1</v>
      </c>
      <c r="U90" s="8">
        <v>2</v>
      </c>
      <c r="AG90" s="8" t="str">
        <f t="shared" si="5"/>
        <v/>
      </c>
      <c r="AI90" s="8" t="str">
        <f t="shared" si="6"/>
        <v/>
      </c>
      <c r="AJ90" s="8" t="str">
        <f t="shared" si="7"/>
        <v/>
      </c>
      <c r="AL90" s="8" t="str">
        <f t="shared" si="8"/>
        <v/>
      </c>
    </row>
    <row r="91" spans="1:38" x14ac:dyDescent="0.25">
      <c r="A91" s="8" t="s">
        <v>4752</v>
      </c>
      <c r="B91" s="8" t="s">
        <v>4753</v>
      </c>
      <c r="C91" s="8">
        <v>30817003</v>
      </c>
      <c r="D91" s="8">
        <v>5</v>
      </c>
      <c r="E91" s="11">
        <v>43108</v>
      </c>
      <c r="F91" s="8" t="s">
        <v>58</v>
      </c>
      <c r="G91" s="11">
        <v>43112</v>
      </c>
      <c r="H91" s="8" t="s">
        <v>145</v>
      </c>
      <c r="I91" s="11">
        <v>43112</v>
      </c>
      <c r="J91" s="8" t="s">
        <v>25</v>
      </c>
      <c r="N91" s="8" t="s">
        <v>58</v>
      </c>
      <c r="O91" s="8" t="s">
        <v>59</v>
      </c>
      <c r="P91" s="8" t="s">
        <v>59</v>
      </c>
      <c r="R91" s="8">
        <v>0</v>
      </c>
      <c r="S91" s="8">
        <v>0</v>
      </c>
      <c r="T91" s="8">
        <v>1</v>
      </c>
      <c r="U91" s="8">
        <v>2</v>
      </c>
      <c r="X91" s="8">
        <v>5</v>
      </c>
      <c r="AG91" s="8" t="str">
        <f t="shared" si="5"/>
        <v/>
      </c>
      <c r="AI91" s="8" t="str">
        <f t="shared" si="6"/>
        <v/>
      </c>
      <c r="AJ91" s="8" t="str">
        <f t="shared" si="7"/>
        <v/>
      </c>
      <c r="AL91" s="8" t="str">
        <f t="shared" si="8"/>
        <v/>
      </c>
    </row>
    <row r="92" spans="1:38" x14ac:dyDescent="0.25">
      <c r="A92" s="8" t="s">
        <v>169</v>
      </c>
      <c r="B92" s="8" t="s">
        <v>170</v>
      </c>
      <c r="C92" s="8">
        <v>30809165</v>
      </c>
      <c r="D92" s="8">
        <v>5</v>
      </c>
      <c r="E92" s="11">
        <v>43108</v>
      </c>
      <c r="F92" s="8" t="s">
        <v>60</v>
      </c>
      <c r="G92" s="11">
        <v>43108</v>
      </c>
      <c r="H92" s="8" t="s">
        <v>25</v>
      </c>
      <c r="J92" s="8" t="s">
        <v>25</v>
      </c>
      <c r="L92" s="8" t="s">
        <v>3287</v>
      </c>
      <c r="N92" s="8" t="s">
        <v>58</v>
      </c>
      <c r="O92" s="8" t="s">
        <v>59</v>
      </c>
      <c r="P92" s="8" t="s">
        <v>59</v>
      </c>
      <c r="R92" s="8">
        <v>0</v>
      </c>
      <c r="S92" s="8">
        <v>0</v>
      </c>
      <c r="T92" s="8">
        <v>1</v>
      </c>
      <c r="U92" s="8">
        <v>2</v>
      </c>
      <c r="W92" s="8">
        <v>4</v>
      </c>
      <c r="AG92" s="8" t="str">
        <f t="shared" si="5"/>
        <v/>
      </c>
      <c r="AI92" s="8" t="str">
        <f t="shared" si="6"/>
        <v/>
      </c>
      <c r="AJ92" s="8" t="str">
        <f t="shared" si="7"/>
        <v/>
      </c>
      <c r="AL92" s="8" t="str">
        <f t="shared" si="8"/>
        <v/>
      </c>
    </row>
    <row r="93" spans="1:38" x14ac:dyDescent="0.25">
      <c r="A93" s="8" t="s">
        <v>4754</v>
      </c>
      <c r="B93" s="8" t="s">
        <v>170</v>
      </c>
      <c r="C93" s="8">
        <v>30908321</v>
      </c>
      <c r="D93" s="8">
        <v>5</v>
      </c>
      <c r="E93" s="11">
        <v>43112</v>
      </c>
      <c r="F93" s="8" t="s">
        <v>57</v>
      </c>
      <c r="G93" s="11">
        <v>43112</v>
      </c>
      <c r="H93" s="8" t="s">
        <v>25</v>
      </c>
      <c r="J93" s="8" t="s">
        <v>25</v>
      </c>
      <c r="N93" s="8" t="s">
        <v>58</v>
      </c>
      <c r="O93" s="8" t="s">
        <v>59</v>
      </c>
      <c r="P93" s="8" t="s">
        <v>59</v>
      </c>
      <c r="R93" s="8">
        <v>0</v>
      </c>
      <c r="S93" s="8">
        <v>0</v>
      </c>
      <c r="T93" s="8">
        <v>1</v>
      </c>
      <c r="U93" s="8">
        <v>2</v>
      </c>
      <c r="AG93" s="8" t="str">
        <f t="shared" si="5"/>
        <v/>
      </c>
      <c r="AI93" s="8" t="str">
        <f t="shared" si="6"/>
        <v/>
      </c>
      <c r="AJ93" s="8" t="str">
        <f t="shared" si="7"/>
        <v/>
      </c>
      <c r="AL93" s="8" t="str">
        <f t="shared" si="8"/>
        <v/>
      </c>
    </row>
    <row r="94" spans="1:38" x14ac:dyDescent="0.25">
      <c r="A94" s="8" t="s">
        <v>792</v>
      </c>
      <c r="B94" s="8" t="s">
        <v>793</v>
      </c>
      <c r="C94" s="8">
        <v>30845392</v>
      </c>
      <c r="D94" s="8">
        <v>5</v>
      </c>
      <c r="E94" s="11">
        <v>43109</v>
      </c>
      <c r="F94" s="8" t="s">
        <v>60</v>
      </c>
      <c r="G94" s="11">
        <v>43109</v>
      </c>
      <c r="H94" s="8" t="s">
        <v>25</v>
      </c>
      <c r="J94" s="8" t="s">
        <v>25</v>
      </c>
      <c r="L94" s="8" t="s">
        <v>3287</v>
      </c>
      <c r="N94" s="8" t="s">
        <v>58</v>
      </c>
      <c r="O94" s="8" t="s">
        <v>59</v>
      </c>
      <c r="P94" s="8" t="s">
        <v>59</v>
      </c>
      <c r="R94" s="8">
        <v>0</v>
      </c>
      <c r="S94" s="8">
        <v>0</v>
      </c>
      <c r="T94" s="8">
        <v>1</v>
      </c>
      <c r="U94" s="8">
        <v>2</v>
      </c>
      <c r="W94" s="8">
        <v>4</v>
      </c>
      <c r="AG94" s="8" t="str">
        <f t="shared" si="5"/>
        <v/>
      </c>
      <c r="AI94" s="8" t="str">
        <f t="shared" si="6"/>
        <v/>
      </c>
      <c r="AJ94" s="8" t="str">
        <f t="shared" si="7"/>
        <v/>
      </c>
      <c r="AL94" s="8" t="str">
        <f t="shared" si="8"/>
        <v/>
      </c>
    </row>
    <row r="95" spans="1:38" x14ac:dyDescent="0.25">
      <c r="A95" s="8" t="s">
        <v>3288</v>
      </c>
      <c r="B95" s="8" t="s">
        <v>793</v>
      </c>
      <c r="C95" s="8">
        <v>30896334</v>
      </c>
      <c r="D95" s="8">
        <v>5</v>
      </c>
      <c r="E95" s="11">
        <v>43111</v>
      </c>
      <c r="F95" s="8" t="s">
        <v>57</v>
      </c>
      <c r="G95" s="11">
        <v>43111</v>
      </c>
      <c r="H95" s="8" t="s">
        <v>25</v>
      </c>
      <c r="J95" s="8" t="s">
        <v>25</v>
      </c>
      <c r="N95" s="8" t="s">
        <v>58</v>
      </c>
      <c r="O95" s="8" t="s">
        <v>59</v>
      </c>
      <c r="P95" s="8" t="s">
        <v>59</v>
      </c>
      <c r="R95" s="8">
        <v>0</v>
      </c>
      <c r="S95" s="8">
        <v>0</v>
      </c>
      <c r="T95" s="8">
        <v>1</v>
      </c>
      <c r="U95" s="8">
        <v>2</v>
      </c>
      <c r="AG95" s="8" t="str">
        <f t="shared" si="5"/>
        <v/>
      </c>
      <c r="AI95" s="8" t="str">
        <f t="shared" si="6"/>
        <v/>
      </c>
      <c r="AJ95" s="8" t="str">
        <f t="shared" si="7"/>
        <v/>
      </c>
      <c r="AL95" s="8" t="str">
        <f t="shared" si="8"/>
        <v/>
      </c>
    </row>
    <row r="96" spans="1:38" x14ac:dyDescent="0.25">
      <c r="A96" s="8" t="s">
        <v>794</v>
      </c>
      <c r="B96" s="8" t="s">
        <v>795</v>
      </c>
      <c r="C96" s="8">
        <v>30853842</v>
      </c>
      <c r="D96" s="8">
        <v>5</v>
      </c>
      <c r="E96" s="11">
        <v>43109</v>
      </c>
      <c r="F96" s="8" t="s">
        <v>58</v>
      </c>
      <c r="G96" s="11">
        <v>43109</v>
      </c>
      <c r="H96" s="8" t="s">
        <v>25</v>
      </c>
      <c r="I96" s="11">
        <v>43111</v>
      </c>
      <c r="J96" s="8" t="s">
        <v>25</v>
      </c>
      <c r="N96" s="8" t="s">
        <v>58</v>
      </c>
      <c r="O96" s="8" t="s">
        <v>59</v>
      </c>
      <c r="P96" s="8" t="s">
        <v>59</v>
      </c>
      <c r="R96" s="8">
        <v>0</v>
      </c>
      <c r="S96" s="8">
        <v>0</v>
      </c>
      <c r="T96" s="8">
        <v>1</v>
      </c>
      <c r="U96" s="8">
        <v>2</v>
      </c>
      <c r="X96" s="8">
        <v>5</v>
      </c>
      <c r="AG96" s="8" t="str">
        <f t="shared" si="5"/>
        <v/>
      </c>
      <c r="AI96" s="8" t="str">
        <f t="shared" si="6"/>
        <v/>
      </c>
      <c r="AJ96" s="8" t="str">
        <f t="shared" si="7"/>
        <v/>
      </c>
      <c r="AL96" s="8" t="str">
        <f t="shared" si="8"/>
        <v/>
      </c>
    </row>
    <row r="97" spans="1:38" x14ac:dyDescent="0.25">
      <c r="A97" s="8" t="s">
        <v>171</v>
      </c>
      <c r="B97" s="8" t="s">
        <v>172</v>
      </c>
      <c r="C97" s="8">
        <v>30823450</v>
      </c>
      <c r="D97" s="8">
        <v>5</v>
      </c>
      <c r="E97" s="11">
        <v>43108</v>
      </c>
      <c r="F97" s="8" t="s">
        <v>58</v>
      </c>
      <c r="G97" s="11">
        <v>43108</v>
      </c>
      <c r="H97" s="8" t="s">
        <v>25</v>
      </c>
      <c r="I97" s="11">
        <v>43110</v>
      </c>
      <c r="J97" s="8" t="s">
        <v>25</v>
      </c>
      <c r="N97" s="8" t="s">
        <v>58</v>
      </c>
      <c r="O97" s="8" t="s">
        <v>59</v>
      </c>
      <c r="P97" s="8" t="s">
        <v>59</v>
      </c>
      <c r="R97" s="8">
        <v>0</v>
      </c>
      <c r="S97" s="8">
        <v>0</v>
      </c>
      <c r="T97" s="8">
        <v>1</v>
      </c>
      <c r="U97" s="8">
        <v>2</v>
      </c>
      <c r="X97" s="8">
        <v>5</v>
      </c>
      <c r="AG97" s="8" t="str">
        <f t="shared" si="5"/>
        <v/>
      </c>
      <c r="AI97" s="8" t="str">
        <f t="shared" si="6"/>
        <v/>
      </c>
      <c r="AJ97" s="8" t="str">
        <f t="shared" si="7"/>
        <v/>
      </c>
      <c r="AL97" s="8" t="str">
        <f t="shared" si="8"/>
        <v/>
      </c>
    </row>
    <row r="98" spans="1:38" x14ac:dyDescent="0.25">
      <c r="A98" s="8" t="s">
        <v>796</v>
      </c>
      <c r="B98" s="8" t="s">
        <v>797</v>
      </c>
      <c r="C98" s="8">
        <v>30817923</v>
      </c>
      <c r="D98" s="8">
        <v>5</v>
      </c>
      <c r="E98" s="11">
        <v>43108</v>
      </c>
      <c r="F98" s="8" t="s">
        <v>58</v>
      </c>
      <c r="G98" s="11">
        <v>43109</v>
      </c>
      <c r="H98" s="8" t="s">
        <v>25</v>
      </c>
      <c r="I98" s="11">
        <v>43110</v>
      </c>
      <c r="J98" s="8" t="s">
        <v>25</v>
      </c>
      <c r="N98" s="8" t="s">
        <v>58</v>
      </c>
      <c r="O98" s="8" t="s">
        <v>59</v>
      </c>
      <c r="P98" s="8" t="s">
        <v>59</v>
      </c>
      <c r="R98" s="8">
        <v>0</v>
      </c>
      <c r="S98" s="8">
        <v>0</v>
      </c>
      <c r="T98" s="8">
        <v>1</v>
      </c>
      <c r="U98" s="8">
        <v>2</v>
      </c>
      <c r="X98" s="8">
        <v>5</v>
      </c>
      <c r="AG98" s="8" t="str">
        <f t="shared" si="5"/>
        <v/>
      </c>
      <c r="AI98" s="8" t="str">
        <f t="shared" si="6"/>
        <v/>
      </c>
      <c r="AJ98" s="8" t="str">
        <f t="shared" si="7"/>
        <v/>
      </c>
      <c r="AL98" s="8" t="str">
        <f t="shared" si="8"/>
        <v/>
      </c>
    </row>
    <row r="99" spans="1:38" x14ac:dyDescent="0.25">
      <c r="A99" s="8" t="s">
        <v>173</v>
      </c>
      <c r="B99" s="8" t="s">
        <v>174</v>
      </c>
      <c r="C99" s="8">
        <v>30806848</v>
      </c>
      <c r="D99" s="8">
        <v>5</v>
      </c>
      <c r="E99" s="11">
        <v>43108</v>
      </c>
      <c r="F99" s="8" t="s">
        <v>58</v>
      </c>
      <c r="G99" s="11">
        <v>43108</v>
      </c>
      <c r="H99" s="8" t="s">
        <v>25</v>
      </c>
      <c r="I99" s="11">
        <v>43110</v>
      </c>
      <c r="J99" s="8" t="s">
        <v>25</v>
      </c>
      <c r="N99" s="8" t="s">
        <v>58</v>
      </c>
      <c r="O99" s="8" t="s">
        <v>59</v>
      </c>
      <c r="P99" s="8" t="s">
        <v>59</v>
      </c>
      <c r="R99" s="8">
        <v>0</v>
      </c>
      <c r="S99" s="8">
        <v>0</v>
      </c>
      <c r="T99" s="8">
        <v>1</v>
      </c>
      <c r="U99" s="8">
        <v>2</v>
      </c>
      <c r="X99" s="8">
        <v>5</v>
      </c>
      <c r="AG99" s="8" t="str">
        <f t="shared" si="5"/>
        <v/>
      </c>
      <c r="AI99" s="8" t="str">
        <f t="shared" si="6"/>
        <v/>
      </c>
      <c r="AJ99" s="8" t="str">
        <f t="shared" si="7"/>
        <v/>
      </c>
      <c r="AL99" s="8" t="str">
        <f t="shared" si="8"/>
        <v/>
      </c>
    </row>
    <row r="100" spans="1:38" x14ac:dyDescent="0.25">
      <c r="A100" s="8" t="s">
        <v>175</v>
      </c>
      <c r="B100" s="8" t="s">
        <v>176</v>
      </c>
      <c r="C100" s="8">
        <v>30826266</v>
      </c>
      <c r="D100" s="8">
        <v>5</v>
      </c>
      <c r="E100" s="11">
        <v>43108</v>
      </c>
      <c r="F100" s="8" t="s">
        <v>58</v>
      </c>
      <c r="G100" s="11">
        <v>43108</v>
      </c>
      <c r="H100" s="8" t="s">
        <v>25</v>
      </c>
      <c r="I100" s="11">
        <v>43108</v>
      </c>
      <c r="J100" s="8" t="s">
        <v>25</v>
      </c>
      <c r="N100" s="8" t="s">
        <v>58</v>
      </c>
      <c r="O100" s="8" t="s">
        <v>59</v>
      </c>
      <c r="P100" s="8" t="s">
        <v>59</v>
      </c>
      <c r="R100" s="8">
        <v>0</v>
      </c>
      <c r="S100" s="8">
        <v>0</v>
      </c>
      <c r="T100" s="8">
        <v>1</v>
      </c>
      <c r="U100" s="8">
        <v>2</v>
      </c>
      <c r="X100" s="8">
        <v>5</v>
      </c>
      <c r="AG100" s="8" t="str">
        <f t="shared" si="5"/>
        <v/>
      </c>
      <c r="AI100" s="8" t="str">
        <f t="shared" si="6"/>
        <v/>
      </c>
      <c r="AJ100" s="8" t="str">
        <f t="shared" si="7"/>
        <v/>
      </c>
      <c r="AL100" s="8" t="str">
        <f t="shared" si="8"/>
        <v/>
      </c>
    </row>
    <row r="101" spans="1:38" x14ac:dyDescent="0.25">
      <c r="A101" s="8" t="s">
        <v>4755</v>
      </c>
      <c r="B101" s="8" t="s">
        <v>4756</v>
      </c>
      <c r="C101" s="8">
        <v>30838054</v>
      </c>
      <c r="D101" s="8">
        <v>5</v>
      </c>
      <c r="E101" s="11">
        <v>43109</v>
      </c>
      <c r="F101" s="8" t="s">
        <v>57</v>
      </c>
      <c r="G101" s="11">
        <v>43115</v>
      </c>
      <c r="H101" s="8" t="s">
        <v>145</v>
      </c>
      <c r="J101" s="8" t="s">
        <v>25</v>
      </c>
      <c r="N101" s="8" t="s">
        <v>58</v>
      </c>
      <c r="O101" s="8" t="s">
        <v>59</v>
      </c>
      <c r="P101" s="8" t="s">
        <v>59</v>
      </c>
      <c r="R101" s="8">
        <v>0</v>
      </c>
      <c r="S101" s="8">
        <v>0</v>
      </c>
      <c r="T101" s="8">
        <v>1</v>
      </c>
      <c r="U101" s="8">
        <v>2</v>
      </c>
      <c r="AG101" s="8" t="str">
        <f t="shared" si="5"/>
        <v/>
      </c>
      <c r="AI101" s="8" t="str">
        <f t="shared" si="6"/>
        <v/>
      </c>
      <c r="AJ101" s="8" t="str">
        <f t="shared" si="7"/>
        <v/>
      </c>
      <c r="AL101" s="8" t="str">
        <f t="shared" si="8"/>
        <v/>
      </c>
    </row>
    <row r="102" spans="1:38" x14ac:dyDescent="0.25">
      <c r="A102" s="8" t="s">
        <v>6556</v>
      </c>
      <c r="B102" s="8" t="s">
        <v>6557</v>
      </c>
      <c r="C102" s="8">
        <v>30932421</v>
      </c>
      <c r="D102" s="8">
        <v>5</v>
      </c>
      <c r="E102" s="11">
        <v>43115</v>
      </c>
      <c r="F102" s="8" t="s">
        <v>57</v>
      </c>
      <c r="G102" s="11">
        <v>43115</v>
      </c>
      <c r="H102" s="8" t="s">
        <v>25</v>
      </c>
      <c r="J102" s="8" t="s">
        <v>25</v>
      </c>
      <c r="N102" s="8" t="s">
        <v>58</v>
      </c>
      <c r="O102" s="8" t="s">
        <v>59</v>
      </c>
      <c r="P102" s="8" t="s">
        <v>59</v>
      </c>
      <c r="R102" s="8">
        <v>0</v>
      </c>
      <c r="S102" s="8">
        <v>0</v>
      </c>
      <c r="T102" s="8">
        <v>1</v>
      </c>
      <c r="U102" s="8">
        <v>2</v>
      </c>
      <c r="AG102" s="8" t="str">
        <f t="shared" si="5"/>
        <v/>
      </c>
      <c r="AI102" s="8" t="str">
        <f t="shared" si="6"/>
        <v/>
      </c>
      <c r="AJ102" s="8" t="str">
        <f t="shared" si="7"/>
        <v/>
      </c>
      <c r="AL102" s="8" t="str">
        <f t="shared" si="8"/>
        <v/>
      </c>
    </row>
    <row r="103" spans="1:38" x14ac:dyDescent="0.25">
      <c r="A103" s="8" t="s">
        <v>4757</v>
      </c>
      <c r="B103" s="8" t="s">
        <v>4758</v>
      </c>
      <c r="C103" s="8">
        <v>30818588</v>
      </c>
      <c r="D103" s="8">
        <v>5</v>
      </c>
      <c r="E103" s="11">
        <v>43108</v>
      </c>
      <c r="F103" s="8" t="s">
        <v>57</v>
      </c>
      <c r="G103" s="11">
        <v>43112</v>
      </c>
      <c r="H103" s="8" t="s">
        <v>145</v>
      </c>
      <c r="J103" s="8" t="s">
        <v>25</v>
      </c>
      <c r="N103" s="8" t="s">
        <v>58</v>
      </c>
      <c r="O103" s="8" t="s">
        <v>59</v>
      </c>
      <c r="P103" s="8" t="s">
        <v>59</v>
      </c>
      <c r="R103" s="8">
        <v>0</v>
      </c>
      <c r="S103" s="8">
        <v>0</v>
      </c>
      <c r="T103" s="8">
        <v>1</v>
      </c>
      <c r="U103" s="8">
        <v>2</v>
      </c>
      <c r="AG103" s="8" t="str">
        <f t="shared" si="5"/>
        <v/>
      </c>
      <c r="AI103" s="8" t="str">
        <f t="shared" si="6"/>
        <v/>
      </c>
      <c r="AJ103" s="8" t="str">
        <f t="shared" si="7"/>
        <v/>
      </c>
      <c r="AL103" s="8" t="str">
        <f t="shared" si="8"/>
        <v/>
      </c>
    </row>
    <row r="104" spans="1:38" x14ac:dyDescent="0.25">
      <c r="A104" s="8" t="s">
        <v>4759</v>
      </c>
      <c r="B104" s="8" t="s">
        <v>4760</v>
      </c>
      <c r="C104" s="8">
        <v>30893274</v>
      </c>
      <c r="D104" s="8">
        <v>5</v>
      </c>
      <c r="E104" s="11">
        <v>43111</v>
      </c>
      <c r="F104" s="8" t="s">
        <v>57</v>
      </c>
      <c r="G104" s="11">
        <v>43112</v>
      </c>
      <c r="H104" s="8" t="s">
        <v>25</v>
      </c>
      <c r="J104" s="8" t="s">
        <v>25</v>
      </c>
      <c r="N104" s="8" t="s">
        <v>58</v>
      </c>
      <c r="O104" s="8" t="s">
        <v>59</v>
      </c>
      <c r="P104" s="8" t="s">
        <v>59</v>
      </c>
      <c r="R104" s="8">
        <v>0</v>
      </c>
      <c r="S104" s="8">
        <v>0</v>
      </c>
      <c r="T104" s="8">
        <v>1</v>
      </c>
      <c r="U104" s="8">
        <v>2</v>
      </c>
      <c r="AG104" s="8" t="str">
        <f t="shared" si="5"/>
        <v/>
      </c>
      <c r="AI104" s="8" t="str">
        <f t="shared" si="6"/>
        <v/>
      </c>
      <c r="AJ104" s="8" t="str">
        <f t="shared" si="7"/>
        <v/>
      </c>
      <c r="AL104" s="8" t="str">
        <f t="shared" si="8"/>
        <v/>
      </c>
    </row>
    <row r="105" spans="1:38" x14ac:dyDescent="0.25">
      <c r="A105" s="8" t="s">
        <v>4761</v>
      </c>
      <c r="B105" s="8" t="s">
        <v>4762</v>
      </c>
      <c r="C105" s="8">
        <v>30827100</v>
      </c>
      <c r="D105" s="8">
        <v>5</v>
      </c>
      <c r="E105" s="11">
        <v>43108</v>
      </c>
      <c r="F105" s="8" t="s">
        <v>57</v>
      </c>
      <c r="G105" s="11">
        <v>43112</v>
      </c>
      <c r="H105" s="8" t="s">
        <v>145</v>
      </c>
      <c r="J105" s="8" t="s">
        <v>25</v>
      </c>
      <c r="N105" s="8" t="s">
        <v>58</v>
      </c>
      <c r="O105" s="8" t="s">
        <v>59</v>
      </c>
      <c r="P105" s="8" t="s">
        <v>59</v>
      </c>
      <c r="R105" s="8">
        <v>0</v>
      </c>
      <c r="S105" s="8">
        <v>0</v>
      </c>
      <c r="T105" s="8">
        <v>1</v>
      </c>
      <c r="U105" s="8">
        <v>2</v>
      </c>
      <c r="AG105" s="8" t="str">
        <f t="shared" si="5"/>
        <v/>
      </c>
      <c r="AI105" s="8" t="str">
        <f t="shared" si="6"/>
        <v/>
      </c>
      <c r="AJ105" s="8" t="str">
        <f t="shared" si="7"/>
        <v/>
      </c>
      <c r="AL105" s="8" t="str">
        <f t="shared" si="8"/>
        <v/>
      </c>
    </row>
    <row r="106" spans="1:38" x14ac:dyDescent="0.25">
      <c r="A106" s="8" t="s">
        <v>798</v>
      </c>
      <c r="B106" s="8" t="s">
        <v>799</v>
      </c>
      <c r="C106" s="8">
        <v>30841089</v>
      </c>
      <c r="D106" s="8">
        <v>5</v>
      </c>
      <c r="E106" s="11">
        <v>43109</v>
      </c>
      <c r="F106" s="8" t="s">
        <v>58</v>
      </c>
      <c r="G106" s="11">
        <v>43109</v>
      </c>
      <c r="H106" s="8" t="s">
        <v>25</v>
      </c>
      <c r="I106" s="11">
        <v>43109</v>
      </c>
      <c r="J106" s="8" t="s">
        <v>25</v>
      </c>
      <c r="N106" s="8" t="s">
        <v>58</v>
      </c>
      <c r="O106" s="8" t="s">
        <v>59</v>
      </c>
      <c r="P106" s="8" t="s">
        <v>59</v>
      </c>
      <c r="R106" s="8">
        <v>0</v>
      </c>
      <c r="S106" s="8">
        <v>0</v>
      </c>
      <c r="T106" s="8">
        <v>1</v>
      </c>
      <c r="U106" s="8">
        <v>2</v>
      </c>
      <c r="X106" s="8">
        <v>5</v>
      </c>
      <c r="AG106" s="8" t="str">
        <f t="shared" si="5"/>
        <v/>
      </c>
      <c r="AI106" s="8" t="str">
        <f t="shared" si="6"/>
        <v/>
      </c>
      <c r="AJ106" s="8" t="str">
        <f t="shared" si="7"/>
        <v/>
      </c>
      <c r="AL106" s="8" t="str">
        <f t="shared" si="8"/>
        <v/>
      </c>
    </row>
    <row r="107" spans="1:38" x14ac:dyDescent="0.25">
      <c r="A107" s="8" t="s">
        <v>4763</v>
      </c>
      <c r="B107" s="8" t="s">
        <v>4764</v>
      </c>
      <c r="C107" s="8">
        <v>30919931</v>
      </c>
      <c r="D107" s="8">
        <v>5</v>
      </c>
      <c r="E107" s="11">
        <v>43112</v>
      </c>
      <c r="F107" s="8" t="s">
        <v>58</v>
      </c>
      <c r="G107" s="11">
        <v>43112</v>
      </c>
      <c r="H107" s="8" t="s">
        <v>25</v>
      </c>
      <c r="I107" s="11">
        <v>43115</v>
      </c>
      <c r="J107" s="8" t="s">
        <v>25</v>
      </c>
      <c r="N107" s="8" t="s">
        <v>58</v>
      </c>
      <c r="O107" s="8" t="s">
        <v>59</v>
      </c>
      <c r="P107" s="8" t="s">
        <v>59</v>
      </c>
      <c r="R107" s="8">
        <v>0</v>
      </c>
      <c r="S107" s="8">
        <v>0</v>
      </c>
      <c r="T107" s="8">
        <v>1</v>
      </c>
      <c r="U107" s="8">
        <v>2</v>
      </c>
      <c r="X107" s="8">
        <v>5</v>
      </c>
      <c r="AG107" s="8" t="str">
        <f t="shared" si="5"/>
        <v/>
      </c>
      <c r="AI107" s="8" t="str">
        <f t="shared" si="6"/>
        <v/>
      </c>
      <c r="AJ107" s="8" t="str">
        <f t="shared" si="7"/>
        <v/>
      </c>
      <c r="AL107" s="8" t="str">
        <f t="shared" si="8"/>
        <v/>
      </c>
    </row>
    <row r="108" spans="1:38" x14ac:dyDescent="0.25">
      <c r="A108" s="8" t="s">
        <v>6558</v>
      </c>
      <c r="B108" s="8" t="s">
        <v>6559</v>
      </c>
      <c r="C108" s="8">
        <v>30861494</v>
      </c>
      <c r="D108" s="8">
        <v>5</v>
      </c>
      <c r="E108" s="11">
        <v>43110</v>
      </c>
      <c r="F108" s="8" t="s">
        <v>57</v>
      </c>
      <c r="G108" s="11">
        <v>43115</v>
      </c>
      <c r="H108" s="8" t="s">
        <v>145</v>
      </c>
      <c r="J108" s="8" t="s">
        <v>25</v>
      </c>
      <c r="N108" s="8" t="s">
        <v>58</v>
      </c>
      <c r="O108" s="8" t="s">
        <v>59</v>
      </c>
      <c r="P108" s="8" t="s">
        <v>59</v>
      </c>
      <c r="R108" s="8">
        <v>0</v>
      </c>
      <c r="S108" s="8">
        <v>0</v>
      </c>
      <c r="T108" s="8">
        <v>1</v>
      </c>
      <c r="U108" s="8">
        <v>2</v>
      </c>
      <c r="AG108" s="8" t="str">
        <f t="shared" si="5"/>
        <v/>
      </c>
      <c r="AI108" s="8" t="str">
        <f t="shared" si="6"/>
        <v/>
      </c>
      <c r="AJ108" s="8" t="str">
        <f t="shared" si="7"/>
        <v/>
      </c>
      <c r="AL108" s="8" t="str">
        <f t="shared" si="8"/>
        <v/>
      </c>
    </row>
    <row r="109" spans="1:38" x14ac:dyDescent="0.25">
      <c r="A109" s="8" t="s">
        <v>4765</v>
      </c>
      <c r="B109" s="8" t="s">
        <v>4766</v>
      </c>
      <c r="C109" s="8">
        <v>30817271</v>
      </c>
      <c r="D109" s="8">
        <v>5</v>
      </c>
      <c r="E109" s="11">
        <v>43108</v>
      </c>
      <c r="F109" s="8" t="s">
        <v>58</v>
      </c>
      <c r="G109" s="11">
        <v>43112</v>
      </c>
      <c r="H109" s="8" t="s">
        <v>145</v>
      </c>
      <c r="I109" s="11">
        <v>43115</v>
      </c>
      <c r="J109" s="8" t="s">
        <v>25</v>
      </c>
      <c r="N109" s="8" t="s">
        <v>58</v>
      </c>
      <c r="O109" s="8" t="s">
        <v>59</v>
      </c>
      <c r="P109" s="8" t="s">
        <v>59</v>
      </c>
      <c r="R109" s="8">
        <v>0</v>
      </c>
      <c r="S109" s="8">
        <v>0</v>
      </c>
      <c r="T109" s="8">
        <v>1</v>
      </c>
      <c r="U109" s="8">
        <v>2</v>
      </c>
      <c r="X109" s="8">
        <v>5</v>
      </c>
      <c r="AG109" s="8" t="str">
        <f t="shared" si="5"/>
        <v/>
      </c>
      <c r="AI109" s="8" t="str">
        <f t="shared" si="6"/>
        <v/>
      </c>
      <c r="AJ109" s="8" t="str">
        <f t="shared" si="7"/>
        <v/>
      </c>
      <c r="AL109" s="8" t="str">
        <f t="shared" si="8"/>
        <v/>
      </c>
    </row>
    <row r="110" spans="1:38" x14ac:dyDescent="0.25">
      <c r="A110" s="8" t="s">
        <v>1667</v>
      </c>
      <c r="B110" s="8" t="s">
        <v>1668</v>
      </c>
      <c r="C110" s="8">
        <v>30838022</v>
      </c>
      <c r="D110" s="8">
        <v>5</v>
      </c>
      <c r="E110" s="11">
        <v>43109</v>
      </c>
      <c r="F110" s="8" t="s">
        <v>58</v>
      </c>
      <c r="G110" s="11">
        <v>43110</v>
      </c>
      <c r="H110" s="8" t="s">
        <v>25</v>
      </c>
      <c r="I110" s="11">
        <v>43110</v>
      </c>
      <c r="J110" s="8" t="s">
        <v>25</v>
      </c>
      <c r="N110" s="8" t="s">
        <v>58</v>
      </c>
      <c r="O110" s="8" t="s">
        <v>59</v>
      </c>
      <c r="P110" s="8" t="s">
        <v>59</v>
      </c>
      <c r="R110" s="8">
        <v>0</v>
      </c>
      <c r="S110" s="8">
        <v>0</v>
      </c>
      <c r="T110" s="8">
        <v>1</v>
      </c>
      <c r="U110" s="8">
        <v>2</v>
      </c>
      <c r="X110" s="8">
        <v>5</v>
      </c>
      <c r="AG110" s="8" t="str">
        <f t="shared" si="5"/>
        <v/>
      </c>
      <c r="AI110" s="8" t="str">
        <f t="shared" si="6"/>
        <v/>
      </c>
      <c r="AJ110" s="8" t="str">
        <f t="shared" si="7"/>
        <v/>
      </c>
      <c r="AL110" s="8" t="str">
        <f t="shared" si="8"/>
        <v/>
      </c>
    </row>
    <row r="111" spans="1:38" x14ac:dyDescent="0.25">
      <c r="A111" s="8" t="s">
        <v>4767</v>
      </c>
      <c r="B111" s="8" t="s">
        <v>4768</v>
      </c>
      <c r="C111" s="8">
        <v>30914920</v>
      </c>
      <c r="D111" s="8">
        <v>5</v>
      </c>
      <c r="E111" s="11">
        <v>43112</v>
      </c>
      <c r="F111" s="8" t="s">
        <v>57</v>
      </c>
      <c r="G111" s="11">
        <v>43112</v>
      </c>
      <c r="H111" s="8" t="s">
        <v>25</v>
      </c>
      <c r="J111" s="8" t="s">
        <v>25</v>
      </c>
      <c r="N111" s="8" t="s">
        <v>58</v>
      </c>
      <c r="O111" s="8" t="s">
        <v>59</v>
      </c>
      <c r="P111" s="8" t="s">
        <v>59</v>
      </c>
      <c r="R111" s="8">
        <v>0</v>
      </c>
      <c r="S111" s="8">
        <v>0</v>
      </c>
      <c r="T111" s="8">
        <v>1</v>
      </c>
      <c r="U111" s="8">
        <v>2</v>
      </c>
      <c r="AG111" s="8" t="str">
        <f t="shared" si="5"/>
        <v/>
      </c>
      <c r="AI111" s="8" t="str">
        <f t="shared" si="6"/>
        <v/>
      </c>
      <c r="AJ111" s="8" t="str">
        <f t="shared" si="7"/>
        <v/>
      </c>
      <c r="AL111" s="8" t="str">
        <f t="shared" si="8"/>
        <v/>
      </c>
    </row>
    <row r="112" spans="1:38" x14ac:dyDescent="0.25">
      <c r="A112" s="8" t="s">
        <v>800</v>
      </c>
      <c r="B112" s="8" t="s">
        <v>801</v>
      </c>
      <c r="C112" s="8">
        <v>30843218</v>
      </c>
      <c r="D112" s="8">
        <v>5</v>
      </c>
      <c r="E112" s="11">
        <v>43109</v>
      </c>
      <c r="F112" s="8" t="s">
        <v>58</v>
      </c>
      <c r="G112" s="11">
        <v>43109</v>
      </c>
      <c r="H112" s="8" t="s">
        <v>25</v>
      </c>
      <c r="I112" s="11">
        <v>43109</v>
      </c>
      <c r="J112" s="8" t="s">
        <v>25</v>
      </c>
      <c r="N112" s="8" t="s">
        <v>58</v>
      </c>
      <c r="O112" s="8" t="s">
        <v>59</v>
      </c>
      <c r="P112" s="8" t="s">
        <v>59</v>
      </c>
      <c r="R112" s="8">
        <v>0</v>
      </c>
      <c r="S112" s="8">
        <v>0</v>
      </c>
      <c r="T112" s="8">
        <v>1</v>
      </c>
      <c r="U112" s="8">
        <v>2</v>
      </c>
      <c r="X112" s="8">
        <v>5</v>
      </c>
      <c r="AG112" s="8" t="str">
        <f t="shared" si="5"/>
        <v/>
      </c>
      <c r="AI112" s="8" t="str">
        <f t="shared" si="6"/>
        <v/>
      </c>
      <c r="AJ112" s="8" t="str">
        <f t="shared" si="7"/>
        <v/>
      </c>
      <c r="AL112" s="8" t="str">
        <f t="shared" si="8"/>
        <v/>
      </c>
    </row>
    <row r="113" spans="1:38" x14ac:dyDescent="0.25">
      <c r="A113" s="8" t="s">
        <v>4769</v>
      </c>
      <c r="B113" s="8" t="s">
        <v>4770</v>
      </c>
      <c r="C113" s="8">
        <v>30827312</v>
      </c>
      <c r="D113" s="8">
        <v>5</v>
      </c>
      <c r="E113" s="11">
        <v>43108</v>
      </c>
      <c r="F113" s="8" t="s">
        <v>57</v>
      </c>
      <c r="G113" s="11">
        <v>43112</v>
      </c>
      <c r="H113" s="8" t="s">
        <v>145</v>
      </c>
      <c r="J113" s="8" t="s">
        <v>25</v>
      </c>
      <c r="N113" s="8" t="s">
        <v>58</v>
      </c>
      <c r="O113" s="8" t="s">
        <v>59</v>
      </c>
      <c r="P113" s="8" t="s">
        <v>59</v>
      </c>
      <c r="R113" s="8">
        <v>0</v>
      </c>
      <c r="S113" s="8">
        <v>0</v>
      </c>
      <c r="T113" s="8">
        <v>1</v>
      </c>
      <c r="U113" s="8">
        <v>2</v>
      </c>
      <c r="AG113" s="8" t="str">
        <f t="shared" si="5"/>
        <v/>
      </c>
      <c r="AI113" s="8" t="str">
        <f t="shared" si="6"/>
        <v/>
      </c>
      <c r="AJ113" s="8" t="str">
        <f t="shared" si="7"/>
        <v/>
      </c>
      <c r="AL113" s="8" t="str">
        <f t="shared" si="8"/>
        <v/>
      </c>
    </row>
    <row r="114" spans="1:38" x14ac:dyDescent="0.25">
      <c r="A114" s="8" t="s">
        <v>177</v>
      </c>
      <c r="B114" s="8" t="s">
        <v>178</v>
      </c>
      <c r="C114" s="8">
        <v>30819170</v>
      </c>
      <c r="D114" s="8">
        <v>5</v>
      </c>
      <c r="E114" s="11">
        <v>43108</v>
      </c>
      <c r="F114" s="8" t="s">
        <v>58</v>
      </c>
      <c r="G114" s="11">
        <v>43108</v>
      </c>
      <c r="H114" s="8" t="s">
        <v>25</v>
      </c>
      <c r="I114" s="11">
        <v>43109</v>
      </c>
      <c r="J114" s="8" t="s">
        <v>25</v>
      </c>
      <c r="N114" s="8" t="s">
        <v>58</v>
      </c>
      <c r="O114" s="8" t="s">
        <v>59</v>
      </c>
      <c r="P114" s="8" t="s">
        <v>59</v>
      </c>
      <c r="R114" s="8">
        <v>0</v>
      </c>
      <c r="S114" s="8">
        <v>0</v>
      </c>
      <c r="T114" s="8">
        <v>1</v>
      </c>
      <c r="U114" s="8">
        <v>2</v>
      </c>
      <c r="X114" s="8">
        <v>5</v>
      </c>
      <c r="AG114" s="8" t="str">
        <f t="shared" si="5"/>
        <v/>
      </c>
      <c r="AI114" s="8" t="str">
        <f t="shared" si="6"/>
        <v/>
      </c>
      <c r="AJ114" s="8" t="str">
        <f t="shared" si="7"/>
        <v/>
      </c>
      <c r="AL114" s="8" t="str">
        <f t="shared" si="8"/>
        <v/>
      </c>
    </row>
    <row r="115" spans="1:38" x14ac:dyDescent="0.25">
      <c r="A115" s="8" t="s">
        <v>802</v>
      </c>
      <c r="B115" s="8" t="s">
        <v>803</v>
      </c>
      <c r="C115" s="8">
        <v>30814597</v>
      </c>
      <c r="D115" s="8">
        <v>5</v>
      </c>
      <c r="E115" s="11">
        <v>43108</v>
      </c>
      <c r="F115" s="8" t="s">
        <v>58</v>
      </c>
      <c r="G115" s="11">
        <v>43109</v>
      </c>
      <c r="H115" s="8" t="s">
        <v>25</v>
      </c>
      <c r="I115" s="11">
        <v>43109</v>
      </c>
      <c r="J115" s="8" t="s">
        <v>25</v>
      </c>
      <c r="N115" s="8" t="s">
        <v>58</v>
      </c>
      <c r="O115" s="8" t="s">
        <v>59</v>
      </c>
      <c r="P115" s="8" t="s">
        <v>59</v>
      </c>
      <c r="R115" s="8">
        <v>0</v>
      </c>
      <c r="S115" s="8">
        <v>0</v>
      </c>
      <c r="T115" s="8">
        <v>1</v>
      </c>
      <c r="U115" s="8">
        <v>2</v>
      </c>
      <c r="X115" s="8">
        <v>5</v>
      </c>
      <c r="AG115" s="8" t="str">
        <f t="shared" si="5"/>
        <v/>
      </c>
      <c r="AI115" s="8" t="str">
        <f t="shared" si="6"/>
        <v/>
      </c>
      <c r="AJ115" s="8" t="str">
        <f t="shared" si="7"/>
        <v/>
      </c>
      <c r="AL115" s="8" t="str">
        <f t="shared" si="8"/>
        <v/>
      </c>
    </row>
    <row r="116" spans="1:38" x14ac:dyDescent="0.25">
      <c r="A116" s="8" t="s">
        <v>6560</v>
      </c>
      <c r="B116" s="8" t="s">
        <v>6561</v>
      </c>
      <c r="C116" s="8">
        <v>30883239</v>
      </c>
      <c r="D116" s="8">
        <v>5</v>
      </c>
      <c r="E116" s="11">
        <v>43111</v>
      </c>
      <c r="F116" s="8" t="s">
        <v>58</v>
      </c>
      <c r="G116" s="11">
        <v>43115</v>
      </c>
      <c r="H116" s="8" t="s">
        <v>25</v>
      </c>
      <c r="I116" s="11">
        <v>43115</v>
      </c>
      <c r="J116" s="8" t="s">
        <v>25</v>
      </c>
      <c r="N116" s="8" t="s">
        <v>58</v>
      </c>
      <c r="O116" s="8" t="s">
        <v>59</v>
      </c>
      <c r="P116" s="8" t="s">
        <v>59</v>
      </c>
      <c r="R116" s="8">
        <v>0</v>
      </c>
      <c r="S116" s="8">
        <v>0</v>
      </c>
      <c r="T116" s="8">
        <v>1</v>
      </c>
      <c r="U116" s="8">
        <v>2</v>
      </c>
      <c r="X116" s="8">
        <v>5</v>
      </c>
      <c r="AG116" s="8" t="str">
        <f t="shared" si="5"/>
        <v/>
      </c>
      <c r="AI116" s="8" t="str">
        <f t="shared" si="6"/>
        <v/>
      </c>
      <c r="AJ116" s="8" t="str">
        <f t="shared" si="7"/>
        <v/>
      </c>
      <c r="AL116" s="8" t="str">
        <f t="shared" si="8"/>
        <v/>
      </c>
    </row>
    <row r="117" spans="1:38" x14ac:dyDescent="0.25">
      <c r="A117" s="8" t="s">
        <v>4771</v>
      </c>
      <c r="B117" s="8" t="s">
        <v>4772</v>
      </c>
      <c r="C117" s="8">
        <v>30913596</v>
      </c>
      <c r="D117" s="8">
        <v>5</v>
      </c>
      <c r="E117" s="11">
        <v>43112</v>
      </c>
      <c r="F117" s="8" t="s">
        <v>58</v>
      </c>
      <c r="G117" s="11">
        <v>43112</v>
      </c>
      <c r="H117" s="8" t="s">
        <v>25</v>
      </c>
      <c r="I117" s="11">
        <v>43112</v>
      </c>
      <c r="J117" s="8" t="s">
        <v>25</v>
      </c>
      <c r="N117" s="8" t="s">
        <v>58</v>
      </c>
      <c r="O117" s="8" t="s">
        <v>59</v>
      </c>
      <c r="P117" s="8" t="s">
        <v>59</v>
      </c>
      <c r="R117" s="8">
        <v>0</v>
      </c>
      <c r="S117" s="8">
        <v>0</v>
      </c>
      <c r="T117" s="8">
        <v>1</v>
      </c>
      <c r="U117" s="8">
        <v>2</v>
      </c>
      <c r="X117" s="8">
        <v>5</v>
      </c>
      <c r="AG117" s="8" t="str">
        <f t="shared" si="5"/>
        <v/>
      </c>
      <c r="AI117" s="8" t="str">
        <f t="shared" si="6"/>
        <v/>
      </c>
      <c r="AJ117" s="8" t="str">
        <f t="shared" si="7"/>
        <v/>
      </c>
      <c r="AL117" s="8" t="str">
        <f t="shared" si="8"/>
        <v/>
      </c>
    </row>
    <row r="118" spans="1:38" x14ac:dyDescent="0.25">
      <c r="A118" s="8" t="s">
        <v>3289</v>
      </c>
      <c r="B118" s="8" t="s">
        <v>3290</v>
      </c>
      <c r="C118" s="8">
        <v>30869468</v>
      </c>
      <c r="D118" s="8">
        <v>5</v>
      </c>
      <c r="E118" s="11">
        <v>43110</v>
      </c>
      <c r="F118" s="8" t="s">
        <v>57</v>
      </c>
      <c r="G118" s="11">
        <v>43111</v>
      </c>
      <c r="H118" s="8" t="s">
        <v>25</v>
      </c>
      <c r="J118" s="8" t="s">
        <v>25</v>
      </c>
      <c r="N118" s="8" t="s">
        <v>58</v>
      </c>
      <c r="O118" s="8" t="s">
        <v>59</v>
      </c>
      <c r="P118" s="8" t="s">
        <v>59</v>
      </c>
      <c r="R118" s="8">
        <v>0</v>
      </c>
      <c r="S118" s="8">
        <v>0</v>
      </c>
      <c r="T118" s="8">
        <v>1</v>
      </c>
      <c r="U118" s="8">
        <v>2</v>
      </c>
      <c r="AG118" s="8" t="str">
        <f t="shared" si="5"/>
        <v/>
      </c>
      <c r="AI118" s="8" t="str">
        <f t="shared" si="6"/>
        <v/>
      </c>
      <c r="AJ118" s="8" t="str">
        <f t="shared" si="7"/>
        <v/>
      </c>
      <c r="AL118" s="8" t="str">
        <f t="shared" si="8"/>
        <v/>
      </c>
    </row>
    <row r="119" spans="1:38" x14ac:dyDescent="0.25">
      <c r="A119" s="8" t="s">
        <v>1669</v>
      </c>
      <c r="B119" s="8" t="s">
        <v>1670</v>
      </c>
      <c r="C119" s="8">
        <v>30845054</v>
      </c>
      <c r="D119" s="8">
        <v>5</v>
      </c>
      <c r="E119" s="11">
        <v>43109</v>
      </c>
      <c r="F119" s="8" t="s">
        <v>57</v>
      </c>
      <c r="G119" s="11">
        <v>43110</v>
      </c>
      <c r="H119" s="8" t="s">
        <v>25</v>
      </c>
      <c r="J119" s="8" t="s">
        <v>25</v>
      </c>
      <c r="N119" s="8" t="s">
        <v>58</v>
      </c>
      <c r="O119" s="8" t="s">
        <v>59</v>
      </c>
      <c r="P119" s="8" t="s">
        <v>59</v>
      </c>
      <c r="R119" s="8">
        <v>0</v>
      </c>
      <c r="S119" s="8">
        <v>0</v>
      </c>
      <c r="T119" s="8">
        <v>1</v>
      </c>
      <c r="U119" s="8">
        <v>2</v>
      </c>
      <c r="AG119" s="8" t="str">
        <f t="shared" si="5"/>
        <v/>
      </c>
      <c r="AI119" s="8" t="str">
        <f t="shared" si="6"/>
        <v/>
      </c>
      <c r="AJ119" s="8" t="str">
        <f t="shared" si="7"/>
        <v/>
      </c>
      <c r="AL119" s="8" t="str">
        <f t="shared" si="8"/>
        <v/>
      </c>
    </row>
    <row r="120" spans="1:38" x14ac:dyDescent="0.25">
      <c r="A120" s="8" t="s">
        <v>3291</v>
      </c>
      <c r="B120" s="8" t="s">
        <v>3292</v>
      </c>
      <c r="C120" s="8">
        <v>30863440</v>
      </c>
      <c r="D120" s="8">
        <v>5</v>
      </c>
      <c r="E120" s="11">
        <v>43110</v>
      </c>
      <c r="F120" s="8" t="s">
        <v>58</v>
      </c>
      <c r="G120" s="11">
        <v>43111</v>
      </c>
      <c r="H120" s="8" t="s">
        <v>25</v>
      </c>
      <c r="I120" s="11">
        <v>43115</v>
      </c>
      <c r="J120" s="8" t="s">
        <v>25</v>
      </c>
      <c r="N120" s="8" t="s">
        <v>58</v>
      </c>
      <c r="O120" s="8" t="s">
        <v>59</v>
      </c>
      <c r="P120" s="8" t="s">
        <v>59</v>
      </c>
      <c r="R120" s="8">
        <v>0</v>
      </c>
      <c r="S120" s="8">
        <v>0</v>
      </c>
      <c r="T120" s="8">
        <v>1</v>
      </c>
      <c r="U120" s="8">
        <v>2</v>
      </c>
      <c r="X120" s="8">
        <v>5</v>
      </c>
      <c r="AG120" s="8" t="str">
        <f t="shared" si="5"/>
        <v/>
      </c>
      <c r="AI120" s="8" t="str">
        <f t="shared" si="6"/>
        <v/>
      </c>
      <c r="AJ120" s="8" t="str">
        <f t="shared" si="7"/>
        <v/>
      </c>
      <c r="AL120" s="8" t="str">
        <f t="shared" si="8"/>
        <v/>
      </c>
    </row>
    <row r="121" spans="1:38" x14ac:dyDescent="0.25">
      <c r="A121" s="8" t="s">
        <v>6562</v>
      </c>
      <c r="B121" s="8" t="s">
        <v>6563</v>
      </c>
      <c r="C121" s="8">
        <v>30857421</v>
      </c>
      <c r="D121" s="8">
        <v>5</v>
      </c>
      <c r="E121" s="11">
        <v>43110</v>
      </c>
      <c r="F121" s="8" t="s">
        <v>57</v>
      </c>
      <c r="G121" s="11">
        <v>43115</v>
      </c>
      <c r="H121" s="8" t="s">
        <v>145</v>
      </c>
      <c r="J121" s="8" t="s">
        <v>25</v>
      </c>
      <c r="N121" s="8" t="s">
        <v>58</v>
      </c>
      <c r="O121" s="8" t="s">
        <v>59</v>
      </c>
      <c r="P121" s="8" t="s">
        <v>59</v>
      </c>
      <c r="R121" s="8">
        <v>0</v>
      </c>
      <c r="S121" s="8">
        <v>0</v>
      </c>
      <c r="T121" s="8">
        <v>1</v>
      </c>
      <c r="U121" s="8">
        <v>2</v>
      </c>
      <c r="AG121" s="8" t="str">
        <f t="shared" si="5"/>
        <v/>
      </c>
      <c r="AI121" s="8" t="str">
        <f t="shared" si="6"/>
        <v/>
      </c>
      <c r="AJ121" s="8" t="str">
        <f t="shared" si="7"/>
        <v/>
      </c>
      <c r="AL121" s="8" t="str">
        <f t="shared" si="8"/>
        <v/>
      </c>
    </row>
    <row r="122" spans="1:38" x14ac:dyDescent="0.25">
      <c r="A122" s="8" t="s">
        <v>1671</v>
      </c>
      <c r="B122" s="8" t="s">
        <v>1672</v>
      </c>
      <c r="C122" s="8">
        <v>30862200</v>
      </c>
      <c r="D122" s="8">
        <v>5</v>
      </c>
      <c r="E122" s="11">
        <v>43110</v>
      </c>
      <c r="F122" s="8" t="s">
        <v>58</v>
      </c>
      <c r="G122" s="11">
        <v>43110</v>
      </c>
      <c r="H122" s="8" t="s">
        <v>25</v>
      </c>
      <c r="I122" s="11">
        <v>43110</v>
      </c>
      <c r="J122" s="8" t="s">
        <v>25</v>
      </c>
      <c r="N122" s="8" t="s">
        <v>58</v>
      </c>
      <c r="O122" s="8" t="s">
        <v>59</v>
      </c>
      <c r="P122" s="8" t="s">
        <v>59</v>
      </c>
      <c r="R122" s="8">
        <v>0</v>
      </c>
      <c r="S122" s="8">
        <v>0</v>
      </c>
      <c r="T122" s="8">
        <v>1</v>
      </c>
      <c r="U122" s="8">
        <v>2</v>
      </c>
      <c r="X122" s="8">
        <v>5</v>
      </c>
      <c r="AG122" s="8" t="str">
        <f t="shared" si="5"/>
        <v/>
      </c>
      <c r="AI122" s="8" t="str">
        <f t="shared" si="6"/>
        <v/>
      </c>
      <c r="AJ122" s="8" t="str">
        <f t="shared" si="7"/>
        <v/>
      </c>
      <c r="AL122" s="8" t="str">
        <f t="shared" si="8"/>
        <v/>
      </c>
    </row>
    <row r="123" spans="1:38" x14ac:dyDescent="0.25">
      <c r="A123" s="8" t="s">
        <v>179</v>
      </c>
      <c r="B123" s="8" t="s">
        <v>180</v>
      </c>
      <c r="C123" s="8">
        <v>30820648</v>
      </c>
      <c r="D123" s="8">
        <v>5</v>
      </c>
      <c r="E123" s="11">
        <v>43108</v>
      </c>
      <c r="F123" s="8" t="s">
        <v>58</v>
      </c>
      <c r="G123" s="11">
        <v>43108</v>
      </c>
      <c r="H123" s="8" t="s">
        <v>25</v>
      </c>
      <c r="I123" s="11">
        <v>43108</v>
      </c>
      <c r="J123" s="8" t="s">
        <v>25</v>
      </c>
      <c r="N123" s="8" t="s">
        <v>58</v>
      </c>
      <c r="O123" s="8" t="s">
        <v>59</v>
      </c>
      <c r="P123" s="8" t="s">
        <v>59</v>
      </c>
      <c r="R123" s="8">
        <v>0</v>
      </c>
      <c r="S123" s="8">
        <v>0</v>
      </c>
      <c r="T123" s="8">
        <v>1</v>
      </c>
      <c r="U123" s="8">
        <v>2</v>
      </c>
      <c r="X123" s="8">
        <v>5</v>
      </c>
      <c r="AG123" s="8" t="str">
        <f t="shared" si="5"/>
        <v/>
      </c>
      <c r="AI123" s="8" t="str">
        <f t="shared" si="6"/>
        <v/>
      </c>
      <c r="AJ123" s="8" t="str">
        <f t="shared" si="7"/>
        <v/>
      </c>
      <c r="AL123" s="8" t="str">
        <f t="shared" si="8"/>
        <v/>
      </c>
    </row>
    <row r="124" spans="1:38" x14ac:dyDescent="0.25">
      <c r="A124" s="8" t="s">
        <v>804</v>
      </c>
      <c r="B124" s="8" t="s">
        <v>805</v>
      </c>
      <c r="C124" s="8">
        <v>30833988</v>
      </c>
      <c r="D124" s="8">
        <v>5</v>
      </c>
      <c r="E124" s="11">
        <v>43109</v>
      </c>
      <c r="F124" s="8" t="s">
        <v>58</v>
      </c>
      <c r="G124" s="11">
        <v>43109</v>
      </c>
      <c r="H124" s="8" t="s">
        <v>25</v>
      </c>
      <c r="I124" s="11">
        <v>43109</v>
      </c>
      <c r="J124" s="8" t="s">
        <v>25</v>
      </c>
      <c r="N124" s="8" t="s">
        <v>58</v>
      </c>
      <c r="O124" s="8" t="s">
        <v>59</v>
      </c>
      <c r="P124" s="8" t="s">
        <v>59</v>
      </c>
      <c r="R124" s="8">
        <v>0</v>
      </c>
      <c r="S124" s="8">
        <v>0</v>
      </c>
      <c r="T124" s="8">
        <v>1</v>
      </c>
      <c r="U124" s="8">
        <v>2</v>
      </c>
      <c r="X124" s="8">
        <v>5</v>
      </c>
      <c r="AG124" s="8" t="str">
        <f t="shared" si="5"/>
        <v/>
      </c>
      <c r="AI124" s="8" t="str">
        <f t="shared" si="6"/>
        <v/>
      </c>
      <c r="AJ124" s="8" t="str">
        <f t="shared" si="7"/>
        <v/>
      </c>
      <c r="AL124" s="8" t="str">
        <f t="shared" si="8"/>
        <v/>
      </c>
    </row>
    <row r="125" spans="1:38" x14ac:dyDescent="0.25">
      <c r="A125" s="8" t="s">
        <v>1673</v>
      </c>
      <c r="B125" s="8" t="s">
        <v>1674</v>
      </c>
      <c r="C125" s="8">
        <v>30864772</v>
      </c>
      <c r="D125" s="8">
        <v>5</v>
      </c>
      <c r="E125" s="11">
        <v>43110</v>
      </c>
      <c r="F125" s="8" t="s">
        <v>57</v>
      </c>
      <c r="G125" s="11">
        <v>43110</v>
      </c>
      <c r="H125" s="8" t="s">
        <v>25</v>
      </c>
      <c r="J125" s="8" t="s">
        <v>25</v>
      </c>
      <c r="N125" s="8" t="s">
        <v>58</v>
      </c>
      <c r="O125" s="8" t="s">
        <v>59</v>
      </c>
      <c r="P125" s="8" t="s">
        <v>59</v>
      </c>
      <c r="R125" s="8">
        <v>0</v>
      </c>
      <c r="S125" s="8">
        <v>0</v>
      </c>
      <c r="T125" s="8">
        <v>1</v>
      </c>
      <c r="U125" s="8">
        <v>2</v>
      </c>
      <c r="AG125" s="8" t="str">
        <f t="shared" si="5"/>
        <v/>
      </c>
      <c r="AI125" s="8" t="str">
        <f t="shared" si="6"/>
        <v/>
      </c>
      <c r="AJ125" s="8" t="str">
        <f t="shared" si="7"/>
        <v/>
      </c>
      <c r="AL125" s="8" t="str">
        <f t="shared" si="8"/>
        <v/>
      </c>
    </row>
    <row r="126" spans="1:38" x14ac:dyDescent="0.25">
      <c r="A126" s="8" t="s">
        <v>181</v>
      </c>
      <c r="B126" s="8" t="s">
        <v>182</v>
      </c>
      <c r="C126" s="8">
        <v>30827302</v>
      </c>
      <c r="D126" s="8">
        <v>3</v>
      </c>
      <c r="E126" s="11">
        <v>43108</v>
      </c>
      <c r="F126" s="8" t="s">
        <v>57</v>
      </c>
      <c r="G126" s="11">
        <v>43108</v>
      </c>
      <c r="H126" s="8" t="s">
        <v>25</v>
      </c>
      <c r="J126" s="8" t="s">
        <v>25</v>
      </c>
      <c r="N126" s="8" t="s">
        <v>58</v>
      </c>
      <c r="O126" s="8" t="s">
        <v>59</v>
      </c>
      <c r="P126" s="8" t="s">
        <v>59</v>
      </c>
      <c r="R126" s="8">
        <v>0</v>
      </c>
      <c r="S126" s="8">
        <v>0</v>
      </c>
      <c r="T126" s="8">
        <v>1</v>
      </c>
      <c r="U126" s="8">
        <v>2</v>
      </c>
      <c r="AG126" s="8" t="str">
        <f t="shared" si="5"/>
        <v/>
      </c>
      <c r="AI126" s="8" t="str">
        <f t="shared" si="6"/>
        <v/>
      </c>
      <c r="AJ126" s="8" t="str">
        <f t="shared" si="7"/>
        <v/>
      </c>
      <c r="AL126" s="8" t="str">
        <f t="shared" si="8"/>
        <v/>
      </c>
    </row>
    <row r="127" spans="1:38" x14ac:dyDescent="0.25">
      <c r="A127" s="8" t="s">
        <v>6564</v>
      </c>
      <c r="B127" s="8" t="s">
        <v>6565</v>
      </c>
      <c r="C127" s="8">
        <v>30844869</v>
      </c>
      <c r="D127" s="8">
        <v>5</v>
      </c>
      <c r="E127" s="11">
        <v>43109</v>
      </c>
      <c r="F127" s="8" t="s">
        <v>57</v>
      </c>
      <c r="G127" s="11">
        <v>43115</v>
      </c>
      <c r="H127" s="8" t="s">
        <v>145</v>
      </c>
      <c r="J127" s="8" t="s">
        <v>25</v>
      </c>
      <c r="N127" s="8" t="s">
        <v>58</v>
      </c>
      <c r="O127" s="8" t="s">
        <v>59</v>
      </c>
      <c r="P127" s="8" t="s">
        <v>59</v>
      </c>
      <c r="R127" s="8">
        <v>0</v>
      </c>
      <c r="S127" s="8">
        <v>0</v>
      </c>
      <c r="T127" s="8">
        <v>1</v>
      </c>
      <c r="U127" s="8">
        <v>2</v>
      </c>
      <c r="AG127" s="8" t="str">
        <f t="shared" si="5"/>
        <v/>
      </c>
      <c r="AI127" s="8" t="str">
        <f t="shared" si="6"/>
        <v/>
      </c>
      <c r="AJ127" s="8" t="str">
        <f t="shared" si="7"/>
        <v/>
      </c>
      <c r="AL127" s="8" t="str">
        <f t="shared" si="8"/>
        <v/>
      </c>
    </row>
    <row r="128" spans="1:38" x14ac:dyDescent="0.25">
      <c r="A128" s="8" t="s">
        <v>3293</v>
      </c>
      <c r="B128" s="8" t="s">
        <v>3294</v>
      </c>
      <c r="C128" s="8">
        <v>30863222</v>
      </c>
      <c r="D128" s="8">
        <v>5</v>
      </c>
      <c r="E128" s="11">
        <v>43110</v>
      </c>
      <c r="F128" s="8" t="s">
        <v>58</v>
      </c>
      <c r="G128" s="11">
        <v>43111</v>
      </c>
      <c r="H128" s="8" t="s">
        <v>25</v>
      </c>
      <c r="I128" s="11">
        <v>43112</v>
      </c>
      <c r="J128" s="8" t="s">
        <v>25</v>
      </c>
      <c r="N128" s="8" t="s">
        <v>58</v>
      </c>
      <c r="O128" s="8" t="s">
        <v>59</v>
      </c>
      <c r="P128" s="8" t="s">
        <v>59</v>
      </c>
      <c r="R128" s="8">
        <v>0</v>
      </c>
      <c r="S128" s="8">
        <v>0</v>
      </c>
      <c r="T128" s="8">
        <v>1</v>
      </c>
      <c r="U128" s="8">
        <v>2</v>
      </c>
      <c r="X128" s="8">
        <v>5</v>
      </c>
      <c r="AG128" s="8" t="str">
        <f t="shared" si="5"/>
        <v/>
      </c>
      <c r="AI128" s="8" t="str">
        <f t="shared" si="6"/>
        <v/>
      </c>
      <c r="AJ128" s="8" t="str">
        <f t="shared" si="7"/>
        <v/>
      </c>
      <c r="AL128" s="8" t="str">
        <f t="shared" si="8"/>
        <v/>
      </c>
    </row>
    <row r="129" spans="1:38" x14ac:dyDescent="0.25">
      <c r="A129" s="8" t="s">
        <v>1675</v>
      </c>
      <c r="B129" s="8" t="s">
        <v>1676</v>
      </c>
      <c r="C129" s="8">
        <v>30838557</v>
      </c>
      <c r="D129" s="8">
        <v>5</v>
      </c>
      <c r="E129" s="11">
        <v>43109</v>
      </c>
      <c r="F129" s="8" t="s">
        <v>58</v>
      </c>
      <c r="G129" s="11">
        <v>43110</v>
      </c>
      <c r="H129" s="8" t="s">
        <v>25</v>
      </c>
      <c r="I129" s="11">
        <v>43111</v>
      </c>
      <c r="J129" s="8" t="s">
        <v>25</v>
      </c>
      <c r="N129" s="8" t="s">
        <v>58</v>
      </c>
      <c r="O129" s="8" t="s">
        <v>59</v>
      </c>
      <c r="P129" s="8" t="s">
        <v>59</v>
      </c>
      <c r="R129" s="8">
        <v>0</v>
      </c>
      <c r="S129" s="8">
        <v>0</v>
      </c>
      <c r="T129" s="8">
        <v>1</v>
      </c>
      <c r="U129" s="8">
        <v>2</v>
      </c>
      <c r="X129" s="8">
        <v>5</v>
      </c>
      <c r="AG129" s="8" t="str">
        <f t="shared" si="5"/>
        <v/>
      </c>
      <c r="AI129" s="8" t="str">
        <f t="shared" si="6"/>
        <v/>
      </c>
      <c r="AJ129" s="8" t="str">
        <f t="shared" si="7"/>
        <v/>
      </c>
      <c r="AL129" s="8" t="str">
        <f t="shared" si="8"/>
        <v/>
      </c>
    </row>
    <row r="130" spans="1:38" x14ac:dyDescent="0.25">
      <c r="A130" s="8" t="s">
        <v>1677</v>
      </c>
      <c r="B130" s="8" t="s">
        <v>1678</v>
      </c>
      <c r="C130" s="8">
        <v>30833333</v>
      </c>
      <c r="D130" s="8">
        <v>5</v>
      </c>
      <c r="E130" s="11">
        <v>43109</v>
      </c>
      <c r="F130" s="8" t="s">
        <v>58</v>
      </c>
      <c r="G130" s="11">
        <v>43110</v>
      </c>
      <c r="H130" s="8" t="s">
        <v>25</v>
      </c>
      <c r="I130" s="11">
        <v>43115</v>
      </c>
      <c r="J130" s="8" t="s">
        <v>145</v>
      </c>
      <c r="N130" s="8" t="s">
        <v>58</v>
      </c>
      <c r="O130" s="8" t="s">
        <v>59</v>
      </c>
      <c r="P130" s="8" t="s">
        <v>59</v>
      </c>
      <c r="R130" s="8">
        <v>0</v>
      </c>
      <c r="S130" s="8">
        <v>0</v>
      </c>
      <c r="T130" s="8">
        <v>1</v>
      </c>
      <c r="U130" s="8">
        <v>2</v>
      </c>
      <c r="X130" s="8">
        <v>5</v>
      </c>
      <c r="AG130" s="8" t="str">
        <f t="shared" si="5"/>
        <v/>
      </c>
      <c r="AI130" s="8" t="str">
        <f t="shared" si="6"/>
        <v/>
      </c>
      <c r="AJ130" s="8" t="str">
        <f t="shared" si="7"/>
        <v/>
      </c>
      <c r="AL130" s="8" t="str">
        <f t="shared" si="8"/>
        <v/>
      </c>
    </row>
    <row r="131" spans="1:38" x14ac:dyDescent="0.25">
      <c r="A131" s="8" t="s">
        <v>6566</v>
      </c>
      <c r="B131" s="8" t="s">
        <v>6567</v>
      </c>
      <c r="C131" s="8">
        <v>30861059</v>
      </c>
      <c r="D131" s="8">
        <v>5</v>
      </c>
      <c r="E131" s="11">
        <v>43110</v>
      </c>
      <c r="F131" s="8" t="s">
        <v>57</v>
      </c>
      <c r="G131" s="11">
        <v>43115</v>
      </c>
      <c r="H131" s="8" t="s">
        <v>145</v>
      </c>
      <c r="J131" s="8" t="s">
        <v>25</v>
      </c>
      <c r="N131" s="8" t="s">
        <v>58</v>
      </c>
      <c r="O131" s="8" t="s">
        <v>59</v>
      </c>
      <c r="P131" s="8" t="s">
        <v>59</v>
      </c>
      <c r="R131" s="8">
        <v>0</v>
      </c>
      <c r="S131" s="8">
        <v>0</v>
      </c>
      <c r="T131" s="8">
        <v>1</v>
      </c>
      <c r="U131" s="8">
        <v>2</v>
      </c>
      <c r="AG131" s="8" t="str">
        <f t="shared" ref="AG131:AG194" si="9">IF(AND(U131="",G131&lt;&gt;"",NOT(OR(R131,S131))),IF(NETWORKDAYS.INTL(G131,TODAY(),11)&lt;5,"En Plazo",IF(NETWORKDAYS.INTL(G131,TODAY(),11)=5,"Riesgo Incumplimiento","FALTA_02")),"")</f>
        <v/>
      </c>
      <c r="AI131" s="8" t="str">
        <f t="shared" ref="AI131:AI194" si="10">IF(AND(O131&lt;&gt;"B1",F131="Rejected"),IF(W131="","FALTA_04",""),"")</f>
        <v/>
      </c>
      <c r="AJ131" s="8" t="str">
        <f t="shared" ref="AJ131:AJ194" si="11">IF(AND(X131="",I131&lt;&gt;"",NOT(OR(R131,S131))),IF(NETWORKDAYS.INTL(G131,TODAY(),11)&lt;=1,"En Plazo",IF(OR(AND(X131="",O131&lt;&gt;"M1"),AND(O131="M1",(OR(Q131="S - S",Q131="S - T",)))),"FALTA_05","")),"")</f>
        <v/>
      </c>
      <c r="AL131" s="8" t="str">
        <f t="shared" ref="AL131:AL194" si="12">IF(AND(O131="B1",F131="Rejected"),IF(Z131="","FALTA_07",""),"")</f>
        <v/>
      </c>
    </row>
    <row r="132" spans="1:38" x14ac:dyDescent="0.25">
      <c r="A132" s="8" t="s">
        <v>806</v>
      </c>
      <c r="B132" s="8" t="s">
        <v>807</v>
      </c>
      <c r="C132" s="8">
        <v>30830291</v>
      </c>
      <c r="D132" s="8">
        <v>5</v>
      </c>
      <c r="E132" s="11">
        <v>43108</v>
      </c>
      <c r="F132" s="8" t="s">
        <v>58</v>
      </c>
      <c r="G132" s="11">
        <v>43109</v>
      </c>
      <c r="H132" s="8" t="s">
        <v>25</v>
      </c>
      <c r="I132" s="11">
        <v>43110</v>
      </c>
      <c r="J132" s="8" t="s">
        <v>25</v>
      </c>
      <c r="N132" s="8" t="s">
        <v>58</v>
      </c>
      <c r="O132" s="8" t="s">
        <v>59</v>
      </c>
      <c r="P132" s="8" t="s">
        <v>59</v>
      </c>
      <c r="R132" s="8">
        <v>0</v>
      </c>
      <c r="S132" s="8">
        <v>0</v>
      </c>
      <c r="T132" s="8">
        <v>1</v>
      </c>
      <c r="U132" s="8">
        <v>2</v>
      </c>
      <c r="X132" s="8">
        <v>5</v>
      </c>
      <c r="AG132" s="8" t="str">
        <f t="shared" si="9"/>
        <v/>
      </c>
      <c r="AI132" s="8" t="str">
        <f t="shared" si="10"/>
        <v/>
      </c>
      <c r="AJ132" s="8" t="str">
        <f t="shared" si="11"/>
        <v/>
      </c>
      <c r="AL132" s="8" t="str">
        <f t="shared" si="12"/>
        <v/>
      </c>
    </row>
    <row r="133" spans="1:38" x14ac:dyDescent="0.25">
      <c r="A133" s="8" t="s">
        <v>4773</v>
      </c>
      <c r="B133" s="8" t="s">
        <v>4774</v>
      </c>
      <c r="C133" s="8">
        <v>30919501</v>
      </c>
      <c r="D133" s="8">
        <v>5</v>
      </c>
      <c r="E133" s="11">
        <v>43112</v>
      </c>
      <c r="F133" s="8" t="s">
        <v>57</v>
      </c>
      <c r="G133" s="11">
        <v>43112</v>
      </c>
      <c r="H133" s="8" t="s">
        <v>25</v>
      </c>
      <c r="J133" s="8" t="s">
        <v>25</v>
      </c>
      <c r="N133" s="8" t="s">
        <v>58</v>
      </c>
      <c r="O133" s="8" t="s">
        <v>59</v>
      </c>
      <c r="P133" s="8" t="s">
        <v>59</v>
      </c>
      <c r="R133" s="8">
        <v>0</v>
      </c>
      <c r="S133" s="8">
        <v>0</v>
      </c>
      <c r="T133" s="8">
        <v>1</v>
      </c>
      <c r="U133" s="8">
        <v>2</v>
      </c>
      <c r="AG133" s="8" t="str">
        <f t="shared" si="9"/>
        <v/>
      </c>
      <c r="AI133" s="8" t="str">
        <f t="shared" si="10"/>
        <v/>
      </c>
      <c r="AJ133" s="8" t="str">
        <f t="shared" si="11"/>
        <v/>
      </c>
      <c r="AL133" s="8" t="str">
        <f t="shared" si="12"/>
        <v/>
      </c>
    </row>
    <row r="134" spans="1:38" x14ac:dyDescent="0.25">
      <c r="A134" s="8" t="s">
        <v>6568</v>
      </c>
      <c r="B134" s="8" t="s">
        <v>6569</v>
      </c>
      <c r="C134" s="8">
        <v>30850835</v>
      </c>
      <c r="D134" s="8">
        <v>5</v>
      </c>
      <c r="E134" s="11">
        <v>43109</v>
      </c>
      <c r="F134" s="8" t="s">
        <v>57</v>
      </c>
      <c r="G134" s="11">
        <v>43115</v>
      </c>
      <c r="H134" s="8" t="s">
        <v>145</v>
      </c>
      <c r="J134" s="8" t="s">
        <v>25</v>
      </c>
      <c r="N134" s="8" t="s">
        <v>58</v>
      </c>
      <c r="O134" s="8" t="s">
        <v>59</v>
      </c>
      <c r="P134" s="8" t="s">
        <v>59</v>
      </c>
      <c r="R134" s="8">
        <v>0</v>
      </c>
      <c r="S134" s="8">
        <v>0</v>
      </c>
      <c r="T134" s="8">
        <v>1</v>
      </c>
      <c r="U134" s="8">
        <v>2</v>
      </c>
      <c r="AG134" s="8" t="str">
        <f t="shared" si="9"/>
        <v/>
      </c>
      <c r="AI134" s="8" t="str">
        <f t="shared" si="10"/>
        <v/>
      </c>
      <c r="AJ134" s="8" t="str">
        <f t="shared" si="11"/>
        <v/>
      </c>
      <c r="AL134" s="8" t="str">
        <f t="shared" si="12"/>
        <v/>
      </c>
    </row>
    <row r="135" spans="1:38" x14ac:dyDescent="0.25">
      <c r="A135" s="8" t="s">
        <v>3295</v>
      </c>
      <c r="B135" s="8" t="s">
        <v>3296</v>
      </c>
      <c r="C135" s="8">
        <v>30862461</v>
      </c>
      <c r="D135" s="8">
        <v>5</v>
      </c>
      <c r="E135" s="11">
        <v>43110</v>
      </c>
      <c r="F135" s="8" t="s">
        <v>57</v>
      </c>
      <c r="G135" s="11">
        <v>43111</v>
      </c>
      <c r="H135" s="8" t="s">
        <v>25</v>
      </c>
      <c r="J135" s="8" t="s">
        <v>25</v>
      </c>
      <c r="N135" s="8" t="s">
        <v>58</v>
      </c>
      <c r="O135" s="8" t="s">
        <v>59</v>
      </c>
      <c r="P135" s="8" t="s">
        <v>59</v>
      </c>
      <c r="R135" s="8">
        <v>0</v>
      </c>
      <c r="S135" s="8">
        <v>0</v>
      </c>
      <c r="T135" s="8">
        <v>1</v>
      </c>
      <c r="U135" s="8">
        <v>2</v>
      </c>
      <c r="AG135" s="8" t="str">
        <f t="shared" si="9"/>
        <v/>
      </c>
      <c r="AI135" s="8" t="str">
        <f t="shared" si="10"/>
        <v/>
      </c>
      <c r="AJ135" s="8" t="str">
        <f t="shared" si="11"/>
        <v/>
      </c>
      <c r="AL135" s="8" t="str">
        <f t="shared" si="12"/>
        <v/>
      </c>
    </row>
    <row r="136" spans="1:38" x14ac:dyDescent="0.25">
      <c r="A136" s="8" t="s">
        <v>6570</v>
      </c>
      <c r="B136" s="8" t="s">
        <v>6571</v>
      </c>
      <c r="C136" s="8">
        <v>30866994</v>
      </c>
      <c r="D136" s="8">
        <v>5</v>
      </c>
      <c r="E136" s="11">
        <v>43110</v>
      </c>
      <c r="F136" s="8" t="s">
        <v>57</v>
      </c>
      <c r="G136" s="11">
        <v>43115</v>
      </c>
      <c r="H136" s="8" t="s">
        <v>145</v>
      </c>
      <c r="J136" s="8" t="s">
        <v>25</v>
      </c>
      <c r="N136" s="8" t="s">
        <v>58</v>
      </c>
      <c r="O136" s="8" t="s">
        <v>59</v>
      </c>
      <c r="P136" s="8" t="s">
        <v>59</v>
      </c>
      <c r="R136" s="8">
        <v>0</v>
      </c>
      <c r="S136" s="8">
        <v>0</v>
      </c>
      <c r="T136" s="8">
        <v>1</v>
      </c>
      <c r="U136" s="8">
        <v>2</v>
      </c>
      <c r="AG136" s="8" t="str">
        <f t="shared" si="9"/>
        <v/>
      </c>
      <c r="AI136" s="8" t="str">
        <f t="shared" si="10"/>
        <v/>
      </c>
      <c r="AJ136" s="8" t="str">
        <f t="shared" si="11"/>
        <v/>
      </c>
      <c r="AL136" s="8" t="str">
        <f t="shared" si="12"/>
        <v/>
      </c>
    </row>
    <row r="137" spans="1:38" x14ac:dyDescent="0.25">
      <c r="A137" s="8" t="s">
        <v>808</v>
      </c>
      <c r="B137" s="8" t="s">
        <v>809</v>
      </c>
      <c r="C137" s="8">
        <v>30829320</v>
      </c>
      <c r="D137" s="8">
        <v>5</v>
      </c>
      <c r="E137" s="11">
        <v>43108</v>
      </c>
      <c r="F137" s="8" t="s">
        <v>58</v>
      </c>
      <c r="G137" s="11">
        <v>43109</v>
      </c>
      <c r="H137" s="8" t="s">
        <v>25</v>
      </c>
      <c r="I137" s="11">
        <v>43115</v>
      </c>
      <c r="J137" s="8" t="s">
        <v>145</v>
      </c>
      <c r="N137" s="8" t="s">
        <v>58</v>
      </c>
      <c r="O137" s="8" t="s">
        <v>59</v>
      </c>
      <c r="P137" s="8" t="s">
        <v>59</v>
      </c>
      <c r="R137" s="8">
        <v>0</v>
      </c>
      <c r="S137" s="8">
        <v>0</v>
      </c>
      <c r="T137" s="8">
        <v>1</v>
      </c>
      <c r="U137" s="8">
        <v>2</v>
      </c>
      <c r="X137" s="8">
        <v>5</v>
      </c>
      <c r="AG137" s="8" t="str">
        <f t="shared" si="9"/>
        <v/>
      </c>
      <c r="AI137" s="8" t="str">
        <f t="shared" si="10"/>
        <v/>
      </c>
      <c r="AJ137" s="8" t="str">
        <f t="shared" si="11"/>
        <v/>
      </c>
      <c r="AL137" s="8" t="str">
        <f t="shared" si="12"/>
        <v/>
      </c>
    </row>
    <row r="138" spans="1:38" x14ac:dyDescent="0.25">
      <c r="A138" s="8" t="s">
        <v>6572</v>
      </c>
      <c r="B138" s="8" t="s">
        <v>6573</v>
      </c>
      <c r="C138" s="8">
        <v>30864493</v>
      </c>
      <c r="D138" s="8">
        <v>5</v>
      </c>
      <c r="E138" s="11">
        <v>43110</v>
      </c>
      <c r="F138" s="8" t="s">
        <v>57</v>
      </c>
      <c r="G138" s="11">
        <v>43115</v>
      </c>
      <c r="H138" s="8" t="s">
        <v>145</v>
      </c>
      <c r="J138" s="8" t="s">
        <v>25</v>
      </c>
      <c r="N138" s="8" t="s">
        <v>58</v>
      </c>
      <c r="O138" s="8" t="s">
        <v>59</v>
      </c>
      <c r="P138" s="8" t="s">
        <v>59</v>
      </c>
      <c r="R138" s="8">
        <v>0</v>
      </c>
      <c r="S138" s="8">
        <v>0</v>
      </c>
      <c r="T138" s="8">
        <v>1</v>
      </c>
      <c r="U138" s="8">
        <v>2</v>
      </c>
      <c r="AG138" s="8" t="str">
        <f t="shared" si="9"/>
        <v/>
      </c>
      <c r="AI138" s="8" t="str">
        <f t="shared" si="10"/>
        <v/>
      </c>
      <c r="AJ138" s="8" t="str">
        <f t="shared" si="11"/>
        <v/>
      </c>
      <c r="AL138" s="8" t="str">
        <f t="shared" si="12"/>
        <v/>
      </c>
    </row>
    <row r="139" spans="1:38" x14ac:dyDescent="0.25">
      <c r="A139" s="8" t="s">
        <v>4775</v>
      </c>
      <c r="B139" s="8" t="s">
        <v>4776</v>
      </c>
      <c r="C139" s="8">
        <v>30877060</v>
      </c>
      <c r="D139" s="8">
        <v>5</v>
      </c>
      <c r="E139" s="11">
        <v>43110</v>
      </c>
      <c r="F139" s="8" t="s">
        <v>57</v>
      </c>
      <c r="G139" s="11">
        <v>43112</v>
      </c>
      <c r="H139" s="8" t="s">
        <v>25</v>
      </c>
      <c r="J139" s="8" t="s">
        <v>25</v>
      </c>
      <c r="N139" s="8" t="s">
        <v>58</v>
      </c>
      <c r="O139" s="8" t="s">
        <v>59</v>
      </c>
      <c r="P139" s="8" t="s">
        <v>59</v>
      </c>
      <c r="R139" s="8">
        <v>0</v>
      </c>
      <c r="S139" s="8">
        <v>0</v>
      </c>
      <c r="T139" s="8">
        <v>1</v>
      </c>
      <c r="U139" s="8">
        <v>2</v>
      </c>
      <c r="AG139" s="8" t="str">
        <f t="shared" si="9"/>
        <v/>
      </c>
      <c r="AI139" s="8" t="str">
        <f t="shared" si="10"/>
        <v/>
      </c>
      <c r="AJ139" s="8" t="str">
        <f t="shared" si="11"/>
        <v/>
      </c>
      <c r="AL139" s="8" t="str">
        <f t="shared" si="12"/>
        <v/>
      </c>
    </row>
    <row r="140" spans="1:38" x14ac:dyDescent="0.25">
      <c r="A140" s="8" t="s">
        <v>3297</v>
      </c>
      <c r="B140" s="8" t="s">
        <v>3298</v>
      </c>
      <c r="C140" s="8">
        <v>30895557</v>
      </c>
      <c r="D140" s="8">
        <v>5</v>
      </c>
      <c r="E140" s="11">
        <v>43111</v>
      </c>
      <c r="F140" s="8" t="s">
        <v>58</v>
      </c>
      <c r="G140" s="11">
        <v>43111</v>
      </c>
      <c r="H140" s="8" t="s">
        <v>25</v>
      </c>
      <c r="I140" s="11">
        <v>43111</v>
      </c>
      <c r="J140" s="8" t="s">
        <v>25</v>
      </c>
      <c r="N140" s="8" t="s">
        <v>58</v>
      </c>
      <c r="O140" s="8" t="s">
        <v>59</v>
      </c>
      <c r="P140" s="8" t="s">
        <v>59</v>
      </c>
      <c r="R140" s="8">
        <v>0</v>
      </c>
      <c r="S140" s="8">
        <v>0</v>
      </c>
      <c r="T140" s="8">
        <v>1</v>
      </c>
      <c r="U140" s="8">
        <v>2</v>
      </c>
      <c r="X140" s="8">
        <v>5</v>
      </c>
      <c r="AG140" s="8" t="str">
        <f t="shared" si="9"/>
        <v/>
      </c>
      <c r="AI140" s="8" t="str">
        <f t="shared" si="10"/>
        <v/>
      </c>
      <c r="AJ140" s="8" t="str">
        <f t="shared" si="11"/>
        <v/>
      </c>
      <c r="AL140" s="8" t="str">
        <f t="shared" si="12"/>
        <v/>
      </c>
    </row>
    <row r="141" spans="1:38" x14ac:dyDescent="0.25">
      <c r="A141" s="8" t="s">
        <v>3299</v>
      </c>
      <c r="B141" s="8" t="s">
        <v>3300</v>
      </c>
      <c r="C141" s="8">
        <v>30897249</v>
      </c>
      <c r="D141" s="8">
        <v>5</v>
      </c>
      <c r="E141" s="11">
        <v>43111</v>
      </c>
      <c r="F141" s="8" t="s">
        <v>58</v>
      </c>
      <c r="G141" s="11">
        <v>43111</v>
      </c>
      <c r="H141" s="8" t="s">
        <v>25</v>
      </c>
      <c r="I141" s="11">
        <v>43111</v>
      </c>
      <c r="J141" s="8" t="s">
        <v>25</v>
      </c>
      <c r="N141" s="8" t="s">
        <v>58</v>
      </c>
      <c r="O141" s="8" t="s">
        <v>59</v>
      </c>
      <c r="P141" s="8" t="s">
        <v>59</v>
      </c>
      <c r="R141" s="8">
        <v>0</v>
      </c>
      <c r="S141" s="8">
        <v>0</v>
      </c>
      <c r="T141" s="8">
        <v>1</v>
      </c>
      <c r="U141" s="8">
        <v>2</v>
      </c>
      <c r="X141" s="8">
        <v>5</v>
      </c>
      <c r="AG141" s="8" t="str">
        <f t="shared" si="9"/>
        <v/>
      </c>
      <c r="AI141" s="8" t="str">
        <f t="shared" si="10"/>
        <v/>
      </c>
      <c r="AJ141" s="8" t="str">
        <f t="shared" si="11"/>
        <v/>
      </c>
      <c r="AL141" s="8" t="str">
        <f t="shared" si="12"/>
        <v/>
      </c>
    </row>
    <row r="142" spans="1:38" x14ac:dyDescent="0.25">
      <c r="A142" s="8" t="s">
        <v>1679</v>
      </c>
      <c r="B142" s="8" t="s">
        <v>1680</v>
      </c>
      <c r="C142" s="8">
        <v>30825789</v>
      </c>
      <c r="D142" s="8">
        <v>5</v>
      </c>
      <c r="E142" s="11">
        <v>43108</v>
      </c>
      <c r="F142" s="8" t="s">
        <v>58</v>
      </c>
      <c r="G142" s="11">
        <v>43110</v>
      </c>
      <c r="H142" s="8" t="s">
        <v>25</v>
      </c>
      <c r="I142" s="11">
        <v>43115</v>
      </c>
      <c r="J142" s="8" t="s">
        <v>145</v>
      </c>
      <c r="N142" s="8" t="s">
        <v>58</v>
      </c>
      <c r="O142" s="8" t="s">
        <v>59</v>
      </c>
      <c r="P142" s="8" t="s">
        <v>59</v>
      </c>
      <c r="R142" s="8">
        <v>0</v>
      </c>
      <c r="S142" s="8">
        <v>0</v>
      </c>
      <c r="T142" s="8">
        <v>1</v>
      </c>
      <c r="U142" s="8">
        <v>2</v>
      </c>
      <c r="X142" s="8">
        <v>5</v>
      </c>
      <c r="AG142" s="8" t="str">
        <f t="shared" si="9"/>
        <v/>
      </c>
      <c r="AI142" s="8" t="str">
        <f t="shared" si="10"/>
        <v/>
      </c>
      <c r="AJ142" s="8" t="str">
        <f t="shared" si="11"/>
        <v/>
      </c>
      <c r="AL142" s="8" t="str">
        <f t="shared" si="12"/>
        <v/>
      </c>
    </row>
    <row r="143" spans="1:38" x14ac:dyDescent="0.25">
      <c r="A143" s="8" t="s">
        <v>6574</v>
      </c>
      <c r="B143" s="8" t="s">
        <v>6575</v>
      </c>
      <c r="C143" s="8">
        <v>30849252</v>
      </c>
      <c r="D143" s="8">
        <v>5</v>
      </c>
      <c r="E143" s="11">
        <v>43109</v>
      </c>
      <c r="F143" s="8" t="s">
        <v>57</v>
      </c>
      <c r="G143" s="11">
        <v>43115</v>
      </c>
      <c r="H143" s="8" t="s">
        <v>145</v>
      </c>
      <c r="J143" s="8" t="s">
        <v>25</v>
      </c>
      <c r="N143" s="8" t="s">
        <v>58</v>
      </c>
      <c r="O143" s="8" t="s">
        <v>59</v>
      </c>
      <c r="P143" s="8" t="s">
        <v>59</v>
      </c>
      <c r="R143" s="8">
        <v>0</v>
      </c>
      <c r="S143" s="8">
        <v>0</v>
      </c>
      <c r="T143" s="8">
        <v>1</v>
      </c>
      <c r="U143" s="8">
        <v>2</v>
      </c>
      <c r="AG143" s="8" t="str">
        <f t="shared" si="9"/>
        <v/>
      </c>
      <c r="AI143" s="8" t="str">
        <f t="shared" si="10"/>
        <v/>
      </c>
      <c r="AJ143" s="8" t="str">
        <f t="shared" si="11"/>
        <v/>
      </c>
      <c r="AL143" s="8" t="str">
        <f t="shared" si="12"/>
        <v/>
      </c>
    </row>
    <row r="144" spans="1:38" x14ac:dyDescent="0.25">
      <c r="A144" s="8" t="s">
        <v>4777</v>
      </c>
      <c r="B144" s="8" t="s">
        <v>4778</v>
      </c>
      <c r="C144" s="8">
        <v>30820512</v>
      </c>
      <c r="D144" s="8">
        <v>5</v>
      </c>
      <c r="E144" s="11">
        <v>43108</v>
      </c>
      <c r="F144" s="8" t="s">
        <v>57</v>
      </c>
      <c r="G144" s="11">
        <v>43112</v>
      </c>
      <c r="H144" s="8" t="s">
        <v>145</v>
      </c>
      <c r="J144" s="8" t="s">
        <v>25</v>
      </c>
      <c r="N144" s="8" t="s">
        <v>58</v>
      </c>
      <c r="O144" s="8" t="s">
        <v>59</v>
      </c>
      <c r="P144" s="8" t="s">
        <v>59</v>
      </c>
      <c r="R144" s="8">
        <v>0</v>
      </c>
      <c r="S144" s="8">
        <v>0</v>
      </c>
      <c r="T144" s="8">
        <v>1</v>
      </c>
      <c r="U144" s="8">
        <v>2</v>
      </c>
      <c r="AG144" s="8" t="str">
        <f t="shared" si="9"/>
        <v/>
      </c>
      <c r="AI144" s="8" t="str">
        <f t="shared" si="10"/>
        <v/>
      </c>
      <c r="AJ144" s="8" t="str">
        <f t="shared" si="11"/>
        <v/>
      </c>
      <c r="AL144" s="8" t="str">
        <f t="shared" si="12"/>
        <v/>
      </c>
    </row>
    <row r="145" spans="1:38" x14ac:dyDescent="0.25">
      <c r="A145" s="8" t="s">
        <v>1681</v>
      </c>
      <c r="B145" s="8" t="s">
        <v>1682</v>
      </c>
      <c r="C145" s="8">
        <v>30869605</v>
      </c>
      <c r="D145" s="8">
        <v>5</v>
      </c>
      <c r="E145" s="11">
        <v>43110</v>
      </c>
      <c r="F145" s="8" t="s">
        <v>57</v>
      </c>
      <c r="G145" s="11">
        <v>43110</v>
      </c>
      <c r="H145" s="8" t="s">
        <v>25</v>
      </c>
      <c r="J145" s="8" t="s">
        <v>25</v>
      </c>
      <c r="N145" s="8" t="s">
        <v>58</v>
      </c>
      <c r="O145" s="8" t="s">
        <v>59</v>
      </c>
      <c r="P145" s="8" t="s">
        <v>59</v>
      </c>
      <c r="R145" s="8">
        <v>0</v>
      </c>
      <c r="S145" s="8">
        <v>0</v>
      </c>
      <c r="T145" s="8">
        <v>1</v>
      </c>
      <c r="U145" s="8">
        <v>2</v>
      </c>
      <c r="AG145" s="8" t="str">
        <f t="shared" si="9"/>
        <v/>
      </c>
      <c r="AI145" s="8" t="str">
        <f t="shared" si="10"/>
        <v/>
      </c>
      <c r="AJ145" s="8" t="str">
        <f t="shared" si="11"/>
        <v/>
      </c>
      <c r="AL145" s="8" t="str">
        <f t="shared" si="12"/>
        <v/>
      </c>
    </row>
    <row r="146" spans="1:38" x14ac:dyDescent="0.25">
      <c r="A146" s="8" t="s">
        <v>6576</v>
      </c>
      <c r="B146" s="8" t="s">
        <v>6577</v>
      </c>
      <c r="C146" s="8">
        <v>30916646</v>
      </c>
      <c r="D146" s="8">
        <v>5</v>
      </c>
      <c r="E146" s="11">
        <v>43112</v>
      </c>
      <c r="F146" s="8" t="s">
        <v>57</v>
      </c>
      <c r="G146" s="11">
        <v>43115</v>
      </c>
      <c r="H146" s="8" t="s">
        <v>25</v>
      </c>
      <c r="J146" s="8" t="s">
        <v>25</v>
      </c>
      <c r="N146" s="8" t="s">
        <v>58</v>
      </c>
      <c r="O146" s="8" t="s">
        <v>59</v>
      </c>
      <c r="P146" s="8" t="s">
        <v>59</v>
      </c>
      <c r="R146" s="8">
        <v>0</v>
      </c>
      <c r="S146" s="8">
        <v>0</v>
      </c>
      <c r="T146" s="8">
        <v>1</v>
      </c>
      <c r="U146" s="8">
        <v>2</v>
      </c>
      <c r="AG146" s="8" t="str">
        <f t="shared" si="9"/>
        <v/>
      </c>
      <c r="AI146" s="8" t="str">
        <f t="shared" si="10"/>
        <v/>
      </c>
      <c r="AJ146" s="8" t="str">
        <f t="shared" si="11"/>
        <v/>
      </c>
      <c r="AL146" s="8" t="str">
        <f t="shared" si="12"/>
        <v/>
      </c>
    </row>
    <row r="147" spans="1:38" x14ac:dyDescent="0.25">
      <c r="A147" s="8" t="s">
        <v>183</v>
      </c>
      <c r="B147" s="8" t="s">
        <v>184</v>
      </c>
      <c r="C147" s="8">
        <v>30819574</v>
      </c>
      <c r="D147" s="8">
        <v>5</v>
      </c>
      <c r="E147" s="11">
        <v>43108</v>
      </c>
      <c r="F147" s="8" t="s">
        <v>58</v>
      </c>
      <c r="G147" s="11">
        <v>43108</v>
      </c>
      <c r="H147" s="8" t="s">
        <v>25</v>
      </c>
      <c r="I147" s="11">
        <v>43110</v>
      </c>
      <c r="J147" s="8" t="s">
        <v>25</v>
      </c>
      <c r="N147" s="8" t="s">
        <v>58</v>
      </c>
      <c r="O147" s="8" t="s">
        <v>59</v>
      </c>
      <c r="P147" s="8" t="s">
        <v>59</v>
      </c>
      <c r="R147" s="8">
        <v>0</v>
      </c>
      <c r="S147" s="8">
        <v>0</v>
      </c>
      <c r="T147" s="8">
        <v>1</v>
      </c>
      <c r="U147" s="8">
        <v>2</v>
      </c>
      <c r="X147" s="8">
        <v>5</v>
      </c>
      <c r="AG147" s="8" t="str">
        <f t="shared" si="9"/>
        <v/>
      </c>
      <c r="AI147" s="8" t="str">
        <f t="shared" si="10"/>
        <v/>
      </c>
      <c r="AJ147" s="8" t="str">
        <f t="shared" si="11"/>
        <v/>
      </c>
      <c r="AL147" s="8" t="str">
        <f t="shared" si="12"/>
        <v/>
      </c>
    </row>
    <row r="148" spans="1:38" x14ac:dyDescent="0.25">
      <c r="A148" s="8" t="s">
        <v>810</v>
      </c>
      <c r="B148" s="8" t="s">
        <v>811</v>
      </c>
      <c r="C148" s="8">
        <v>30838921</v>
      </c>
      <c r="D148" s="8">
        <v>5</v>
      </c>
      <c r="E148" s="11">
        <v>43109</v>
      </c>
      <c r="F148" s="8" t="s">
        <v>58</v>
      </c>
      <c r="G148" s="11">
        <v>43109</v>
      </c>
      <c r="H148" s="8" t="s">
        <v>25</v>
      </c>
      <c r="I148" s="11">
        <v>43111</v>
      </c>
      <c r="J148" s="8" t="s">
        <v>25</v>
      </c>
      <c r="N148" s="8" t="s">
        <v>58</v>
      </c>
      <c r="O148" s="8" t="s">
        <v>59</v>
      </c>
      <c r="P148" s="8" t="s">
        <v>59</v>
      </c>
      <c r="R148" s="8">
        <v>0</v>
      </c>
      <c r="S148" s="8">
        <v>0</v>
      </c>
      <c r="T148" s="8">
        <v>1</v>
      </c>
      <c r="U148" s="8">
        <v>2</v>
      </c>
      <c r="X148" s="8">
        <v>5</v>
      </c>
      <c r="AG148" s="8" t="str">
        <f t="shared" si="9"/>
        <v/>
      </c>
      <c r="AI148" s="8" t="str">
        <f t="shared" si="10"/>
        <v/>
      </c>
      <c r="AJ148" s="8" t="str">
        <f t="shared" si="11"/>
        <v/>
      </c>
      <c r="AL148" s="8" t="str">
        <f t="shared" si="12"/>
        <v/>
      </c>
    </row>
    <row r="149" spans="1:38" x14ac:dyDescent="0.25">
      <c r="A149" s="8" t="s">
        <v>812</v>
      </c>
      <c r="B149" s="8" t="s">
        <v>813</v>
      </c>
      <c r="C149" s="8">
        <v>30836679</v>
      </c>
      <c r="D149" s="8">
        <v>5</v>
      </c>
      <c r="E149" s="11">
        <v>43109</v>
      </c>
      <c r="F149" s="8" t="s">
        <v>58</v>
      </c>
      <c r="G149" s="11">
        <v>43109</v>
      </c>
      <c r="H149" s="8" t="s">
        <v>25</v>
      </c>
      <c r="I149" s="11">
        <v>43111</v>
      </c>
      <c r="J149" s="8" t="s">
        <v>25</v>
      </c>
      <c r="N149" s="8" t="s">
        <v>58</v>
      </c>
      <c r="O149" s="8" t="s">
        <v>59</v>
      </c>
      <c r="P149" s="8" t="s">
        <v>59</v>
      </c>
      <c r="R149" s="8">
        <v>0</v>
      </c>
      <c r="S149" s="8">
        <v>0</v>
      </c>
      <c r="T149" s="8">
        <v>1</v>
      </c>
      <c r="U149" s="8">
        <v>2</v>
      </c>
      <c r="X149" s="8">
        <v>5</v>
      </c>
      <c r="AG149" s="8" t="str">
        <f t="shared" si="9"/>
        <v/>
      </c>
      <c r="AI149" s="8" t="str">
        <f t="shared" si="10"/>
        <v/>
      </c>
      <c r="AJ149" s="8" t="str">
        <f t="shared" si="11"/>
        <v/>
      </c>
      <c r="AL149" s="8" t="str">
        <f t="shared" si="12"/>
        <v/>
      </c>
    </row>
    <row r="150" spans="1:38" x14ac:dyDescent="0.25">
      <c r="A150" s="8" t="s">
        <v>4779</v>
      </c>
      <c r="B150" s="8" t="s">
        <v>4780</v>
      </c>
      <c r="C150" s="8">
        <v>30875108</v>
      </c>
      <c r="D150" s="8">
        <v>5</v>
      </c>
      <c r="E150" s="11">
        <v>43110</v>
      </c>
      <c r="F150" s="8" t="s">
        <v>57</v>
      </c>
      <c r="G150" s="11">
        <v>43112</v>
      </c>
      <c r="H150" s="8" t="s">
        <v>25</v>
      </c>
      <c r="J150" s="8" t="s">
        <v>25</v>
      </c>
      <c r="N150" s="8" t="s">
        <v>58</v>
      </c>
      <c r="O150" s="8" t="s">
        <v>59</v>
      </c>
      <c r="P150" s="8" t="s">
        <v>59</v>
      </c>
      <c r="R150" s="8">
        <v>0</v>
      </c>
      <c r="S150" s="8">
        <v>0</v>
      </c>
      <c r="T150" s="8">
        <v>1</v>
      </c>
      <c r="U150" s="8">
        <v>2</v>
      </c>
      <c r="AG150" s="8" t="str">
        <f t="shared" si="9"/>
        <v/>
      </c>
      <c r="AI150" s="8" t="str">
        <f t="shared" si="10"/>
        <v/>
      </c>
      <c r="AJ150" s="8" t="str">
        <f t="shared" si="11"/>
        <v/>
      </c>
      <c r="AL150" s="8" t="str">
        <f t="shared" si="12"/>
        <v/>
      </c>
    </row>
    <row r="151" spans="1:38" x14ac:dyDescent="0.25">
      <c r="A151" s="8" t="s">
        <v>1683</v>
      </c>
      <c r="B151" s="8" t="s">
        <v>1684</v>
      </c>
      <c r="C151" s="8">
        <v>30866071</v>
      </c>
      <c r="D151" s="8">
        <v>5</v>
      </c>
      <c r="E151" s="11">
        <v>43110</v>
      </c>
      <c r="F151" s="8" t="s">
        <v>58</v>
      </c>
      <c r="G151" s="11">
        <v>43110</v>
      </c>
      <c r="H151" s="8" t="s">
        <v>25</v>
      </c>
      <c r="I151" s="11">
        <v>43112</v>
      </c>
      <c r="J151" s="8" t="s">
        <v>25</v>
      </c>
      <c r="N151" s="8" t="s">
        <v>58</v>
      </c>
      <c r="O151" s="8" t="s">
        <v>59</v>
      </c>
      <c r="P151" s="8" t="s">
        <v>59</v>
      </c>
      <c r="R151" s="8">
        <v>0</v>
      </c>
      <c r="S151" s="8">
        <v>0</v>
      </c>
      <c r="T151" s="8">
        <v>1</v>
      </c>
      <c r="U151" s="8">
        <v>2</v>
      </c>
      <c r="X151" s="8">
        <v>5</v>
      </c>
      <c r="AG151" s="8" t="str">
        <f t="shared" si="9"/>
        <v/>
      </c>
      <c r="AI151" s="8" t="str">
        <f t="shared" si="10"/>
        <v/>
      </c>
      <c r="AJ151" s="8" t="str">
        <f t="shared" si="11"/>
        <v/>
      </c>
      <c r="AL151" s="8" t="str">
        <f t="shared" si="12"/>
        <v/>
      </c>
    </row>
    <row r="152" spans="1:38" x14ac:dyDescent="0.25">
      <c r="A152" s="8" t="s">
        <v>3301</v>
      </c>
      <c r="B152" s="8" t="s">
        <v>3302</v>
      </c>
      <c r="C152" s="8">
        <v>30893586</v>
      </c>
      <c r="D152" s="8">
        <v>5</v>
      </c>
      <c r="E152" s="11">
        <v>43111</v>
      </c>
      <c r="F152" s="8" t="s">
        <v>58</v>
      </c>
      <c r="G152" s="11">
        <v>43111</v>
      </c>
      <c r="H152" s="8" t="s">
        <v>25</v>
      </c>
      <c r="I152" s="11">
        <v>43112</v>
      </c>
      <c r="J152" s="8" t="s">
        <v>25</v>
      </c>
      <c r="N152" s="8" t="s">
        <v>58</v>
      </c>
      <c r="O152" s="8" t="s">
        <v>59</v>
      </c>
      <c r="P152" s="8" t="s">
        <v>59</v>
      </c>
      <c r="R152" s="8">
        <v>0</v>
      </c>
      <c r="S152" s="8">
        <v>0</v>
      </c>
      <c r="T152" s="8">
        <v>1</v>
      </c>
      <c r="U152" s="8">
        <v>2</v>
      </c>
      <c r="X152" s="8">
        <v>5</v>
      </c>
      <c r="AG152" s="8" t="str">
        <f t="shared" si="9"/>
        <v/>
      </c>
      <c r="AI152" s="8" t="str">
        <f t="shared" si="10"/>
        <v/>
      </c>
      <c r="AJ152" s="8" t="str">
        <f t="shared" si="11"/>
        <v/>
      </c>
      <c r="AL152" s="8" t="str">
        <f t="shared" si="12"/>
        <v/>
      </c>
    </row>
    <row r="153" spans="1:38" x14ac:dyDescent="0.25">
      <c r="A153" s="8" t="s">
        <v>1685</v>
      </c>
      <c r="B153" s="8" t="s">
        <v>1686</v>
      </c>
      <c r="C153" s="8">
        <v>30839040</v>
      </c>
      <c r="D153" s="8">
        <v>4</v>
      </c>
      <c r="E153" s="11">
        <v>43109</v>
      </c>
      <c r="F153" s="8" t="s">
        <v>57</v>
      </c>
      <c r="G153" s="11">
        <v>43110</v>
      </c>
      <c r="H153" s="8" t="s">
        <v>25</v>
      </c>
      <c r="J153" s="8" t="s">
        <v>25</v>
      </c>
      <c r="N153" s="8" t="s">
        <v>58</v>
      </c>
      <c r="O153" s="8" t="s">
        <v>59</v>
      </c>
      <c r="P153" s="8" t="s">
        <v>59</v>
      </c>
      <c r="R153" s="8">
        <v>0</v>
      </c>
      <c r="S153" s="8">
        <v>0</v>
      </c>
      <c r="T153" s="8">
        <v>1</v>
      </c>
      <c r="U153" s="8">
        <v>2</v>
      </c>
      <c r="AG153" s="8" t="str">
        <f t="shared" si="9"/>
        <v/>
      </c>
      <c r="AI153" s="8" t="str">
        <f t="shared" si="10"/>
        <v/>
      </c>
      <c r="AJ153" s="8" t="str">
        <f t="shared" si="11"/>
        <v/>
      </c>
      <c r="AL153" s="8" t="str">
        <f t="shared" si="12"/>
        <v/>
      </c>
    </row>
    <row r="154" spans="1:38" x14ac:dyDescent="0.25">
      <c r="A154" s="8" t="s">
        <v>185</v>
      </c>
      <c r="B154" s="8" t="s">
        <v>186</v>
      </c>
      <c r="C154" s="8">
        <v>30814170</v>
      </c>
      <c r="D154" s="8">
        <v>5</v>
      </c>
      <c r="E154" s="11">
        <v>43108</v>
      </c>
      <c r="F154" s="8" t="s">
        <v>58</v>
      </c>
      <c r="G154" s="11">
        <v>43108</v>
      </c>
      <c r="H154" s="8" t="s">
        <v>25</v>
      </c>
      <c r="I154" s="11">
        <v>43109</v>
      </c>
      <c r="J154" s="8" t="s">
        <v>25</v>
      </c>
      <c r="N154" s="8" t="s">
        <v>58</v>
      </c>
      <c r="O154" s="8" t="s">
        <v>59</v>
      </c>
      <c r="P154" s="8" t="s">
        <v>59</v>
      </c>
      <c r="R154" s="8">
        <v>0</v>
      </c>
      <c r="S154" s="8">
        <v>0</v>
      </c>
      <c r="T154" s="8">
        <v>1</v>
      </c>
      <c r="U154" s="8">
        <v>2</v>
      </c>
      <c r="X154" s="8">
        <v>5</v>
      </c>
      <c r="AG154" s="8" t="str">
        <f t="shared" si="9"/>
        <v/>
      </c>
      <c r="AI154" s="8" t="str">
        <f t="shared" si="10"/>
        <v/>
      </c>
      <c r="AJ154" s="8" t="str">
        <f t="shared" si="11"/>
        <v/>
      </c>
      <c r="AL154" s="8" t="str">
        <f t="shared" si="12"/>
        <v/>
      </c>
    </row>
    <row r="155" spans="1:38" x14ac:dyDescent="0.25">
      <c r="A155" s="8" t="s">
        <v>187</v>
      </c>
      <c r="B155" s="8" t="s">
        <v>94</v>
      </c>
      <c r="C155" s="8">
        <v>30816422</v>
      </c>
      <c r="D155" s="8">
        <v>5</v>
      </c>
      <c r="E155" s="11">
        <v>43108</v>
      </c>
      <c r="F155" s="8" t="s">
        <v>58</v>
      </c>
      <c r="G155" s="11">
        <v>43108</v>
      </c>
      <c r="H155" s="8" t="s">
        <v>25</v>
      </c>
      <c r="I155" s="11">
        <v>43110</v>
      </c>
      <c r="J155" s="8" t="s">
        <v>25</v>
      </c>
      <c r="N155" s="8" t="s">
        <v>58</v>
      </c>
      <c r="O155" s="8" t="s">
        <v>59</v>
      </c>
      <c r="P155" s="8" t="s">
        <v>59</v>
      </c>
      <c r="R155" s="8">
        <v>0</v>
      </c>
      <c r="S155" s="8">
        <v>0</v>
      </c>
      <c r="T155" s="8">
        <v>1</v>
      </c>
      <c r="U155" s="8">
        <v>2</v>
      </c>
      <c r="X155" s="8">
        <v>5</v>
      </c>
      <c r="AG155" s="8" t="str">
        <f t="shared" si="9"/>
        <v/>
      </c>
      <c r="AI155" s="8" t="str">
        <f t="shared" si="10"/>
        <v/>
      </c>
      <c r="AJ155" s="8" t="str">
        <f t="shared" si="11"/>
        <v/>
      </c>
      <c r="AL155" s="8" t="str">
        <f t="shared" si="12"/>
        <v/>
      </c>
    </row>
    <row r="156" spans="1:38" x14ac:dyDescent="0.25">
      <c r="A156" s="8" t="s">
        <v>6578</v>
      </c>
      <c r="B156" s="8" t="s">
        <v>6579</v>
      </c>
      <c r="C156" s="8">
        <v>30899210</v>
      </c>
      <c r="D156" s="8">
        <v>5</v>
      </c>
      <c r="E156" s="11">
        <v>43111</v>
      </c>
      <c r="F156" s="8" t="s">
        <v>57</v>
      </c>
      <c r="G156" s="11">
        <v>43115</v>
      </c>
      <c r="H156" s="8" t="s">
        <v>25</v>
      </c>
      <c r="J156" s="8" t="s">
        <v>25</v>
      </c>
      <c r="N156" s="8" t="s">
        <v>58</v>
      </c>
      <c r="O156" s="8" t="s">
        <v>59</v>
      </c>
      <c r="P156" s="8" t="s">
        <v>59</v>
      </c>
      <c r="R156" s="8">
        <v>0</v>
      </c>
      <c r="S156" s="8">
        <v>0</v>
      </c>
      <c r="T156" s="8">
        <v>1</v>
      </c>
      <c r="U156" s="8">
        <v>2</v>
      </c>
      <c r="AG156" s="8" t="str">
        <f t="shared" si="9"/>
        <v/>
      </c>
      <c r="AI156" s="8" t="str">
        <f t="shared" si="10"/>
        <v/>
      </c>
      <c r="AJ156" s="8" t="str">
        <f t="shared" si="11"/>
        <v/>
      </c>
      <c r="AL156" s="8" t="str">
        <f t="shared" si="12"/>
        <v/>
      </c>
    </row>
    <row r="157" spans="1:38" x14ac:dyDescent="0.25">
      <c r="A157" s="8" t="s">
        <v>6580</v>
      </c>
      <c r="B157" s="8" t="s">
        <v>6581</v>
      </c>
      <c r="C157" s="8">
        <v>30943939</v>
      </c>
      <c r="D157" s="8">
        <v>5</v>
      </c>
      <c r="E157" s="11">
        <v>43115</v>
      </c>
      <c r="F157" s="8" t="s">
        <v>57</v>
      </c>
      <c r="G157" s="11">
        <v>43115</v>
      </c>
      <c r="H157" s="8" t="s">
        <v>25</v>
      </c>
      <c r="J157" s="8" t="s">
        <v>25</v>
      </c>
      <c r="N157" s="8" t="s">
        <v>58</v>
      </c>
      <c r="O157" s="8" t="s">
        <v>59</v>
      </c>
      <c r="P157" s="8" t="s">
        <v>59</v>
      </c>
      <c r="R157" s="8">
        <v>0</v>
      </c>
      <c r="S157" s="8">
        <v>0</v>
      </c>
      <c r="T157" s="8">
        <v>1</v>
      </c>
      <c r="U157" s="8">
        <v>2</v>
      </c>
      <c r="AG157" s="8" t="str">
        <f t="shared" si="9"/>
        <v/>
      </c>
      <c r="AI157" s="8" t="str">
        <f t="shared" si="10"/>
        <v/>
      </c>
      <c r="AJ157" s="8" t="str">
        <f t="shared" si="11"/>
        <v/>
      </c>
      <c r="AL157" s="8" t="str">
        <f t="shared" si="12"/>
        <v/>
      </c>
    </row>
    <row r="158" spans="1:38" x14ac:dyDescent="0.25">
      <c r="A158" s="8" t="s">
        <v>6582</v>
      </c>
      <c r="B158" s="8" t="s">
        <v>6583</v>
      </c>
      <c r="C158" s="8">
        <v>30935031</v>
      </c>
      <c r="D158" s="8">
        <v>5</v>
      </c>
      <c r="E158" s="11">
        <v>43115</v>
      </c>
      <c r="F158" s="8" t="s">
        <v>57</v>
      </c>
      <c r="G158" s="11">
        <v>43115</v>
      </c>
      <c r="H158" s="8" t="s">
        <v>25</v>
      </c>
      <c r="J158" s="8" t="s">
        <v>25</v>
      </c>
      <c r="N158" s="8" t="s">
        <v>58</v>
      </c>
      <c r="O158" s="8" t="s">
        <v>59</v>
      </c>
      <c r="P158" s="8" t="s">
        <v>59</v>
      </c>
      <c r="R158" s="8">
        <v>0</v>
      </c>
      <c r="S158" s="8">
        <v>0</v>
      </c>
      <c r="T158" s="8">
        <v>1</v>
      </c>
      <c r="U158" s="8">
        <v>2</v>
      </c>
      <c r="AG158" s="8" t="str">
        <f t="shared" si="9"/>
        <v/>
      </c>
      <c r="AI158" s="8" t="str">
        <f t="shared" si="10"/>
        <v/>
      </c>
      <c r="AJ158" s="8" t="str">
        <f t="shared" si="11"/>
        <v/>
      </c>
      <c r="AL158" s="8" t="str">
        <f t="shared" si="12"/>
        <v/>
      </c>
    </row>
    <row r="159" spans="1:38" x14ac:dyDescent="0.25">
      <c r="A159" s="8" t="s">
        <v>188</v>
      </c>
      <c r="B159" s="8" t="s">
        <v>189</v>
      </c>
      <c r="C159" s="8">
        <v>30824494</v>
      </c>
      <c r="D159" s="8">
        <v>5</v>
      </c>
      <c r="E159" s="11">
        <v>43108</v>
      </c>
      <c r="F159" s="8" t="s">
        <v>58</v>
      </c>
      <c r="G159" s="11">
        <v>43108</v>
      </c>
      <c r="H159" s="8" t="s">
        <v>25</v>
      </c>
      <c r="I159" s="11">
        <v>43108</v>
      </c>
      <c r="J159" s="8" t="s">
        <v>25</v>
      </c>
      <c r="N159" s="8" t="s">
        <v>58</v>
      </c>
      <c r="O159" s="8" t="s">
        <v>59</v>
      </c>
      <c r="P159" s="8" t="s">
        <v>59</v>
      </c>
      <c r="R159" s="8">
        <v>0</v>
      </c>
      <c r="S159" s="8">
        <v>0</v>
      </c>
      <c r="T159" s="8">
        <v>1</v>
      </c>
      <c r="U159" s="8">
        <v>2</v>
      </c>
      <c r="X159" s="8">
        <v>5</v>
      </c>
      <c r="AG159" s="8" t="str">
        <f t="shared" si="9"/>
        <v/>
      </c>
      <c r="AI159" s="8" t="str">
        <f t="shared" si="10"/>
        <v/>
      </c>
      <c r="AJ159" s="8" t="str">
        <f t="shared" si="11"/>
        <v/>
      </c>
      <c r="AL159" s="8" t="str">
        <f t="shared" si="12"/>
        <v/>
      </c>
    </row>
    <row r="160" spans="1:38" x14ac:dyDescent="0.25">
      <c r="A160" s="8" t="s">
        <v>6584</v>
      </c>
      <c r="B160" s="8" t="s">
        <v>6585</v>
      </c>
      <c r="C160" s="8">
        <v>30902869</v>
      </c>
      <c r="D160" s="8">
        <v>5</v>
      </c>
      <c r="E160" s="11">
        <v>43111</v>
      </c>
      <c r="F160" s="8" t="s">
        <v>57</v>
      </c>
      <c r="G160" s="11">
        <v>43115</v>
      </c>
      <c r="H160" s="8" t="s">
        <v>25</v>
      </c>
      <c r="J160" s="8" t="s">
        <v>25</v>
      </c>
      <c r="N160" s="8" t="s">
        <v>58</v>
      </c>
      <c r="O160" s="8" t="s">
        <v>59</v>
      </c>
      <c r="P160" s="8" t="s">
        <v>59</v>
      </c>
      <c r="R160" s="8">
        <v>0</v>
      </c>
      <c r="S160" s="8">
        <v>0</v>
      </c>
      <c r="T160" s="8">
        <v>1</v>
      </c>
      <c r="U160" s="8">
        <v>2</v>
      </c>
      <c r="AG160" s="8" t="str">
        <f t="shared" si="9"/>
        <v/>
      </c>
      <c r="AI160" s="8" t="str">
        <f t="shared" si="10"/>
        <v/>
      </c>
      <c r="AJ160" s="8" t="str">
        <f t="shared" si="11"/>
        <v/>
      </c>
      <c r="AL160" s="8" t="str">
        <f t="shared" si="12"/>
        <v/>
      </c>
    </row>
    <row r="161" spans="1:38" x14ac:dyDescent="0.25">
      <c r="A161" s="8" t="s">
        <v>6586</v>
      </c>
      <c r="B161" s="8" t="s">
        <v>6587</v>
      </c>
      <c r="C161" s="8">
        <v>30875403</v>
      </c>
      <c r="D161" s="8">
        <v>5</v>
      </c>
      <c r="E161" s="11">
        <v>43110</v>
      </c>
      <c r="F161" s="8" t="s">
        <v>57</v>
      </c>
      <c r="G161" s="11">
        <v>43115</v>
      </c>
      <c r="H161" s="8" t="s">
        <v>145</v>
      </c>
      <c r="J161" s="8" t="s">
        <v>25</v>
      </c>
      <c r="N161" s="8" t="s">
        <v>58</v>
      </c>
      <c r="O161" s="8" t="s">
        <v>59</v>
      </c>
      <c r="P161" s="8" t="s">
        <v>59</v>
      </c>
      <c r="R161" s="8">
        <v>0</v>
      </c>
      <c r="S161" s="8">
        <v>0</v>
      </c>
      <c r="T161" s="8">
        <v>1</v>
      </c>
      <c r="U161" s="8">
        <v>2</v>
      </c>
      <c r="AG161" s="8" t="str">
        <f t="shared" si="9"/>
        <v/>
      </c>
      <c r="AI161" s="8" t="str">
        <f t="shared" si="10"/>
        <v/>
      </c>
      <c r="AJ161" s="8" t="str">
        <f t="shared" si="11"/>
        <v/>
      </c>
      <c r="AL161" s="8" t="str">
        <f t="shared" si="12"/>
        <v/>
      </c>
    </row>
    <row r="162" spans="1:38" x14ac:dyDescent="0.25">
      <c r="A162" s="8" t="s">
        <v>814</v>
      </c>
      <c r="B162" s="8" t="s">
        <v>815</v>
      </c>
      <c r="C162" s="8">
        <v>30841698</v>
      </c>
      <c r="D162" s="8">
        <v>5</v>
      </c>
      <c r="E162" s="11">
        <v>43109</v>
      </c>
      <c r="F162" s="8" t="s">
        <v>58</v>
      </c>
      <c r="G162" s="11">
        <v>43109</v>
      </c>
      <c r="H162" s="8" t="s">
        <v>25</v>
      </c>
      <c r="I162" s="11">
        <v>43112</v>
      </c>
      <c r="J162" s="8" t="s">
        <v>25</v>
      </c>
      <c r="N162" s="8" t="s">
        <v>58</v>
      </c>
      <c r="O162" s="8" t="s">
        <v>59</v>
      </c>
      <c r="P162" s="8" t="s">
        <v>59</v>
      </c>
      <c r="R162" s="8">
        <v>0</v>
      </c>
      <c r="S162" s="8">
        <v>0</v>
      </c>
      <c r="T162" s="8">
        <v>1</v>
      </c>
      <c r="U162" s="8">
        <v>2</v>
      </c>
      <c r="X162" s="8">
        <v>5</v>
      </c>
      <c r="AG162" s="8" t="str">
        <f t="shared" si="9"/>
        <v/>
      </c>
      <c r="AI162" s="8" t="str">
        <f t="shared" si="10"/>
        <v/>
      </c>
      <c r="AJ162" s="8" t="str">
        <f t="shared" si="11"/>
        <v/>
      </c>
      <c r="AL162" s="8" t="str">
        <f t="shared" si="12"/>
        <v/>
      </c>
    </row>
    <row r="163" spans="1:38" x14ac:dyDescent="0.25">
      <c r="A163" s="8" t="s">
        <v>6588</v>
      </c>
      <c r="B163" s="8" t="s">
        <v>6589</v>
      </c>
      <c r="C163" s="8">
        <v>30931510</v>
      </c>
      <c r="D163" s="8">
        <v>5</v>
      </c>
      <c r="E163" s="11">
        <v>43115</v>
      </c>
      <c r="F163" s="8" t="s">
        <v>57</v>
      </c>
      <c r="G163" s="11">
        <v>43115</v>
      </c>
      <c r="H163" s="8" t="s">
        <v>25</v>
      </c>
      <c r="J163" s="8" t="s">
        <v>25</v>
      </c>
      <c r="N163" s="8" t="s">
        <v>58</v>
      </c>
      <c r="O163" s="8" t="s">
        <v>59</v>
      </c>
      <c r="P163" s="8" t="s">
        <v>59</v>
      </c>
      <c r="R163" s="8">
        <v>0</v>
      </c>
      <c r="S163" s="8">
        <v>0</v>
      </c>
      <c r="T163" s="8">
        <v>1</v>
      </c>
      <c r="U163" s="8">
        <v>2</v>
      </c>
      <c r="AG163" s="8" t="str">
        <f t="shared" si="9"/>
        <v/>
      </c>
      <c r="AI163" s="8" t="str">
        <f t="shared" si="10"/>
        <v/>
      </c>
      <c r="AJ163" s="8" t="str">
        <f t="shared" si="11"/>
        <v/>
      </c>
      <c r="AL163" s="8" t="str">
        <f t="shared" si="12"/>
        <v/>
      </c>
    </row>
    <row r="164" spans="1:38" x14ac:dyDescent="0.25">
      <c r="A164" s="8" t="s">
        <v>4781</v>
      </c>
      <c r="B164" s="8" t="s">
        <v>4782</v>
      </c>
      <c r="C164" s="8">
        <v>30810059</v>
      </c>
      <c r="D164" s="8">
        <v>5</v>
      </c>
      <c r="E164" s="11">
        <v>43108</v>
      </c>
      <c r="F164" s="8" t="s">
        <v>58</v>
      </c>
      <c r="G164" s="11">
        <v>43112</v>
      </c>
      <c r="H164" s="8" t="s">
        <v>145</v>
      </c>
      <c r="I164" s="11">
        <v>43112</v>
      </c>
      <c r="J164" s="8" t="s">
        <v>25</v>
      </c>
      <c r="N164" s="8" t="s">
        <v>58</v>
      </c>
      <c r="O164" s="8" t="s">
        <v>59</v>
      </c>
      <c r="P164" s="8" t="s">
        <v>59</v>
      </c>
      <c r="R164" s="8">
        <v>0</v>
      </c>
      <c r="S164" s="8">
        <v>0</v>
      </c>
      <c r="T164" s="8">
        <v>1</v>
      </c>
      <c r="U164" s="8">
        <v>2</v>
      </c>
      <c r="X164" s="8">
        <v>5</v>
      </c>
      <c r="AG164" s="8" t="str">
        <f t="shared" si="9"/>
        <v/>
      </c>
      <c r="AI164" s="8" t="str">
        <f t="shared" si="10"/>
        <v/>
      </c>
      <c r="AJ164" s="8" t="str">
        <f t="shared" si="11"/>
        <v/>
      </c>
      <c r="AL164" s="8" t="str">
        <f t="shared" si="12"/>
        <v/>
      </c>
    </row>
    <row r="165" spans="1:38" x14ac:dyDescent="0.25">
      <c r="A165" s="8" t="s">
        <v>3303</v>
      </c>
      <c r="B165" s="8" t="s">
        <v>3304</v>
      </c>
      <c r="C165" s="8">
        <v>30881172</v>
      </c>
      <c r="D165" s="8">
        <v>5</v>
      </c>
      <c r="E165" s="11">
        <v>43111</v>
      </c>
      <c r="F165" s="8" t="s">
        <v>57</v>
      </c>
      <c r="G165" s="11">
        <v>43111</v>
      </c>
      <c r="H165" s="8" t="s">
        <v>25</v>
      </c>
      <c r="J165" s="8" t="s">
        <v>25</v>
      </c>
      <c r="N165" s="8" t="s">
        <v>58</v>
      </c>
      <c r="O165" s="8" t="s">
        <v>59</v>
      </c>
      <c r="P165" s="8" t="s">
        <v>59</v>
      </c>
      <c r="R165" s="8">
        <v>0</v>
      </c>
      <c r="S165" s="8">
        <v>0</v>
      </c>
      <c r="T165" s="8">
        <v>1</v>
      </c>
      <c r="U165" s="8">
        <v>2</v>
      </c>
      <c r="AG165" s="8" t="str">
        <f t="shared" si="9"/>
        <v/>
      </c>
      <c r="AI165" s="8" t="str">
        <f t="shared" si="10"/>
        <v/>
      </c>
      <c r="AJ165" s="8" t="str">
        <f t="shared" si="11"/>
        <v/>
      </c>
      <c r="AL165" s="8" t="str">
        <f t="shared" si="12"/>
        <v/>
      </c>
    </row>
    <row r="166" spans="1:38" x14ac:dyDescent="0.25">
      <c r="A166" s="8" t="s">
        <v>6590</v>
      </c>
      <c r="B166" s="8" t="s">
        <v>6591</v>
      </c>
      <c r="C166" s="8">
        <v>30865191</v>
      </c>
      <c r="D166" s="8">
        <v>5</v>
      </c>
      <c r="E166" s="11">
        <v>43110</v>
      </c>
      <c r="F166" s="8" t="s">
        <v>58</v>
      </c>
      <c r="G166" s="11">
        <v>43115</v>
      </c>
      <c r="H166" s="8" t="s">
        <v>145</v>
      </c>
      <c r="I166" s="11">
        <v>43115</v>
      </c>
      <c r="J166" s="8" t="s">
        <v>25</v>
      </c>
      <c r="N166" s="8" t="s">
        <v>58</v>
      </c>
      <c r="O166" s="8" t="s">
        <v>59</v>
      </c>
      <c r="P166" s="8" t="s">
        <v>59</v>
      </c>
      <c r="R166" s="8">
        <v>0</v>
      </c>
      <c r="S166" s="8">
        <v>0</v>
      </c>
      <c r="T166" s="8">
        <v>1</v>
      </c>
      <c r="U166" s="8">
        <v>2</v>
      </c>
      <c r="X166" s="8">
        <v>5</v>
      </c>
      <c r="AG166" s="8" t="str">
        <f t="shared" si="9"/>
        <v/>
      </c>
      <c r="AI166" s="8" t="str">
        <f t="shared" si="10"/>
        <v/>
      </c>
      <c r="AJ166" s="8" t="str">
        <f t="shared" si="11"/>
        <v/>
      </c>
      <c r="AL166" s="8" t="str">
        <f t="shared" si="12"/>
        <v/>
      </c>
    </row>
    <row r="167" spans="1:38" x14ac:dyDescent="0.25">
      <c r="A167" s="8" t="s">
        <v>6592</v>
      </c>
      <c r="B167" s="8" t="s">
        <v>6593</v>
      </c>
      <c r="C167" s="8">
        <v>30908960</v>
      </c>
      <c r="D167" s="8">
        <v>5</v>
      </c>
      <c r="E167" s="11">
        <v>43112</v>
      </c>
      <c r="F167" s="8" t="s">
        <v>57</v>
      </c>
      <c r="G167" s="11">
        <v>43115</v>
      </c>
      <c r="H167" s="8" t="s">
        <v>25</v>
      </c>
      <c r="J167" s="8" t="s">
        <v>25</v>
      </c>
      <c r="N167" s="8" t="s">
        <v>58</v>
      </c>
      <c r="O167" s="8" t="s">
        <v>59</v>
      </c>
      <c r="P167" s="8" t="s">
        <v>59</v>
      </c>
      <c r="R167" s="8">
        <v>0</v>
      </c>
      <c r="S167" s="8">
        <v>0</v>
      </c>
      <c r="T167" s="8">
        <v>1</v>
      </c>
      <c r="U167" s="8">
        <v>2</v>
      </c>
      <c r="AG167" s="8" t="str">
        <f t="shared" si="9"/>
        <v/>
      </c>
      <c r="AI167" s="8" t="str">
        <f t="shared" si="10"/>
        <v/>
      </c>
      <c r="AJ167" s="8" t="str">
        <f t="shared" si="11"/>
        <v/>
      </c>
      <c r="AL167" s="8" t="str">
        <f t="shared" si="12"/>
        <v/>
      </c>
    </row>
    <row r="168" spans="1:38" x14ac:dyDescent="0.25">
      <c r="A168" s="8" t="s">
        <v>1687</v>
      </c>
      <c r="B168" s="8" t="s">
        <v>1688</v>
      </c>
      <c r="C168" s="8">
        <v>30840134</v>
      </c>
      <c r="D168" s="8">
        <v>5</v>
      </c>
      <c r="E168" s="11">
        <v>43109</v>
      </c>
      <c r="F168" s="8" t="s">
        <v>58</v>
      </c>
      <c r="G168" s="11">
        <v>43110</v>
      </c>
      <c r="H168" s="8" t="s">
        <v>25</v>
      </c>
      <c r="I168" s="11">
        <v>43112</v>
      </c>
      <c r="J168" s="8" t="s">
        <v>25</v>
      </c>
      <c r="N168" s="8" t="s">
        <v>58</v>
      </c>
      <c r="O168" s="8" t="s">
        <v>59</v>
      </c>
      <c r="P168" s="8" t="s">
        <v>59</v>
      </c>
      <c r="R168" s="8">
        <v>0</v>
      </c>
      <c r="S168" s="8">
        <v>0</v>
      </c>
      <c r="T168" s="8">
        <v>1</v>
      </c>
      <c r="U168" s="8">
        <v>2</v>
      </c>
      <c r="X168" s="8">
        <v>5</v>
      </c>
      <c r="AG168" s="8" t="str">
        <f t="shared" si="9"/>
        <v/>
      </c>
      <c r="AI168" s="8" t="str">
        <f t="shared" si="10"/>
        <v/>
      </c>
      <c r="AJ168" s="8" t="str">
        <f t="shared" si="11"/>
        <v/>
      </c>
      <c r="AL168" s="8" t="str">
        <f t="shared" si="12"/>
        <v/>
      </c>
    </row>
    <row r="169" spans="1:38" x14ac:dyDescent="0.25">
      <c r="A169" s="8" t="s">
        <v>816</v>
      </c>
      <c r="B169" s="8" t="s">
        <v>817</v>
      </c>
      <c r="C169" s="8">
        <v>30831936</v>
      </c>
      <c r="D169" s="8">
        <v>5</v>
      </c>
      <c r="E169" s="11">
        <v>43109</v>
      </c>
      <c r="F169" s="8" t="s">
        <v>58</v>
      </c>
      <c r="G169" s="11">
        <v>43109</v>
      </c>
      <c r="H169" s="8" t="s">
        <v>25</v>
      </c>
      <c r="I169" s="11">
        <v>43111</v>
      </c>
      <c r="J169" s="8" t="s">
        <v>25</v>
      </c>
      <c r="N169" s="8" t="s">
        <v>58</v>
      </c>
      <c r="O169" s="8" t="s">
        <v>59</v>
      </c>
      <c r="P169" s="8" t="s">
        <v>59</v>
      </c>
      <c r="R169" s="8">
        <v>0</v>
      </c>
      <c r="S169" s="8">
        <v>0</v>
      </c>
      <c r="T169" s="8">
        <v>1</v>
      </c>
      <c r="U169" s="8">
        <v>2</v>
      </c>
      <c r="X169" s="8">
        <v>5</v>
      </c>
      <c r="AG169" s="8" t="str">
        <f t="shared" si="9"/>
        <v/>
      </c>
      <c r="AI169" s="8" t="str">
        <f t="shared" si="10"/>
        <v/>
      </c>
      <c r="AJ169" s="8" t="str">
        <f t="shared" si="11"/>
        <v/>
      </c>
      <c r="AL169" s="8" t="str">
        <f t="shared" si="12"/>
        <v/>
      </c>
    </row>
    <row r="170" spans="1:38" x14ac:dyDescent="0.25">
      <c r="A170" s="8" t="s">
        <v>4783</v>
      </c>
      <c r="B170" s="8" t="s">
        <v>4784</v>
      </c>
      <c r="C170" s="8">
        <v>30913501</v>
      </c>
      <c r="D170" s="8">
        <v>5</v>
      </c>
      <c r="E170" s="11">
        <v>43112</v>
      </c>
      <c r="F170" s="8" t="s">
        <v>60</v>
      </c>
      <c r="G170" s="11">
        <v>43112</v>
      </c>
      <c r="H170" s="8" t="s">
        <v>25</v>
      </c>
      <c r="J170" s="8" t="s">
        <v>25</v>
      </c>
      <c r="L170" s="8" t="s">
        <v>6525</v>
      </c>
      <c r="N170" s="8" t="s">
        <v>58</v>
      </c>
      <c r="O170" s="8" t="s">
        <v>59</v>
      </c>
      <c r="P170" s="8" t="s">
        <v>59</v>
      </c>
      <c r="R170" s="8">
        <v>0</v>
      </c>
      <c r="S170" s="8">
        <v>0</v>
      </c>
      <c r="T170" s="8">
        <v>1</v>
      </c>
      <c r="U170" s="8">
        <v>2</v>
      </c>
      <c r="W170" s="8">
        <v>4</v>
      </c>
      <c r="AG170" s="8" t="str">
        <f t="shared" si="9"/>
        <v/>
      </c>
      <c r="AI170" s="8" t="str">
        <f t="shared" si="10"/>
        <v/>
      </c>
      <c r="AJ170" s="8" t="str">
        <f t="shared" si="11"/>
        <v/>
      </c>
      <c r="AL170" s="8" t="str">
        <f t="shared" si="12"/>
        <v/>
      </c>
    </row>
    <row r="171" spans="1:38" x14ac:dyDescent="0.25">
      <c r="A171" s="8" t="s">
        <v>4785</v>
      </c>
      <c r="B171" s="8" t="s">
        <v>4786</v>
      </c>
      <c r="C171" s="8">
        <v>30815410</v>
      </c>
      <c r="D171" s="8">
        <v>5</v>
      </c>
      <c r="E171" s="11">
        <v>43108</v>
      </c>
      <c r="F171" s="8" t="s">
        <v>58</v>
      </c>
      <c r="G171" s="11">
        <v>43112</v>
      </c>
      <c r="H171" s="8" t="s">
        <v>145</v>
      </c>
      <c r="I171" s="11">
        <v>43115</v>
      </c>
      <c r="J171" s="8" t="s">
        <v>25</v>
      </c>
      <c r="N171" s="8" t="s">
        <v>58</v>
      </c>
      <c r="O171" s="8" t="s">
        <v>59</v>
      </c>
      <c r="P171" s="8" t="s">
        <v>59</v>
      </c>
      <c r="R171" s="8">
        <v>0</v>
      </c>
      <c r="S171" s="8">
        <v>0</v>
      </c>
      <c r="T171" s="8">
        <v>1</v>
      </c>
      <c r="U171" s="8">
        <v>2</v>
      </c>
      <c r="X171" s="8">
        <v>5</v>
      </c>
      <c r="AG171" s="8" t="str">
        <f t="shared" si="9"/>
        <v/>
      </c>
      <c r="AI171" s="8" t="str">
        <f t="shared" si="10"/>
        <v/>
      </c>
      <c r="AJ171" s="8" t="str">
        <f t="shared" si="11"/>
        <v/>
      </c>
      <c r="AL171" s="8" t="str">
        <f t="shared" si="12"/>
        <v/>
      </c>
    </row>
    <row r="172" spans="1:38" x14ac:dyDescent="0.25">
      <c r="A172" s="8" t="s">
        <v>4787</v>
      </c>
      <c r="B172" s="8" t="s">
        <v>4788</v>
      </c>
      <c r="C172" s="8">
        <v>30814796</v>
      </c>
      <c r="D172" s="8">
        <v>5</v>
      </c>
      <c r="E172" s="11">
        <v>43108</v>
      </c>
      <c r="F172" s="8" t="s">
        <v>57</v>
      </c>
      <c r="G172" s="11">
        <v>43112</v>
      </c>
      <c r="H172" s="8" t="s">
        <v>145</v>
      </c>
      <c r="J172" s="8" t="s">
        <v>25</v>
      </c>
      <c r="N172" s="8" t="s">
        <v>58</v>
      </c>
      <c r="O172" s="8" t="s">
        <v>59</v>
      </c>
      <c r="P172" s="8" t="s">
        <v>59</v>
      </c>
      <c r="R172" s="8">
        <v>0</v>
      </c>
      <c r="S172" s="8">
        <v>0</v>
      </c>
      <c r="T172" s="8">
        <v>1</v>
      </c>
      <c r="U172" s="8">
        <v>2</v>
      </c>
      <c r="AG172" s="8" t="str">
        <f t="shared" si="9"/>
        <v/>
      </c>
      <c r="AI172" s="8" t="str">
        <f t="shared" si="10"/>
        <v/>
      </c>
      <c r="AJ172" s="8" t="str">
        <f t="shared" si="11"/>
        <v/>
      </c>
      <c r="AL172" s="8" t="str">
        <f t="shared" si="12"/>
        <v/>
      </c>
    </row>
    <row r="173" spans="1:38" x14ac:dyDescent="0.25">
      <c r="A173" s="8" t="s">
        <v>4789</v>
      </c>
      <c r="B173" s="8" t="s">
        <v>4790</v>
      </c>
      <c r="C173" s="8">
        <v>30814474</v>
      </c>
      <c r="D173" s="8">
        <v>5</v>
      </c>
      <c r="E173" s="11">
        <v>43108</v>
      </c>
      <c r="F173" s="8" t="s">
        <v>57</v>
      </c>
      <c r="G173" s="11">
        <v>43112</v>
      </c>
      <c r="H173" s="8" t="s">
        <v>145</v>
      </c>
      <c r="J173" s="8" t="s">
        <v>25</v>
      </c>
      <c r="N173" s="8" t="s">
        <v>58</v>
      </c>
      <c r="O173" s="8" t="s">
        <v>59</v>
      </c>
      <c r="P173" s="8" t="s">
        <v>59</v>
      </c>
      <c r="R173" s="8">
        <v>0</v>
      </c>
      <c r="S173" s="8">
        <v>0</v>
      </c>
      <c r="T173" s="8">
        <v>1</v>
      </c>
      <c r="U173" s="8">
        <v>2</v>
      </c>
      <c r="AG173" s="8" t="str">
        <f t="shared" si="9"/>
        <v/>
      </c>
      <c r="AI173" s="8" t="str">
        <f t="shared" si="10"/>
        <v/>
      </c>
      <c r="AJ173" s="8" t="str">
        <f t="shared" si="11"/>
        <v/>
      </c>
      <c r="AL173" s="8" t="str">
        <f t="shared" si="12"/>
        <v/>
      </c>
    </row>
    <row r="174" spans="1:38" x14ac:dyDescent="0.25">
      <c r="A174" s="8" t="s">
        <v>3305</v>
      </c>
      <c r="B174" s="8" t="s">
        <v>3306</v>
      </c>
      <c r="C174" s="8">
        <v>30865192</v>
      </c>
      <c r="D174" s="8">
        <v>5</v>
      </c>
      <c r="E174" s="11">
        <v>43110</v>
      </c>
      <c r="F174" s="8" t="s">
        <v>57</v>
      </c>
      <c r="G174" s="11">
        <v>43111</v>
      </c>
      <c r="H174" s="8" t="s">
        <v>25</v>
      </c>
      <c r="J174" s="8" t="s">
        <v>25</v>
      </c>
      <c r="N174" s="8" t="s">
        <v>58</v>
      </c>
      <c r="O174" s="8" t="s">
        <v>59</v>
      </c>
      <c r="P174" s="8" t="s">
        <v>59</v>
      </c>
      <c r="R174" s="8">
        <v>0</v>
      </c>
      <c r="S174" s="8">
        <v>0</v>
      </c>
      <c r="T174" s="8">
        <v>1</v>
      </c>
      <c r="U174" s="8">
        <v>2</v>
      </c>
      <c r="AG174" s="8" t="str">
        <f t="shared" si="9"/>
        <v/>
      </c>
      <c r="AI174" s="8" t="str">
        <f t="shared" si="10"/>
        <v/>
      </c>
      <c r="AJ174" s="8" t="str">
        <f t="shared" si="11"/>
        <v/>
      </c>
      <c r="AL174" s="8" t="str">
        <f t="shared" si="12"/>
        <v/>
      </c>
    </row>
    <row r="175" spans="1:38" x14ac:dyDescent="0.25">
      <c r="A175" s="8" t="s">
        <v>4791</v>
      </c>
      <c r="B175" s="8" t="s">
        <v>4792</v>
      </c>
      <c r="C175" s="8">
        <v>30882885</v>
      </c>
      <c r="D175" s="8">
        <v>5</v>
      </c>
      <c r="E175" s="11">
        <v>43111</v>
      </c>
      <c r="F175" s="8" t="s">
        <v>58</v>
      </c>
      <c r="G175" s="11">
        <v>43112</v>
      </c>
      <c r="H175" s="8" t="s">
        <v>25</v>
      </c>
      <c r="I175" s="11">
        <v>43112</v>
      </c>
      <c r="J175" s="8" t="s">
        <v>25</v>
      </c>
      <c r="N175" s="8" t="s">
        <v>58</v>
      </c>
      <c r="O175" s="8" t="s">
        <v>59</v>
      </c>
      <c r="P175" s="8" t="s">
        <v>59</v>
      </c>
      <c r="R175" s="8">
        <v>0</v>
      </c>
      <c r="S175" s="8">
        <v>0</v>
      </c>
      <c r="T175" s="8">
        <v>1</v>
      </c>
      <c r="U175" s="8">
        <v>2</v>
      </c>
      <c r="X175" s="8">
        <v>5</v>
      </c>
      <c r="AG175" s="8" t="str">
        <f t="shared" si="9"/>
        <v/>
      </c>
      <c r="AI175" s="8" t="str">
        <f t="shared" si="10"/>
        <v/>
      </c>
      <c r="AJ175" s="8" t="str">
        <f t="shared" si="11"/>
        <v/>
      </c>
      <c r="AL175" s="8" t="str">
        <f t="shared" si="12"/>
        <v/>
      </c>
    </row>
    <row r="176" spans="1:38" x14ac:dyDescent="0.25">
      <c r="A176" s="8" t="s">
        <v>6594</v>
      </c>
      <c r="B176" s="8" t="s">
        <v>6595</v>
      </c>
      <c r="C176" s="8">
        <v>30852544</v>
      </c>
      <c r="D176" s="8">
        <v>5</v>
      </c>
      <c r="E176" s="11">
        <v>43109</v>
      </c>
      <c r="F176" s="8" t="s">
        <v>60</v>
      </c>
      <c r="G176" s="11">
        <v>43115</v>
      </c>
      <c r="H176" s="8" t="s">
        <v>145</v>
      </c>
      <c r="J176" s="8" t="s">
        <v>25</v>
      </c>
      <c r="L176" s="8" t="s">
        <v>6525</v>
      </c>
      <c r="N176" s="8" t="s">
        <v>58</v>
      </c>
      <c r="O176" s="8" t="s">
        <v>59</v>
      </c>
      <c r="P176" s="8" t="s">
        <v>59</v>
      </c>
      <c r="R176" s="8">
        <v>0</v>
      </c>
      <c r="S176" s="8">
        <v>0</v>
      </c>
      <c r="T176" s="8">
        <v>1</v>
      </c>
      <c r="U176" s="8">
        <v>2</v>
      </c>
      <c r="W176" s="8">
        <v>4</v>
      </c>
      <c r="AG176" s="8" t="str">
        <f t="shared" si="9"/>
        <v/>
      </c>
      <c r="AI176" s="8" t="str">
        <f t="shared" si="10"/>
        <v/>
      </c>
      <c r="AJ176" s="8" t="str">
        <f t="shared" si="11"/>
        <v/>
      </c>
      <c r="AL176" s="8" t="str">
        <f t="shared" si="12"/>
        <v/>
      </c>
    </row>
    <row r="177" spans="1:38" x14ac:dyDescent="0.25">
      <c r="A177" s="8" t="s">
        <v>6596</v>
      </c>
      <c r="B177" s="8" t="s">
        <v>6597</v>
      </c>
      <c r="C177" s="8">
        <v>30934334</v>
      </c>
      <c r="D177" s="8">
        <v>5</v>
      </c>
      <c r="E177" s="11">
        <v>43115</v>
      </c>
      <c r="F177" s="8" t="s">
        <v>58</v>
      </c>
      <c r="G177" s="11">
        <v>43115</v>
      </c>
      <c r="H177" s="8" t="s">
        <v>25</v>
      </c>
      <c r="I177" s="11">
        <v>43115</v>
      </c>
      <c r="J177" s="8" t="s">
        <v>25</v>
      </c>
      <c r="N177" s="8" t="s">
        <v>58</v>
      </c>
      <c r="O177" s="8" t="s">
        <v>59</v>
      </c>
      <c r="P177" s="8" t="s">
        <v>59</v>
      </c>
      <c r="R177" s="8">
        <v>0</v>
      </c>
      <c r="S177" s="8">
        <v>0</v>
      </c>
      <c r="T177" s="8">
        <v>1</v>
      </c>
      <c r="U177" s="8">
        <v>2</v>
      </c>
      <c r="X177" s="8">
        <v>5</v>
      </c>
      <c r="AG177" s="8" t="str">
        <f t="shared" si="9"/>
        <v/>
      </c>
      <c r="AI177" s="8" t="str">
        <f t="shared" si="10"/>
        <v/>
      </c>
      <c r="AJ177" s="8" t="str">
        <f t="shared" si="11"/>
        <v/>
      </c>
      <c r="AL177" s="8" t="str">
        <f t="shared" si="12"/>
        <v/>
      </c>
    </row>
    <row r="178" spans="1:38" x14ac:dyDescent="0.25">
      <c r="A178" s="8" t="s">
        <v>3307</v>
      </c>
      <c r="B178" s="8" t="s">
        <v>3308</v>
      </c>
      <c r="C178" s="8">
        <v>30856247</v>
      </c>
      <c r="D178" s="8">
        <v>5</v>
      </c>
      <c r="E178" s="11">
        <v>43110</v>
      </c>
      <c r="F178" s="8" t="s">
        <v>58</v>
      </c>
      <c r="G178" s="11">
        <v>43111</v>
      </c>
      <c r="H178" s="8" t="s">
        <v>25</v>
      </c>
      <c r="I178" s="11">
        <v>43111</v>
      </c>
      <c r="J178" s="8" t="s">
        <v>25</v>
      </c>
      <c r="N178" s="8" t="s">
        <v>58</v>
      </c>
      <c r="O178" s="8" t="s">
        <v>59</v>
      </c>
      <c r="P178" s="8" t="s">
        <v>59</v>
      </c>
      <c r="R178" s="8">
        <v>0</v>
      </c>
      <c r="S178" s="8">
        <v>0</v>
      </c>
      <c r="T178" s="8">
        <v>1</v>
      </c>
      <c r="U178" s="8">
        <v>2</v>
      </c>
      <c r="X178" s="8">
        <v>5</v>
      </c>
      <c r="AG178" s="8" t="str">
        <f t="shared" si="9"/>
        <v/>
      </c>
      <c r="AI178" s="8" t="str">
        <f t="shared" si="10"/>
        <v/>
      </c>
      <c r="AJ178" s="8" t="str">
        <f t="shared" si="11"/>
        <v/>
      </c>
      <c r="AL178" s="8" t="str">
        <f t="shared" si="12"/>
        <v/>
      </c>
    </row>
    <row r="179" spans="1:38" x14ac:dyDescent="0.25">
      <c r="A179" s="8" t="s">
        <v>4793</v>
      </c>
      <c r="B179" s="8" t="s">
        <v>4794</v>
      </c>
      <c r="C179" s="8">
        <v>30916935</v>
      </c>
      <c r="D179" s="8">
        <v>5</v>
      </c>
      <c r="E179" s="11">
        <v>43112</v>
      </c>
      <c r="F179" s="8" t="s">
        <v>58</v>
      </c>
      <c r="G179" s="11">
        <v>43112</v>
      </c>
      <c r="H179" s="8" t="s">
        <v>25</v>
      </c>
      <c r="I179" s="11">
        <v>43112</v>
      </c>
      <c r="J179" s="8" t="s">
        <v>25</v>
      </c>
      <c r="N179" s="8" t="s">
        <v>58</v>
      </c>
      <c r="O179" s="8" t="s">
        <v>59</v>
      </c>
      <c r="P179" s="8" t="s">
        <v>59</v>
      </c>
      <c r="R179" s="8">
        <v>0</v>
      </c>
      <c r="S179" s="8">
        <v>0</v>
      </c>
      <c r="T179" s="8">
        <v>1</v>
      </c>
      <c r="U179" s="8">
        <v>2</v>
      </c>
      <c r="X179" s="8">
        <v>5</v>
      </c>
      <c r="AG179" s="8" t="str">
        <f t="shared" si="9"/>
        <v/>
      </c>
      <c r="AI179" s="8" t="str">
        <f t="shared" si="10"/>
        <v/>
      </c>
      <c r="AJ179" s="8" t="str">
        <f t="shared" si="11"/>
        <v/>
      </c>
      <c r="AL179" s="8" t="str">
        <f t="shared" si="12"/>
        <v/>
      </c>
    </row>
    <row r="180" spans="1:38" x14ac:dyDescent="0.25">
      <c r="A180" s="8" t="s">
        <v>6598</v>
      </c>
      <c r="B180" s="8" t="s">
        <v>6599</v>
      </c>
      <c r="C180" s="8">
        <v>30936074</v>
      </c>
      <c r="D180" s="8">
        <v>5</v>
      </c>
      <c r="E180" s="11">
        <v>43115</v>
      </c>
      <c r="F180" s="8" t="s">
        <v>57</v>
      </c>
      <c r="G180" s="11">
        <v>43115</v>
      </c>
      <c r="H180" s="8" t="s">
        <v>25</v>
      </c>
      <c r="J180" s="8" t="s">
        <v>25</v>
      </c>
      <c r="N180" s="8" t="s">
        <v>58</v>
      </c>
      <c r="O180" s="8" t="s">
        <v>59</v>
      </c>
      <c r="P180" s="8" t="s">
        <v>59</v>
      </c>
      <c r="R180" s="8">
        <v>0</v>
      </c>
      <c r="S180" s="8">
        <v>0</v>
      </c>
      <c r="T180" s="8">
        <v>1</v>
      </c>
      <c r="U180" s="8">
        <v>2</v>
      </c>
      <c r="AG180" s="8" t="str">
        <f t="shared" si="9"/>
        <v/>
      </c>
      <c r="AI180" s="8" t="str">
        <f t="shared" si="10"/>
        <v/>
      </c>
      <c r="AJ180" s="8" t="str">
        <f t="shared" si="11"/>
        <v/>
      </c>
      <c r="AL180" s="8" t="str">
        <f t="shared" si="12"/>
        <v/>
      </c>
    </row>
    <row r="181" spans="1:38" x14ac:dyDescent="0.25">
      <c r="A181" s="8" t="s">
        <v>4795</v>
      </c>
      <c r="B181" s="8" t="s">
        <v>4796</v>
      </c>
      <c r="C181" s="8">
        <v>30828147</v>
      </c>
      <c r="D181" s="8">
        <v>5</v>
      </c>
      <c r="E181" s="11">
        <v>43108</v>
      </c>
      <c r="F181" s="8" t="s">
        <v>60</v>
      </c>
      <c r="G181" s="11">
        <v>43112</v>
      </c>
      <c r="H181" s="8" t="s">
        <v>145</v>
      </c>
      <c r="J181" s="8" t="s">
        <v>25</v>
      </c>
      <c r="L181" s="8" t="s">
        <v>4797</v>
      </c>
      <c r="N181" s="8" t="s">
        <v>58</v>
      </c>
      <c r="O181" s="8" t="s">
        <v>59</v>
      </c>
      <c r="P181" s="8" t="s">
        <v>59</v>
      </c>
      <c r="R181" s="8">
        <v>0</v>
      </c>
      <c r="S181" s="8">
        <v>0</v>
      </c>
      <c r="T181" s="8">
        <v>1</v>
      </c>
      <c r="U181" s="8">
        <v>2</v>
      </c>
      <c r="W181" s="8">
        <v>4</v>
      </c>
      <c r="AG181" s="8" t="str">
        <f t="shared" si="9"/>
        <v/>
      </c>
      <c r="AI181" s="8" t="str">
        <f t="shared" si="10"/>
        <v/>
      </c>
      <c r="AJ181" s="8" t="str">
        <f t="shared" si="11"/>
        <v/>
      </c>
      <c r="AL181" s="8" t="str">
        <f t="shared" si="12"/>
        <v/>
      </c>
    </row>
    <row r="182" spans="1:38" x14ac:dyDescent="0.25">
      <c r="A182" s="8" t="s">
        <v>6600</v>
      </c>
      <c r="B182" s="8" t="s">
        <v>6601</v>
      </c>
      <c r="C182" s="8">
        <v>30866961</v>
      </c>
      <c r="D182" s="8">
        <v>5</v>
      </c>
      <c r="E182" s="11">
        <v>43110</v>
      </c>
      <c r="F182" s="8" t="s">
        <v>57</v>
      </c>
      <c r="G182" s="11">
        <v>43115</v>
      </c>
      <c r="H182" s="8" t="s">
        <v>145</v>
      </c>
      <c r="J182" s="8" t="s">
        <v>25</v>
      </c>
      <c r="N182" s="8" t="s">
        <v>58</v>
      </c>
      <c r="O182" s="8" t="s">
        <v>59</v>
      </c>
      <c r="P182" s="8" t="s">
        <v>59</v>
      </c>
      <c r="R182" s="8">
        <v>0</v>
      </c>
      <c r="S182" s="8">
        <v>0</v>
      </c>
      <c r="T182" s="8">
        <v>1</v>
      </c>
      <c r="U182" s="8">
        <v>2</v>
      </c>
      <c r="AG182" s="8" t="str">
        <f t="shared" si="9"/>
        <v/>
      </c>
      <c r="AI182" s="8" t="str">
        <f t="shared" si="10"/>
        <v/>
      </c>
      <c r="AJ182" s="8" t="str">
        <f t="shared" si="11"/>
        <v/>
      </c>
      <c r="AL182" s="8" t="str">
        <f t="shared" si="12"/>
        <v/>
      </c>
    </row>
    <row r="183" spans="1:38" x14ac:dyDescent="0.25">
      <c r="A183" s="8" t="s">
        <v>6602</v>
      </c>
      <c r="B183" s="8" t="s">
        <v>6603</v>
      </c>
      <c r="C183" s="8">
        <v>30938741</v>
      </c>
      <c r="D183" s="8">
        <v>5</v>
      </c>
      <c r="E183" s="11">
        <v>43115</v>
      </c>
      <c r="F183" s="8" t="s">
        <v>57</v>
      </c>
      <c r="G183" s="11">
        <v>43115</v>
      </c>
      <c r="H183" s="8" t="s">
        <v>25</v>
      </c>
      <c r="J183" s="8" t="s">
        <v>25</v>
      </c>
      <c r="N183" s="8" t="s">
        <v>58</v>
      </c>
      <c r="O183" s="8" t="s">
        <v>59</v>
      </c>
      <c r="P183" s="8" t="s">
        <v>59</v>
      </c>
      <c r="R183" s="8">
        <v>0</v>
      </c>
      <c r="S183" s="8">
        <v>0</v>
      </c>
      <c r="T183" s="8">
        <v>1</v>
      </c>
      <c r="U183" s="8">
        <v>2</v>
      </c>
      <c r="AG183" s="8" t="str">
        <f t="shared" si="9"/>
        <v/>
      </c>
      <c r="AI183" s="8" t="str">
        <f t="shared" si="10"/>
        <v/>
      </c>
      <c r="AJ183" s="8" t="str">
        <f t="shared" si="11"/>
        <v/>
      </c>
      <c r="AL183" s="8" t="str">
        <f t="shared" si="12"/>
        <v/>
      </c>
    </row>
    <row r="184" spans="1:38" x14ac:dyDescent="0.25">
      <c r="A184" s="8" t="s">
        <v>3309</v>
      </c>
      <c r="B184" s="8" t="s">
        <v>3310</v>
      </c>
      <c r="C184" s="8">
        <v>30884158</v>
      </c>
      <c r="D184" s="8">
        <v>5</v>
      </c>
      <c r="E184" s="11">
        <v>43111</v>
      </c>
      <c r="F184" s="8" t="s">
        <v>57</v>
      </c>
      <c r="G184" s="11">
        <v>43111</v>
      </c>
      <c r="H184" s="8" t="s">
        <v>25</v>
      </c>
      <c r="J184" s="8" t="s">
        <v>25</v>
      </c>
      <c r="N184" s="8" t="s">
        <v>58</v>
      </c>
      <c r="O184" s="8" t="s">
        <v>59</v>
      </c>
      <c r="P184" s="8" t="s">
        <v>59</v>
      </c>
      <c r="R184" s="8">
        <v>0</v>
      </c>
      <c r="S184" s="8">
        <v>0</v>
      </c>
      <c r="T184" s="8">
        <v>1</v>
      </c>
      <c r="U184" s="8">
        <v>2</v>
      </c>
      <c r="AG184" s="8" t="str">
        <f t="shared" si="9"/>
        <v/>
      </c>
      <c r="AI184" s="8" t="str">
        <f t="shared" si="10"/>
        <v/>
      </c>
      <c r="AJ184" s="8" t="str">
        <f t="shared" si="11"/>
        <v/>
      </c>
      <c r="AL184" s="8" t="str">
        <f t="shared" si="12"/>
        <v/>
      </c>
    </row>
    <row r="185" spans="1:38" x14ac:dyDescent="0.25">
      <c r="A185" s="8" t="s">
        <v>4798</v>
      </c>
      <c r="B185" s="8" t="s">
        <v>4799</v>
      </c>
      <c r="C185" s="8">
        <v>30922476</v>
      </c>
      <c r="D185" s="8">
        <v>5</v>
      </c>
      <c r="E185" s="11">
        <v>43112</v>
      </c>
      <c r="F185" s="8" t="s">
        <v>57</v>
      </c>
      <c r="G185" s="11">
        <v>43112</v>
      </c>
      <c r="H185" s="8" t="s">
        <v>25</v>
      </c>
      <c r="J185" s="8" t="s">
        <v>25</v>
      </c>
      <c r="N185" s="8" t="s">
        <v>58</v>
      </c>
      <c r="O185" s="8" t="s">
        <v>59</v>
      </c>
      <c r="P185" s="8" t="s">
        <v>59</v>
      </c>
      <c r="R185" s="8">
        <v>0</v>
      </c>
      <c r="S185" s="8">
        <v>0</v>
      </c>
      <c r="T185" s="8">
        <v>1</v>
      </c>
      <c r="U185" s="8">
        <v>2</v>
      </c>
      <c r="AG185" s="8" t="str">
        <f t="shared" si="9"/>
        <v/>
      </c>
      <c r="AI185" s="8" t="str">
        <f t="shared" si="10"/>
        <v/>
      </c>
      <c r="AJ185" s="8" t="str">
        <f t="shared" si="11"/>
        <v/>
      </c>
      <c r="AL185" s="8" t="str">
        <f t="shared" si="12"/>
        <v/>
      </c>
    </row>
    <row r="186" spans="1:38" x14ac:dyDescent="0.25">
      <c r="A186" s="8" t="s">
        <v>3311</v>
      </c>
      <c r="B186" s="8" t="s">
        <v>132</v>
      </c>
      <c r="C186" s="8">
        <v>30883719</v>
      </c>
      <c r="D186" s="8">
        <v>5</v>
      </c>
      <c r="E186" s="11">
        <v>43111</v>
      </c>
      <c r="F186" s="8" t="s">
        <v>57</v>
      </c>
      <c r="G186" s="11">
        <v>43111</v>
      </c>
      <c r="H186" s="8" t="s">
        <v>25</v>
      </c>
      <c r="J186" s="8" t="s">
        <v>25</v>
      </c>
      <c r="N186" s="8" t="s">
        <v>58</v>
      </c>
      <c r="O186" s="8" t="s">
        <v>59</v>
      </c>
      <c r="P186" s="8" t="s">
        <v>59</v>
      </c>
      <c r="R186" s="8">
        <v>0</v>
      </c>
      <c r="S186" s="8">
        <v>0</v>
      </c>
      <c r="T186" s="8">
        <v>1</v>
      </c>
      <c r="U186" s="8">
        <v>2</v>
      </c>
      <c r="AG186" s="8" t="str">
        <f t="shared" si="9"/>
        <v/>
      </c>
      <c r="AI186" s="8" t="str">
        <f t="shared" si="10"/>
        <v/>
      </c>
      <c r="AJ186" s="8" t="str">
        <f t="shared" si="11"/>
        <v/>
      </c>
      <c r="AL186" s="8" t="str">
        <f t="shared" si="12"/>
        <v/>
      </c>
    </row>
    <row r="187" spans="1:38" x14ac:dyDescent="0.25">
      <c r="A187" s="8" t="s">
        <v>190</v>
      </c>
      <c r="B187" s="8" t="s">
        <v>191</v>
      </c>
      <c r="C187" s="8">
        <v>30822892</v>
      </c>
      <c r="D187" s="8">
        <v>5</v>
      </c>
      <c r="E187" s="11">
        <v>43108</v>
      </c>
      <c r="F187" s="8" t="s">
        <v>58</v>
      </c>
      <c r="G187" s="11">
        <v>43108</v>
      </c>
      <c r="H187" s="8" t="s">
        <v>25</v>
      </c>
      <c r="I187" s="11">
        <v>43108</v>
      </c>
      <c r="J187" s="8" t="s">
        <v>25</v>
      </c>
      <c r="N187" s="8" t="s">
        <v>58</v>
      </c>
      <c r="O187" s="8" t="s">
        <v>59</v>
      </c>
      <c r="P187" s="8" t="s">
        <v>59</v>
      </c>
      <c r="R187" s="8">
        <v>0</v>
      </c>
      <c r="S187" s="8">
        <v>0</v>
      </c>
      <c r="T187" s="8">
        <v>1</v>
      </c>
      <c r="U187" s="8">
        <v>2</v>
      </c>
      <c r="X187" s="8">
        <v>5</v>
      </c>
      <c r="AG187" s="8" t="str">
        <f t="shared" si="9"/>
        <v/>
      </c>
      <c r="AI187" s="8" t="str">
        <f t="shared" si="10"/>
        <v/>
      </c>
      <c r="AJ187" s="8" t="str">
        <f t="shared" si="11"/>
        <v/>
      </c>
      <c r="AL187" s="8" t="str">
        <f t="shared" si="12"/>
        <v/>
      </c>
    </row>
    <row r="188" spans="1:38" x14ac:dyDescent="0.25">
      <c r="A188" s="8" t="s">
        <v>818</v>
      </c>
      <c r="B188" s="8" t="s">
        <v>819</v>
      </c>
      <c r="C188" s="8">
        <v>30817718</v>
      </c>
      <c r="D188" s="8">
        <v>5</v>
      </c>
      <c r="E188" s="11">
        <v>43108</v>
      </c>
      <c r="F188" s="8" t="s">
        <v>58</v>
      </c>
      <c r="G188" s="11">
        <v>43109</v>
      </c>
      <c r="H188" s="8" t="s">
        <v>25</v>
      </c>
      <c r="I188" s="11">
        <v>43115</v>
      </c>
      <c r="J188" s="8" t="s">
        <v>145</v>
      </c>
      <c r="N188" s="8" t="s">
        <v>58</v>
      </c>
      <c r="O188" s="8" t="s">
        <v>59</v>
      </c>
      <c r="P188" s="8" t="s">
        <v>59</v>
      </c>
      <c r="R188" s="8">
        <v>0</v>
      </c>
      <c r="S188" s="8">
        <v>0</v>
      </c>
      <c r="T188" s="8">
        <v>1</v>
      </c>
      <c r="U188" s="8">
        <v>2</v>
      </c>
      <c r="X188" s="8">
        <v>5</v>
      </c>
      <c r="AG188" s="8" t="str">
        <f t="shared" si="9"/>
        <v/>
      </c>
      <c r="AI188" s="8" t="str">
        <f t="shared" si="10"/>
        <v/>
      </c>
      <c r="AJ188" s="8" t="str">
        <f t="shared" si="11"/>
        <v/>
      </c>
      <c r="AL188" s="8" t="str">
        <f t="shared" si="12"/>
        <v/>
      </c>
    </row>
    <row r="189" spans="1:38" x14ac:dyDescent="0.25">
      <c r="A189" s="8" t="s">
        <v>1689</v>
      </c>
      <c r="B189" s="8" t="s">
        <v>1690</v>
      </c>
      <c r="C189" s="8">
        <v>30874025</v>
      </c>
      <c r="D189" s="8">
        <v>5</v>
      </c>
      <c r="E189" s="11">
        <v>43110</v>
      </c>
      <c r="F189" s="8" t="s">
        <v>57</v>
      </c>
      <c r="G189" s="11">
        <v>43110</v>
      </c>
      <c r="H189" s="8" t="s">
        <v>25</v>
      </c>
      <c r="J189" s="8" t="s">
        <v>25</v>
      </c>
      <c r="N189" s="8" t="s">
        <v>58</v>
      </c>
      <c r="O189" s="8" t="s">
        <v>59</v>
      </c>
      <c r="P189" s="8" t="s">
        <v>59</v>
      </c>
      <c r="R189" s="8">
        <v>0</v>
      </c>
      <c r="S189" s="8">
        <v>0</v>
      </c>
      <c r="T189" s="8">
        <v>1</v>
      </c>
      <c r="U189" s="8">
        <v>2</v>
      </c>
      <c r="AG189" s="8" t="str">
        <f t="shared" si="9"/>
        <v/>
      </c>
      <c r="AI189" s="8" t="str">
        <f t="shared" si="10"/>
        <v/>
      </c>
      <c r="AJ189" s="8" t="str">
        <f t="shared" si="11"/>
        <v/>
      </c>
      <c r="AL189" s="8" t="str">
        <f t="shared" si="12"/>
        <v/>
      </c>
    </row>
    <row r="190" spans="1:38" x14ac:dyDescent="0.25">
      <c r="A190" s="8" t="s">
        <v>1691</v>
      </c>
      <c r="B190" s="8" t="s">
        <v>1692</v>
      </c>
      <c r="C190" s="8">
        <v>30858384</v>
      </c>
      <c r="D190" s="8">
        <v>5</v>
      </c>
      <c r="E190" s="11">
        <v>43110</v>
      </c>
      <c r="F190" s="8" t="s">
        <v>58</v>
      </c>
      <c r="G190" s="11">
        <v>43110</v>
      </c>
      <c r="H190" s="8" t="s">
        <v>25</v>
      </c>
      <c r="I190" s="11">
        <v>43110</v>
      </c>
      <c r="J190" s="8" t="s">
        <v>25</v>
      </c>
      <c r="N190" s="8" t="s">
        <v>58</v>
      </c>
      <c r="O190" s="8" t="s">
        <v>59</v>
      </c>
      <c r="P190" s="8" t="s">
        <v>59</v>
      </c>
      <c r="R190" s="8">
        <v>0</v>
      </c>
      <c r="S190" s="8">
        <v>0</v>
      </c>
      <c r="T190" s="8">
        <v>1</v>
      </c>
      <c r="U190" s="8">
        <v>2</v>
      </c>
      <c r="X190" s="8">
        <v>5</v>
      </c>
      <c r="AG190" s="8" t="str">
        <f t="shared" si="9"/>
        <v/>
      </c>
      <c r="AI190" s="8" t="str">
        <f t="shared" si="10"/>
        <v/>
      </c>
      <c r="AJ190" s="8" t="str">
        <f t="shared" si="11"/>
        <v/>
      </c>
      <c r="AL190" s="8" t="str">
        <f t="shared" si="12"/>
        <v/>
      </c>
    </row>
    <row r="191" spans="1:38" x14ac:dyDescent="0.25">
      <c r="A191" s="8" t="s">
        <v>820</v>
      </c>
      <c r="B191" s="8" t="s">
        <v>821</v>
      </c>
      <c r="C191" s="8">
        <v>30838816</v>
      </c>
      <c r="D191" s="8">
        <v>5</v>
      </c>
      <c r="E191" s="11">
        <v>43109</v>
      </c>
      <c r="F191" s="8" t="s">
        <v>58</v>
      </c>
      <c r="G191" s="11">
        <v>43109</v>
      </c>
      <c r="H191" s="8" t="s">
        <v>25</v>
      </c>
      <c r="I191" s="11">
        <v>43109</v>
      </c>
      <c r="J191" s="8" t="s">
        <v>25</v>
      </c>
      <c r="N191" s="8" t="s">
        <v>58</v>
      </c>
      <c r="O191" s="8" t="s">
        <v>59</v>
      </c>
      <c r="P191" s="8" t="s">
        <v>59</v>
      </c>
      <c r="R191" s="8">
        <v>0</v>
      </c>
      <c r="S191" s="8">
        <v>0</v>
      </c>
      <c r="T191" s="8">
        <v>1</v>
      </c>
      <c r="U191" s="8">
        <v>2</v>
      </c>
      <c r="X191" s="8">
        <v>5</v>
      </c>
      <c r="AG191" s="8" t="str">
        <f t="shared" si="9"/>
        <v/>
      </c>
      <c r="AI191" s="8" t="str">
        <f t="shared" si="10"/>
        <v/>
      </c>
      <c r="AJ191" s="8" t="str">
        <f t="shared" si="11"/>
        <v/>
      </c>
      <c r="AL191" s="8" t="str">
        <f t="shared" si="12"/>
        <v/>
      </c>
    </row>
    <row r="192" spans="1:38" x14ac:dyDescent="0.25">
      <c r="A192" s="8" t="s">
        <v>1693</v>
      </c>
      <c r="B192" s="8" t="s">
        <v>1694</v>
      </c>
      <c r="C192" s="8">
        <v>30814684</v>
      </c>
      <c r="D192" s="8">
        <v>5</v>
      </c>
      <c r="E192" s="11">
        <v>43108</v>
      </c>
      <c r="F192" s="8" t="s">
        <v>57</v>
      </c>
      <c r="G192" s="11">
        <v>43110</v>
      </c>
      <c r="H192" s="8" t="s">
        <v>25</v>
      </c>
      <c r="J192" s="8" t="s">
        <v>25</v>
      </c>
      <c r="N192" s="8" t="s">
        <v>58</v>
      </c>
      <c r="O192" s="8" t="s">
        <v>59</v>
      </c>
      <c r="P192" s="8" t="s">
        <v>59</v>
      </c>
      <c r="R192" s="8">
        <v>0</v>
      </c>
      <c r="S192" s="8">
        <v>0</v>
      </c>
      <c r="T192" s="8">
        <v>1</v>
      </c>
      <c r="U192" s="8">
        <v>2</v>
      </c>
      <c r="AG192" s="8" t="str">
        <f t="shared" si="9"/>
        <v/>
      </c>
      <c r="AI192" s="8" t="str">
        <f t="shared" si="10"/>
        <v/>
      </c>
      <c r="AJ192" s="8" t="str">
        <f t="shared" si="11"/>
        <v/>
      </c>
      <c r="AL192" s="8" t="str">
        <f t="shared" si="12"/>
        <v/>
      </c>
    </row>
    <row r="193" spans="1:38" x14ac:dyDescent="0.25">
      <c r="A193" s="8" t="s">
        <v>1695</v>
      </c>
      <c r="B193" s="8" t="s">
        <v>1696</v>
      </c>
      <c r="C193" s="8">
        <v>30870882</v>
      </c>
      <c r="D193" s="8">
        <v>5</v>
      </c>
      <c r="E193" s="11">
        <v>43110</v>
      </c>
      <c r="F193" s="8" t="s">
        <v>58</v>
      </c>
      <c r="G193" s="11">
        <v>43110</v>
      </c>
      <c r="H193" s="8" t="s">
        <v>25</v>
      </c>
      <c r="I193" s="11">
        <v>43110</v>
      </c>
      <c r="J193" s="8" t="s">
        <v>25</v>
      </c>
      <c r="N193" s="8" t="s">
        <v>58</v>
      </c>
      <c r="O193" s="8" t="s">
        <v>59</v>
      </c>
      <c r="P193" s="8" t="s">
        <v>59</v>
      </c>
      <c r="R193" s="8">
        <v>0</v>
      </c>
      <c r="S193" s="8">
        <v>0</v>
      </c>
      <c r="T193" s="8">
        <v>1</v>
      </c>
      <c r="U193" s="8">
        <v>2</v>
      </c>
      <c r="X193" s="8">
        <v>5</v>
      </c>
      <c r="AG193" s="8" t="str">
        <f t="shared" si="9"/>
        <v/>
      </c>
      <c r="AI193" s="8" t="str">
        <f t="shared" si="10"/>
        <v/>
      </c>
      <c r="AJ193" s="8" t="str">
        <f t="shared" si="11"/>
        <v/>
      </c>
      <c r="AL193" s="8" t="str">
        <f t="shared" si="12"/>
        <v/>
      </c>
    </row>
    <row r="194" spans="1:38" x14ac:dyDescent="0.25">
      <c r="A194" s="8" t="s">
        <v>6604</v>
      </c>
      <c r="B194" s="8" t="s">
        <v>6605</v>
      </c>
      <c r="C194" s="8">
        <v>30933973</v>
      </c>
      <c r="D194" s="8">
        <v>5</v>
      </c>
      <c r="E194" s="11">
        <v>43115</v>
      </c>
      <c r="F194" s="8" t="s">
        <v>57</v>
      </c>
      <c r="G194" s="11">
        <v>43115</v>
      </c>
      <c r="H194" s="8" t="s">
        <v>25</v>
      </c>
      <c r="J194" s="8" t="s">
        <v>25</v>
      </c>
      <c r="N194" s="8" t="s">
        <v>58</v>
      </c>
      <c r="O194" s="8" t="s">
        <v>59</v>
      </c>
      <c r="P194" s="8" t="s">
        <v>59</v>
      </c>
      <c r="R194" s="8">
        <v>0</v>
      </c>
      <c r="S194" s="8">
        <v>0</v>
      </c>
      <c r="T194" s="8">
        <v>1</v>
      </c>
      <c r="U194" s="8">
        <v>2</v>
      </c>
      <c r="AG194" s="8" t="str">
        <f t="shared" si="9"/>
        <v/>
      </c>
      <c r="AI194" s="8" t="str">
        <f t="shared" si="10"/>
        <v/>
      </c>
      <c r="AJ194" s="8" t="str">
        <f t="shared" si="11"/>
        <v/>
      </c>
      <c r="AL194" s="8" t="str">
        <f t="shared" si="12"/>
        <v/>
      </c>
    </row>
    <row r="195" spans="1:38" x14ac:dyDescent="0.25">
      <c r="A195" s="8" t="s">
        <v>822</v>
      </c>
      <c r="B195" s="8" t="s">
        <v>823</v>
      </c>
      <c r="C195" s="8">
        <v>30852487</v>
      </c>
      <c r="D195" s="8">
        <v>5</v>
      </c>
      <c r="E195" s="11">
        <v>43109</v>
      </c>
      <c r="F195" s="8" t="s">
        <v>58</v>
      </c>
      <c r="G195" s="11">
        <v>43109</v>
      </c>
      <c r="H195" s="8" t="s">
        <v>25</v>
      </c>
      <c r="I195" s="11">
        <v>43115</v>
      </c>
      <c r="J195" s="8" t="s">
        <v>145</v>
      </c>
      <c r="N195" s="8" t="s">
        <v>58</v>
      </c>
      <c r="O195" s="8" t="s">
        <v>59</v>
      </c>
      <c r="P195" s="8" t="s">
        <v>59</v>
      </c>
      <c r="R195" s="8">
        <v>0</v>
      </c>
      <c r="S195" s="8">
        <v>0</v>
      </c>
      <c r="T195" s="8">
        <v>1</v>
      </c>
      <c r="U195" s="8">
        <v>2</v>
      </c>
      <c r="X195" s="8">
        <v>5</v>
      </c>
      <c r="AG195" s="8" t="str">
        <f t="shared" ref="AG195:AG258" si="13">IF(AND(U195="",G195&lt;&gt;"",NOT(OR(R195,S195))),IF(NETWORKDAYS.INTL(G195,TODAY(),11)&lt;5,"En Plazo",IF(NETWORKDAYS.INTL(G195,TODAY(),11)=5,"Riesgo Incumplimiento","FALTA_02")),"")</f>
        <v/>
      </c>
      <c r="AI195" s="8" t="str">
        <f t="shared" ref="AI195:AI258" si="14">IF(AND(O195&lt;&gt;"B1",F195="Rejected"),IF(W195="","FALTA_04",""),"")</f>
        <v/>
      </c>
      <c r="AJ195" s="8" t="str">
        <f t="shared" ref="AJ195:AJ258" si="15">IF(AND(X195="",I195&lt;&gt;"",NOT(OR(R195,S195))),IF(NETWORKDAYS.INTL(G195,TODAY(),11)&lt;=1,"En Plazo",IF(OR(AND(X195="",O195&lt;&gt;"M1"),AND(O195="M1",(OR(Q195="S - S",Q195="S - T",)))),"FALTA_05","")),"")</f>
        <v/>
      </c>
      <c r="AL195" s="8" t="str">
        <f t="shared" ref="AL195:AL258" si="16">IF(AND(O195="B1",F195="Rejected"),IF(Z195="","FALTA_07",""),"")</f>
        <v/>
      </c>
    </row>
    <row r="196" spans="1:38" x14ac:dyDescent="0.25">
      <c r="A196" s="8" t="s">
        <v>6606</v>
      </c>
      <c r="B196" s="8" t="s">
        <v>6607</v>
      </c>
      <c r="C196" s="8">
        <v>30870034</v>
      </c>
      <c r="D196" s="8">
        <v>5</v>
      </c>
      <c r="E196" s="11">
        <v>43110</v>
      </c>
      <c r="F196" s="8" t="s">
        <v>57</v>
      </c>
      <c r="G196" s="11">
        <v>43115</v>
      </c>
      <c r="H196" s="8" t="s">
        <v>145</v>
      </c>
      <c r="J196" s="8" t="s">
        <v>25</v>
      </c>
      <c r="N196" s="8" t="s">
        <v>58</v>
      </c>
      <c r="O196" s="8" t="s">
        <v>59</v>
      </c>
      <c r="P196" s="8" t="s">
        <v>59</v>
      </c>
      <c r="R196" s="8">
        <v>0</v>
      </c>
      <c r="S196" s="8">
        <v>0</v>
      </c>
      <c r="T196" s="8">
        <v>1</v>
      </c>
      <c r="U196" s="8">
        <v>2</v>
      </c>
      <c r="AG196" s="8" t="str">
        <f t="shared" si="13"/>
        <v/>
      </c>
      <c r="AI196" s="8" t="str">
        <f t="shared" si="14"/>
        <v/>
      </c>
      <c r="AJ196" s="8" t="str">
        <f t="shared" si="15"/>
        <v/>
      </c>
      <c r="AL196" s="8" t="str">
        <f t="shared" si="16"/>
        <v/>
      </c>
    </row>
    <row r="197" spans="1:38" x14ac:dyDescent="0.25">
      <c r="A197" s="8" t="s">
        <v>3312</v>
      </c>
      <c r="B197" s="8" t="s">
        <v>3313</v>
      </c>
      <c r="C197" s="8">
        <v>30887687</v>
      </c>
      <c r="D197" s="8">
        <v>5</v>
      </c>
      <c r="E197" s="11">
        <v>43111</v>
      </c>
      <c r="F197" s="8" t="s">
        <v>58</v>
      </c>
      <c r="G197" s="11">
        <v>43111</v>
      </c>
      <c r="H197" s="8" t="s">
        <v>25</v>
      </c>
      <c r="I197" s="11">
        <v>43112</v>
      </c>
      <c r="J197" s="8" t="s">
        <v>25</v>
      </c>
      <c r="N197" s="8" t="s">
        <v>58</v>
      </c>
      <c r="O197" s="8" t="s">
        <v>59</v>
      </c>
      <c r="P197" s="8" t="s">
        <v>59</v>
      </c>
      <c r="R197" s="8">
        <v>0</v>
      </c>
      <c r="S197" s="8">
        <v>0</v>
      </c>
      <c r="T197" s="8">
        <v>1</v>
      </c>
      <c r="U197" s="8">
        <v>2</v>
      </c>
      <c r="X197" s="8">
        <v>5</v>
      </c>
      <c r="AG197" s="8" t="str">
        <f t="shared" si="13"/>
        <v/>
      </c>
      <c r="AI197" s="8" t="str">
        <f t="shared" si="14"/>
        <v/>
      </c>
      <c r="AJ197" s="8" t="str">
        <f t="shared" si="15"/>
        <v/>
      </c>
      <c r="AL197" s="8" t="str">
        <f t="shared" si="16"/>
        <v/>
      </c>
    </row>
    <row r="198" spans="1:38" x14ac:dyDescent="0.25">
      <c r="A198" s="8" t="s">
        <v>6608</v>
      </c>
      <c r="B198" s="8" t="s">
        <v>6609</v>
      </c>
      <c r="C198" s="8">
        <v>30947690</v>
      </c>
      <c r="D198" s="8">
        <v>5</v>
      </c>
      <c r="E198" s="11">
        <v>43115</v>
      </c>
      <c r="F198" s="8" t="s">
        <v>57</v>
      </c>
      <c r="G198" s="11">
        <v>43115</v>
      </c>
      <c r="H198" s="8" t="s">
        <v>25</v>
      </c>
      <c r="J198" s="8" t="s">
        <v>25</v>
      </c>
      <c r="N198" s="8" t="s">
        <v>58</v>
      </c>
      <c r="O198" s="8" t="s">
        <v>59</v>
      </c>
      <c r="P198" s="8" t="s">
        <v>59</v>
      </c>
      <c r="R198" s="8">
        <v>0</v>
      </c>
      <c r="S198" s="8">
        <v>0</v>
      </c>
      <c r="T198" s="8">
        <v>1</v>
      </c>
      <c r="U198" s="8">
        <v>2</v>
      </c>
      <c r="AG198" s="8" t="str">
        <f t="shared" si="13"/>
        <v/>
      </c>
      <c r="AI198" s="8" t="str">
        <f t="shared" si="14"/>
        <v/>
      </c>
      <c r="AJ198" s="8" t="str">
        <f t="shared" si="15"/>
        <v/>
      </c>
      <c r="AL198" s="8" t="str">
        <f t="shared" si="16"/>
        <v/>
      </c>
    </row>
    <row r="199" spans="1:38" x14ac:dyDescent="0.25">
      <c r="A199" s="8" t="s">
        <v>4800</v>
      </c>
      <c r="B199" s="8" t="s">
        <v>4801</v>
      </c>
      <c r="C199" s="8">
        <v>30911877</v>
      </c>
      <c r="D199" s="8">
        <v>5</v>
      </c>
      <c r="E199" s="11">
        <v>43112</v>
      </c>
      <c r="F199" s="8" t="s">
        <v>58</v>
      </c>
      <c r="G199" s="11">
        <v>43112</v>
      </c>
      <c r="H199" s="8" t="s">
        <v>25</v>
      </c>
      <c r="I199" s="11">
        <v>43112</v>
      </c>
      <c r="J199" s="8" t="s">
        <v>25</v>
      </c>
      <c r="N199" s="8" t="s">
        <v>58</v>
      </c>
      <c r="O199" s="8" t="s">
        <v>59</v>
      </c>
      <c r="P199" s="8" t="s">
        <v>59</v>
      </c>
      <c r="R199" s="8">
        <v>0</v>
      </c>
      <c r="S199" s="8">
        <v>0</v>
      </c>
      <c r="T199" s="8">
        <v>1</v>
      </c>
      <c r="U199" s="8">
        <v>2</v>
      </c>
      <c r="X199" s="8">
        <v>5</v>
      </c>
      <c r="AG199" s="8" t="str">
        <f t="shared" si="13"/>
        <v/>
      </c>
      <c r="AI199" s="8" t="str">
        <f t="shared" si="14"/>
        <v/>
      </c>
      <c r="AJ199" s="8" t="str">
        <f t="shared" si="15"/>
        <v/>
      </c>
      <c r="AL199" s="8" t="str">
        <f t="shared" si="16"/>
        <v/>
      </c>
    </row>
    <row r="200" spans="1:38" x14ac:dyDescent="0.25">
      <c r="A200" s="8" t="s">
        <v>4802</v>
      </c>
      <c r="B200" s="8" t="s">
        <v>4803</v>
      </c>
      <c r="C200" s="8">
        <v>30900305</v>
      </c>
      <c r="D200" s="8">
        <v>5</v>
      </c>
      <c r="E200" s="11">
        <v>43111</v>
      </c>
      <c r="F200" s="8" t="s">
        <v>57</v>
      </c>
      <c r="G200" s="11">
        <v>43112</v>
      </c>
      <c r="H200" s="8" t="s">
        <v>25</v>
      </c>
      <c r="J200" s="8" t="s">
        <v>25</v>
      </c>
      <c r="N200" s="8" t="s">
        <v>58</v>
      </c>
      <c r="O200" s="8" t="s">
        <v>59</v>
      </c>
      <c r="P200" s="8" t="s">
        <v>59</v>
      </c>
      <c r="R200" s="8">
        <v>0</v>
      </c>
      <c r="S200" s="8">
        <v>0</v>
      </c>
      <c r="T200" s="8">
        <v>1</v>
      </c>
      <c r="U200" s="8">
        <v>2</v>
      </c>
      <c r="AG200" s="8" t="str">
        <f t="shared" si="13"/>
        <v/>
      </c>
      <c r="AI200" s="8" t="str">
        <f t="shared" si="14"/>
        <v/>
      </c>
      <c r="AJ200" s="8" t="str">
        <f t="shared" si="15"/>
        <v/>
      </c>
      <c r="AL200" s="8" t="str">
        <f t="shared" si="16"/>
        <v/>
      </c>
    </row>
    <row r="201" spans="1:38" x14ac:dyDescent="0.25">
      <c r="A201" s="8" t="s">
        <v>3314</v>
      </c>
      <c r="B201" s="8" t="s">
        <v>77</v>
      </c>
      <c r="C201" s="8">
        <v>30881638</v>
      </c>
      <c r="D201" s="8">
        <v>4</v>
      </c>
      <c r="E201" s="11">
        <v>43111</v>
      </c>
      <c r="F201" s="8" t="s">
        <v>60</v>
      </c>
      <c r="G201" s="11">
        <v>43111</v>
      </c>
      <c r="H201" s="8" t="s">
        <v>25</v>
      </c>
      <c r="J201" s="8" t="s">
        <v>25</v>
      </c>
      <c r="L201" s="8" t="s">
        <v>6525</v>
      </c>
      <c r="N201" s="8" t="s">
        <v>58</v>
      </c>
      <c r="O201" s="8" t="s">
        <v>59</v>
      </c>
      <c r="P201" s="8" t="s">
        <v>59</v>
      </c>
      <c r="R201" s="8">
        <v>0</v>
      </c>
      <c r="S201" s="8">
        <v>0</v>
      </c>
      <c r="T201" s="8">
        <v>1</v>
      </c>
      <c r="U201" s="8">
        <v>2</v>
      </c>
      <c r="W201" s="8">
        <v>4</v>
      </c>
      <c r="AG201" s="8" t="str">
        <f t="shared" si="13"/>
        <v/>
      </c>
      <c r="AI201" s="8" t="str">
        <f t="shared" si="14"/>
        <v/>
      </c>
      <c r="AJ201" s="8" t="str">
        <f t="shared" si="15"/>
        <v/>
      </c>
      <c r="AL201" s="8" t="str">
        <f t="shared" si="16"/>
        <v/>
      </c>
    </row>
    <row r="202" spans="1:38" x14ac:dyDescent="0.25">
      <c r="A202" s="8" t="s">
        <v>824</v>
      </c>
      <c r="B202" s="8" t="s">
        <v>825</v>
      </c>
      <c r="C202" s="8">
        <v>30819980</v>
      </c>
      <c r="D202" s="8">
        <v>5</v>
      </c>
      <c r="E202" s="11">
        <v>43108</v>
      </c>
      <c r="F202" s="8" t="s">
        <v>58</v>
      </c>
      <c r="G202" s="11">
        <v>43109</v>
      </c>
      <c r="H202" s="8" t="s">
        <v>25</v>
      </c>
      <c r="I202" s="11">
        <v>43115</v>
      </c>
      <c r="J202" s="8" t="s">
        <v>145</v>
      </c>
      <c r="N202" s="8" t="s">
        <v>58</v>
      </c>
      <c r="O202" s="8" t="s">
        <v>59</v>
      </c>
      <c r="P202" s="8" t="s">
        <v>59</v>
      </c>
      <c r="R202" s="8">
        <v>0</v>
      </c>
      <c r="S202" s="8">
        <v>0</v>
      </c>
      <c r="T202" s="8">
        <v>1</v>
      </c>
      <c r="U202" s="8">
        <v>2</v>
      </c>
      <c r="X202" s="8">
        <v>5</v>
      </c>
      <c r="AG202" s="8" t="str">
        <f t="shared" si="13"/>
        <v/>
      </c>
      <c r="AI202" s="8" t="str">
        <f t="shared" si="14"/>
        <v/>
      </c>
      <c r="AJ202" s="8" t="str">
        <f t="shared" si="15"/>
        <v/>
      </c>
      <c r="AL202" s="8" t="str">
        <f t="shared" si="16"/>
        <v/>
      </c>
    </row>
    <row r="203" spans="1:38" x14ac:dyDescent="0.25">
      <c r="A203" s="8" t="s">
        <v>6610</v>
      </c>
      <c r="B203" s="8" t="s">
        <v>6611</v>
      </c>
      <c r="C203" s="8">
        <v>30873735</v>
      </c>
      <c r="D203" s="8">
        <v>5</v>
      </c>
      <c r="E203" s="11">
        <v>43110</v>
      </c>
      <c r="F203" s="8" t="s">
        <v>57</v>
      </c>
      <c r="G203" s="11">
        <v>43115</v>
      </c>
      <c r="H203" s="8" t="s">
        <v>145</v>
      </c>
      <c r="J203" s="8" t="s">
        <v>25</v>
      </c>
      <c r="N203" s="8" t="s">
        <v>58</v>
      </c>
      <c r="O203" s="8" t="s">
        <v>59</v>
      </c>
      <c r="P203" s="8" t="s">
        <v>59</v>
      </c>
      <c r="R203" s="8">
        <v>0</v>
      </c>
      <c r="S203" s="8">
        <v>0</v>
      </c>
      <c r="T203" s="8">
        <v>1</v>
      </c>
      <c r="U203" s="8">
        <v>2</v>
      </c>
      <c r="AG203" s="8" t="str">
        <f t="shared" si="13"/>
        <v/>
      </c>
      <c r="AI203" s="8" t="str">
        <f t="shared" si="14"/>
        <v/>
      </c>
      <c r="AJ203" s="8" t="str">
        <f t="shared" si="15"/>
        <v/>
      </c>
      <c r="AL203" s="8" t="str">
        <f t="shared" si="16"/>
        <v/>
      </c>
    </row>
    <row r="204" spans="1:38" x14ac:dyDescent="0.25">
      <c r="A204" s="8" t="s">
        <v>4804</v>
      </c>
      <c r="B204" s="8" t="s">
        <v>4805</v>
      </c>
      <c r="C204" s="8">
        <v>30911198</v>
      </c>
      <c r="D204" s="8">
        <v>5</v>
      </c>
      <c r="E204" s="11">
        <v>43112</v>
      </c>
      <c r="F204" s="8" t="s">
        <v>60</v>
      </c>
      <c r="G204" s="11">
        <v>43112</v>
      </c>
      <c r="H204" s="8" t="s">
        <v>25</v>
      </c>
      <c r="J204" s="8" t="s">
        <v>25</v>
      </c>
      <c r="L204" s="8" t="s">
        <v>6525</v>
      </c>
      <c r="N204" s="8" t="s">
        <v>58</v>
      </c>
      <c r="O204" s="8" t="s">
        <v>59</v>
      </c>
      <c r="P204" s="8" t="s">
        <v>59</v>
      </c>
      <c r="R204" s="8">
        <v>0</v>
      </c>
      <c r="S204" s="8">
        <v>0</v>
      </c>
      <c r="T204" s="8">
        <v>1</v>
      </c>
      <c r="U204" s="8">
        <v>2</v>
      </c>
      <c r="W204" s="8">
        <v>4</v>
      </c>
      <c r="AG204" s="8" t="str">
        <f t="shared" si="13"/>
        <v/>
      </c>
      <c r="AI204" s="8" t="str">
        <f t="shared" si="14"/>
        <v/>
      </c>
      <c r="AJ204" s="8" t="str">
        <f t="shared" si="15"/>
        <v/>
      </c>
      <c r="AL204" s="8" t="str">
        <f t="shared" si="16"/>
        <v/>
      </c>
    </row>
    <row r="205" spans="1:38" x14ac:dyDescent="0.25">
      <c r="A205" s="8" t="s">
        <v>3315</v>
      </c>
      <c r="B205" s="8" t="s">
        <v>3316</v>
      </c>
      <c r="C205" s="8">
        <v>30862830</v>
      </c>
      <c r="D205" s="8">
        <v>5</v>
      </c>
      <c r="E205" s="11">
        <v>43110</v>
      </c>
      <c r="F205" s="8" t="s">
        <v>57</v>
      </c>
      <c r="G205" s="11">
        <v>43111</v>
      </c>
      <c r="H205" s="8" t="s">
        <v>25</v>
      </c>
      <c r="J205" s="8" t="s">
        <v>25</v>
      </c>
      <c r="N205" s="8" t="s">
        <v>58</v>
      </c>
      <c r="O205" s="8" t="s">
        <v>59</v>
      </c>
      <c r="P205" s="8" t="s">
        <v>59</v>
      </c>
      <c r="R205" s="8">
        <v>0</v>
      </c>
      <c r="S205" s="8">
        <v>0</v>
      </c>
      <c r="T205" s="8">
        <v>1</v>
      </c>
      <c r="U205" s="8">
        <v>2</v>
      </c>
      <c r="AG205" s="8" t="str">
        <f t="shared" si="13"/>
        <v/>
      </c>
      <c r="AI205" s="8" t="str">
        <f t="shared" si="14"/>
        <v/>
      </c>
      <c r="AJ205" s="8" t="str">
        <f t="shared" si="15"/>
        <v/>
      </c>
      <c r="AL205" s="8" t="str">
        <f t="shared" si="16"/>
        <v/>
      </c>
    </row>
    <row r="206" spans="1:38" x14ac:dyDescent="0.25">
      <c r="A206" s="8" t="s">
        <v>1697</v>
      </c>
      <c r="B206" s="8" t="s">
        <v>1698</v>
      </c>
      <c r="C206" s="8">
        <v>30838951</v>
      </c>
      <c r="D206" s="8">
        <v>5</v>
      </c>
      <c r="E206" s="11">
        <v>43109</v>
      </c>
      <c r="F206" s="8" t="s">
        <v>58</v>
      </c>
      <c r="G206" s="11">
        <v>43110</v>
      </c>
      <c r="H206" s="8" t="s">
        <v>25</v>
      </c>
      <c r="I206" s="11">
        <v>43110</v>
      </c>
      <c r="J206" s="8" t="s">
        <v>25</v>
      </c>
      <c r="N206" s="8" t="s">
        <v>58</v>
      </c>
      <c r="O206" s="8" t="s">
        <v>59</v>
      </c>
      <c r="P206" s="8" t="s">
        <v>59</v>
      </c>
      <c r="R206" s="8">
        <v>0</v>
      </c>
      <c r="S206" s="8">
        <v>0</v>
      </c>
      <c r="T206" s="8">
        <v>1</v>
      </c>
      <c r="U206" s="8">
        <v>2</v>
      </c>
      <c r="X206" s="8">
        <v>5</v>
      </c>
      <c r="AG206" s="8" t="str">
        <f t="shared" si="13"/>
        <v/>
      </c>
      <c r="AI206" s="8" t="str">
        <f t="shared" si="14"/>
        <v/>
      </c>
      <c r="AJ206" s="8" t="str">
        <f t="shared" si="15"/>
        <v/>
      </c>
      <c r="AL206" s="8" t="str">
        <f t="shared" si="16"/>
        <v/>
      </c>
    </row>
    <row r="207" spans="1:38" x14ac:dyDescent="0.25">
      <c r="A207" s="8" t="s">
        <v>6612</v>
      </c>
      <c r="B207" s="8" t="s">
        <v>6613</v>
      </c>
      <c r="C207" s="8">
        <v>30908898</v>
      </c>
      <c r="D207" s="8">
        <v>5</v>
      </c>
      <c r="E207" s="11">
        <v>43112</v>
      </c>
      <c r="F207" s="8" t="s">
        <v>57</v>
      </c>
      <c r="G207" s="11">
        <v>43115</v>
      </c>
      <c r="H207" s="8" t="s">
        <v>25</v>
      </c>
      <c r="J207" s="8" t="s">
        <v>25</v>
      </c>
      <c r="N207" s="8" t="s">
        <v>58</v>
      </c>
      <c r="O207" s="8" t="s">
        <v>59</v>
      </c>
      <c r="P207" s="8" t="s">
        <v>59</v>
      </c>
      <c r="R207" s="8">
        <v>0</v>
      </c>
      <c r="S207" s="8">
        <v>0</v>
      </c>
      <c r="T207" s="8">
        <v>1</v>
      </c>
      <c r="U207" s="8">
        <v>2</v>
      </c>
      <c r="AG207" s="8" t="str">
        <f t="shared" si="13"/>
        <v/>
      </c>
      <c r="AI207" s="8" t="str">
        <f t="shared" si="14"/>
        <v/>
      </c>
      <c r="AJ207" s="8" t="str">
        <f t="shared" si="15"/>
        <v/>
      </c>
      <c r="AL207" s="8" t="str">
        <f t="shared" si="16"/>
        <v/>
      </c>
    </row>
    <row r="208" spans="1:38" x14ac:dyDescent="0.25">
      <c r="A208" s="8" t="s">
        <v>6614</v>
      </c>
      <c r="B208" s="8" t="s">
        <v>6615</v>
      </c>
      <c r="C208" s="8">
        <v>30906278</v>
      </c>
      <c r="D208" s="8">
        <v>5</v>
      </c>
      <c r="E208" s="11">
        <v>43112</v>
      </c>
      <c r="F208" s="8" t="s">
        <v>57</v>
      </c>
      <c r="G208" s="11">
        <v>43115</v>
      </c>
      <c r="H208" s="8" t="s">
        <v>25</v>
      </c>
      <c r="J208" s="8" t="s">
        <v>25</v>
      </c>
      <c r="N208" s="8" t="s">
        <v>58</v>
      </c>
      <c r="O208" s="8" t="s">
        <v>59</v>
      </c>
      <c r="P208" s="8" t="s">
        <v>59</v>
      </c>
      <c r="R208" s="8">
        <v>0</v>
      </c>
      <c r="S208" s="8">
        <v>0</v>
      </c>
      <c r="T208" s="8">
        <v>1</v>
      </c>
      <c r="U208" s="8">
        <v>2</v>
      </c>
      <c r="AG208" s="8" t="str">
        <f t="shared" si="13"/>
        <v/>
      </c>
      <c r="AI208" s="8" t="str">
        <f t="shared" si="14"/>
        <v/>
      </c>
      <c r="AJ208" s="8" t="str">
        <f t="shared" si="15"/>
        <v/>
      </c>
      <c r="AL208" s="8" t="str">
        <f t="shared" si="16"/>
        <v/>
      </c>
    </row>
    <row r="209" spans="1:38" x14ac:dyDescent="0.25">
      <c r="A209" s="8" t="s">
        <v>6616</v>
      </c>
      <c r="B209" s="8" t="s">
        <v>6617</v>
      </c>
      <c r="C209" s="8">
        <v>30910882</v>
      </c>
      <c r="D209" s="8">
        <v>5</v>
      </c>
      <c r="E209" s="11">
        <v>43112</v>
      </c>
      <c r="F209" s="8" t="s">
        <v>57</v>
      </c>
      <c r="G209" s="11">
        <v>43115</v>
      </c>
      <c r="H209" s="8" t="s">
        <v>25</v>
      </c>
      <c r="J209" s="8" t="s">
        <v>25</v>
      </c>
      <c r="N209" s="8" t="s">
        <v>58</v>
      </c>
      <c r="O209" s="8" t="s">
        <v>59</v>
      </c>
      <c r="P209" s="8" t="s">
        <v>59</v>
      </c>
      <c r="R209" s="8">
        <v>0</v>
      </c>
      <c r="S209" s="8">
        <v>0</v>
      </c>
      <c r="T209" s="8">
        <v>1</v>
      </c>
      <c r="U209" s="8">
        <v>2</v>
      </c>
      <c r="AG209" s="8" t="str">
        <f t="shared" si="13"/>
        <v/>
      </c>
      <c r="AI209" s="8" t="str">
        <f t="shared" si="14"/>
        <v/>
      </c>
      <c r="AJ209" s="8" t="str">
        <f t="shared" si="15"/>
        <v/>
      </c>
      <c r="AL209" s="8" t="str">
        <f t="shared" si="16"/>
        <v/>
      </c>
    </row>
    <row r="210" spans="1:38" x14ac:dyDescent="0.25">
      <c r="A210" s="8" t="s">
        <v>1699</v>
      </c>
      <c r="B210" s="8" t="s">
        <v>1700</v>
      </c>
      <c r="C210" s="8">
        <v>30841795</v>
      </c>
      <c r="D210" s="8">
        <v>5</v>
      </c>
      <c r="E210" s="11">
        <v>43109</v>
      </c>
      <c r="F210" s="8" t="s">
        <v>57</v>
      </c>
      <c r="G210" s="11">
        <v>43110</v>
      </c>
      <c r="H210" s="8" t="s">
        <v>25</v>
      </c>
      <c r="J210" s="8" t="s">
        <v>25</v>
      </c>
      <c r="N210" s="8" t="s">
        <v>58</v>
      </c>
      <c r="O210" s="8" t="s">
        <v>59</v>
      </c>
      <c r="P210" s="8" t="s">
        <v>59</v>
      </c>
      <c r="R210" s="8">
        <v>0</v>
      </c>
      <c r="S210" s="8">
        <v>0</v>
      </c>
      <c r="T210" s="8">
        <v>1</v>
      </c>
      <c r="U210" s="8">
        <v>2</v>
      </c>
      <c r="AG210" s="8" t="str">
        <f t="shared" si="13"/>
        <v/>
      </c>
      <c r="AI210" s="8" t="str">
        <f t="shared" si="14"/>
        <v/>
      </c>
      <c r="AJ210" s="8" t="str">
        <f t="shared" si="15"/>
        <v/>
      </c>
      <c r="AL210" s="8" t="str">
        <f t="shared" si="16"/>
        <v/>
      </c>
    </row>
    <row r="211" spans="1:38" x14ac:dyDescent="0.25">
      <c r="A211" s="8" t="s">
        <v>4806</v>
      </c>
      <c r="B211" s="8" t="s">
        <v>4807</v>
      </c>
      <c r="C211" s="8">
        <v>30927588</v>
      </c>
      <c r="D211" s="8">
        <v>5</v>
      </c>
      <c r="E211" s="11">
        <v>43113</v>
      </c>
      <c r="F211" s="8" t="s">
        <v>58</v>
      </c>
      <c r="G211" s="11">
        <v>43114</v>
      </c>
      <c r="H211" s="8" t="s">
        <v>25</v>
      </c>
      <c r="I211" s="11">
        <v>43114</v>
      </c>
      <c r="J211" s="8" t="s">
        <v>25</v>
      </c>
      <c r="N211" s="8" t="s">
        <v>58</v>
      </c>
      <c r="O211" s="8" t="s">
        <v>59</v>
      </c>
      <c r="P211" s="8" t="s">
        <v>59</v>
      </c>
      <c r="R211" s="8">
        <v>0</v>
      </c>
      <c r="S211" s="8">
        <v>0</v>
      </c>
      <c r="T211" s="8">
        <v>1</v>
      </c>
      <c r="U211" s="8">
        <v>2</v>
      </c>
      <c r="X211" s="8">
        <v>5</v>
      </c>
      <c r="AG211" s="8" t="str">
        <f t="shared" si="13"/>
        <v/>
      </c>
      <c r="AI211" s="8" t="str">
        <f t="shared" si="14"/>
        <v/>
      </c>
      <c r="AJ211" s="8" t="str">
        <f t="shared" si="15"/>
        <v/>
      </c>
      <c r="AL211" s="8" t="str">
        <f t="shared" si="16"/>
        <v/>
      </c>
    </row>
    <row r="212" spans="1:38" x14ac:dyDescent="0.25">
      <c r="A212" s="8" t="s">
        <v>3317</v>
      </c>
      <c r="B212" s="8" t="s">
        <v>3318</v>
      </c>
      <c r="C212" s="8">
        <v>30902511</v>
      </c>
      <c r="D212" s="8">
        <v>5</v>
      </c>
      <c r="E212" s="11">
        <v>43111</v>
      </c>
      <c r="F212" s="8" t="s">
        <v>58</v>
      </c>
      <c r="G212" s="11">
        <v>43111</v>
      </c>
      <c r="H212" s="8" t="s">
        <v>25</v>
      </c>
      <c r="I212" s="11">
        <v>43111</v>
      </c>
      <c r="J212" s="8" t="s">
        <v>25</v>
      </c>
      <c r="N212" s="8" t="s">
        <v>58</v>
      </c>
      <c r="O212" s="8" t="s">
        <v>59</v>
      </c>
      <c r="P212" s="8" t="s">
        <v>59</v>
      </c>
      <c r="R212" s="8">
        <v>0</v>
      </c>
      <c r="S212" s="8">
        <v>0</v>
      </c>
      <c r="T212" s="8">
        <v>1</v>
      </c>
      <c r="U212" s="8">
        <v>2</v>
      </c>
      <c r="X212" s="8">
        <v>5</v>
      </c>
      <c r="AG212" s="8" t="str">
        <f t="shared" si="13"/>
        <v/>
      </c>
      <c r="AI212" s="8" t="str">
        <f t="shared" si="14"/>
        <v/>
      </c>
      <c r="AJ212" s="8" t="str">
        <f t="shared" si="15"/>
        <v/>
      </c>
      <c r="AL212" s="8" t="str">
        <f t="shared" si="16"/>
        <v/>
      </c>
    </row>
    <row r="213" spans="1:38" x14ac:dyDescent="0.25">
      <c r="A213" s="8" t="s">
        <v>6618</v>
      </c>
      <c r="B213" s="8" t="s">
        <v>6619</v>
      </c>
      <c r="C213" s="8">
        <v>30861659</v>
      </c>
      <c r="D213" s="8">
        <v>5</v>
      </c>
      <c r="E213" s="11">
        <v>43110</v>
      </c>
      <c r="F213" s="8" t="s">
        <v>57</v>
      </c>
      <c r="G213" s="11">
        <v>43115</v>
      </c>
      <c r="H213" s="8" t="s">
        <v>145</v>
      </c>
      <c r="J213" s="8" t="s">
        <v>25</v>
      </c>
      <c r="N213" s="8" t="s">
        <v>58</v>
      </c>
      <c r="O213" s="8" t="s">
        <v>59</v>
      </c>
      <c r="P213" s="8" t="s">
        <v>59</v>
      </c>
      <c r="R213" s="8">
        <v>0</v>
      </c>
      <c r="S213" s="8">
        <v>0</v>
      </c>
      <c r="T213" s="8">
        <v>1</v>
      </c>
      <c r="U213" s="8">
        <v>2</v>
      </c>
      <c r="AG213" s="8" t="str">
        <f t="shared" si="13"/>
        <v/>
      </c>
      <c r="AI213" s="8" t="str">
        <f t="shared" si="14"/>
        <v/>
      </c>
      <c r="AJ213" s="8" t="str">
        <f t="shared" si="15"/>
        <v/>
      </c>
      <c r="AL213" s="8" t="str">
        <f t="shared" si="16"/>
        <v/>
      </c>
    </row>
    <row r="214" spans="1:38" x14ac:dyDescent="0.25">
      <c r="A214" s="8" t="s">
        <v>826</v>
      </c>
      <c r="B214" s="8" t="s">
        <v>827</v>
      </c>
      <c r="C214" s="8">
        <v>30849761</v>
      </c>
      <c r="D214" s="8">
        <v>5</v>
      </c>
      <c r="E214" s="11">
        <v>43109</v>
      </c>
      <c r="F214" s="8" t="s">
        <v>57</v>
      </c>
      <c r="G214" s="11">
        <v>43109</v>
      </c>
      <c r="H214" s="8" t="s">
        <v>25</v>
      </c>
      <c r="J214" s="8" t="s">
        <v>25</v>
      </c>
      <c r="N214" s="8" t="s">
        <v>58</v>
      </c>
      <c r="O214" s="8" t="s">
        <v>59</v>
      </c>
      <c r="P214" s="8" t="s">
        <v>59</v>
      </c>
      <c r="R214" s="8">
        <v>0</v>
      </c>
      <c r="S214" s="8">
        <v>0</v>
      </c>
      <c r="T214" s="8">
        <v>1</v>
      </c>
      <c r="U214" s="8">
        <v>2</v>
      </c>
      <c r="AG214" s="8" t="str">
        <f t="shared" si="13"/>
        <v/>
      </c>
      <c r="AI214" s="8" t="str">
        <f t="shared" si="14"/>
        <v/>
      </c>
      <c r="AJ214" s="8" t="str">
        <f t="shared" si="15"/>
        <v/>
      </c>
      <c r="AL214" s="8" t="str">
        <f t="shared" si="16"/>
        <v/>
      </c>
    </row>
    <row r="215" spans="1:38" x14ac:dyDescent="0.25">
      <c r="A215" s="8" t="s">
        <v>3319</v>
      </c>
      <c r="B215" s="8" t="s">
        <v>78</v>
      </c>
      <c r="C215" s="8">
        <v>30877884</v>
      </c>
      <c r="D215" s="8">
        <v>5</v>
      </c>
      <c r="E215" s="11">
        <v>43110</v>
      </c>
      <c r="F215" s="8" t="s">
        <v>58</v>
      </c>
      <c r="G215" s="11">
        <v>43111</v>
      </c>
      <c r="H215" s="8" t="s">
        <v>25</v>
      </c>
      <c r="I215" s="11">
        <v>43112</v>
      </c>
      <c r="J215" s="8" t="s">
        <v>25</v>
      </c>
      <c r="N215" s="8" t="s">
        <v>58</v>
      </c>
      <c r="O215" s="8" t="s">
        <v>59</v>
      </c>
      <c r="P215" s="8" t="s">
        <v>59</v>
      </c>
      <c r="R215" s="8">
        <v>0</v>
      </c>
      <c r="S215" s="8">
        <v>0</v>
      </c>
      <c r="T215" s="8">
        <v>1</v>
      </c>
      <c r="U215" s="8">
        <v>2</v>
      </c>
      <c r="X215" s="8">
        <v>5</v>
      </c>
      <c r="AG215" s="8" t="str">
        <f t="shared" si="13"/>
        <v/>
      </c>
      <c r="AI215" s="8" t="str">
        <f t="shared" si="14"/>
        <v/>
      </c>
      <c r="AJ215" s="8" t="str">
        <f t="shared" si="15"/>
        <v/>
      </c>
      <c r="AL215" s="8" t="str">
        <f t="shared" si="16"/>
        <v/>
      </c>
    </row>
    <row r="216" spans="1:38" x14ac:dyDescent="0.25">
      <c r="A216" s="8" t="s">
        <v>6620</v>
      </c>
      <c r="B216" s="8" t="s">
        <v>6621</v>
      </c>
      <c r="C216" s="8">
        <v>30864595</v>
      </c>
      <c r="D216" s="8">
        <v>5</v>
      </c>
      <c r="E216" s="11">
        <v>43110</v>
      </c>
      <c r="F216" s="8" t="s">
        <v>57</v>
      </c>
      <c r="G216" s="11">
        <v>43115</v>
      </c>
      <c r="H216" s="8" t="s">
        <v>145</v>
      </c>
      <c r="J216" s="8" t="s">
        <v>25</v>
      </c>
      <c r="N216" s="8" t="s">
        <v>58</v>
      </c>
      <c r="O216" s="8" t="s">
        <v>59</v>
      </c>
      <c r="P216" s="8" t="s">
        <v>59</v>
      </c>
      <c r="R216" s="8">
        <v>0</v>
      </c>
      <c r="S216" s="8">
        <v>0</v>
      </c>
      <c r="T216" s="8">
        <v>1</v>
      </c>
      <c r="U216" s="8">
        <v>2</v>
      </c>
      <c r="AG216" s="8" t="str">
        <f t="shared" si="13"/>
        <v/>
      </c>
      <c r="AI216" s="8" t="str">
        <f t="shared" si="14"/>
        <v/>
      </c>
      <c r="AJ216" s="8" t="str">
        <f t="shared" si="15"/>
        <v/>
      </c>
      <c r="AL216" s="8" t="str">
        <f t="shared" si="16"/>
        <v/>
      </c>
    </row>
    <row r="217" spans="1:38" x14ac:dyDescent="0.25">
      <c r="A217" s="8" t="s">
        <v>3320</v>
      </c>
      <c r="B217" s="8" t="s">
        <v>3321</v>
      </c>
      <c r="C217" s="8">
        <v>30897550</v>
      </c>
      <c r="D217" s="8">
        <v>5</v>
      </c>
      <c r="E217" s="11">
        <v>43111</v>
      </c>
      <c r="F217" s="8" t="s">
        <v>58</v>
      </c>
      <c r="G217" s="11">
        <v>43111</v>
      </c>
      <c r="H217" s="8" t="s">
        <v>25</v>
      </c>
      <c r="I217" s="11">
        <v>43111</v>
      </c>
      <c r="J217" s="8" t="s">
        <v>25</v>
      </c>
      <c r="N217" s="8" t="s">
        <v>58</v>
      </c>
      <c r="O217" s="8" t="s">
        <v>59</v>
      </c>
      <c r="P217" s="8" t="s">
        <v>59</v>
      </c>
      <c r="R217" s="8">
        <v>0</v>
      </c>
      <c r="S217" s="8">
        <v>0</v>
      </c>
      <c r="T217" s="8">
        <v>1</v>
      </c>
      <c r="U217" s="8">
        <v>2</v>
      </c>
      <c r="X217" s="8">
        <v>5</v>
      </c>
      <c r="AG217" s="8" t="str">
        <f t="shared" si="13"/>
        <v/>
      </c>
      <c r="AI217" s="8" t="str">
        <f t="shared" si="14"/>
        <v/>
      </c>
      <c r="AJ217" s="8" t="str">
        <f t="shared" si="15"/>
        <v/>
      </c>
      <c r="AL217" s="8" t="str">
        <f t="shared" si="16"/>
        <v/>
      </c>
    </row>
    <row r="218" spans="1:38" x14ac:dyDescent="0.25">
      <c r="A218" s="8" t="s">
        <v>6622</v>
      </c>
      <c r="B218" s="8" t="s">
        <v>6623</v>
      </c>
      <c r="C218" s="8">
        <v>30852613</v>
      </c>
      <c r="D218" s="8">
        <v>5</v>
      </c>
      <c r="E218" s="11">
        <v>43109</v>
      </c>
      <c r="F218" s="8" t="s">
        <v>57</v>
      </c>
      <c r="G218" s="11">
        <v>43115</v>
      </c>
      <c r="H218" s="8" t="s">
        <v>145</v>
      </c>
      <c r="J218" s="8" t="s">
        <v>25</v>
      </c>
      <c r="N218" s="8" t="s">
        <v>58</v>
      </c>
      <c r="O218" s="8" t="s">
        <v>59</v>
      </c>
      <c r="P218" s="8" t="s">
        <v>59</v>
      </c>
      <c r="R218" s="8">
        <v>0</v>
      </c>
      <c r="S218" s="8">
        <v>0</v>
      </c>
      <c r="T218" s="8">
        <v>1</v>
      </c>
      <c r="U218" s="8">
        <v>2</v>
      </c>
      <c r="AG218" s="8" t="str">
        <f t="shared" si="13"/>
        <v/>
      </c>
      <c r="AI218" s="8" t="str">
        <f t="shared" si="14"/>
        <v/>
      </c>
      <c r="AJ218" s="8" t="str">
        <f t="shared" si="15"/>
        <v/>
      </c>
      <c r="AL218" s="8" t="str">
        <f t="shared" si="16"/>
        <v/>
      </c>
    </row>
    <row r="219" spans="1:38" x14ac:dyDescent="0.25">
      <c r="A219" s="8" t="s">
        <v>6624</v>
      </c>
      <c r="B219" s="8" t="s">
        <v>6625</v>
      </c>
      <c r="C219" s="8">
        <v>30914312</v>
      </c>
      <c r="D219" s="8">
        <v>5</v>
      </c>
      <c r="E219" s="11">
        <v>43112</v>
      </c>
      <c r="F219" s="8" t="s">
        <v>57</v>
      </c>
      <c r="G219" s="11">
        <v>43115</v>
      </c>
      <c r="H219" s="8" t="s">
        <v>25</v>
      </c>
      <c r="J219" s="8" t="s">
        <v>25</v>
      </c>
      <c r="N219" s="8" t="s">
        <v>58</v>
      </c>
      <c r="O219" s="8" t="s">
        <v>59</v>
      </c>
      <c r="P219" s="8" t="s">
        <v>59</v>
      </c>
      <c r="R219" s="8">
        <v>0</v>
      </c>
      <c r="S219" s="8">
        <v>0</v>
      </c>
      <c r="T219" s="8">
        <v>1</v>
      </c>
      <c r="U219" s="8">
        <v>2</v>
      </c>
      <c r="AG219" s="8" t="str">
        <f t="shared" si="13"/>
        <v/>
      </c>
      <c r="AI219" s="8" t="str">
        <f t="shared" si="14"/>
        <v/>
      </c>
      <c r="AJ219" s="8" t="str">
        <f t="shared" si="15"/>
        <v/>
      </c>
      <c r="AL219" s="8" t="str">
        <f t="shared" si="16"/>
        <v/>
      </c>
    </row>
    <row r="220" spans="1:38" x14ac:dyDescent="0.25">
      <c r="A220" s="8" t="s">
        <v>3322</v>
      </c>
      <c r="B220" s="8" t="s">
        <v>3323</v>
      </c>
      <c r="C220" s="8">
        <v>30875017</v>
      </c>
      <c r="D220" s="8">
        <v>5</v>
      </c>
      <c r="E220" s="11">
        <v>43110</v>
      </c>
      <c r="F220" s="8" t="s">
        <v>60</v>
      </c>
      <c r="G220" s="11">
        <v>43111</v>
      </c>
      <c r="H220" s="8" t="s">
        <v>25</v>
      </c>
      <c r="J220" s="8" t="s">
        <v>25</v>
      </c>
      <c r="L220" s="8" t="s">
        <v>6525</v>
      </c>
      <c r="N220" s="8" t="s">
        <v>58</v>
      </c>
      <c r="O220" s="8" t="s">
        <v>59</v>
      </c>
      <c r="P220" s="8" t="s">
        <v>59</v>
      </c>
      <c r="R220" s="8">
        <v>0</v>
      </c>
      <c r="S220" s="8">
        <v>0</v>
      </c>
      <c r="T220" s="8">
        <v>1</v>
      </c>
      <c r="U220" s="8">
        <v>2</v>
      </c>
      <c r="W220" s="8">
        <v>4</v>
      </c>
      <c r="AG220" s="8" t="str">
        <f t="shared" si="13"/>
        <v/>
      </c>
      <c r="AI220" s="8" t="str">
        <f t="shared" si="14"/>
        <v/>
      </c>
      <c r="AJ220" s="8" t="str">
        <f t="shared" si="15"/>
        <v/>
      </c>
      <c r="AL220" s="8" t="str">
        <f t="shared" si="16"/>
        <v/>
      </c>
    </row>
    <row r="221" spans="1:38" x14ac:dyDescent="0.25">
      <c r="A221" s="8" t="s">
        <v>4808</v>
      </c>
      <c r="B221" s="8" t="s">
        <v>4809</v>
      </c>
      <c r="C221" s="8">
        <v>30821977</v>
      </c>
      <c r="D221" s="8">
        <v>5</v>
      </c>
      <c r="E221" s="11">
        <v>43108</v>
      </c>
      <c r="F221" s="8" t="s">
        <v>58</v>
      </c>
      <c r="G221" s="11">
        <v>43112</v>
      </c>
      <c r="H221" s="8" t="s">
        <v>145</v>
      </c>
      <c r="I221" s="11">
        <v>43115</v>
      </c>
      <c r="J221" s="8" t="s">
        <v>25</v>
      </c>
      <c r="N221" s="8" t="s">
        <v>58</v>
      </c>
      <c r="O221" s="8" t="s">
        <v>59</v>
      </c>
      <c r="P221" s="8" t="s">
        <v>59</v>
      </c>
      <c r="R221" s="8">
        <v>0</v>
      </c>
      <c r="S221" s="8">
        <v>0</v>
      </c>
      <c r="T221" s="8">
        <v>1</v>
      </c>
      <c r="U221" s="8">
        <v>2</v>
      </c>
      <c r="X221" s="8">
        <v>5</v>
      </c>
      <c r="AG221" s="8" t="str">
        <f t="shared" si="13"/>
        <v/>
      </c>
      <c r="AI221" s="8" t="str">
        <f t="shared" si="14"/>
        <v/>
      </c>
      <c r="AJ221" s="8" t="str">
        <f t="shared" si="15"/>
        <v/>
      </c>
      <c r="AL221" s="8" t="str">
        <f t="shared" si="16"/>
        <v/>
      </c>
    </row>
    <row r="222" spans="1:38" x14ac:dyDescent="0.25">
      <c r="A222" s="8" t="s">
        <v>4810</v>
      </c>
      <c r="B222" s="8" t="s">
        <v>4811</v>
      </c>
      <c r="C222" s="8">
        <v>30823002</v>
      </c>
      <c r="D222" s="8">
        <v>5</v>
      </c>
      <c r="E222" s="11">
        <v>43108</v>
      </c>
      <c r="F222" s="8" t="s">
        <v>57</v>
      </c>
      <c r="G222" s="11">
        <v>43112</v>
      </c>
      <c r="H222" s="8" t="s">
        <v>145</v>
      </c>
      <c r="J222" s="8" t="s">
        <v>25</v>
      </c>
      <c r="N222" s="8" t="s">
        <v>58</v>
      </c>
      <c r="O222" s="8" t="s">
        <v>59</v>
      </c>
      <c r="P222" s="8" t="s">
        <v>59</v>
      </c>
      <c r="R222" s="8">
        <v>0</v>
      </c>
      <c r="S222" s="8">
        <v>0</v>
      </c>
      <c r="T222" s="8">
        <v>1</v>
      </c>
      <c r="U222" s="8">
        <v>2</v>
      </c>
      <c r="AG222" s="8" t="str">
        <f t="shared" si="13"/>
        <v/>
      </c>
      <c r="AI222" s="8" t="str">
        <f t="shared" si="14"/>
        <v/>
      </c>
      <c r="AJ222" s="8" t="str">
        <f t="shared" si="15"/>
        <v/>
      </c>
      <c r="AL222" s="8" t="str">
        <f t="shared" si="16"/>
        <v/>
      </c>
    </row>
    <row r="223" spans="1:38" x14ac:dyDescent="0.25">
      <c r="A223" s="8" t="s">
        <v>3324</v>
      </c>
      <c r="B223" s="8" t="s">
        <v>3325</v>
      </c>
      <c r="C223" s="8">
        <v>30896445</v>
      </c>
      <c r="D223" s="8">
        <v>5</v>
      </c>
      <c r="E223" s="11">
        <v>43111</v>
      </c>
      <c r="F223" s="8" t="s">
        <v>57</v>
      </c>
      <c r="G223" s="11">
        <v>43111</v>
      </c>
      <c r="H223" s="8" t="s">
        <v>25</v>
      </c>
      <c r="J223" s="8" t="s">
        <v>25</v>
      </c>
      <c r="N223" s="8" t="s">
        <v>58</v>
      </c>
      <c r="O223" s="8" t="s">
        <v>59</v>
      </c>
      <c r="P223" s="8" t="s">
        <v>59</v>
      </c>
      <c r="R223" s="8">
        <v>0</v>
      </c>
      <c r="S223" s="8">
        <v>0</v>
      </c>
      <c r="T223" s="8">
        <v>1</v>
      </c>
      <c r="U223" s="8">
        <v>2</v>
      </c>
      <c r="AG223" s="8" t="str">
        <f t="shared" si="13"/>
        <v/>
      </c>
      <c r="AI223" s="8" t="str">
        <f t="shared" si="14"/>
        <v/>
      </c>
      <c r="AJ223" s="8" t="str">
        <f t="shared" si="15"/>
        <v/>
      </c>
      <c r="AL223" s="8" t="str">
        <f t="shared" si="16"/>
        <v/>
      </c>
    </row>
    <row r="224" spans="1:38" x14ac:dyDescent="0.25">
      <c r="A224" s="8" t="s">
        <v>6626</v>
      </c>
      <c r="B224" s="8" t="s">
        <v>6627</v>
      </c>
      <c r="C224" s="8">
        <v>30945501</v>
      </c>
      <c r="D224" s="8">
        <v>5</v>
      </c>
      <c r="E224" s="11">
        <v>43115</v>
      </c>
      <c r="F224" s="8" t="s">
        <v>57</v>
      </c>
      <c r="G224" s="11">
        <v>43115</v>
      </c>
      <c r="H224" s="8" t="s">
        <v>25</v>
      </c>
      <c r="J224" s="8" t="s">
        <v>25</v>
      </c>
      <c r="N224" s="8" t="s">
        <v>58</v>
      </c>
      <c r="O224" s="8" t="s">
        <v>59</v>
      </c>
      <c r="P224" s="8" t="s">
        <v>59</v>
      </c>
      <c r="R224" s="8">
        <v>0</v>
      </c>
      <c r="S224" s="8">
        <v>0</v>
      </c>
      <c r="T224" s="8">
        <v>1</v>
      </c>
      <c r="U224" s="8">
        <v>2</v>
      </c>
      <c r="AG224" s="8" t="str">
        <f t="shared" si="13"/>
        <v/>
      </c>
      <c r="AI224" s="8" t="str">
        <f t="shared" si="14"/>
        <v/>
      </c>
      <c r="AJ224" s="8" t="str">
        <f t="shared" si="15"/>
        <v/>
      </c>
      <c r="AL224" s="8" t="str">
        <f t="shared" si="16"/>
        <v/>
      </c>
    </row>
    <row r="225" spans="1:38" x14ac:dyDescent="0.25">
      <c r="A225" s="8" t="s">
        <v>6628</v>
      </c>
      <c r="B225" s="8" t="s">
        <v>6629</v>
      </c>
      <c r="C225" s="8">
        <v>30915185</v>
      </c>
      <c r="D225" s="8">
        <v>5</v>
      </c>
      <c r="E225" s="11">
        <v>43112</v>
      </c>
      <c r="F225" s="8" t="s">
        <v>58</v>
      </c>
      <c r="G225" s="11">
        <v>43115</v>
      </c>
      <c r="H225" s="8" t="s">
        <v>25</v>
      </c>
      <c r="I225" s="11">
        <v>43115</v>
      </c>
      <c r="J225" s="8" t="s">
        <v>25</v>
      </c>
      <c r="N225" s="8" t="s">
        <v>58</v>
      </c>
      <c r="O225" s="8" t="s">
        <v>59</v>
      </c>
      <c r="P225" s="8" t="s">
        <v>59</v>
      </c>
      <c r="R225" s="8">
        <v>0</v>
      </c>
      <c r="S225" s="8">
        <v>0</v>
      </c>
      <c r="T225" s="8">
        <v>1</v>
      </c>
      <c r="U225" s="8">
        <v>2</v>
      </c>
      <c r="X225" s="8">
        <v>5</v>
      </c>
      <c r="AG225" s="8" t="str">
        <f t="shared" si="13"/>
        <v/>
      </c>
      <c r="AI225" s="8" t="str">
        <f t="shared" si="14"/>
        <v/>
      </c>
      <c r="AJ225" s="8" t="str">
        <f t="shared" si="15"/>
        <v/>
      </c>
      <c r="AL225" s="8" t="str">
        <f t="shared" si="16"/>
        <v/>
      </c>
    </row>
    <row r="226" spans="1:38" x14ac:dyDescent="0.25">
      <c r="A226" s="8" t="s">
        <v>829</v>
      </c>
      <c r="B226" s="8" t="s">
        <v>830</v>
      </c>
      <c r="C226" s="8">
        <v>30840911</v>
      </c>
      <c r="D226" s="8">
        <v>5</v>
      </c>
      <c r="E226" s="11">
        <v>43109</v>
      </c>
      <c r="F226" s="8" t="s">
        <v>58</v>
      </c>
      <c r="G226" s="11">
        <v>43109</v>
      </c>
      <c r="H226" s="8" t="s">
        <v>25</v>
      </c>
      <c r="I226" s="11">
        <v>43112</v>
      </c>
      <c r="J226" s="8" t="s">
        <v>25</v>
      </c>
      <c r="N226" s="8" t="s">
        <v>58</v>
      </c>
      <c r="O226" s="8" t="s">
        <v>59</v>
      </c>
      <c r="P226" s="8" t="s">
        <v>59</v>
      </c>
      <c r="R226" s="8">
        <v>0</v>
      </c>
      <c r="S226" s="8">
        <v>0</v>
      </c>
      <c r="T226" s="8">
        <v>1</v>
      </c>
      <c r="U226" s="8">
        <v>2</v>
      </c>
      <c r="X226" s="8">
        <v>5</v>
      </c>
      <c r="AG226" s="8" t="str">
        <f t="shared" si="13"/>
        <v/>
      </c>
      <c r="AI226" s="8" t="str">
        <f t="shared" si="14"/>
        <v/>
      </c>
      <c r="AJ226" s="8" t="str">
        <f t="shared" si="15"/>
        <v/>
      </c>
      <c r="AL226" s="8" t="str">
        <f t="shared" si="16"/>
        <v/>
      </c>
    </row>
    <row r="227" spans="1:38" x14ac:dyDescent="0.25">
      <c r="A227" s="8" t="s">
        <v>6630</v>
      </c>
      <c r="B227" s="8" t="s">
        <v>6631</v>
      </c>
      <c r="C227" s="8">
        <v>30877609</v>
      </c>
      <c r="D227" s="8">
        <v>5</v>
      </c>
      <c r="E227" s="11">
        <v>43110</v>
      </c>
      <c r="F227" s="8" t="s">
        <v>57</v>
      </c>
      <c r="G227" s="11">
        <v>43115</v>
      </c>
      <c r="H227" s="8" t="s">
        <v>145</v>
      </c>
      <c r="J227" s="8" t="s">
        <v>25</v>
      </c>
      <c r="N227" s="8" t="s">
        <v>58</v>
      </c>
      <c r="O227" s="8" t="s">
        <v>59</v>
      </c>
      <c r="P227" s="8" t="s">
        <v>59</v>
      </c>
      <c r="R227" s="8">
        <v>0</v>
      </c>
      <c r="S227" s="8">
        <v>0</v>
      </c>
      <c r="T227" s="8">
        <v>1</v>
      </c>
      <c r="U227" s="8">
        <v>2</v>
      </c>
      <c r="AG227" s="8" t="str">
        <f t="shared" si="13"/>
        <v/>
      </c>
      <c r="AI227" s="8" t="str">
        <f t="shared" si="14"/>
        <v/>
      </c>
      <c r="AJ227" s="8" t="str">
        <f t="shared" si="15"/>
        <v/>
      </c>
      <c r="AL227" s="8" t="str">
        <f t="shared" si="16"/>
        <v/>
      </c>
    </row>
    <row r="228" spans="1:38" x14ac:dyDescent="0.25">
      <c r="A228" s="8" t="s">
        <v>6632</v>
      </c>
      <c r="B228" s="8" t="s">
        <v>6633</v>
      </c>
      <c r="C228" s="8">
        <v>30876415</v>
      </c>
      <c r="D228" s="8">
        <v>5</v>
      </c>
      <c r="E228" s="11">
        <v>43110</v>
      </c>
      <c r="F228" s="8" t="s">
        <v>57</v>
      </c>
      <c r="G228" s="11">
        <v>43115</v>
      </c>
      <c r="H228" s="8" t="s">
        <v>145</v>
      </c>
      <c r="J228" s="8" t="s">
        <v>25</v>
      </c>
      <c r="N228" s="8" t="s">
        <v>58</v>
      </c>
      <c r="O228" s="8" t="s">
        <v>59</v>
      </c>
      <c r="P228" s="8" t="s">
        <v>59</v>
      </c>
      <c r="R228" s="8">
        <v>0</v>
      </c>
      <c r="S228" s="8">
        <v>0</v>
      </c>
      <c r="T228" s="8">
        <v>1</v>
      </c>
      <c r="U228" s="8">
        <v>2</v>
      </c>
      <c r="AG228" s="8" t="str">
        <f t="shared" si="13"/>
        <v/>
      </c>
      <c r="AI228" s="8" t="str">
        <f t="shared" si="14"/>
        <v/>
      </c>
      <c r="AJ228" s="8" t="str">
        <f t="shared" si="15"/>
        <v/>
      </c>
      <c r="AL228" s="8" t="str">
        <f t="shared" si="16"/>
        <v/>
      </c>
    </row>
    <row r="229" spans="1:38" x14ac:dyDescent="0.25">
      <c r="A229" s="8" t="s">
        <v>831</v>
      </c>
      <c r="B229" s="8" t="s">
        <v>832</v>
      </c>
      <c r="C229" s="8">
        <v>30813857</v>
      </c>
      <c r="D229" s="8">
        <v>5</v>
      </c>
      <c r="E229" s="11">
        <v>43108</v>
      </c>
      <c r="F229" s="8" t="s">
        <v>58</v>
      </c>
      <c r="G229" s="11">
        <v>43109</v>
      </c>
      <c r="H229" s="8" t="s">
        <v>25</v>
      </c>
      <c r="I229" s="11">
        <v>43111</v>
      </c>
      <c r="J229" s="8" t="s">
        <v>25</v>
      </c>
      <c r="N229" s="8" t="s">
        <v>58</v>
      </c>
      <c r="O229" s="8" t="s">
        <v>59</v>
      </c>
      <c r="P229" s="8" t="s">
        <v>59</v>
      </c>
      <c r="R229" s="8">
        <v>0</v>
      </c>
      <c r="S229" s="8">
        <v>0</v>
      </c>
      <c r="T229" s="8">
        <v>1</v>
      </c>
      <c r="U229" s="8">
        <v>2</v>
      </c>
      <c r="X229" s="8">
        <v>5</v>
      </c>
      <c r="AG229" s="8" t="str">
        <f t="shared" si="13"/>
        <v/>
      </c>
      <c r="AI229" s="8" t="str">
        <f t="shared" si="14"/>
        <v/>
      </c>
      <c r="AJ229" s="8" t="str">
        <f t="shared" si="15"/>
        <v/>
      </c>
      <c r="AL229" s="8" t="str">
        <f t="shared" si="16"/>
        <v/>
      </c>
    </row>
    <row r="230" spans="1:38" x14ac:dyDescent="0.25">
      <c r="A230" s="8" t="s">
        <v>4812</v>
      </c>
      <c r="B230" s="8" t="s">
        <v>4813</v>
      </c>
      <c r="C230" s="8">
        <v>30885281</v>
      </c>
      <c r="D230" s="8">
        <v>5</v>
      </c>
      <c r="E230" s="11">
        <v>43111</v>
      </c>
      <c r="F230" s="8" t="s">
        <v>57</v>
      </c>
      <c r="G230" s="11">
        <v>43112</v>
      </c>
      <c r="H230" s="8" t="s">
        <v>25</v>
      </c>
      <c r="J230" s="8" t="s">
        <v>25</v>
      </c>
      <c r="N230" s="8" t="s">
        <v>58</v>
      </c>
      <c r="O230" s="8" t="s">
        <v>59</v>
      </c>
      <c r="P230" s="8" t="s">
        <v>59</v>
      </c>
      <c r="R230" s="8">
        <v>0</v>
      </c>
      <c r="S230" s="8">
        <v>0</v>
      </c>
      <c r="T230" s="8">
        <v>1</v>
      </c>
      <c r="U230" s="8">
        <v>2</v>
      </c>
      <c r="AG230" s="8" t="str">
        <f t="shared" si="13"/>
        <v/>
      </c>
      <c r="AI230" s="8" t="str">
        <f t="shared" si="14"/>
        <v/>
      </c>
      <c r="AJ230" s="8" t="str">
        <f t="shared" si="15"/>
        <v/>
      </c>
      <c r="AL230" s="8" t="str">
        <f t="shared" si="16"/>
        <v/>
      </c>
    </row>
    <row r="231" spans="1:38" x14ac:dyDescent="0.25">
      <c r="A231" s="8" t="s">
        <v>6634</v>
      </c>
      <c r="B231" s="8" t="s">
        <v>6635</v>
      </c>
      <c r="C231" s="8">
        <v>30932710</v>
      </c>
      <c r="D231" s="8">
        <v>5</v>
      </c>
      <c r="E231" s="11">
        <v>43115</v>
      </c>
      <c r="F231" s="8" t="s">
        <v>57</v>
      </c>
      <c r="G231" s="11">
        <v>43115</v>
      </c>
      <c r="H231" s="8" t="s">
        <v>25</v>
      </c>
      <c r="J231" s="8" t="s">
        <v>25</v>
      </c>
      <c r="N231" s="8" t="s">
        <v>58</v>
      </c>
      <c r="O231" s="8" t="s">
        <v>59</v>
      </c>
      <c r="P231" s="8" t="s">
        <v>59</v>
      </c>
      <c r="R231" s="8">
        <v>0</v>
      </c>
      <c r="S231" s="8">
        <v>0</v>
      </c>
      <c r="T231" s="8">
        <v>1</v>
      </c>
      <c r="U231" s="8">
        <v>2</v>
      </c>
      <c r="AG231" s="8" t="str">
        <f t="shared" si="13"/>
        <v/>
      </c>
      <c r="AI231" s="8" t="str">
        <f t="shared" si="14"/>
        <v/>
      </c>
      <c r="AJ231" s="8" t="str">
        <f t="shared" si="15"/>
        <v/>
      </c>
      <c r="AL231" s="8" t="str">
        <f t="shared" si="16"/>
        <v/>
      </c>
    </row>
    <row r="232" spans="1:38" x14ac:dyDescent="0.25">
      <c r="A232" s="8" t="s">
        <v>3326</v>
      </c>
      <c r="B232" s="8" t="s">
        <v>3327</v>
      </c>
      <c r="C232" s="8">
        <v>30879783</v>
      </c>
      <c r="D232" s="8">
        <v>5</v>
      </c>
      <c r="E232" s="11">
        <v>43111</v>
      </c>
      <c r="F232" s="8" t="s">
        <v>58</v>
      </c>
      <c r="G232" s="11">
        <v>43111</v>
      </c>
      <c r="H232" s="8" t="s">
        <v>25</v>
      </c>
      <c r="I232" s="11">
        <v>43111</v>
      </c>
      <c r="J232" s="8" t="s">
        <v>25</v>
      </c>
      <c r="N232" s="8" t="s">
        <v>58</v>
      </c>
      <c r="O232" s="8" t="s">
        <v>59</v>
      </c>
      <c r="P232" s="8" t="s">
        <v>59</v>
      </c>
      <c r="R232" s="8">
        <v>0</v>
      </c>
      <c r="S232" s="8">
        <v>0</v>
      </c>
      <c r="T232" s="8">
        <v>1</v>
      </c>
      <c r="U232" s="8">
        <v>2</v>
      </c>
      <c r="X232" s="8">
        <v>5</v>
      </c>
      <c r="AG232" s="8" t="str">
        <f t="shared" si="13"/>
        <v/>
      </c>
      <c r="AI232" s="8" t="str">
        <f t="shared" si="14"/>
        <v/>
      </c>
      <c r="AJ232" s="8" t="str">
        <f t="shared" si="15"/>
        <v/>
      </c>
      <c r="AL232" s="8" t="str">
        <f t="shared" si="16"/>
        <v/>
      </c>
    </row>
    <row r="233" spans="1:38" x14ac:dyDescent="0.25">
      <c r="A233" s="8" t="s">
        <v>6636</v>
      </c>
      <c r="B233" s="8" t="s">
        <v>6637</v>
      </c>
      <c r="C233" s="8">
        <v>30932429</v>
      </c>
      <c r="D233" s="8">
        <v>5</v>
      </c>
      <c r="E233" s="11">
        <v>43115</v>
      </c>
      <c r="F233" s="8" t="s">
        <v>58</v>
      </c>
      <c r="G233" s="11">
        <v>43115</v>
      </c>
      <c r="H233" s="8" t="s">
        <v>25</v>
      </c>
      <c r="I233" s="11">
        <v>43115</v>
      </c>
      <c r="J233" s="8" t="s">
        <v>25</v>
      </c>
      <c r="N233" s="8" t="s">
        <v>58</v>
      </c>
      <c r="O233" s="8" t="s">
        <v>59</v>
      </c>
      <c r="P233" s="8" t="s">
        <v>59</v>
      </c>
      <c r="R233" s="8">
        <v>0</v>
      </c>
      <c r="S233" s="8">
        <v>0</v>
      </c>
      <c r="T233" s="8">
        <v>1</v>
      </c>
      <c r="U233" s="8">
        <v>2</v>
      </c>
      <c r="X233" s="8">
        <v>5</v>
      </c>
      <c r="AG233" s="8" t="str">
        <f t="shared" si="13"/>
        <v/>
      </c>
      <c r="AI233" s="8" t="str">
        <f t="shared" si="14"/>
        <v/>
      </c>
      <c r="AJ233" s="8" t="str">
        <f t="shared" si="15"/>
        <v/>
      </c>
      <c r="AL233" s="8" t="str">
        <f t="shared" si="16"/>
        <v/>
      </c>
    </row>
    <row r="234" spans="1:38" x14ac:dyDescent="0.25">
      <c r="A234" s="8" t="s">
        <v>833</v>
      </c>
      <c r="B234" s="8" t="s">
        <v>834</v>
      </c>
      <c r="C234" s="8">
        <v>30839139</v>
      </c>
      <c r="D234" s="8">
        <v>5</v>
      </c>
      <c r="E234" s="11">
        <v>43109</v>
      </c>
      <c r="F234" s="8" t="s">
        <v>58</v>
      </c>
      <c r="G234" s="11">
        <v>43109</v>
      </c>
      <c r="H234" s="8" t="s">
        <v>25</v>
      </c>
      <c r="I234" s="11">
        <v>43109</v>
      </c>
      <c r="J234" s="8" t="s">
        <v>25</v>
      </c>
      <c r="N234" s="8" t="s">
        <v>58</v>
      </c>
      <c r="O234" s="8" t="s">
        <v>59</v>
      </c>
      <c r="P234" s="8" t="s">
        <v>59</v>
      </c>
      <c r="R234" s="8">
        <v>0</v>
      </c>
      <c r="S234" s="8">
        <v>0</v>
      </c>
      <c r="T234" s="8">
        <v>1</v>
      </c>
      <c r="U234" s="8">
        <v>2</v>
      </c>
      <c r="X234" s="8">
        <v>5</v>
      </c>
      <c r="AG234" s="8" t="str">
        <f t="shared" si="13"/>
        <v/>
      </c>
      <c r="AI234" s="8" t="str">
        <f t="shared" si="14"/>
        <v/>
      </c>
      <c r="AJ234" s="8" t="str">
        <f t="shared" si="15"/>
        <v/>
      </c>
      <c r="AL234" s="8" t="str">
        <f t="shared" si="16"/>
        <v/>
      </c>
    </row>
    <row r="235" spans="1:38" x14ac:dyDescent="0.25">
      <c r="A235" s="8" t="s">
        <v>6638</v>
      </c>
      <c r="B235" s="8" t="s">
        <v>6639</v>
      </c>
      <c r="C235" s="8">
        <v>30845926</v>
      </c>
      <c r="D235" s="8">
        <v>5</v>
      </c>
      <c r="E235" s="11">
        <v>43109</v>
      </c>
      <c r="F235" s="8" t="s">
        <v>57</v>
      </c>
      <c r="G235" s="11">
        <v>43115</v>
      </c>
      <c r="H235" s="8" t="s">
        <v>145</v>
      </c>
      <c r="J235" s="8" t="s">
        <v>25</v>
      </c>
      <c r="N235" s="8" t="s">
        <v>58</v>
      </c>
      <c r="O235" s="8" t="s">
        <v>59</v>
      </c>
      <c r="P235" s="8" t="s">
        <v>59</v>
      </c>
      <c r="R235" s="8">
        <v>0</v>
      </c>
      <c r="S235" s="8">
        <v>0</v>
      </c>
      <c r="T235" s="8">
        <v>1</v>
      </c>
      <c r="U235" s="8">
        <v>2</v>
      </c>
      <c r="AG235" s="8" t="str">
        <f t="shared" si="13"/>
        <v/>
      </c>
      <c r="AI235" s="8" t="str">
        <f t="shared" si="14"/>
        <v/>
      </c>
      <c r="AJ235" s="8" t="str">
        <f t="shared" si="15"/>
        <v/>
      </c>
      <c r="AL235" s="8" t="str">
        <f t="shared" si="16"/>
        <v/>
      </c>
    </row>
    <row r="236" spans="1:38" x14ac:dyDescent="0.25">
      <c r="A236" s="8" t="s">
        <v>6640</v>
      </c>
      <c r="B236" s="8" t="s">
        <v>6641</v>
      </c>
      <c r="C236" s="8">
        <v>30853469</v>
      </c>
      <c r="D236" s="8">
        <v>5</v>
      </c>
      <c r="E236" s="11">
        <v>43109</v>
      </c>
      <c r="F236" s="8" t="s">
        <v>57</v>
      </c>
      <c r="G236" s="11">
        <v>43115</v>
      </c>
      <c r="H236" s="8" t="s">
        <v>145</v>
      </c>
      <c r="J236" s="8" t="s">
        <v>25</v>
      </c>
      <c r="N236" s="8" t="s">
        <v>58</v>
      </c>
      <c r="O236" s="8" t="s">
        <v>59</v>
      </c>
      <c r="P236" s="8" t="s">
        <v>59</v>
      </c>
      <c r="R236" s="8">
        <v>0</v>
      </c>
      <c r="S236" s="8">
        <v>0</v>
      </c>
      <c r="T236" s="8">
        <v>1</v>
      </c>
      <c r="U236" s="8">
        <v>2</v>
      </c>
      <c r="AG236" s="8" t="str">
        <f t="shared" si="13"/>
        <v/>
      </c>
      <c r="AI236" s="8" t="str">
        <f t="shared" si="14"/>
        <v/>
      </c>
      <c r="AJ236" s="8" t="str">
        <f t="shared" si="15"/>
        <v/>
      </c>
      <c r="AL236" s="8" t="str">
        <f t="shared" si="16"/>
        <v/>
      </c>
    </row>
    <row r="237" spans="1:38" x14ac:dyDescent="0.25">
      <c r="A237" s="8" t="s">
        <v>1701</v>
      </c>
      <c r="B237" s="8" t="s">
        <v>1702</v>
      </c>
      <c r="C237" s="8">
        <v>30858573</v>
      </c>
      <c r="D237" s="8">
        <v>5</v>
      </c>
      <c r="E237" s="11">
        <v>43110</v>
      </c>
      <c r="F237" s="8" t="s">
        <v>58</v>
      </c>
      <c r="G237" s="11">
        <v>43110</v>
      </c>
      <c r="H237" s="8" t="s">
        <v>25</v>
      </c>
      <c r="I237" s="11">
        <v>43111</v>
      </c>
      <c r="J237" s="8" t="s">
        <v>25</v>
      </c>
      <c r="N237" s="8" t="s">
        <v>58</v>
      </c>
      <c r="O237" s="8" t="s">
        <v>59</v>
      </c>
      <c r="P237" s="8" t="s">
        <v>59</v>
      </c>
      <c r="R237" s="8">
        <v>0</v>
      </c>
      <c r="S237" s="8">
        <v>0</v>
      </c>
      <c r="T237" s="8">
        <v>1</v>
      </c>
      <c r="U237" s="8">
        <v>2</v>
      </c>
      <c r="X237" s="8">
        <v>5</v>
      </c>
      <c r="AG237" s="8" t="str">
        <f t="shared" si="13"/>
        <v/>
      </c>
      <c r="AI237" s="8" t="str">
        <f t="shared" si="14"/>
        <v/>
      </c>
      <c r="AJ237" s="8" t="str">
        <f t="shared" si="15"/>
        <v/>
      </c>
      <c r="AL237" s="8" t="str">
        <f t="shared" si="16"/>
        <v/>
      </c>
    </row>
    <row r="238" spans="1:38" x14ac:dyDescent="0.25">
      <c r="A238" s="8" t="s">
        <v>3328</v>
      </c>
      <c r="B238" s="8" t="s">
        <v>3329</v>
      </c>
      <c r="C238" s="8">
        <v>30883075</v>
      </c>
      <c r="D238" s="8">
        <v>5</v>
      </c>
      <c r="E238" s="11">
        <v>43111</v>
      </c>
      <c r="F238" s="8" t="s">
        <v>58</v>
      </c>
      <c r="G238" s="11">
        <v>43111</v>
      </c>
      <c r="H238" s="8" t="s">
        <v>25</v>
      </c>
      <c r="I238" s="11">
        <v>43112</v>
      </c>
      <c r="J238" s="8" t="s">
        <v>25</v>
      </c>
      <c r="N238" s="8" t="s">
        <v>58</v>
      </c>
      <c r="O238" s="8" t="s">
        <v>59</v>
      </c>
      <c r="P238" s="8" t="s">
        <v>59</v>
      </c>
      <c r="R238" s="8">
        <v>0</v>
      </c>
      <c r="S238" s="8">
        <v>0</v>
      </c>
      <c r="T238" s="8">
        <v>1</v>
      </c>
      <c r="U238" s="8">
        <v>2</v>
      </c>
      <c r="X238" s="8">
        <v>5</v>
      </c>
      <c r="AG238" s="8" t="str">
        <f t="shared" si="13"/>
        <v/>
      </c>
      <c r="AI238" s="8" t="str">
        <f t="shared" si="14"/>
        <v/>
      </c>
      <c r="AJ238" s="8" t="str">
        <f t="shared" si="15"/>
        <v/>
      </c>
      <c r="AL238" s="8" t="str">
        <f t="shared" si="16"/>
        <v/>
      </c>
    </row>
    <row r="239" spans="1:38" x14ac:dyDescent="0.25">
      <c r="A239" s="8" t="s">
        <v>6642</v>
      </c>
      <c r="B239" s="8" t="s">
        <v>6643</v>
      </c>
      <c r="C239" s="8">
        <v>30914455</v>
      </c>
      <c r="D239" s="8">
        <v>5</v>
      </c>
      <c r="E239" s="11">
        <v>43112</v>
      </c>
      <c r="F239" s="8" t="s">
        <v>58</v>
      </c>
      <c r="G239" s="11">
        <v>43115</v>
      </c>
      <c r="H239" s="8" t="s">
        <v>25</v>
      </c>
      <c r="I239" s="11">
        <v>43115</v>
      </c>
      <c r="J239" s="8" t="s">
        <v>25</v>
      </c>
      <c r="N239" s="8" t="s">
        <v>58</v>
      </c>
      <c r="O239" s="8" t="s">
        <v>59</v>
      </c>
      <c r="P239" s="8" t="s">
        <v>59</v>
      </c>
      <c r="R239" s="8">
        <v>0</v>
      </c>
      <c r="S239" s="8">
        <v>0</v>
      </c>
      <c r="T239" s="8">
        <v>1</v>
      </c>
      <c r="U239" s="8">
        <v>2</v>
      </c>
      <c r="X239" s="8">
        <v>5</v>
      </c>
      <c r="AG239" s="8" t="str">
        <f t="shared" si="13"/>
        <v/>
      </c>
      <c r="AI239" s="8" t="str">
        <f t="shared" si="14"/>
        <v/>
      </c>
      <c r="AJ239" s="8" t="str">
        <f t="shared" si="15"/>
        <v/>
      </c>
      <c r="AL239" s="8" t="str">
        <f t="shared" si="16"/>
        <v/>
      </c>
    </row>
    <row r="240" spans="1:38" x14ac:dyDescent="0.25">
      <c r="A240" s="8" t="s">
        <v>6644</v>
      </c>
      <c r="B240" s="8" t="s">
        <v>6645</v>
      </c>
      <c r="C240" s="8">
        <v>30840784</v>
      </c>
      <c r="D240" s="8">
        <v>5</v>
      </c>
      <c r="E240" s="11">
        <v>43109</v>
      </c>
      <c r="F240" s="8" t="s">
        <v>60</v>
      </c>
      <c r="G240" s="11">
        <v>43115</v>
      </c>
      <c r="H240" s="8" t="s">
        <v>145</v>
      </c>
      <c r="J240" s="8" t="s">
        <v>25</v>
      </c>
      <c r="L240" s="8" t="s">
        <v>6525</v>
      </c>
      <c r="N240" s="8" t="s">
        <v>58</v>
      </c>
      <c r="O240" s="8" t="s">
        <v>59</v>
      </c>
      <c r="P240" s="8" t="s">
        <v>59</v>
      </c>
      <c r="R240" s="8">
        <v>0</v>
      </c>
      <c r="S240" s="8">
        <v>0</v>
      </c>
      <c r="T240" s="8">
        <v>1</v>
      </c>
      <c r="U240" s="8">
        <v>2</v>
      </c>
      <c r="W240" s="8">
        <v>4</v>
      </c>
      <c r="AG240" s="8" t="str">
        <f t="shared" si="13"/>
        <v/>
      </c>
      <c r="AI240" s="8" t="str">
        <f t="shared" si="14"/>
        <v/>
      </c>
      <c r="AJ240" s="8" t="str">
        <f t="shared" si="15"/>
        <v/>
      </c>
      <c r="AL240" s="8" t="str">
        <f t="shared" si="16"/>
        <v/>
      </c>
    </row>
    <row r="241" spans="1:38" x14ac:dyDescent="0.25">
      <c r="A241" s="8" t="s">
        <v>6646</v>
      </c>
      <c r="B241" s="8" t="s">
        <v>6647</v>
      </c>
      <c r="C241" s="8">
        <v>30934578</v>
      </c>
      <c r="D241" s="8">
        <v>5</v>
      </c>
      <c r="E241" s="11">
        <v>43115</v>
      </c>
      <c r="F241" s="8" t="s">
        <v>57</v>
      </c>
      <c r="G241" s="11">
        <v>43115</v>
      </c>
      <c r="H241" s="8" t="s">
        <v>25</v>
      </c>
      <c r="J241" s="8" t="s">
        <v>25</v>
      </c>
      <c r="N241" s="8" t="s">
        <v>58</v>
      </c>
      <c r="O241" s="8" t="s">
        <v>59</v>
      </c>
      <c r="P241" s="8" t="s">
        <v>59</v>
      </c>
      <c r="R241" s="8">
        <v>0</v>
      </c>
      <c r="S241" s="8">
        <v>0</v>
      </c>
      <c r="T241" s="8">
        <v>1</v>
      </c>
      <c r="U241" s="8">
        <v>2</v>
      </c>
      <c r="AG241" s="8" t="str">
        <f t="shared" si="13"/>
        <v/>
      </c>
      <c r="AI241" s="8" t="str">
        <f t="shared" si="14"/>
        <v/>
      </c>
      <c r="AJ241" s="8" t="str">
        <f t="shared" si="15"/>
        <v/>
      </c>
      <c r="AL241" s="8" t="str">
        <f t="shared" si="16"/>
        <v/>
      </c>
    </row>
    <row r="242" spans="1:38" x14ac:dyDescent="0.25">
      <c r="A242" s="8" t="s">
        <v>192</v>
      </c>
      <c r="B242" s="8" t="s">
        <v>193</v>
      </c>
      <c r="C242" s="8">
        <v>30824879</v>
      </c>
      <c r="D242" s="8">
        <v>5</v>
      </c>
      <c r="E242" s="11">
        <v>43108</v>
      </c>
      <c r="F242" s="8" t="s">
        <v>58</v>
      </c>
      <c r="G242" s="11">
        <v>43108</v>
      </c>
      <c r="H242" s="8" t="s">
        <v>25</v>
      </c>
      <c r="I242" s="11">
        <v>43108</v>
      </c>
      <c r="J242" s="8" t="s">
        <v>25</v>
      </c>
      <c r="N242" s="8" t="s">
        <v>58</v>
      </c>
      <c r="O242" s="8" t="s">
        <v>59</v>
      </c>
      <c r="P242" s="8" t="s">
        <v>59</v>
      </c>
      <c r="R242" s="8">
        <v>0</v>
      </c>
      <c r="S242" s="8">
        <v>0</v>
      </c>
      <c r="T242" s="8">
        <v>1</v>
      </c>
      <c r="U242" s="8">
        <v>2</v>
      </c>
      <c r="X242" s="8">
        <v>5</v>
      </c>
      <c r="AG242" s="8" t="str">
        <f t="shared" si="13"/>
        <v/>
      </c>
      <c r="AI242" s="8" t="str">
        <f t="shared" si="14"/>
        <v/>
      </c>
      <c r="AJ242" s="8" t="str">
        <f t="shared" si="15"/>
        <v/>
      </c>
      <c r="AL242" s="8" t="str">
        <f t="shared" si="16"/>
        <v/>
      </c>
    </row>
    <row r="243" spans="1:38" x14ac:dyDescent="0.25">
      <c r="A243" s="8" t="s">
        <v>4814</v>
      </c>
      <c r="B243" s="8" t="s">
        <v>4815</v>
      </c>
      <c r="C243" s="8">
        <v>30890389</v>
      </c>
      <c r="D243" s="8">
        <v>5</v>
      </c>
      <c r="E243" s="11">
        <v>43111</v>
      </c>
      <c r="F243" s="8" t="s">
        <v>57</v>
      </c>
      <c r="G243" s="11">
        <v>43112</v>
      </c>
      <c r="H243" s="8" t="s">
        <v>25</v>
      </c>
      <c r="J243" s="8" t="s">
        <v>25</v>
      </c>
      <c r="N243" s="8" t="s">
        <v>58</v>
      </c>
      <c r="O243" s="8" t="s">
        <v>59</v>
      </c>
      <c r="P243" s="8" t="s">
        <v>59</v>
      </c>
      <c r="R243" s="8">
        <v>0</v>
      </c>
      <c r="S243" s="8">
        <v>0</v>
      </c>
      <c r="T243" s="8">
        <v>1</v>
      </c>
      <c r="U243" s="8">
        <v>2</v>
      </c>
      <c r="AG243" s="8" t="str">
        <f t="shared" si="13"/>
        <v/>
      </c>
      <c r="AI243" s="8" t="str">
        <f t="shared" si="14"/>
        <v/>
      </c>
      <c r="AJ243" s="8" t="str">
        <f t="shared" si="15"/>
        <v/>
      </c>
      <c r="AL243" s="8" t="str">
        <f t="shared" si="16"/>
        <v/>
      </c>
    </row>
    <row r="244" spans="1:38" x14ac:dyDescent="0.25">
      <c r="A244" s="8" t="s">
        <v>1703</v>
      </c>
      <c r="B244" s="8" t="s">
        <v>1704</v>
      </c>
      <c r="C244" s="8">
        <v>30815413</v>
      </c>
      <c r="D244" s="8">
        <v>5</v>
      </c>
      <c r="E244" s="11">
        <v>43108</v>
      </c>
      <c r="F244" s="8" t="s">
        <v>60</v>
      </c>
      <c r="G244" s="11">
        <v>43110</v>
      </c>
      <c r="H244" s="8" t="s">
        <v>25</v>
      </c>
      <c r="J244" s="8" t="s">
        <v>25</v>
      </c>
      <c r="L244" s="8" t="s">
        <v>3287</v>
      </c>
      <c r="N244" s="8" t="s">
        <v>58</v>
      </c>
      <c r="O244" s="8" t="s">
        <v>59</v>
      </c>
      <c r="P244" s="8" t="s">
        <v>59</v>
      </c>
      <c r="R244" s="8">
        <v>0</v>
      </c>
      <c r="S244" s="8">
        <v>0</v>
      </c>
      <c r="T244" s="8">
        <v>1</v>
      </c>
      <c r="U244" s="8">
        <v>2</v>
      </c>
      <c r="W244" s="8">
        <v>4</v>
      </c>
      <c r="AG244" s="8" t="str">
        <f t="shared" si="13"/>
        <v/>
      </c>
      <c r="AI244" s="8" t="str">
        <f t="shared" si="14"/>
        <v/>
      </c>
      <c r="AJ244" s="8" t="str">
        <f t="shared" si="15"/>
        <v/>
      </c>
      <c r="AL244" s="8" t="str">
        <f t="shared" si="16"/>
        <v/>
      </c>
    </row>
    <row r="245" spans="1:38" x14ac:dyDescent="0.25">
      <c r="A245" s="8" t="s">
        <v>6648</v>
      </c>
      <c r="B245" s="8" t="s">
        <v>1704</v>
      </c>
      <c r="C245" s="8">
        <v>30930307</v>
      </c>
      <c r="D245" s="8">
        <v>5</v>
      </c>
      <c r="E245" s="11">
        <v>43115</v>
      </c>
      <c r="F245" s="8" t="s">
        <v>57</v>
      </c>
      <c r="G245" s="11">
        <v>43115</v>
      </c>
      <c r="H245" s="8" t="s">
        <v>25</v>
      </c>
      <c r="J245" s="8" t="s">
        <v>25</v>
      </c>
      <c r="N245" s="8" t="s">
        <v>58</v>
      </c>
      <c r="O245" s="8" t="s">
        <v>59</v>
      </c>
      <c r="P245" s="8" t="s">
        <v>59</v>
      </c>
      <c r="R245" s="8">
        <v>0</v>
      </c>
      <c r="S245" s="8">
        <v>0</v>
      </c>
      <c r="T245" s="8">
        <v>1</v>
      </c>
      <c r="U245" s="8">
        <v>2</v>
      </c>
      <c r="AG245" s="8" t="str">
        <f t="shared" si="13"/>
        <v/>
      </c>
      <c r="AI245" s="8" t="str">
        <f t="shared" si="14"/>
        <v/>
      </c>
      <c r="AJ245" s="8" t="str">
        <f t="shared" si="15"/>
        <v/>
      </c>
      <c r="AL245" s="8" t="str">
        <f t="shared" si="16"/>
        <v/>
      </c>
    </row>
    <row r="246" spans="1:38" x14ac:dyDescent="0.25">
      <c r="A246" s="8" t="s">
        <v>835</v>
      </c>
      <c r="B246" s="8" t="s">
        <v>836</v>
      </c>
      <c r="C246" s="8">
        <v>30836120</v>
      </c>
      <c r="D246" s="8">
        <v>4</v>
      </c>
      <c r="E246" s="11">
        <v>43109</v>
      </c>
      <c r="F246" s="8" t="s">
        <v>60</v>
      </c>
      <c r="G246" s="11">
        <v>43111</v>
      </c>
      <c r="H246" s="8" t="s">
        <v>25</v>
      </c>
      <c r="J246" s="8" t="s">
        <v>25</v>
      </c>
      <c r="L246" s="8" t="s">
        <v>3287</v>
      </c>
      <c r="M246" s="8" t="s">
        <v>66</v>
      </c>
      <c r="N246" s="8" t="s">
        <v>58</v>
      </c>
      <c r="O246" s="8" t="s">
        <v>59</v>
      </c>
      <c r="P246" s="8" t="s">
        <v>59</v>
      </c>
      <c r="R246" s="8">
        <v>0</v>
      </c>
      <c r="S246" s="8">
        <v>0</v>
      </c>
      <c r="T246" s="8">
        <v>1</v>
      </c>
      <c r="U246" s="8">
        <v>2</v>
      </c>
      <c r="AG246" s="8" t="str">
        <f t="shared" si="13"/>
        <v/>
      </c>
      <c r="AI246" s="8" t="str">
        <f t="shared" si="14"/>
        <v/>
      </c>
      <c r="AJ246" s="8" t="str">
        <f t="shared" si="15"/>
        <v/>
      </c>
      <c r="AL246" s="8" t="str">
        <f t="shared" si="16"/>
        <v/>
      </c>
    </row>
    <row r="247" spans="1:38" x14ac:dyDescent="0.25">
      <c r="A247" s="8" t="s">
        <v>1705</v>
      </c>
      <c r="B247" s="8" t="s">
        <v>1706</v>
      </c>
      <c r="C247" s="8">
        <v>30856252</v>
      </c>
      <c r="D247" s="8">
        <v>5</v>
      </c>
      <c r="E247" s="11">
        <v>43110</v>
      </c>
      <c r="F247" s="8" t="s">
        <v>58</v>
      </c>
      <c r="G247" s="11">
        <v>43110</v>
      </c>
      <c r="H247" s="8" t="s">
        <v>25</v>
      </c>
      <c r="I247" s="11">
        <v>43111</v>
      </c>
      <c r="J247" s="8" t="s">
        <v>25</v>
      </c>
      <c r="N247" s="8" t="s">
        <v>58</v>
      </c>
      <c r="O247" s="8" t="s">
        <v>59</v>
      </c>
      <c r="P247" s="8" t="s">
        <v>59</v>
      </c>
      <c r="R247" s="8">
        <v>0</v>
      </c>
      <c r="S247" s="8">
        <v>0</v>
      </c>
      <c r="T247" s="8">
        <v>1</v>
      </c>
      <c r="U247" s="8">
        <v>2</v>
      </c>
      <c r="X247" s="8">
        <v>5</v>
      </c>
      <c r="AG247" s="8" t="str">
        <f t="shared" si="13"/>
        <v/>
      </c>
      <c r="AI247" s="8" t="str">
        <f t="shared" si="14"/>
        <v/>
      </c>
      <c r="AJ247" s="8" t="str">
        <f t="shared" si="15"/>
        <v/>
      </c>
      <c r="AL247" s="8" t="str">
        <f t="shared" si="16"/>
        <v/>
      </c>
    </row>
    <row r="248" spans="1:38" x14ac:dyDescent="0.25">
      <c r="A248" s="8" t="s">
        <v>4816</v>
      </c>
      <c r="B248" s="8" t="s">
        <v>4817</v>
      </c>
      <c r="C248" s="8">
        <v>30833322</v>
      </c>
      <c r="D248" s="8">
        <v>5</v>
      </c>
      <c r="E248" s="11">
        <v>43109</v>
      </c>
      <c r="F248" s="8" t="s">
        <v>57</v>
      </c>
      <c r="G248" s="11">
        <v>43115</v>
      </c>
      <c r="H248" s="8" t="s">
        <v>145</v>
      </c>
      <c r="J248" s="8" t="s">
        <v>25</v>
      </c>
      <c r="N248" s="8" t="s">
        <v>58</v>
      </c>
      <c r="O248" s="8" t="s">
        <v>59</v>
      </c>
      <c r="P248" s="8" t="s">
        <v>59</v>
      </c>
      <c r="R248" s="8">
        <v>0</v>
      </c>
      <c r="S248" s="8">
        <v>0</v>
      </c>
      <c r="T248" s="8">
        <v>1</v>
      </c>
      <c r="U248" s="8">
        <v>2</v>
      </c>
      <c r="AG248" s="8" t="str">
        <f t="shared" si="13"/>
        <v/>
      </c>
      <c r="AI248" s="8" t="str">
        <f t="shared" si="14"/>
        <v/>
      </c>
      <c r="AJ248" s="8" t="str">
        <f t="shared" si="15"/>
        <v/>
      </c>
      <c r="AL248" s="8" t="str">
        <f t="shared" si="16"/>
        <v/>
      </c>
    </row>
    <row r="249" spans="1:38" x14ac:dyDescent="0.25">
      <c r="A249" s="8" t="s">
        <v>6649</v>
      </c>
      <c r="B249" s="8" t="s">
        <v>6650</v>
      </c>
      <c r="C249" s="8">
        <v>30912881</v>
      </c>
      <c r="D249" s="8">
        <v>5</v>
      </c>
      <c r="E249" s="11">
        <v>43112</v>
      </c>
      <c r="F249" s="8" t="s">
        <v>58</v>
      </c>
      <c r="G249" s="11">
        <v>43115</v>
      </c>
      <c r="H249" s="8" t="s">
        <v>25</v>
      </c>
      <c r="I249" s="11">
        <v>43115</v>
      </c>
      <c r="J249" s="8" t="s">
        <v>25</v>
      </c>
      <c r="N249" s="8" t="s">
        <v>58</v>
      </c>
      <c r="O249" s="8" t="s">
        <v>59</v>
      </c>
      <c r="P249" s="8" t="s">
        <v>59</v>
      </c>
      <c r="R249" s="8">
        <v>0</v>
      </c>
      <c r="S249" s="8">
        <v>0</v>
      </c>
      <c r="T249" s="8">
        <v>1</v>
      </c>
      <c r="U249" s="8">
        <v>2</v>
      </c>
      <c r="X249" s="8">
        <v>5</v>
      </c>
      <c r="AG249" s="8" t="str">
        <f t="shared" si="13"/>
        <v/>
      </c>
      <c r="AI249" s="8" t="str">
        <f t="shared" si="14"/>
        <v/>
      </c>
      <c r="AJ249" s="8" t="str">
        <f t="shared" si="15"/>
        <v/>
      </c>
      <c r="AL249" s="8" t="str">
        <f t="shared" si="16"/>
        <v/>
      </c>
    </row>
    <row r="250" spans="1:38" x14ac:dyDescent="0.25">
      <c r="A250" s="8" t="s">
        <v>6651</v>
      </c>
      <c r="B250" s="8" t="s">
        <v>6652</v>
      </c>
      <c r="C250" s="8">
        <v>30870757</v>
      </c>
      <c r="D250" s="8">
        <v>5</v>
      </c>
      <c r="E250" s="11">
        <v>43110</v>
      </c>
      <c r="F250" s="8" t="s">
        <v>58</v>
      </c>
      <c r="G250" s="11">
        <v>43115</v>
      </c>
      <c r="H250" s="8" t="s">
        <v>145</v>
      </c>
      <c r="I250" s="11">
        <v>43115</v>
      </c>
      <c r="J250" s="8" t="s">
        <v>25</v>
      </c>
      <c r="N250" s="8" t="s">
        <v>58</v>
      </c>
      <c r="O250" s="8" t="s">
        <v>59</v>
      </c>
      <c r="P250" s="8" t="s">
        <v>59</v>
      </c>
      <c r="R250" s="8">
        <v>0</v>
      </c>
      <c r="S250" s="8">
        <v>0</v>
      </c>
      <c r="T250" s="8">
        <v>1</v>
      </c>
      <c r="U250" s="8">
        <v>2</v>
      </c>
      <c r="X250" s="8">
        <v>5</v>
      </c>
      <c r="AG250" s="8" t="str">
        <f t="shared" si="13"/>
        <v/>
      </c>
      <c r="AI250" s="8" t="str">
        <f t="shared" si="14"/>
        <v/>
      </c>
      <c r="AJ250" s="8" t="str">
        <f t="shared" si="15"/>
        <v/>
      </c>
      <c r="AL250" s="8" t="str">
        <f t="shared" si="16"/>
        <v/>
      </c>
    </row>
    <row r="251" spans="1:38" x14ac:dyDescent="0.25">
      <c r="A251" s="8" t="s">
        <v>1707</v>
      </c>
      <c r="B251" s="8" t="s">
        <v>1708</v>
      </c>
      <c r="C251" s="8">
        <v>30842407</v>
      </c>
      <c r="D251" s="8">
        <v>5</v>
      </c>
      <c r="E251" s="11">
        <v>43109</v>
      </c>
      <c r="F251" s="8" t="s">
        <v>58</v>
      </c>
      <c r="G251" s="11">
        <v>43110</v>
      </c>
      <c r="H251" s="8" t="s">
        <v>25</v>
      </c>
      <c r="I251" s="11">
        <v>43111</v>
      </c>
      <c r="J251" s="8" t="s">
        <v>25</v>
      </c>
      <c r="N251" s="8" t="s">
        <v>58</v>
      </c>
      <c r="O251" s="8" t="s">
        <v>59</v>
      </c>
      <c r="P251" s="8" t="s">
        <v>59</v>
      </c>
      <c r="R251" s="8">
        <v>0</v>
      </c>
      <c r="S251" s="8">
        <v>0</v>
      </c>
      <c r="T251" s="8">
        <v>1</v>
      </c>
      <c r="U251" s="8">
        <v>2</v>
      </c>
      <c r="X251" s="8">
        <v>5</v>
      </c>
      <c r="AG251" s="8" t="str">
        <f t="shared" si="13"/>
        <v/>
      </c>
      <c r="AI251" s="8" t="str">
        <f t="shared" si="14"/>
        <v/>
      </c>
      <c r="AJ251" s="8" t="str">
        <f t="shared" si="15"/>
        <v/>
      </c>
      <c r="AL251" s="8" t="str">
        <f t="shared" si="16"/>
        <v/>
      </c>
    </row>
    <row r="252" spans="1:38" x14ac:dyDescent="0.25">
      <c r="A252" s="8" t="s">
        <v>194</v>
      </c>
      <c r="B252" s="8" t="s">
        <v>195</v>
      </c>
      <c r="C252" s="8">
        <v>30812159</v>
      </c>
      <c r="D252" s="8">
        <v>5</v>
      </c>
      <c r="E252" s="11">
        <v>43108</v>
      </c>
      <c r="F252" s="8" t="s">
        <v>58</v>
      </c>
      <c r="G252" s="11">
        <v>43108</v>
      </c>
      <c r="H252" s="8" t="s">
        <v>25</v>
      </c>
      <c r="I252" s="11">
        <v>43108</v>
      </c>
      <c r="J252" s="8" t="s">
        <v>25</v>
      </c>
      <c r="N252" s="8" t="s">
        <v>58</v>
      </c>
      <c r="O252" s="8" t="s">
        <v>59</v>
      </c>
      <c r="P252" s="8" t="s">
        <v>59</v>
      </c>
      <c r="R252" s="8">
        <v>0</v>
      </c>
      <c r="S252" s="8">
        <v>0</v>
      </c>
      <c r="T252" s="8">
        <v>1</v>
      </c>
      <c r="U252" s="8">
        <v>2</v>
      </c>
      <c r="X252" s="8">
        <v>5</v>
      </c>
      <c r="AG252" s="8" t="str">
        <f t="shared" si="13"/>
        <v/>
      </c>
      <c r="AI252" s="8" t="str">
        <f t="shared" si="14"/>
        <v/>
      </c>
      <c r="AJ252" s="8" t="str">
        <f t="shared" si="15"/>
        <v/>
      </c>
      <c r="AL252" s="8" t="str">
        <f t="shared" si="16"/>
        <v/>
      </c>
    </row>
    <row r="253" spans="1:38" x14ac:dyDescent="0.25">
      <c r="A253" s="8" t="s">
        <v>4818</v>
      </c>
      <c r="B253" s="8" t="s">
        <v>4819</v>
      </c>
      <c r="C253" s="8">
        <v>30914493</v>
      </c>
      <c r="D253" s="8">
        <v>5</v>
      </c>
      <c r="E253" s="11">
        <v>43112</v>
      </c>
      <c r="F253" s="8" t="s">
        <v>57</v>
      </c>
      <c r="G253" s="11">
        <v>43112</v>
      </c>
      <c r="H253" s="8" t="s">
        <v>25</v>
      </c>
      <c r="J253" s="8" t="s">
        <v>25</v>
      </c>
      <c r="N253" s="8" t="s">
        <v>58</v>
      </c>
      <c r="O253" s="8" t="s">
        <v>59</v>
      </c>
      <c r="P253" s="8" t="s">
        <v>59</v>
      </c>
      <c r="R253" s="8">
        <v>0</v>
      </c>
      <c r="S253" s="8">
        <v>0</v>
      </c>
      <c r="T253" s="8">
        <v>1</v>
      </c>
      <c r="U253" s="8">
        <v>2</v>
      </c>
      <c r="AG253" s="8" t="str">
        <f t="shared" si="13"/>
        <v/>
      </c>
      <c r="AI253" s="8" t="str">
        <f t="shared" si="14"/>
        <v/>
      </c>
      <c r="AJ253" s="8" t="str">
        <f t="shared" si="15"/>
        <v/>
      </c>
      <c r="AL253" s="8" t="str">
        <f t="shared" si="16"/>
        <v/>
      </c>
    </row>
    <row r="254" spans="1:38" x14ac:dyDescent="0.25">
      <c r="A254" s="8" t="s">
        <v>4820</v>
      </c>
      <c r="B254" s="8" t="s">
        <v>4821</v>
      </c>
      <c r="C254" s="8">
        <v>30919937</v>
      </c>
      <c r="D254" s="8">
        <v>5</v>
      </c>
      <c r="E254" s="11">
        <v>43112</v>
      </c>
      <c r="F254" s="8" t="s">
        <v>57</v>
      </c>
      <c r="G254" s="11">
        <v>43112</v>
      </c>
      <c r="H254" s="8" t="s">
        <v>25</v>
      </c>
      <c r="J254" s="8" t="s">
        <v>25</v>
      </c>
      <c r="N254" s="8" t="s">
        <v>58</v>
      </c>
      <c r="O254" s="8" t="s">
        <v>59</v>
      </c>
      <c r="P254" s="8" t="s">
        <v>59</v>
      </c>
      <c r="R254" s="8">
        <v>0</v>
      </c>
      <c r="S254" s="8">
        <v>0</v>
      </c>
      <c r="T254" s="8">
        <v>1</v>
      </c>
      <c r="U254" s="8">
        <v>2</v>
      </c>
      <c r="AG254" s="8" t="str">
        <f t="shared" si="13"/>
        <v/>
      </c>
      <c r="AI254" s="8" t="str">
        <f t="shared" si="14"/>
        <v/>
      </c>
      <c r="AJ254" s="8" t="str">
        <f t="shared" si="15"/>
        <v/>
      </c>
      <c r="AL254" s="8" t="str">
        <f t="shared" si="16"/>
        <v/>
      </c>
    </row>
    <row r="255" spans="1:38" x14ac:dyDescent="0.25">
      <c r="A255" s="8" t="s">
        <v>837</v>
      </c>
      <c r="B255" s="8" t="s">
        <v>838</v>
      </c>
      <c r="C255" s="8">
        <v>30818586</v>
      </c>
      <c r="D255" s="8">
        <v>5</v>
      </c>
      <c r="E255" s="11">
        <v>43108</v>
      </c>
      <c r="F255" s="8" t="s">
        <v>58</v>
      </c>
      <c r="G255" s="11">
        <v>43109</v>
      </c>
      <c r="H255" s="8" t="s">
        <v>25</v>
      </c>
      <c r="I255" s="11">
        <v>43109</v>
      </c>
      <c r="J255" s="8" t="s">
        <v>25</v>
      </c>
      <c r="N255" s="8" t="s">
        <v>58</v>
      </c>
      <c r="O255" s="8" t="s">
        <v>59</v>
      </c>
      <c r="P255" s="8" t="s">
        <v>59</v>
      </c>
      <c r="R255" s="8">
        <v>0</v>
      </c>
      <c r="S255" s="8">
        <v>0</v>
      </c>
      <c r="T255" s="8">
        <v>1</v>
      </c>
      <c r="U255" s="8">
        <v>2</v>
      </c>
      <c r="X255" s="8">
        <v>5</v>
      </c>
      <c r="AG255" s="8" t="str">
        <f t="shared" si="13"/>
        <v/>
      </c>
      <c r="AI255" s="8" t="str">
        <f t="shared" si="14"/>
        <v/>
      </c>
      <c r="AJ255" s="8" t="str">
        <f t="shared" si="15"/>
        <v/>
      </c>
      <c r="AL255" s="8" t="str">
        <f t="shared" si="16"/>
        <v/>
      </c>
    </row>
    <row r="256" spans="1:38" x14ac:dyDescent="0.25">
      <c r="A256" s="8" t="s">
        <v>1709</v>
      </c>
      <c r="B256" s="8" t="s">
        <v>1710</v>
      </c>
      <c r="C256" s="8">
        <v>30841917</v>
      </c>
      <c r="D256" s="8">
        <v>5</v>
      </c>
      <c r="E256" s="11">
        <v>43109</v>
      </c>
      <c r="F256" s="8" t="s">
        <v>57</v>
      </c>
      <c r="G256" s="11">
        <v>43110</v>
      </c>
      <c r="H256" s="8" t="s">
        <v>25</v>
      </c>
      <c r="J256" s="8" t="s">
        <v>25</v>
      </c>
      <c r="N256" s="8" t="s">
        <v>58</v>
      </c>
      <c r="O256" s="8" t="s">
        <v>59</v>
      </c>
      <c r="P256" s="8" t="s">
        <v>59</v>
      </c>
      <c r="R256" s="8">
        <v>0</v>
      </c>
      <c r="S256" s="8">
        <v>0</v>
      </c>
      <c r="T256" s="8">
        <v>1</v>
      </c>
      <c r="U256" s="8">
        <v>2</v>
      </c>
      <c r="AG256" s="8" t="str">
        <f t="shared" si="13"/>
        <v/>
      </c>
      <c r="AI256" s="8" t="str">
        <f t="shared" si="14"/>
        <v/>
      </c>
      <c r="AJ256" s="8" t="str">
        <f t="shared" si="15"/>
        <v/>
      </c>
      <c r="AL256" s="8" t="str">
        <f t="shared" si="16"/>
        <v/>
      </c>
    </row>
    <row r="257" spans="1:38" x14ac:dyDescent="0.25">
      <c r="A257" s="8" t="s">
        <v>6653</v>
      </c>
      <c r="B257" s="8" t="s">
        <v>6654</v>
      </c>
      <c r="C257" s="8">
        <v>30841290</v>
      </c>
      <c r="D257" s="8">
        <v>5</v>
      </c>
      <c r="E257" s="11">
        <v>43109</v>
      </c>
      <c r="F257" s="8" t="s">
        <v>57</v>
      </c>
      <c r="G257" s="11">
        <v>43115</v>
      </c>
      <c r="H257" s="8" t="s">
        <v>145</v>
      </c>
      <c r="J257" s="8" t="s">
        <v>25</v>
      </c>
      <c r="N257" s="8" t="s">
        <v>58</v>
      </c>
      <c r="O257" s="8" t="s">
        <v>59</v>
      </c>
      <c r="P257" s="8" t="s">
        <v>59</v>
      </c>
      <c r="R257" s="8">
        <v>0</v>
      </c>
      <c r="S257" s="8">
        <v>0</v>
      </c>
      <c r="T257" s="8">
        <v>1</v>
      </c>
      <c r="U257" s="8">
        <v>2</v>
      </c>
      <c r="AG257" s="8" t="str">
        <f t="shared" si="13"/>
        <v/>
      </c>
      <c r="AI257" s="8" t="str">
        <f t="shared" si="14"/>
        <v/>
      </c>
      <c r="AJ257" s="8" t="str">
        <f t="shared" si="15"/>
        <v/>
      </c>
      <c r="AL257" s="8" t="str">
        <f t="shared" si="16"/>
        <v/>
      </c>
    </row>
    <row r="258" spans="1:38" x14ac:dyDescent="0.25">
      <c r="A258" s="8" t="s">
        <v>1711</v>
      </c>
      <c r="B258" s="8" t="s">
        <v>1712</v>
      </c>
      <c r="C258" s="8">
        <v>30831761</v>
      </c>
      <c r="D258" s="8">
        <v>5</v>
      </c>
      <c r="E258" s="11">
        <v>43109</v>
      </c>
      <c r="F258" s="8" t="s">
        <v>58</v>
      </c>
      <c r="G258" s="11">
        <v>43110</v>
      </c>
      <c r="H258" s="8" t="s">
        <v>25</v>
      </c>
      <c r="I258" s="11">
        <v>43115</v>
      </c>
      <c r="J258" s="8" t="s">
        <v>145</v>
      </c>
      <c r="N258" s="8" t="s">
        <v>58</v>
      </c>
      <c r="O258" s="8" t="s">
        <v>59</v>
      </c>
      <c r="P258" s="8" t="s">
        <v>59</v>
      </c>
      <c r="R258" s="8">
        <v>0</v>
      </c>
      <c r="S258" s="8">
        <v>0</v>
      </c>
      <c r="T258" s="8">
        <v>1</v>
      </c>
      <c r="U258" s="8">
        <v>2</v>
      </c>
      <c r="X258" s="8">
        <v>5</v>
      </c>
      <c r="AG258" s="8" t="str">
        <f t="shared" si="13"/>
        <v/>
      </c>
      <c r="AI258" s="8" t="str">
        <f t="shared" si="14"/>
        <v/>
      </c>
      <c r="AJ258" s="8" t="str">
        <f t="shared" si="15"/>
        <v/>
      </c>
      <c r="AL258" s="8" t="str">
        <f t="shared" si="16"/>
        <v/>
      </c>
    </row>
    <row r="259" spans="1:38" x14ac:dyDescent="0.25">
      <c r="A259" s="8" t="s">
        <v>6655</v>
      </c>
      <c r="B259" s="8" t="s">
        <v>6656</v>
      </c>
      <c r="C259" s="8">
        <v>30939837</v>
      </c>
      <c r="D259" s="8">
        <v>5</v>
      </c>
      <c r="E259" s="11">
        <v>43115</v>
      </c>
      <c r="F259" s="8" t="s">
        <v>58</v>
      </c>
      <c r="G259" s="11">
        <v>43115</v>
      </c>
      <c r="H259" s="8" t="s">
        <v>25</v>
      </c>
      <c r="I259" s="11">
        <v>43115</v>
      </c>
      <c r="J259" s="8" t="s">
        <v>25</v>
      </c>
      <c r="N259" s="8" t="s">
        <v>58</v>
      </c>
      <c r="O259" s="8" t="s">
        <v>59</v>
      </c>
      <c r="P259" s="8" t="s">
        <v>59</v>
      </c>
      <c r="R259" s="8">
        <v>0</v>
      </c>
      <c r="S259" s="8">
        <v>0</v>
      </c>
      <c r="T259" s="8">
        <v>1</v>
      </c>
      <c r="U259" s="8">
        <v>2</v>
      </c>
      <c r="X259" s="8">
        <v>5</v>
      </c>
      <c r="AG259" s="8" t="str">
        <f t="shared" ref="AG259:AG322" si="17">IF(AND(U259="",G259&lt;&gt;"",NOT(OR(R259,S259))),IF(NETWORKDAYS.INTL(G259,TODAY(),11)&lt;5,"En Plazo",IF(NETWORKDAYS.INTL(G259,TODAY(),11)=5,"Riesgo Incumplimiento","FALTA_02")),"")</f>
        <v/>
      </c>
      <c r="AI259" s="8" t="str">
        <f t="shared" ref="AI259:AI322" si="18">IF(AND(O259&lt;&gt;"B1",F259="Rejected"),IF(W259="","FALTA_04",""),"")</f>
        <v/>
      </c>
      <c r="AJ259" s="8" t="str">
        <f t="shared" ref="AJ259:AJ322" si="19">IF(AND(X259="",I259&lt;&gt;"",NOT(OR(R259,S259))),IF(NETWORKDAYS.INTL(G259,TODAY(),11)&lt;=1,"En Plazo",IF(OR(AND(X259="",O259&lt;&gt;"M1"),AND(O259="M1",(OR(Q259="S - S",Q259="S - T",)))),"FALTA_05","")),"")</f>
        <v/>
      </c>
      <c r="AL259" s="8" t="str">
        <f t="shared" ref="AL259:AL322" si="20">IF(AND(O259="B1",F259="Rejected"),IF(Z259="","FALTA_07",""),"")</f>
        <v/>
      </c>
    </row>
    <row r="260" spans="1:38" x14ac:dyDescent="0.25">
      <c r="A260" s="8" t="s">
        <v>6657</v>
      </c>
      <c r="B260" s="8" t="s">
        <v>6658</v>
      </c>
      <c r="C260" s="8">
        <v>30930357</v>
      </c>
      <c r="D260" s="8">
        <v>5</v>
      </c>
      <c r="E260" s="11">
        <v>43115</v>
      </c>
      <c r="F260" s="8" t="s">
        <v>58</v>
      </c>
      <c r="G260" s="11">
        <v>43115</v>
      </c>
      <c r="H260" s="8" t="s">
        <v>25</v>
      </c>
      <c r="I260" s="11">
        <v>43115</v>
      </c>
      <c r="J260" s="8" t="s">
        <v>25</v>
      </c>
      <c r="N260" s="8" t="s">
        <v>58</v>
      </c>
      <c r="O260" s="8" t="s">
        <v>59</v>
      </c>
      <c r="P260" s="8" t="s">
        <v>59</v>
      </c>
      <c r="R260" s="8">
        <v>0</v>
      </c>
      <c r="S260" s="8">
        <v>0</v>
      </c>
      <c r="T260" s="8">
        <v>1</v>
      </c>
      <c r="U260" s="8">
        <v>2</v>
      </c>
      <c r="X260" s="8">
        <v>5</v>
      </c>
      <c r="AG260" s="8" t="str">
        <f t="shared" si="17"/>
        <v/>
      </c>
      <c r="AI260" s="8" t="str">
        <f t="shared" si="18"/>
        <v/>
      </c>
      <c r="AJ260" s="8" t="str">
        <f t="shared" si="19"/>
        <v/>
      </c>
      <c r="AL260" s="8" t="str">
        <f t="shared" si="20"/>
        <v/>
      </c>
    </row>
    <row r="261" spans="1:38" x14ac:dyDescent="0.25">
      <c r="A261" s="8" t="s">
        <v>6659</v>
      </c>
      <c r="B261" s="8" t="s">
        <v>6660</v>
      </c>
      <c r="C261" s="8">
        <v>30930369</v>
      </c>
      <c r="D261" s="8">
        <v>5</v>
      </c>
      <c r="E261" s="11">
        <v>43115</v>
      </c>
      <c r="F261" s="8" t="s">
        <v>58</v>
      </c>
      <c r="G261" s="11">
        <v>43115</v>
      </c>
      <c r="H261" s="8" t="s">
        <v>25</v>
      </c>
      <c r="I261" s="11">
        <v>43115</v>
      </c>
      <c r="J261" s="8" t="s">
        <v>25</v>
      </c>
      <c r="N261" s="8" t="s">
        <v>58</v>
      </c>
      <c r="O261" s="8" t="s">
        <v>59</v>
      </c>
      <c r="P261" s="8" t="s">
        <v>59</v>
      </c>
      <c r="R261" s="8">
        <v>0</v>
      </c>
      <c r="S261" s="8">
        <v>0</v>
      </c>
      <c r="T261" s="8">
        <v>1</v>
      </c>
      <c r="U261" s="8">
        <v>2</v>
      </c>
      <c r="X261" s="8">
        <v>5</v>
      </c>
      <c r="AG261" s="8" t="str">
        <f t="shared" si="17"/>
        <v/>
      </c>
      <c r="AI261" s="8" t="str">
        <f t="shared" si="18"/>
        <v/>
      </c>
      <c r="AJ261" s="8" t="str">
        <f t="shared" si="19"/>
        <v/>
      </c>
      <c r="AL261" s="8" t="str">
        <f t="shared" si="20"/>
        <v/>
      </c>
    </row>
    <row r="262" spans="1:38" x14ac:dyDescent="0.25">
      <c r="A262" s="8" t="s">
        <v>1713</v>
      </c>
      <c r="B262" s="8" t="s">
        <v>1714</v>
      </c>
      <c r="C262" s="8">
        <v>30870766</v>
      </c>
      <c r="D262" s="8">
        <v>5</v>
      </c>
      <c r="E262" s="11">
        <v>43110</v>
      </c>
      <c r="F262" s="8" t="s">
        <v>58</v>
      </c>
      <c r="G262" s="11">
        <v>43110</v>
      </c>
      <c r="H262" s="8" t="s">
        <v>25</v>
      </c>
      <c r="I262" s="11">
        <v>43111</v>
      </c>
      <c r="J262" s="8" t="s">
        <v>25</v>
      </c>
      <c r="N262" s="8" t="s">
        <v>58</v>
      </c>
      <c r="O262" s="8" t="s">
        <v>59</v>
      </c>
      <c r="P262" s="8" t="s">
        <v>59</v>
      </c>
      <c r="R262" s="8">
        <v>0</v>
      </c>
      <c r="S262" s="8">
        <v>0</v>
      </c>
      <c r="T262" s="8">
        <v>1</v>
      </c>
      <c r="U262" s="8">
        <v>2</v>
      </c>
      <c r="X262" s="8">
        <v>5</v>
      </c>
      <c r="AG262" s="8" t="str">
        <f t="shared" si="17"/>
        <v/>
      </c>
      <c r="AI262" s="8" t="str">
        <f t="shared" si="18"/>
        <v/>
      </c>
      <c r="AJ262" s="8" t="str">
        <f t="shared" si="19"/>
        <v/>
      </c>
      <c r="AL262" s="8" t="str">
        <f t="shared" si="20"/>
        <v/>
      </c>
    </row>
    <row r="263" spans="1:38" x14ac:dyDescent="0.25">
      <c r="A263" s="8" t="s">
        <v>196</v>
      </c>
      <c r="B263" s="8" t="s">
        <v>197</v>
      </c>
      <c r="C263" s="8">
        <v>30811873</v>
      </c>
      <c r="D263" s="8">
        <v>5</v>
      </c>
      <c r="E263" s="11">
        <v>43108</v>
      </c>
      <c r="F263" s="8" t="s">
        <v>58</v>
      </c>
      <c r="G263" s="11">
        <v>43108</v>
      </c>
      <c r="H263" s="8" t="s">
        <v>25</v>
      </c>
      <c r="I263" s="11">
        <v>43108</v>
      </c>
      <c r="J263" s="8" t="s">
        <v>25</v>
      </c>
      <c r="N263" s="8" t="s">
        <v>58</v>
      </c>
      <c r="O263" s="8" t="s">
        <v>59</v>
      </c>
      <c r="P263" s="8" t="s">
        <v>59</v>
      </c>
      <c r="R263" s="8">
        <v>0</v>
      </c>
      <c r="S263" s="8">
        <v>0</v>
      </c>
      <c r="T263" s="8">
        <v>1</v>
      </c>
      <c r="U263" s="8">
        <v>2</v>
      </c>
      <c r="X263" s="8">
        <v>5</v>
      </c>
      <c r="AG263" s="8" t="str">
        <f t="shared" si="17"/>
        <v/>
      </c>
      <c r="AI263" s="8" t="str">
        <f t="shared" si="18"/>
        <v/>
      </c>
      <c r="AJ263" s="8" t="str">
        <f t="shared" si="19"/>
        <v/>
      </c>
      <c r="AL263" s="8" t="str">
        <f t="shared" si="20"/>
        <v/>
      </c>
    </row>
    <row r="264" spans="1:38" x14ac:dyDescent="0.25">
      <c r="A264" s="8" t="s">
        <v>4822</v>
      </c>
      <c r="B264" s="8" t="s">
        <v>4823</v>
      </c>
      <c r="C264" s="8">
        <v>30920439</v>
      </c>
      <c r="D264" s="8">
        <v>5</v>
      </c>
      <c r="E264" s="11">
        <v>43112</v>
      </c>
      <c r="F264" s="8" t="s">
        <v>57</v>
      </c>
      <c r="G264" s="11">
        <v>43112</v>
      </c>
      <c r="H264" s="8" t="s">
        <v>25</v>
      </c>
      <c r="J264" s="8" t="s">
        <v>25</v>
      </c>
      <c r="N264" s="8" t="s">
        <v>58</v>
      </c>
      <c r="O264" s="8" t="s">
        <v>59</v>
      </c>
      <c r="P264" s="8" t="s">
        <v>59</v>
      </c>
      <c r="R264" s="8">
        <v>0</v>
      </c>
      <c r="S264" s="8">
        <v>0</v>
      </c>
      <c r="T264" s="8">
        <v>1</v>
      </c>
      <c r="U264" s="8">
        <v>2</v>
      </c>
      <c r="AG264" s="8" t="str">
        <f t="shared" si="17"/>
        <v/>
      </c>
      <c r="AI264" s="8" t="str">
        <f t="shared" si="18"/>
        <v/>
      </c>
      <c r="AJ264" s="8" t="str">
        <f t="shared" si="19"/>
        <v/>
      </c>
      <c r="AL264" s="8" t="str">
        <f t="shared" si="20"/>
        <v/>
      </c>
    </row>
    <row r="265" spans="1:38" x14ac:dyDescent="0.25">
      <c r="A265" s="8" t="s">
        <v>3330</v>
      </c>
      <c r="B265" s="8" t="s">
        <v>3331</v>
      </c>
      <c r="C265" s="8">
        <v>30895559</v>
      </c>
      <c r="D265" s="8">
        <v>5</v>
      </c>
      <c r="E265" s="11">
        <v>43111</v>
      </c>
      <c r="F265" s="8" t="s">
        <v>57</v>
      </c>
      <c r="G265" s="11">
        <v>43111</v>
      </c>
      <c r="H265" s="8" t="s">
        <v>25</v>
      </c>
      <c r="J265" s="8" t="s">
        <v>25</v>
      </c>
      <c r="N265" s="8" t="s">
        <v>58</v>
      </c>
      <c r="O265" s="8" t="s">
        <v>59</v>
      </c>
      <c r="P265" s="8" t="s">
        <v>59</v>
      </c>
      <c r="R265" s="8">
        <v>0</v>
      </c>
      <c r="S265" s="8">
        <v>0</v>
      </c>
      <c r="T265" s="8">
        <v>1</v>
      </c>
      <c r="U265" s="8">
        <v>2</v>
      </c>
      <c r="AG265" s="8" t="str">
        <f t="shared" si="17"/>
        <v/>
      </c>
      <c r="AI265" s="8" t="str">
        <f t="shared" si="18"/>
        <v/>
      </c>
      <c r="AJ265" s="8" t="str">
        <f t="shared" si="19"/>
        <v/>
      </c>
      <c r="AL265" s="8" t="str">
        <f t="shared" si="20"/>
        <v/>
      </c>
    </row>
    <row r="266" spans="1:38" x14ac:dyDescent="0.25">
      <c r="A266" s="8" t="s">
        <v>6661</v>
      </c>
      <c r="B266" s="8" t="s">
        <v>6662</v>
      </c>
      <c r="C266" s="8">
        <v>30934102</v>
      </c>
      <c r="D266" s="8">
        <v>5</v>
      </c>
      <c r="E266" s="11">
        <v>43115</v>
      </c>
      <c r="F266" s="8" t="s">
        <v>57</v>
      </c>
      <c r="G266" s="11">
        <v>43115</v>
      </c>
      <c r="H266" s="8" t="s">
        <v>25</v>
      </c>
      <c r="J266" s="8" t="s">
        <v>25</v>
      </c>
      <c r="N266" s="8" t="s">
        <v>58</v>
      </c>
      <c r="O266" s="8" t="s">
        <v>59</v>
      </c>
      <c r="P266" s="8" t="s">
        <v>59</v>
      </c>
      <c r="R266" s="8">
        <v>0</v>
      </c>
      <c r="S266" s="8">
        <v>0</v>
      </c>
      <c r="T266" s="8">
        <v>1</v>
      </c>
      <c r="U266" s="8">
        <v>2</v>
      </c>
      <c r="AG266" s="8" t="str">
        <f t="shared" si="17"/>
        <v/>
      </c>
      <c r="AI266" s="8" t="str">
        <f t="shared" si="18"/>
        <v/>
      </c>
      <c r="AJ266" s="8" t="str">
        <f t="shared" si="19"/>
        <v/>
      </c>
      <c r="AL266" s="8" t="str">
        <f t="shared" si="20"/>
        <v/>
      </c>
    </row>
    <row r="267" spans="1:38" x14ac:dyDescent="0.25">
      <c r="A267" s="8" t="s">
        <v>4824</v>
      </c>
      <c r="B267" s="8" t="s">
        <v>4825</v>
      </c>
      <c r="C267" s="8">
        <v>30910838</v>
      </c>
      <c r="D267" s="8">
        <v>4</v>
      </c>
      <c r="E267" s="11">
        <v>43112</v>
      </c>
      <c r="F267" s="8" t="s">
        <v>57</v>
      </c>
      <c r="G267" s="11">
        <v>43112</v>
      </c>
      <c r="H267" s="8" t="s">
        <v>25</v>
      </c>
      <c r="J267" s="8" t="s">
        <v>25</v>
      </c>
      <c r="N267" s="8" t="s">
        <v>58</v>
      </c>
      <c r="O267" s="8" t="s">
        <v>59</v>
      </c>
      <c r="P267" s="8" t="s">
        <v>59</v>
      </c>
      <c r="R267" s="8">
        <v>0</v>
      </c>
      <c r="S267" s="8">
        <v>0</v>
      </c>
      <c r="T267" s="8">
        <v>1</v>
      </c>
      <c r="U267" s="8">
        <v>2</v>
      </c>
      <c r="AG267" s="8" t="str">
        <f t="shared" si="17"/>
        <v/>
      </c>
      <c r="AI267" s="8" t="str">
        <f t="shared" si="18"/>
        <v/>
      </c>
      <c r="AJ267" s="8" t="str">
        <f t="shared" si="19"/>
        <v/>
      </c>
      <c r="AL267" s="8" t="str">
        <f t="shared" si="20"/>
        <v/>
      </c>
    </row>
    <row r="268" spans="1:38" x14ac:dyDescent="0.25">
      <c r="A268" s="8" t="s">
        <v>839</v>
      </c>
      <c r="B268" s="8" t="s">
        <v>840</v>
      </c>
      <c r="C268" s="8">
        <v>30840073</v>
      </c>
      <c r="D268" s="8">
        <v>5</v>
      </c>
      <c r="E268" s="11">
        <v>43109</v>
      </c>
      <c r="F268" s="8" t="s">
        <v>58</v>
      </c>
      <c r="G268" s="11">
        <v>43109</v>
      </c>
      <c r="H268" s="8" t="s">
        <v>25</v>
      </c>
      <c r="I268" s="11">
        <v>43109</v>
      </c>
      <c r="J268" s="8" t="s">
        <v>25</v>
      </c>
      <c r="N268" s="8" t="s">
        <v>58</v>
      </c>
      <c r="O268" s="8" t="s">
        <v>59</v>
      </c>
      <c r="P268" s="8" t="s">
        <v>59</v>
      </c>
      <c r="R268" s="8">
        <v>0</v>
      </c>
      <c r="S268" s="8">
        <v>0</v>
      </c>
      <c r="T268" s="8">
        <v>1</v>
      </c>
      <c r="U268" s="8">
        <v>2</v>
      </c>
      <c r="X268" s="8">
        <v>5</v>
      </c>
      <c r="AG268" s="8" t="str">
        <f t="shared" si="17"/>
        <v/>
      </c>
      <c r="AI268" s="8" t="str">
        <f t="shared" si="18"/>
        <v/>
      </c>
      <c r="AJ268" s="8" t="str">
        <f t="shared" si="19"/>
        <v/>
      </c>
      <c r="AL268" s="8" t="str">
        <f t="shared" si="20"/>
        <v/>
      </c>
    </row>
    <row r="269" spans="1:38" x14ac:dyDescent="0.25">
      <c r="A269" s="8" t="s">
        <v>1715</v>
      </c>
      <c r="B269" s="8" t="s">
        <v>1716</v>
      </c>
      <c r="C269" s="8">
        <v>30832775</v>
      </c>
      <c r="D269" s="8">
        <v>5</v>
      </c>
      <c r="E269" s="11">
        <v>43109</v>
      </c>
      <c r="F269" s="8" t="s">
        <v>58</v>
      </c>
      <c r="G269" s="11">
        <v>43110</v>
      </c>
      <c r="H269" s="8" t="s">
        <v>25</v>
      </c>
      <c r="I269" s="11">
        <v>43110</v>
      </c>
      <c r="J269" s="8" t="s">
        <v>25</v>
      </c>
      <c r="N269" s="8" t="s">
        <v>58</v>
      </c>
      <c r="O269" s="8" t="s">
        <v>59</v>
      </c>
      <c r="P269" s="8" t="s">
        <v>59</v>
      </c>
      <c r="R269" s="8">
        <v>0</v>
      </c>
      <c r="S269" s="8">
        <v>0</v>
      </c>
      <c r="T269" s="8">
        <v>1</v>
      </c>
      <c r="U269" s="8">
        <v>2</v>
      </c>
      <c r="X269" s="8">
        <v>5</v>
      </c>
      <c r="AG269" s="8" t="str">
        <f t="shared" si="17"/>
        <v/>
      </c>
      <c r="AI269" s="8" t="str">
        <f t="shared" si="18"/>
        <v/>
      </c>
      <c r="AJ269" s="8" t="str">
        <f t="shared" si="19"/>
        <v/>
      </c>
      <c r="AL269" s="8" t="str">
        <f t="shared" si="20"/>
        <v/>
      </c>
    </row>
    <row r="270" spans="1:38" x14ac:dyDescent="0.25">
      <c r="A270" s="8" t="s">
        <v>4826</v>
      </c>
      <c r="B270" s="8" t="s">
        <v>4827</v>
      </c>
      <c r="C270" s="8">
        <v>30829446</v>
      </c>
      <c r="D270" s="8">
        <v>5</v>
      </c>
      <c r="E270" s="11">
        <v>43108</v>
      </c>
      <c r="F270" s="8" t="s">
        <v>57</v>
      </c>
      <c r="G270" s="11">
        <v>43112</v>
      </c>
      <c r="H270" s="8" t="s">
        <v>145</v>
      </c>
      <c r="J270" s="8" t="s">
        <v>25</v>
      </c>
      <c r="N270" s="8" t="s">
        <v>58</v>
      </c>
      <c r="O270" s="8" t="s">
        <v>59</v>
      </c>
      <c r="P270" s="8" t="s">
        <v>59</v>
      </c>
      <c r="R270" s="8">
        <v>0</v>
      </c>
      <c r="S270" s="8">
        <v>0</v>
      </c>
      <c r="T270" s="8">
        <v>1</v>
      </c>
      <c r="U270" s="8">
        <v>2</v>
      </c>
      <c r="AG270" s="8" t="str">
        <f t="shared" si="17"/>
        <v/>
      </c>
      <c r="AI270" s="8" t="str">
        <f t="shared" si="18"/>
        <v/>
      </c>
      <c r="AJ270" s="8" t="str">
        <f t="shared" si="19"/>
        <v/>
      </c>
      <c r="AL270" s="8" t="str">
        <f t="shared" si="20"/>
        <v/>
      </c>
    </row>
    <row r="271" spans="1:38" x14ac:dyDescent="0.25">
      <c r="A271" s="8" t="s">
        <v>6663</v>
      </c>
      <c r="B271" s="8" t="s">
        <v>6664</v>
      </c>
      <c r="C271" s="8">
        <v>30941334</v>
      </c>
      <c r="D271" s="8">
        <v>5</v>
      </c>
      <c r="E271" s="11">
        <v>43115</v>
      </c>
      <c r="F271" s="8" t="s">
        <v>57</v>
      </c>
      <c r="G271" s="11">
        <v>43115</v>
      </c>
      <c r="H271" s="8" t="s">
        <v>25</v>
      </c>
      <c r="J271" s="8" t="s">
        <v>25</v>
      </c>
      <c r="N271" s="8" t="s">
        <v>58</v>
      </c>
      <c r="O271" s="8" t="s">
        <v>59</v>
      </c>
      <c r="P271" s="8" t="s">
        <v>59</v>
      </c>
      <c r="R271" s="8">
        <v>0</v>
      </c>
      <c r="S271" s="8">
        <v>0</v>
      </c>
      <c r="T271" s="8">
        <v>1</v>
      </c>
      <c r="U271" s="8">
        <v>2</v>
      </c>
      <c r="AG271" s="8" t="str">
        <f t="shared" si="17"/>
        <v/>
      </c>
      <c r="AI271" s="8" t="str">
        <f t="shared" si="18"/>
        <v/>
      </c>
      <c r="AJ271" s="8" t="str">
        <f t="shared" si="19"/>
        <v/>
      </c>
      <c r="AL271" s="8" t="str">
        <f t="shared" si="20"/>
        <v/>
      </c>
    </row>
    <row r="272" spans="1:38" x14ac:dyDescent="0.25">
      <c r="A272" s="8" t="s">
        <v>6665</v>
      </c>
      <c r="B272" s="8" t="s">
        <v>6666</v>
      </c>
      <c r="C272" s="8">
        <v>30900697</v>
      </c>
      <c r="D272" s="8">
        <v>5</v>
      </c>
      <c r="E272" s="11">
        <v>43111</v>
      </c>
      <c r="F272" s="8" t="s">
        <v>57</v>
      </c>
      <c r="G272" s="11">
        <v>43115</v>
      </c>
      <c r="H272" s="8" t="s">
        <v>25</v>
      </c>
      <c r="J272" s="8" t="s">
        <v>25</v>
      </c>
      <c r="N272" s="8" t="s">
        <v>58</v>
      </c>
      <c r="O272" s="8" t="s">
        <v>59</v>
      </c>
      <c r="P272" s="8" t="s">
        <v>59</v>
      </c>
      <c r="R272" s="8">
        <v>0</v>
      </c>
      <c r="S272" s="8">
        <v>0</v>
      </c>
      <c r="T272" s="8">
        <v>1</v>
      </c>
      <c r="U272" s="8">
        <v>2</v>
      </c>
      <c r="AG272" s="8" t="str">
        <f t="shared" si="17"/>
        <v/>
      </c>
      <c r="AI272" s="8" t="str">
        <f t="shared" si="18"/>
        <v/>
      </c>
      <c r="AJ272" s="8" t="str">
        <f t="shared" si="19"/>
        <v/>
      </c>
      <c r="AL272" s="8" t="str">
        <f t="shared" si="20"/>
        <v/>
      </c>
    </row>
    <row r="273" spans="1:38" x14ac:dyDescent="0.25">
      <c r="A273" s="8" t="s">
        <v>3332</v>
      </c>
      <c r="B273" s="8" t="s">
        <v>3333</v>
      </c>
      <c r="C273" s="8">
        <v>30897179</v>
      </c>
      <c r="D273" s="8">
        <v>5</v>
      </c>
      <c r="E273" s="11">
        <v>43111</v>
      </c>
      <c r="F273" s="8" t="s">
        <v>57</v>
      </c>
      <c r="G273" s="11">
        <v>43111</v>
      </c>
      <c r="H273" s="8" t="s">
        <v>25</v>
      </c>
      <c r="J273" s="8" t="s">
        <v>25</v>
      </c>
      <c r="N273" s="8" t="s">
        <v>58</v>
      </c>
      <c r="O273" s="8" t="s">
        <v>59</v>
      </c>
      <c r="P273" s="8" t="s">
        <v>59</v>
      </c>
      <c r="R273" s="8">
        <v>0</v>
      </c>
      <c r="S273" s="8">
        <v>0</v>
      </c>
      <c r="T273" s="8">
        <v>1</v>
      </c>
      <c r="U273" s="8">
        <v>2</v>
      </c>
      <c r="AG273" s="8" t="str">
        <f t="shared" si="17"/>
        <v/>
      </c>
      <c r="AI273" s="8" t="str">
        <f t="shared" si="18"/>
        <v/>
      </c>
      <c r="AJ273" s="8" t="str">
        <f t="shared" si="19"/>
        <v/>
      </c>
      <c r="AL273" s="8" t="str">
        <f t="shared" si="20"/>
        <v/>
      </c>
    </row>
    <row r="274" spans="1:38" x14ac:dyDescent="0.25">
      <c r="A274" s="8" t="s">
        <v>198</v>
      </c>
      <c r="B274" s="8" t="s">
        <v>199</v>
      </c>
      <c r="C274" s="8">
        <v>30814566</v>
      </c>
      <c r="D274" s="8">
        <v>5</v>
      </c>
      <c r="E274" s="11">
        <v>43108</v>
      </c>
      <c r="F274" s="8" t="s">
        <v>60</v>
      </c>
      <c r="G274" s="11">
        <v>43108</v>
      </c>
      <c r="H274" s="8" t="s">
        <v>25</v>
      </c>
      <c r="J274" s="8" t="s">
        <v>25</v>
      </c>
      <c r="L274" s="8" t="s">
        <v>828</v>
      </c>
      <c r="N274" s="8" t="s">
        <v>58</v>
      </c>
      <c r="O274" s="8" t="s">
        <v>59</v>
      </c>
      <c r="P274" s="8" t="s">
        <v>59</v>
      </c>
      <c r="R274" s="8">
        <v>0</v>
      </c>
      <c r="S274" s="8">
        <v>0</v>
      </c>
      <c r="T274" s="8">
        <v>1</v>
      </c>
      <c r="U274" s="8">
        <v>2</v>
      </c>
      <c r="W274" s="8">
        <v>4</v>
      </c>
      <c r="AG274" s="8" t="str">
        <f t="shared" si="17"/>
        <v/>
      </c>
      <c r="AI274" s="8" t="str">
        <f t="shared" si="18"/>
        <v/>
      </c>
      <c r="AJ274" s="8" t="str">
        <f t="shared" si="19"/>
        <v/>
      </c>
      <c r="AL274" s="8" t="str">
        <f t="shared" si="20"/>
        <v/>
      </c>
    </row>
    <row r="275" spans="1:38" x14ac:dyDescent="0.25">
      <c r="A275" s="8" t="s">
        <v>1717</v>
      </c>
      <c r="B275" s="8" t="s">
        <v>199</v>
      </c>
      <c r="C275" s="8">
        <v>30868111</v>
      </c>
      <c r="D275" s="8">
        <v>5</v>
      </c>
      <c r="E275" s="11">
        <v>43110</v>
      </c>
      <c r="F275" s="8" t="s">
        <v>58</v>
      </c>
      <c r="G275" s="11">
        <v>43110</v>
      </c>
      <c r="H275" s="8" t="s">
        <v>25</v>
      </c>
      <c r="I275" s="11">
        <v>43111</v>
      </c>
      <c r="J275" s="8" t="s">
        <v>25</v>
      </c>
      <c r="N275" s="8" t="s">
        <v>58</v>
      </c>
      <c r="O275" s="8" t="s">
        <v>59</v>
      </c>
      <c r="P275" s="8" t="s">
        <v>59</v>
      </c>
      <c r="R275" s="8">
        <v>0</v>
      </c>
      <c r="S275" s="8">
        <v>0</v>
      </c>
      <c r="T275" s="8">
        <v>1</v>
      </c>
      <c r="U275" s="8">
        <v>2</v>
      </c>
      <c r="X275" s="8">
        <v>5</v>
      </c>
      <c r="AG275" s="8" t="str">
        <f t="shared" si="17"/>
        <v/>
      </c>
      <c r="AI275" s="8" t="str">
        <f t="shared" si="18"/>
        <v/>
      </c>
      <c r="AJ275" s="8" t="str">
        <f t="shared" si="19"/>
        <v/>
      </c>
      <c r="AL275" s="8" t="str">
        <f t="shared" si="20"/>
        <v/>
      </c>
    </row>
    <row r="276" spans="1:38" x14ac:dyDescent="0.25">
      <c r="A276" s="8" t="s">
        <v>841</v>
      </c>
      <c r="B276" s="8" t="s">
        <v>842</v>
      </c>
      <c r="C276" s="8">
        <v>30842896</v>
      </c>
      <c r="D276" s="8">
        <v>5</v>
      </c>
      <c r="E276" s="11">
        <v>43109</v>
      </c>
      <c r="F276" s="8" t="s">
        <v>57</v>
      </c>
      <c r="G276" s="11">
        <v>43109</v>
      </c>
      <c r="H276" s="8" t="s">
        <v>25</v>
      </c>
      <c r="J276" s="8" t="s">
        <v>25</v>
      </c>
      <c r="N276" s="8" t="s">
        <v>58</v>
      </c>
      <c r="O276" s="8" t="s">
        <v>59</v>
      </c>
      <c r="P276" s="8" t="s">
        <v>59</v>
      </c>
      <c r="R276" s="8">
        <v>0</v>
      </c>
      <c r="S276" s="8">
        <v>0</v>
      </c>
      <c r="T276" s="8">
        <v>1</v>
      </c>
      <c r="U276" s="8">
        <v>2</v>
      </c>
      <c r="AG276" s="8" t="str">
        <f t="shared" si="17"/>
        <v/>
      </c>
      <c r="AI276" s="8" t="str">
        <f t="shared" si="18"/>
        <v/>
      </c>
      <c r="AJ276" s="8" t="str">
        <f t="shared" si="19"/>
        <v/>
      </c>
      <c r="AL276" s="8" t="str">
        <f t="shared" si="20"/>
        <v/>
      </c>
    </row>
    <row r="277" spans="1:38" x14ac:dyDescent="0.25">
      <c r="A277" s="8" t="s">
        <v>3334</v>
      </c>
      <c r="B277" s="8" t="s">
        <v>3335</v>
      </c>
      <c r="C277" s="8">
        <v>30893021</v>
      </c>
      <c r="D277" s="8">
        <v>5</v>
      </c>
      <c r="E277" s="11">
        <v>43111</v>
      </c>
      <c r="F277" s="8" t="s">
        <v>58</v>
      </c>
      <c r="G277" s="11">
        <v>43111</v>
      </c>
      <c r="H277" s="8" t="s">
        <v>25</v>
      </c>
      <c r="I277" s="11">
        <v>43111</v>
      </c>
      <c r="J277" s="8" t="s">
        <v>25</v>
      </c>
      <c r="N277" s="8" t="s">
        <v>58</v>
      </c>
      <c r="O277" s="8" t="s">
        <v>59</v>
      </c>
      <c r="P277" s="8" t="s">
        <v>59</v>
      </c>
      <c r="R277" s="8">
        <v>0</v>
      </c>
      <c r="S277" s="8">
        <v>0</v>
      </c>
      <c r="T277" s="8">
        <v>1</v>
      </c>
      <c r="U277" s="8">
        <v>2</v>
      </c>
      <c r="X277" s="8">
        <v>5</v>
      </c>
      <c r="AG277" s="8" t="str">
        <f t="shared" si="17"/>
        <v/>
      </c>
      <c r="AI277" s="8" t="str">
        <f t="shared" si="18"/>
        <v/>
      </c>
      <c r="AJ277" s="8" t="str">
        <f t="shared" si="19"/>
        <v/>
      </c>
      <c r="AL277" s="8" t="str">
        <f t="shared" si="20"/>
        <v/>
      </c>
    </row>
    <row r="278" spans="1:38" x14ac:dyDescent="0.25">
      <c r="A278" s="8" t="s">
        <v>3336</v>
      </c>
      <c r="B278" s="8" t="s">
        <v>3337</v>
      </c>
      <c r="C278" s="8">
        <v>30882199</v>
      </c>
      <c r="D278" s="8">
        <v>5</v>
      </c>
      <c r="E278" s="11">
        <v>43111</v>
      </c>
      <c r="F278" s="8" t="s">
        <v>57</v>
      </c>
      <c r="G278" s="11">
        <v>43111</v>
      </c>
      <c r="H278" s="8" t="s">
        <v>25</v>
      </c>
      <c r="J278" s="8" t="s">
        <v>25</v>
      </c>
      <c r="N278" s="8" t="s">
        <v>58</v>
      </c>
      <c r="O278" s="8" t="s">
        <v>59</v>
      </c>
      <c r="P278" s="8" t="s">
        <v>59</v>
      </c>
      <c r="R278" s="8">
        <v>0</v>
      </c>
      <c r="S278" s="8">
        <v>0</v>
      </c>
      <c r="T278" s="8">
        <v>1</v>
      </c>
      <c r="U278" s="8">
        <v>2</v>
      </c>
      <c r="AG278" s="8" t="str">
        <f t="shared" si="17"/>
        <v/>
      </c>
      <c r="AI278" s="8" t="str">
        <f t="shared" si="18"/>
        <v/>
      </c>
      <c r="AJ278" s="8" t="str">
        <f t="shared" si="19"/>
        <v/>
      </c>
      <c r="AL278" s="8" t="str">
        <f t="shared" si="20"/>
        <v/>
      </c>
    </row>
    <row r="279" spans="1:38" x14ac:dyDescent="0.25">
      <c r="A279" s="8" t="s">
        <v>6667</v>
      </c>
      <c r="B279" s="8" t="s">
        <v>6668</v>
      </c>
      <c r="C279" s="8">
        <v>30947043</v>
      </c>
      <c r="D279" s="8">
        <v>5</v>
      </c>
      <c r="E279" s="11">
        <v>43115</v>
      </c>
      <c r="F279" s="8" t="s">
        <v>57</v>
      </c>
      <c r="G279" s="11">
        <v>43115</v>
      </c>
      <c r="H279" s="8" t="s">
        <v>25</v>
      </c>
      <c r="J279" s="8" t="s">
        <v>25</v>
      </c>
      <c r="N279" s="8" t="s">
        <v>58</v>
      </c>
      <c r="O279" s="8" t="s">
        <v>59</v>
      </c>
      <c r="P279" s="8" t="s">
        <v>59</v>
      </c>
      <c r="R279" s="8">
        <v>0</v>
      </c>
      <c r="S279" s="8">
        <v>0</v>
      </c>
      <c r="T279" s="8">
        <v>1</v>
      </c>
      <c r="U279" s="8">
        <v>2</v>
      </c>
      <c r="AG279" s="8" t="str">
        <f t="shared" si="17"/>
        <v/>
      </c>
      <c r="AI279" s="8" t="str">
        <f t="shared" si="18"/>
        <v/>
      </c>
      <c r="AJ279" s="8" t="str">
        <f t="shared" si="19"/>
        <v/>
      </c>
      <c r="AL279" s="8" t="str">
        <f t="shared" si="20"/>
        <v/>
      </c>
    </row>
    <row r="280" spans="1:38" x14ac:dyDescent="0.25">
      <c r="A280" s="8" t="s">
        <v>6669</v>
      </c>
      <c r="B280" s="8" t="s">
        <v>6670</v>
      </c>
      <c r="C280" s="8">
        <v>30947413</v>
      </c>
      <c r="D280" s="8">
        <v>5</v>
      </c>
      <c r="E280" s="11">
        <v>43115</v>
      </c>
      <c r="F280" s="8" t="s">
        <v>57</v>
      </c>
      <c r="G280" s="11">
        <v>43115</v>
      </c>
      <c r="H280" s="8" t="s">
        <v>25</v>
      </c>
      <c r="J280" s="8" t="s">
        <v>25</v>
      </c>
      <c r="N280" s="8" t="s">
        <v>58</v>
      </c>
      <c r="O280" s="8" t="s">
        <v>59</v>
      </c>
      <c r="P280" s="8" t="s">
        <v>59</v>
      </c>
      <c r="R280" s="8">
        <v>0</v>
      </c>
      <c r="S280" s="8">
        <v>0</v>
      </c>
      <c r="T280" s="8">
        <v>1</v>
      </c>
      <c r="U280" s="8">
        <v>2</v>
      </c>
      <c r="AG280" s="8" t="str">
        <f t="shared" si="17"/>
        <v/>
      </c>
      <c r="AI280" s="8" t="str">
        <f t="shared" si="18"/>
        <v/>
      </c>
      <c r="AJ280" s="8" t="str">
        <f t="shared" si="19"/>
        <v/>
      </c>
      <c r="AL280" s="8" t="str">
        <f t="shared" si="20"/>
        <v/>
      </c>
    </row>
    <row r="281" spans="1:38" x14ac:dyDescent="0.25">
      <c r="A281" s="8" t="s">
        <v>4828</v>
      </c>
      <c r="B281" s="8" t="s">
        <v>4829</v>
      </c>
      <c r="C281" s="8">
        <v>30890495</v>
      </c>
      <c r="D281" s="8">
        <v>5</v>
      </c>
      <c r="E281" s="11">
        <v>43111</v>
      </c>
      <c r="F281" s="8" t="s">
        <v>57</v>
      </c>
      <c r="G281" s="11">
        <v>43112</v>
      </c>
      <c r="H281" s="8" t="s">
        <v>25</v>
      </c>
      <c r="J281" s="8" t="s">
        <v>25</v>
      </c>
      <c r="N281" s="8" t="s">
        <v>58</v>
      </c>
      <c r="O281" s="8" t="s">
        <v>59</v>
      </c>
      <c r="P281" s="8" t="s">
        <v>59</v>
      </c>
      <c r="R281" s="8">
        <v>0</v>
      </c>
      <c r="S281" s="8">
        <v>0</v>
      </c>
      <c r="T281" s="8">
        <v>1</v>
      </c>
      <c r="U281" s="8">
        <v>2</v>
      </c>
      <c r="AG281" s="8" t="str">
        <f t="shared" si="17"/>
        <v/>
      </c>
      <c r="AI281" s="8" t="str">
        <f t="shared" si="18"/>
        <v/>
      </c>
      <c r="AJ281" s="8" t="str">
        <f t="shared" si="19"/>
        <v/>
      </c>
      <c r="AL281" s="8" t="str">
        <f t="shared" si="20"/>
        <v/>
      </c>
    </row>
    <row r="282" spans="1:38" x14ac:dyDescent="0.25">
      <c r="A282" s="8" t="s">
        <v>3338</v>
      </c>
      <c r="B282" s="8" t="s">
        <v>3339</v>
      </c>
      <c r="C282" s="8">
        <v>30882915</v>
      </c>
      <c r="D282" s="8">
        <v>5</v>
      </c>
      <c r="E282" s="11">
        <v>43111</v>
      </c>
      <c r="F282" s="8" t="s">
        <v>57</v>
      </c>
      <c r="G282" s="11">
        <v>43111</v>
      </c>
      <c r="H282" s="8" t="s">
        <v>25</v>
      </c>
      <c r="J282" s="8" t="s">
        <v>25</v>
      </c>
      <c r="N282" s="8" t="s">
        <v>58</v>
      </c>
      <c r="O282" s="8" t="s">
        <v>59</v>
      </c>
      <c r="P282" s="8" t="s">
        <v>59</v>
      </c>
      <c r="R282" s="8">
        <v>0</v>
      </c>
      <c r="S282" s="8">
        <v>0</v>
      </c>
      <c r="T282" s="8">
        <v>1</v>
      </c>
      <c r="U282" s="8">
        <v>2</v>
      </c>
      <c r="AG282" s="8" t="str">
        <f t="shared" si="17"/>
        <v/>
      </c>
      <c r="AI282" s="8" t="str">
        <f t="shared" si="18"/>
        <v/>
      </c>
      <c r="AJ282" s="8" t="str">
        <f t="shared" si="19"/>
        <v/>
      </c>
      <c r="AL282" s="8" t="str">
        <f t="shared" si="20"/>
        <v/>
      </c>
    </row>
    <row r="283" spans="1:38" x14ac:dyDescent="0.25">
      <c r="A283" s="8" t="s">
        <v>843</v>
      </c>
      <c r="B283" s="8" t="s">
        <v>844</v>
      </c>
      <c r="C283" s="8">
        <v>30836942</v>
      </c>
      <c r="D283" s="8">
        <v>5</v>
      </c>
      <c r="E283" s="11">
        <v>43109</v>
      </c>
      <c r="F283" s="8" t="s">
        <v>57</v>
      </c>
      <c r="G283" s="11">
        <v>43109</v>
      </c>
      <c r="H283" s="8" t="s">
        <v>25</v>
      </c>
      <c r="J283" s="8" t="s">
        <v>25</v>
      </c>
      <c r="N283" s="8" t="s">
        <v>58</v>
      </c>
      <c r="O283" s="8" t="s">
        <v>59</v>
      </c>
      <c r="P283" s="8" t="s">
        <v>59</v>
      </c>
      <c r="R283" s="8">
        <v>0</v>
      </c>
      <c r="S283" s="8">
        <v>0</v>
      </c>
      <c r="T283" s="8">
        <v>1</v>
      </c>
      <c r="U283" s="8">
        <v>2</v>
      </c>
      <c r="AG283" s="8" t="str">
        <f t="shared" si="17"/>
        <v/>
      </c>
      <c r="AI283" s="8" t="str">
        <f t="shared" si="18"/>
        <v/>
      </c>
      <c r="AJ283" s="8" t="str">
        <f t="shared" si="19"/>
        <v/>
      </c>
      <c r="AL283" s="8" t="str">
        <f t="shared" si="20"/>
        <v/>
      </c>
    </row>
    <row r="284" spans="1:38" x14ac:dyDescent="0.25">
      <c r="A284" s="8" t="s">
        <v>6671</v>
      </c>
      <c r="B284" s="8" t="s">
        <v>6672</v>
      </c>
      <c r="C284" s="8">
        <v>30915422</v>
      </c>
      <c r="D284" s="8">
        <v>5</v>
      </c>
      <c r="E284" s="11">
        <v>43112</v>
      </c>
      <c r="F284" s="8" t="s">
        <v>57</v>
      </c>
      <c r="G284" s="11">
        <v>43115</v>
      </c>
      <c r="H284" s="8" t="s">
        <v>25</v>
      </c>
      <c r="J284" s="8" t="s">
        <v>25</v>
      </c>
      <c r="N284" s="8" t="s">
        <v>58</v>
      </c>
      <c r="O284" s="8" t="s">
        <v>59</v>
      </c>
      <c r="P284" s="8" t="s">
        <v>59</v>
      </c>
      <c r="R284" s="8">
        <v>0</v>
      </c>
      <c r="S284" s="8">
        <v>0</v>
      </c>
      <c r="T284" s="8">
        <v>1</v>
      </c>
      <c r="U284" s="8">
        <v>2</v>
      </c>
      <c r="AG284" s="8" t="str">
        <f t="shared" si="17"/>
        <v/>
      </c>
      <c r="AI284" s="8" t="str">
        <f t="shared" si="18"/>
        <v/>
      </c>
      <c r="AJ284" s="8" t="str">
        <f t="shared" si="19"/>
        <v/>
      </c>
      <c r="AL284" s="8" t="str">
        <f t="shared" si="20"/>
        <v/>
      </c>
    </row>
    <row r="285" spans="1:38" x14ac:dyDescent="0.25">
      <c r="A285" s="8" t="s">
        <v>1718</v>
      </c>
      <c r="B285" s="8" t="s">
        <v>1719</v>
      </c>
      <c r="C285" s="8">
        <v>30854971</v>
      </c>
      <c r="D285" s="8">
        <v>5</v>
      </c>
      <c r="E285" s="11">
        <v>43109</v>
      </c>
      <c r="F285" s="8" t="s">
        <v>58</v>
      </c>
      <c r="G285" s="11">
        <v>43110</v>
      </c>
      <c r="H285" s="8" t="s">
        <v>25</v>
      </c>
      <c r="I285" s="11">
        <v>43110</v>
      </c>
      <c r="J285" s="8" t="s">
        <v>25</v>
      </c>
      <c r="N285" s="8" t="s">
        <v>58</v>
      </c>
      <c r="O285" s="8" t="s">
        <v>59</v>
      </c>
      <c r="P285" s="8" t="s">
        <v>59</v>
      </c>
      <c r="R285" s="8">
        <v>0</v>
      </c>
      <c r="S285" s="8">
        <v>0</v>
      </c>
      <c r="T285" s="8">
        <v>1</v>
      </c>
      <c r="U285" s="8">
        <v>2</v>
      </c>
      <c r="X285" s="8">
        <v>5</v>
      </c>
      <c r="AG285" s="8" t="str">
        <f t="shared" si="17"/>
        <v/>
      </c>
      <c r="AI285" s="8" t="str">
        <f t="shared" si="18"/>
        <v/>
      </c>
      <c r="AJ285" s="8" t="str">
        <f t="shared" si="19"/>
        <v/>
      </c>
      <c r="AL285" s="8" t="str">
        <f t="shared" si="20"/>
        <v/>
      </c>
    </row>
    <row r="286" spans="1:38" x14ac:dyDescent="0.25">
      <c r="A286" s="8" t="s">
        <v>4830</v>
      </c>
      <c r="B286" s="8" t="s">
        <v>4831</v>
      </c>
      <c r="C286" s="8">
        <v>30909105</v>
      </c>
      <c r="D286" s="8">
        <v>5</v>
      </c>
      <c r="E286" s="11">
        <v>43112</v>
      </c>
      <c r="F286" s="8" t="s">
        <v>58</v>
      </c>
      <c r="G286" s="11">
        <v>43112</v>
      </c>
      <c r="H286" s="8" t="s">
        <v>25</v>
      </c>
      <c r="I286" s="11">
        <v>43112</v>
      </c>
      <c r="J286" s="8" t="s">
        <v>25</v>
      </c>
      <c r="N286" s="8" t="s">
        <v>58</v>
      </c>
      <c r="O286" s="8" t="s">
        <v>59</v>
      </c>
      <c r="P286" s="8" t="s">
        <v>59</v>
      </c>
      <c r="R286" s="8">
        <v>0</v>
      </c>
      <c r="S286" s="8">
        <v>0</v>
      </c>
      <c r="T286" s="8">
        <v>1</v>
      </c>
      <c r="U286" s="8">
        <v>2</v>
      </c>
      <c r="X286" s="8">
        <v>5</v>
      </c>
      <c r="AG286" s="8" t="str">
        <f t="shared" si="17"/>
        <v/>
      </c>
      <c r="AI286" s="8" t="str">
        <f t="shared" si="18"/>
        <v/>
      </c>
      <c r="AJ286" s="8" t="str">
        <f t="shared" si="19"/>
        <v/>
      </c>
      <c r="AL286" s="8" t="str">
        <f t="shared" si="20"/>
        <v/>
      </c>
    </row>
    <row r="287" spans="1:38" x14ac:dyDescent="0.25">
      <c r="A287" s="8" t="s">
        <v>200</v>
      </c>
      <c r="B287" s="8" t="s">
        <v>201</v>
      </c>
      <c r="C287" s="8">
        <v>30827440</v>
      </c>
      <c r="D287" s="8">
        <v>5</v>
      </c>
      <c r="E287" s="11">
        <v>43108</v>
      </c>
      <c r="F287" s="8" t="s">
        <v>58</v>
      </c>
      <c r="G287" s="11">
        <v>43108</v>
      </c>
      <c r="H287" s="8" t="s">
        <v>25</v>
      </c>
      <c r="I287" s="11">
        <v>43109</v>
      </c>
      <c r="J287" s="8" t="s">
        <v>25</v>
      </c>
      <c r="N287" s="8" t="s">
        <v>58</v>
      </c>
      <c r="O287" s="8" t="s">
        <v>59</v>
      </c>
      <c r="P287" s="8" t="s">
        <v>59</v>
      </c>
      <c r="R287" s="8">
        <v>0</v>
      </c>
      <c r="S287" s="8">
        <v>0</v>
      </c>
      <c r="T287" s="8">
        <v>1</v>
      </c>
      <c r="U287" s="8">
        <v>2</v>
      </c>
      <c r="X287" s="8">
        <v>5</v>
      </c>
      <c r="AG287" s="8" t="str">
        <f t="shared" si="17"/>
        <v/>
      </c>
      <c r="AI287" s="8" t="str">
        <f t="shared" si="18"/>
        <v/>
      </c>
      <c r="AJ287" s="8" t="str">
        <f t="shared" si="19"/>
        <v/>
      </c>
      <c r="AL287" s="8" t="str">
        <f t="shared" si="20"/>
        <v/>
      </c>
    </row>
    <row r="288" spans="1:38" x14ac:dyDescent="0.25">
      <c r="A288" s="8" t="s">
        <v>1720</v>
      </c>
      <c r="B288" s="8" t="s">
        <v>79</v>
      </c>
      <c r="C288" s="8">
        <v>30856782</v>
      </c>
      <c r="D288" s="8">
        <v>5</v>
      </c>
      <c r="E288" s="11">
        <v>43110</v>
      </c>
      <c r="F288" s="8" t="s">
        <v>57</v>
      </c>
      <c r="G288" s="11">
        <v>43110</v>
      </c>
      <c r="H288" s="8" t="s">
        <v>25</v>
      </c>
      <c r="J288" s="8" t="s">
        <v>25</v>
      </c>
      <c r="N288" s="8" t="s">
        <v>58</v>
      </c>
      <c r="O288" s="8" t="s">
        <v>59</v>
      </c>
      <c r="P288" s="8" t="s">
        <v>59</v>
      </c>
      <c r="R288" s="8">
        <v>0</v>
      </c>
      <c r="S288" s="8">
        <v>0</v>
      </c>
      <c r="T288" s="8">
        <v>1</v>
      </c>
      <c r="U288" s="8">
        <v>2</v>
      </c>
      <c r="AG288" s="8" t="str">
        <f t="shared" si="17"/>
        <v/>
      </c>
      <c r="AI288" s="8" t="str">
        <f t="shared" si="18"/>
        <v/>
      </c>
      <c r="AJ288" s="8" t="str">
        <f t="shared" si="19"/>
        <v/>
      </c>
      <c r="AL288" s="8" t="str">
        <f t="shared" si="20"/>
        <v/>
      </c>
    </row>
    <row r="289" spans="1:38" x14ac:dyDescent="0.25">
      <c r="A289" s="8" t="s">
        <v>3340</v>
      </c>
      <c r="B289" s="8" t="s">
        <v>3341</v>
      </c>
      <c r="C289" s="8">
        <v>30891797</v>
      </c>
      <c r="D289" s="8">
        <v>5</v>
      </c>
      <c r="E289" s="11">
        <v>43111</v>
      </c>
      <c r="F289" s="8" t="s">
        <v>57</v>
      </c>
      <c r="G289" s="11">
        <v>43111</v>
      </c>
      <c r="H289" s="8" t="s">
        <v>25</v>
      </c>
      <c r="J289" s="8" t="s">
        <v>25</v>
      </c>
      <c r="N289" s="8" t="s">
        <v>58</v>
      </c>
      <c r="O289" s="8" t="s">
        <v>59</v>
      </c>
      <c r="P289" s="8" t="s">
        <v>59</v>
      </c>
      <c r="R289" s="8">
        <v>0</v>
      </c>
      <c r="S289" s="8">
        <v>0</v>
      </c>
      <c r="T289" s="8">
        <v>1</v>
      </c>
      <c r="U289" s="8">
        <v>2</v>
      </c>
      <c r="AG289" s="8" t="str">
        <f t="shared" si="17"/>
        <v/>
      </c>
      <c r="AI289" s="8" t="str">
        <f t="shared" si="18"/>
        <v/>
      </c>
      <c r="AJ289" s="8" t="str">
        <f t="shared" si="19"/>
        <v/>
      </c>
      <c r="AL289" s="8" t="str">
        <f t="shared" si="20"/>
        <v/>
      </c>
    </row>
    <row r="290" spans="1:38" x14ac:dyDescent="0.25">
      <c r="A290" s="8" t="s">
        <v>845</v>
      </c>
      <c r="B290" s="8" t="s">
        <v>846</v>
      </c>
      <c r="C290" s="8">
        <v>30839541</v>
      </c>
      <c r="D290" s="8">
        <v>5</v>
      </c>
      <c r="E290" s="11">
        <v>43109</v>
      </c>
      <c r="F290" s="8" t="s">
        <v>57</v>
      </c>
      <c r="G290" s="11">
        <v>43109</v>
      </c>
      <c r="H290" s="8" t="s">
        <v>25</v>
      </c>
      <c r="J290" s="8" t="s">
        <v>25</v>
      </c>
      <c r="N290" s="8" t="s">
        <v>58</v>
      </c>
      <c r="O290" s="8" t="s">
        <v>59</v>
      </c>
      <c r="P290" s="8" t="s">
        <v>59</v>
      </c>
      <c r="R290" s="8">
        <v>0</v>
      </c>
      <c r="S290" s="8">
        <v>0</v>
      </c>
      <c r="T290" s="8">
        <v>1</v>
      </c>
      <c r="U290" s="8">
        <v>2</v>
      </c>
      <c r="AG290" s="8" t="str">
        <f t="shared" si="17"/>
        <v/>
      </c>
      <c r="AI290" s="8" t="str">
        <f t="shared" si="18"/>
        <v/>
      </c>
      <c r="AJ290" s="8" t="str">
        <f t="shared" si="19"/>
        <v/>
      </c>
      <c r="AL290" s="8" t="str">
        <f t="shared" si="20"/>
        <v/>
      </c>
    </row>
    <row r="291" spans="1:38" x14ac:dyDescent="0.25">
      <c r="A291" s="8" t="s">
        <v>6673</v>
      </c>
      <c r="B291" s="8" t="s">
        <v>6674</v>
      </c>
      <c r="C291" s="8">
        <v>30931924</v>
      </c>
      <c r="D291" s="8">
        <v>5</v>
      </c>
      <c r="E291" s="11">
        <v>43115</v>
      </c>
      <c r="F291" s="8" t="s">
        <v>57</v>
      </c>
      <c r="G291" s="11">
        <v>43115</v>
      </c>
      <c r="H291" s="8" t="s">
        <v>25</v>
      </c>
      <c r="J291" s="8" t="s">
        <v>25</v>
      </c>
      <c r="N291" s="8" t="s">
        <v>58</v>
      </c>
      <c r="O291" s="8" t="s">
        <v>59</v>
      </c>
      <c r="P291" s="8" t="s">
        <v>59</v>
      </c>
      <c r="R291" s="8">
        <v>0</v>
      </c>
      <c r="S291" s="8">
        <v>0</v>
      </c>
      <c r="T291" s="8">
        <v>1</v>
      </c>
      <c r="U291" s="8">
        <v>2</v>
      </c>
      <c r="AG291" s="8" t="str">
        <f t="shared" si="17"/>
        <v/>
      </c>
      <c r="AI291" s="8" t="str">
        <f t="shared" si="18"/>
        <v/>
      </c>
      <c r="AJ291" s="8" t="str">
        <f t="shared" si="19"/>
        <v/>
      </c>
      <c r="AL291" s="8" t="str">
        <f t="shared" si="20"/>
        <v/>
      </c>
    </row>
    <row r="292" spans="1:38" x14ac:dyDescent="0.25">
      <c r="A292" s="8" t="s">
        <v>3342</v>
      </c>
      <c r="B292" s="8" t="s">
        <v>3343</v>
      </c>
      <c r="C292" s="8">
        <v>30865573</v>
      </c>
      <c r="D292" s="8">
        <v>5</v>
      </c>
      <c r="E292" s="11">
        <v>43110</v>
      </c>
      <c r="F292" s="8" t="s">
        <v>58</v>
      </c>
      <c r="G292" s="11">
        <v>43111</v>
      </c>
      <c r="H292" s="8" t="s">
        <v>25</v>
      </c>
      <c r="I292" s="11">
        <v>43115</v>
      </c>
      <c r="J292" s="8" t="s">
        <v>25</v>
      </c>
      <c r="N292" s="8" t="s">
        <v>58</v>
      </c>
      <c r="O292" s="8" t="s">
        <v>59</v>
      </c>
      <c r="P292" s="8" t="s">
        <v>59</v>
      </c>
      <c r="R292" s="8">
        <v>0</v>
      </c>
      <c r="S292" s="8">
        <v>0</v>
      </c>
      <c r="T292" s="8">
        <v>1</v>
      </c>
      <c r="U292" s="8">
        <v>2</v>
      </c>
      <c r="X292" s="8">
        <v>5</v>
      </c>
      <c r="AG292" s="8" t="str">
        <f t="shared" si="17"/>
        <v/>
      </c>
      <c r="AI292" s="8" t="str">
        <f t="shared" si="18"/>
        <v/>
      </c>
      <c r="AJ292" s="8" t="str">
        <f t="shared" si="19"/>
        <v/>
      </c>
      <c r="AL292" s="8" t="str">
        <f t="shared" si="20"/>
        <v/>
      </c>
    </row>
    <row r="293" spans="1:38" x14ac:dyDescent="0.25">
      <c r="A293" s="8" t="s">
        <v>3344</v>
      </c>
      <c r="B293" s="8" t="s">
        <v>3345</v>
      </c>
      <c r="C293" s="8">
        <v>30851439</v>
      </c>
      <c r="D293" s="8">
        <v>5</v>
      </c>
      <c r="E293" s="11">
        <v>43109</v>
      </c>
      <c r="F293" s="8" t="s">
        <v>58</v>
      </c>
      <c r="G293" s="11">
        <v>43111</v>
      </c>
      <c r="H293" s="8" t="s">
        <v>25</v>
      </c>
      <c r="I293" s="11">
        <v>43111</v>
      </c>
      <c r="J293" s="8" t="s">
        <v>25</v>
      </c>
      <c r="N293" s="8" t="s">
        <v>58</v>
      </c>
      <c r="O293" s="8" t="s">
        <v>59</v>
      </c>
      <c r="P293" s="8" t="s">
        <v>59</v>
      </c>
      <c r="R293" s="8">
        <v>0</v>
      </c>
      <c r="S293" s="8">
        <v>0</v>
      </c>
      <c r="T293" s="8">
        <v>1</v>
      </c>
      <c r="U293" s="8">
        <v>2</v>
      </c>
      <c r="X293" s="8">
        <v>5</v>
      </c>
      <c r="AG293" s="8" t="str">
        <f t="shared" si="17"/>
        <v/>
      </c>
      <c r="AI293" s="8" t="str">
        <f t="shared" si="18"/>
        <v/>
      </c>
      <c r="AJ293" s="8" t="str">
        <f t="shared" si="19"/>
        <v/>
      </c>
      <c r="AL293" s="8" t="str">
        <f t="shared" si="20"/>
        <v/>
      </c>
    </row>
    <row r="294" spans="1:38" x14ac:dyDescent="0.25">
      <c r="A294" s="8" t="s">
        <v>1721</v>
      </c>
      <c r="B294" s="8" t="s">
        <v>1722</v>
      </c>
      <c r="C294" s="8">
        <v>30858472</v>
      </c>
      <c r="D294" s="8">
        <v>5</v>
      </c>
      <c r="E294" s="11">
        <v>43110</v>
      </c>
      <c r="F294" s="8" t="s">
        <v>58</v>
      </c>
      <c r="G294" s="11">
        <v>43110</v>
      </c>
      <c r="H294" s="8" t="s">
        <v>25</v>
      </c>
      <c r="I294" s="11">
        <v>43112</v>
      </c>
      <c r="J294" s="8" t="s">
        <v>25</v>
      </c>
      <c r="N294" s="8" t="s">
        <v>58</v>
      </c>
      <c r="O294" s="8" t="s">
        <v>59</v>
      </c>
      <c r="P294" s="8" t="s">
        <v>59</v>
      </c>
      <c r="R294" s="8">
        <v>0</v>
      </c>
      <c r="S294" s="8">
        <v>0</v>
      </c>
      <c r="T294" s="8">
        <v>1</v>
      </c>
      <c r="U294" s="8">
        <v>2</v>
      </c>
      <c r="X294" s="8">
        <v>5</v>
      </c>
      <c r="AG294" s="8" t="str">
        <f t="shared" si="17"/>
        <v/>
      </c>
      <c r="AI294" s="8" t="str">
        <f t="shared" si="18"/>
        <v/>
      </c>
      <c r="AJ294" s="8" t="str">
        <f t="shared" si="19"/>
        <v/>
      </c>
      <c r="AL294" s="8" t="str">
        <f t="shared" si="20"/>
        <v/>
      </c>
    </row>
    <row r="295" spans="1:38" x14ac:dyDescent="0.25">
      <c r="A295" s="8" t="s">
        <v>847</v>
      </c>
      <c r="B295" s="8" t="s">
        <v>848</v>
      </c>
      <c r="C295" s="8">
        <v>30852340</v>
      </c>
      <c r="D295" s="8">
        <v>5</v>
      </c>
      <c r="E295" s="11">
        <v>43109</v>
      </c>
      <c r="F295" s="8" t="s">
        <v>60</v>
      </c>
      <c r="G295" s="11">
        <v>43109</v>
      </c>
      <c r="H295" s="8" t="s">
        <v>25</v>
      </c>
      <c r="J295" s="8" t="s">
        <v>25</v>
      </c>
      <c r="L295" s="8" t="s">
        <v>4797</v>
      </c>
      <c r="N295" s="8" t="s">
        <v>58</v>
      </c>
      <c r="O295" s="8" t="s">
        <v>59</v>
      </c>
      <c r="P295" s="8" t="s">
        <v>59</v>
      </c>
      <c r="R295" s="8">
        <v>0</v>
      </c>
      <c r="S295" s="8">
        <v>0</v>
      </c>
      <c r="T295" s="8">
        <v>1</v>
      </c>
      <c r="U295" s="8">
        <v>2</v>
      </c>
      <c r="W295" s="8">
        <v>4</v>
      </c>
      <c r="AG295" s="8" t="str">
        <f t="shared" si="17"/>
        <v/>
      </c>
      <c r="AI295" s="8" t="str">
        <f t="shared" si="18"/>
        <v/>
      </c>
      <c r="AJ295" s="8" t="str">
        <f t="shared" si="19"/>
        <v/>
      </c>
      <c r="AL295" s="8" t="str">
        <f t="shared" si="20"/>
        <v/>
      </c>
    </row>
    <row r="296" spans="1:38" x14ac:dyDescent="0.25">
      <c r="A296" s="8" t="s">
        <v>202</v>
      </c>
      <c r="B296" s="8" t="s">
        <v>203</v>
      </c>
      <c r="C296" s="8">
        <v>30817940</v>
      </c>
      <c r="D296" s="8">
        <v>5</v>
      </c>
      <c r="E296" s="11">
        <v>43108</v>
      </c>
      <c r="F296" s="8" t="s">
        <v>57</v>
      </c>
      <c r="G296" s="11">
        <v>43108</v>
      </c>
      <c r="H296" s="8" t="s">
        <v>25</v>
      </c>
      <c r="J296" s="8" t="s">
        <v>25</v>
      </c>
      <c r="N296" s="8" t="s">
        <v>58</v>
      </c>
      <c r="O296" s="8" t="s">
        <v>59</v>
      </c>
      <c r="P296" s="8" t="s">
        <v>59</v>
      </c>
      <c r="R296" s="8">
        <v>0</v>
      </c>
      <c r="S296" s="8">
        <v>0</v>
      </c>
      <c r="T296" s="8">
        <v>1</v>
      </c>
      <c r="U296" s="8">
        <v>2</v>
      </c>
      <c r="AG296" s="8" t="str">
        <f t="shared" si="17"/>
        <v/>
      </c>
      <c r="AI296" s="8" t="str">
        <f t="shared" si="18"/>
        <v/>
      </c>
      <c r="AJ296" s="8" t="str">
        <f t="shared" si="19"/>
        <v/>
      </c>
      <c r="AL296" s="8" t="str">
        <f t="shared" si="20"/>
        <v/>
      </c>
    </row>
    <row r="297" spans="1:38" x14ac:dyDescent="0.25">
      <c r="A297" s="8" t="s">
        <v>1723</v>
      </c>
      <c r="B297" s="8" t="s">
        <v>1724</v>
      </c>
      <c r="C297" s="8">
        <v>30852294</v>
      </c>
      <c r="D297" s="8">
        <v>5</v>
      </c>
      <c r="E297" s="11">
        <v>43109</v>
      </c>
      <c r="F297" s="8" t="s">
        <v>57</v>
      </c>
      <c r="G297" s="11">
        <v>43110</v>
      </c>
      <c r="H297" s="8" t="s">
        <v>25</v>
      </c>
      <c r="J297" s="8" t="s">
        <v>25</v>
      </c>
      <c r="N297" s="8" t="s">
        <v>58</v>
      </c>
      <c r="O297" s="8" t="s">
        <v>59</v>
      </c>
      <c r="P297" s="8" t="s">
        <v>59</v>
      </c>
      <c r="R297" s="8">
        <v>0</v>
      </c>
      <c r="S297" s="8">
        <v>0</v>
      </c>
      <c r="T297" s="8">
        <v>1</v>
      </c>
      <c r="U297" s="8">
        <v>2</v>
      </c>
      <c r="AG297" s="8" t="str">
        <f t="shared" si="17"/>
        <v/>
      </c>
      <c r="AI297" s="8" t="str">
        <f t="shared" si="18"/>
        <v/>
      </c>
      <c r="AJ297" s="8" t="str">
        <f t="shared" si="19"/>
        <v/>
      </c>
      <c r="AL297" s="8" t="str">
        <f t="shared" si="20"/>
        <v/>
      </c>
    </row>
    <row r="298" spans="1:38" x14ac:dyDescent="0.25">
      <c r="A298" s="8" t="s">
        <v>6675</v>
      </c>
      <c r="B298" s="8" t="s">
        <v>6676</v>
      </c>
      <c r="C298" s="8">
        <v>30929885</v>
      </c>
      <c r="D298" s="8">
        <v>5</v>
      </c>
      <c r="E298" s="11">
        <v>43115</v>
      </c>
      <c r="F298" s="8" t="s">
        <v>57</v>
      </c>
      <c r="G298" s="11">
        <v>43115</v>
      </c>
      <c r="H298" s="8" t="s">
        <v>25</v>
      </c>
      <c r="J298" s="8" t="s">
        <v>25</v>
      </c>
      <c r="N298" s="8" t="s">
        <v>58</v>
      </c>
      <c r="O298" s="8" t="s">
        <v>59</v>
      </c>
      <c r="P298" s="8" t="s">
        <v>59</v>
      </c>
      <c r="R298" s="8">
        <v>0</v>
      </c>
      <c r="S298" s="8">
        <v>0</v>
      </c>
      <c r="T298" s="8">
        <v>1</v>
      </c>
      <c r="U298" s="8">
        <v>2</v>
      </c>
      <c r="AG298" s="8" t="str">
        <f t="shared" si="17"/>
        <v/>
      </c>
      <c r="AI298" s="8" t="str">
        <f t="shared" si="18"/>
        <v/>
      </c>
      <c r="AJ298" s="8" t="str">
        <f t="shared" si="19"/>
        <v/>
      </c>
      <c r="AL298" s="8" t="str">
        <f t="shared" si="20"/>
        <v/>
      </c>
    </row>
    <row r="299" spans="1:38" x14ac:dyDescent="0.25">
      <c r="A299" s="8" t="s">
        <v>1725</v>
      </c>
      <c r="B299" s="8" t="s">
        <v>1726</v>
      </c>
      <c r="C299" s="8">
        <v>30869607</v>
      </c>
      <c r="D299" s="8">
        <v>5</v>
      </c>
      <c r="E299" s="11">
        <v>43110</v>
      </c>
      <c r="F299" s="8" t="s">
        <v>58</v>
      </c>
      <c r="G299" s="11">
        <v>43110</v>
      </c>
      <c r="H299" s="8" t="s">
        <v>25</v>
      </c>
      <c r="I299" s="11">
        <v>43110</v>
      </c>
      <c r="J299" s="8" t="s">
        <v>25</v>
      </c>
      <c r="N299" s="8" t="s">
        <v>58</v>
      </c>
      <c r="O299" s="8" t="s">
        <v>59</v>
      </c>
      <c r="P299" s="8" t="s">
        <v>59</v>
      </c>
      <c r="R299" s="8">
        <v>0</v>
      </c>
      <c r="S299" s="8">
        <v>0</v>
      </c>
      <c r="T299" s="8">
        <v>1</v>
      </c>
      <c r="U299" s="8">
        <v>2</v>
      </c>
      <c r="X299" s="8">
        <v>5</v>
      </c>
      <c r="AG299" s="8" t="str">
        <f t="shared" si="17"/>
        <v/>
      </c>
      <c r="AI299" s="8" t="str">
        <f t="shared" si="18"/>
        <v/>
      </c>
      <c r="AJ299" s="8" t="str">
        <f t="shared" si="19"/>
        <v/>
      </c>
      <c r="AL299" s="8" t="str">
        <f t="shared" si="20"/>
        <v/>
      </c>
    </row>
    <row r="300" spans="1:38" x14ac:dyDescent="0.25">
      <c r="A300" s="8" t="s">
        <v>3346</v>
      </c>
      <c r="B300" s="8" t="s">
        <v>3347</v>
      </c>
      <c r="C300" s="8">
        <v>30865465</v>
      </c>
      <c r="D300" s="8">
        <v>4</v>
      </c>
      <c r="E300" s="11">
        <v>43110</v>
      </c>
      <c r="F300" s="8" t="s">
        <v>57</v>
      </c>
      <c r="G300" s="11">
        <v>43111</v>
      </c>
      <c r="H300" s="8" t="s">
        <v>25</v>
      </c>
      <c r="J300" s="8" t="s">
        <v>25</v>
      </c>
      <c r="N300" s="8" t="s">
        <v>58</v>
      </c>
      <c r="O300" s="8" t="s">
        <v>59</v>
      </c>
      <c r="P300" s="8" t="s">
        <v>59</v>
      </c>
      <c r="R300" s="8">
        <v>0</v>
      </c>
      <c r="S300" s="8">
        <v>0</v>
      </c>
      <c r="T300" s="8">
        <v>1</v>
      </c>
      <c r="U300" s="8">
        <v>2</v>
      </c>
      <c r="AG300" s="8" t="str">
        <f t="shared" si="17"/>
        <v/>
      </c>
      <c r="AI300" s="8" t="str">
        <f t="shared" si="18"/>
        <v/>
      </c>
      <c r="AJ300" s="8" t="str">
        <f t="shared" si="19"/>
        <v/>
      </c>
      <c r="AL300" s="8" t="str">
        <f t="shared" si="20"/>
        <v/>
      </c>
    </row>
    <row r="301" spans="1:38" x14ac:dyDescent="0.25">
      <c r="A301" s="8" t="s">
        <v>849</v>
      </c>
      <c r="B301" s="8" t="s">
        <v>850</v>
      </c>
      <c r="C301" s="8">
        <v>30806753</v>
      </c>
      <c r="D301" s="8">
        <v>5</v>
      </c>
      <c r="E301" s="11">
        <v>43108</v>
      </c>
      <c r="F301" s="8" t="s">
        <v>57</v>
      </c>
      <c r="G301" s="11">
        <v>43109</v>
      </c>
      <c r="H301" s="8" t="s">
        <v>25</v>
      </c>
      <c r="J301" s="8" t="s">
        <v>25</v>
      </c>
      <c r="N301" s="8" t="s">
        <v>58</v>
      </c>
      <c r="O301" s="8" t="s">
        <v>59</v>
      </c>
      <c r="P301" s="8" t="s">
        <v>59</v>
      </c>
      <c r="R301" s="8">
        <v>0</v>
      </c>
      <c r="S301" s="8">
        <v>0</v>
      </c>
      <c r="T301" s="8">
        <v>1</v>
      </c>
      <c r="U301" s="8">
        <v>2</v>
      </c>
      <c r="AG301" s="8" t="str">
        <f t="shared" si="17"/>
        <v/>
      </c>
      <c r="AI301" s="8" t="str">
        <f t="shared" si="18"/>
        <v/>
      </c>
      <c r="AJ301" s="8" t="str">
        <f t="shared" si="19"/>
        <v/>
      </c>
      <c r="AL301" s="8" t="str">
        <f t="shared" si="20"/>
        <v/>
      </c>
    </row>
    <row r="302" spans="1:38" x14ac:dyDescent="0.25">
      <c r="A302" s="8" t="s">
        <v>1727</v>
      </c>
      <c r="B302" s="8" t="s">
        <v>1728</v>
      </c>
      <c r="C302" s="8">
        <v>30858625</v>
      </c>
      <c r="D302" s="8">
        <v>5</v>
      </c>
      <c r="E302" s="11">
        <v>43110</v>
      </c>
      <c r="F302" s="8" t="s">
        <v>60</v>
      </c>
      <c r="G302" s="11">
        <v>43110</v>
      </c>
      <c r="H302" s="8" t="s">
        <v>25</v>
      </c>
      <c r="J302" s="8" t="s">
        <v>25</v>
      </c>
      <c r="L302" s="8" t="s">
        <v>3287</v>
      </c>
      <c r="N302" s="8" t="s">
        <v>58</v>
      </c>
      <c r="O302" s="8" t="s">
        <v>59</v>
      </c>
      <c r="P302" s="8" t="s">
        <v>59</v>
      </c>
      <c r="R302" s="8">
        <v>0</v>
      </c>
      <c r="S302" s="8">
        <v>0</v>
      </c>
      <c r="T302" s="8">
        <v>1</v>
      </c>
      <c r="U302" s="8">
        <v>2</v>
      </c>
      <c r="W302" s="8">
        <v>4</v>
      </c>
      <c r="AG302" s="8" t="str">
        <f t="shared" si="17"/>
        <v/>
      </c>
      <c r="AI302" s="8" t="str">
        <f t="shared" si="18"/>
        <v/>
      </c>
      <c r="AJ302" s="8" t="str">
        <f t="shared" si="19"/>
        <v/>
      </c>
      <c r="AL302" s="8" t="str">
        <f t="shared" si="20"/>
        <v/>
      </c>
    </row>
    <row r="303" spans="1:38" x14ac:dyDescent="0.25">
      <c r="A303" s="8" t="s">
        <v>851</v>
      </c>
      <c r="B303" s="8" t="s">
        <v>852</v>
      </c>
      <c r="C303" s="8">
        <v>30850667</v>
      </c>
      <c r="D303" s="8">
        <v>5</v>
      </c>
      <c r="E303" s="11">
        <v>43109</v>
      </c>
      <c r="F303" s="8" t="s">
        <v>57</v>
      </c>
      <c r="G303" s="11">
        <v>43109</v>
      </c>
      <c r="H303" s="8" t="s">
        <v>25</v>
      </c>
      <c r="J303" s="8" t="s">
        <v>25</v>
      </c>
      <c r="N303" s="8" t="s">
        <v>58</v>
      </c>
      <c r="O303" s="8" t="s">
        <v>59</v>
      </c>
      <c r="P303" s="8" t="s">
        <v>59</v>
      </c>
      <c r="R303" s="8">
        <v>0</v>
      </c>
      <c r="S303" s="8">
        <v>0</v>
      </c>
      <c r="T303" s="8">
        <v>1</v>
      </c>
      <c r="U303" s="8">
        <v>2</v>
      </c>
      <c r="AG303" s="8" t="str">
        <f t="shared" si="17"/>
        <v/>
      </c>
      <c r="AI303" s="8" t="str">
        <f t="shared" si="18"/>
        <v/>
      </c>
      <c r="AJ303" s="8" t="str">
        <f t="shared" si="19"/>
        <v/>
      </c>
      <c r="AL303" s="8" t="str">
        <f t="shared" si="20"/>
        <v/>
      </c>
    </row>
    <row r="304" spans="1:38" x14ac:dyDescent="0.25">
      <c r="A304" s="8" t="s">
        <v>6677</v>
      </c>
      <c r="B304" s="8" t="s">
        <v>6678</v>
      </c>
      <c r="C304" s="8">
        <v>30932175</v>
      </c>
      <c r="D304" s="8">
        <v>5</v>
      </c>
      <c r="E304" s="11">
        <v>43115</v>
      </c>
      <c r="F304" s="8" t="s">
        <v>57</v>
      </c>
      <c r="G304" s="11">
        <v>43115</v>
      </c>
      <c r="H304" s="8" t="s">
        <v>25</v>
      </c>
      <c r="J304" s="8" t="s">
        <v>25</v>
      </c>
      <c r="N304" s="8" t="s">
        <v>58</v>
      </c>
      <c r="O304" s="8" t="s">
        <v>59</v>
      </c>
      <c r="P304" s="8" t="s">
        <v>59</v>
      </c>
      <c r="R304" s="8">
        <v>0</v>
      </c>
      <c r="S304" s="8">
        <v>0</v>
      </c>
      <c r="T304" s="8">
        <v>1</v>
      </c>
      <c r="U304" s="8">
        <v>2</v>
      </c>
      <c r="AG304" s="8" t="str">
        <f t="shared" si="17"/>
        <v/>
      </c>
      <c r="AI304" s="8" t="str">
        <f t="shared" si="18"/>
        <v/>
      </c>
      <c r="AJ304" s="8" t="str">
        <f t="shared" si="19"/>
        <v/>
      </c>
      <c r="AL304" s="8" t="str">
        <f t="shared" si="20"/>
        <v/>
      </c>
    </row>
    <row r="305" spans="1:38" x14ac:dyDescent="0.25">
      <c r="A305" s="8" t="s">
        <v>4832</v>
      </c>
      <c r="B305" s="8" t="s">
        <v>4833</v>
      </c>
      <c r="C305" s="8">
        <v>30923610</v>
      </c>
      <c r="D305" s="8">
        <v>5</v>
      </c>
      <c r="E305" s="11">
        <v>43112</v>
      </c>
      <c r="F305" s="8" t="s">
        <v>58</v>
      </c>
      <c r="G305" s="11">
        <v>43112</v>
      </c>
      <c r="H305" s="8" t="s">
        <v>25</v>
      </c>
      <c r="I305" s="11">
        <v>43112</v>
      </c>
      <c r="J305" s="8" t="s">
        <v>25</v>
      </c>
      <c r="N305" s="8" t="s">
        <v>58</v>
      </c>
      <c r="O305" s="8" t="s">
        <v>59</v>
      </c>
      <c r="P305" s="8" t="s">
        <v>59</v>
      </c>
      <c r="R305" s="8">
        <v>0</v>
      </c>
      <c r="S305" s="8">
        <v>0</v>
      </c>
      <c r="T305" s="8">
        <v>1</v>
      </c>
      <c r="U305" s="8">
        <v>2</v>
      </c>
      <c r="X305" s="8">
        <v>5</v>
      </c>
      <c r="AG305" s="8" t="str">
        <f t="shared" si="17"/>
        <v/>
      </c>
      <c r="AI305" s="8" t="str">
        <f t="shared" si="18"/>
        <v/>
      </c>
      <c r="AJ305" s="8" t="str">
        <f t="shared" si="19"/>
        <v/>
      </c>
      <c r="AL305" s="8" t="str">
        <f t="shared" si="20"/>
        <v/>
      </c>
    </row>
    <row r="306" spans="1:38" x14ac:dyDescent="0.25">
      <c r="A306" s="8" t="s">
        <v>3348</v>
      </c>
      <c r="B306" s="8" t="s">
        <v>3349</v>
      </c>
      <c r="C306" s="8">
        <v>30898918</v>
      </c>
      <c r="D306" s="8">
        <v>5</v>
      </c>
      <c r="E306" s="11">
        <v>43111</v>
      </c>
      <c r="F306" s="8" t="s">
        <v>57</v>
      </c>
      <c r="G306" s="11">
        <v>43111</v>
      </c>
      <c r="H306" s="8" t="s">
        <v>25</v>
      </c>
      <c r="J306" s="8" t="s">
        <v>25</v>
      </c>
      <c r="N306" s="8" t="s">
        <v>58</v>
      </c>
      <c r="O306" s="8" t="s">
        <v>59</v>
      </c>
      <c r="P306" s="8" t="s">
        <v>59</v>
      </c>
      <c r="R306" s="8">
        <v>0</v>
      </c>
      <c r="S306" s="8">
        <v>0</v>
      </c>
      <c r="T306" s="8">
        <v>1</v>
      </c>
      <c r="U306" s="8">
        <v>2</v>
      </c>
      <c r="AG306" s="8" t="str">
        <f t="shared" si="17"/>
        <v/>
      </c>
      <c r="AI306" s="8" t="str">
        <f t="shared" si="18"/>
        <v/>
      </c>
      <c r="AJ306" s="8" t="str">
        <f t="shared" si="19"/>
        <v/>
      </c>
      <c r="AL306" s="8" t="str">
        <f t="shared" si="20"/>
        <v/>
      </c>
    </row>
    <row r="307" spans="1:38" x14ac:dyDescent="0.25">
      <c r="A307" s="8" t="s">
        <v>1729</v>
      </c>
      <c r="B307" s="8" t="s">
        <v>1730</v>
      </c>
      <c r="C307" s="8">
        <v>30874642</v>
      </c>
      <c r="D307" s="8">
        <v>5</v>
      </c>
      <c r="E307" s="11">
        <v>43110</v>
      </c>
      <c r="F307" s="8" t="s">
        <v>58</v>
      </c>
      <c r="G307" s="11">
        <v>43110</v>
      </c>
      <c r="H307" s="8" t="s">
        <v>25</v>
      </c>
      <c r="I307" s="11">
        <v>43110</v>
      </c>
      <c r="J307" s="8" t="s">
        <v>25</v>
      </c>
      <c r="N307" s="8" t="s">
        <v>58</v>
      </c>
      <c r="O307" s="8" t="s">
        <v>59</v>
      </c>
      <c r="P307" s="8" t="s">
        <v>59</v>
      </c>
      <c r="R307" s="8">
        <v>0</v>
      </c>
      <c r="S307" s="8">
        <v>0</v>
      </c>
      <c r="T307" s="8">
        <v>1</v>
      </c>
      <c r="U307" s="8">
        <v>2</v>
      </c>
      <c r="X307" s="8">
        <v>5</v>
      </c>
      <c r="AG307" s="8" t="str">
        <f t="shared" si="17"/>
        <v/>
      </c>
      <c r="AI307" s="8" t="str">
        <f t="shared" si="18"/>
        <v/>
      </c>
      <c r="AJ307" s="8" t="str">
        <f t="shared" si="19"/>
        <v/>
      </c>
      <c r="AL307" s="8" t="str">
        <f t="shared" si="20"/>
        <v/>
      </c>
    </row>
    <row r="308" spans="1:38" x14ac:dyDescent="0.25">
      <c r="A308" s="8" t="s">
        <v>1731</v>
      </c>
      <c r="B308" s="8" t="s">
        <v>1732</v>
      </c>
      <c r="C308" s="8">
        <v>30861534</v>
      </c>
      <c r="D308" s="8">
        <v>5</v>
      </c>
      <c r="E308" s="11">
        <v>43110</v>
      </c>
      <c r="F308" s="8" t="s">
        <v>57</v>
      </c>
      <c r="G308" s="11">
        <v>43110</v>
      </c>
      <c r="H308" s="8" t="s">
        <v>25</v>
      </c>
      <c r="J308" s="8" t="s">
        <v>25</v>
      </c>
      <c r="N308" s="8" t="s">
        <v>58</v>
      </c>
      <c r="O308" s="8" t="s">
        <v>59</v>
      </c>
      <c r="P308" s="8" t="s">
        <v>59</v>
      </c>
      <c r="R308" s="8">
        <v>0</v>
      </c>
      <c r="S308" s="8">
        <v>0</v>
      </c>
      <c r="T308" s="8">
        <v>1</v>
      </c>
      <c r="U308" s="8">
        <v>2</v>
      </c>
      <c r="AG308" s="8" t="str">
        <f t="shared" si="17"/>
        <v/>
      </c>
      <c r="AI308" s="8" t="str">
        <f t="shared" si="18"/>
        <v/>
      </c>
      <c r="AJ308" s="8" t="str">
        <f t="shared" si="19"/>
        <v/>
      </c>
      <c r="AL308" s="8" t="str">
        <f t="shared" si="20"/>
        <v/>
      </c>
    </row>
    <row r="309" spans="1:38" x14ac:dyDescent="0.25">
      <c r="A309" s="8" t="s">
        <v>1733</v>
      </c>
      <c r="B309" s="8" t="s">
        <v>1734</v>
      </c>
      <c r="C309" s="8">
        <v>30869045</v>
      </c>
      <c r="D309" s="8">
        <v>5</v>
      </c>
      <c r="E309" s="11">
        <v>43110</v>
      </c>
      <c r="F309" s="8" t="s">
        <v>57</v>
      </c>
      <c r="G309" s="11">
        <v>43110</v>
      </c>
      <c r="H309" s="8" t="s">
        <v>25</v>
      </c>
      <c r="J309" s="8" t="s">
        <v>25</v>
      </c>
      <c r="N309" s="8" t="s">
        <v>58</v>
      </c>
      <c r="O309" s="8" t="s">
        <v>59</v>
      </c>
      <c r="P309" s="8" t="s">
        <v>59</v>
      </c>
      <c r="R309" s="8">
        <v>0</v>
      </c>
      <c r="S309" s="8">
        <v>0</v>
      </c>
      <c r="T309" s="8">
        <v>1</v>
      </c>
      <c r="U309" s="8">
        <v>2</v>
      </c>
      <c r="AG309" s="8" t="str">
        <f t="shared" si="17"/>
        <v/>
      </c>
      <c r="AI309" s="8" t="str">
        <f t="shared" si="18"/>
        <v/>
      </c>
      <c r="AJ309" s="8" t="str">
        <f t="shared" si="19"/>
        <v/>
      </c>
      <c r="AL309" s="8" t="str">
        <f t="shared" si="20"/>
        <v/>
      </c>
    </row>
    <row r="310" spans="1:38" x14ac:dyDescent="0.25">
      <c r="A310" s="8" t="s">
        <v>6679</v>
      </c>
      <c r="B310" s="8" t="s">
        <v>6680</v>
      </c>
      <c r="C310" s="8">
        <v>30860780</v>
      </c>
      <c r="D310" s="8">
        <v>5</v>
      </c>
      <c r="E310" s="11">
        <v>43110</v>
      </c>
      <c r="F310" s="8" t="s">
        <v>57</v>
      </c>
      <c r="G310" s="11">
        <v>43115</v>
      </c>
      <c r="H310" s="8" t="s">
        <v>145</v>
      </c>
      <c r="J310" s="8" t="s">
        <v>25</v>
      </c>
      <c r="N310" s="8" t="s">
        <v>58</v>
      </c>
      <c r="O310" s="8" t="s">
        <v>59</v>
      </c>
      <c r="P310" s="8" t="s">
        <v>59</v>
      </c>
      <c r="R310" s="8">
        <v>0</v>
      </c>
      <c r="S310" s="8">
        <v>0</v>
      </c>
      <c r="T310" s="8">
        <v>1</v>
      </c>
      <c r="U310" s="8">
        <v>2</v>
      </c>
      <c r="AG310" s="8" t="str">
        <f t="shared" si="17"/>
        <v/>
      </c>
      <c r="AI310" s="8" t="str">
        <f t="shared" si="18"/>
        <v/>
      </c>
      <c r="AJ310" s="8" t="str">
        <f t="shared" si="19"/>
        <v/>
      </c>
      <c r="AL310" s="8" t="str">
        <f t="shared" si="20"/>
        <v/>
      </c>
    </row>
    <row r="311" spans="1:38" x14ac:dyDescent="0.25">
      <c r="A311" s="8" t="s">
        <v>853</v>
      </c>
      <c r="B311" s="8" t="s">
        <v>80</v>
      </c>
      <c r="C311" s="8">
        <v>30843868</v>
      </c>
      <c r="D311" s="8">
        <v>5</v>
      </c>
      <c r="E311" s="11">
        <v>43109</v>
      </c>
      <c r="F311" s="8" t="s">
        <v>57</v>
      </c>
      <c r="G311" s="11">
        <v>43109</v>
      </c>
      <c r="H311" s="8" t="s">
        <v>25</v>
      </c>
      <c r="J311" s="8" t="s">
        <v>25</v>
      </c>
      <c r="N311" s="8" t="s">
        <v>58</v>
      </c>
      <c r="O311" s="8" t="s">
        <v>59</v>
      </c>
      <c r="P311" s="8" t="s">
        <v>59</v>
      </c>
      <c r="R311" s="8">
        <v>0</v>
      </c>
      <c r="S311" s="8">
        <v>0</v>
      </c>
      <c r="T311" s="8">
        <v>1</v>
      </c>
      <c r="U311" s="8">
        <v>2</v>
      </c>
      <c r="AG311" s="8" t="str">
        <f t="shared" si="17"/>
        <v/>
      </c>
      <c r="AI311" s="8" t="str">
        <f t="shared" si="18"/>
        <v/>
      </c>
      <c r="AJ311" s="8" t="str">
        <f t="shared" si="19"/>
        <v/>
      </c>
      <c r="AL311" s="8" t="str">
        <f t="shared" si="20"/>
        <v/>
      </c>
    </row>
    <row r="312" spans="1:38" x14ac:dyDescent="0.25">
      <c r="A312" s="8" t="s">
        <v>3350</v>
      </c>
      <c r="B312" s="8" t="s">
        <v>3351</v>
      </c>
      <c r="C312" s="8">
        <v>30900801</v>
      </c>
      <c r="D312" s="8">
        <v>5</v>
      </c>
      <c r="E312" s="11">
        <v>43111</v>
      </c>
      <c r="F312" s="8" t="s">
        <v>58</v>
      </c>
      <c r="G312" s="11">
        <v>43111</v>
      </c>
      <c r="H312" s="8" t="s">
        <v>25</v>
      </c>
      <c r="I312" s="11">
        <v>43111</v>
      </c>
      <c r="J312" s="8" t="s">
        <v>25</v>
      </c>
      <c r="N312" s="8" t="s">
        <v>58</v>
      </c>
      <c r="O312" s="8" t="s">
        <v>59</v>
      </c>
      <c r="P312" s="8" t="s">
        <v>59</v>
      </c>
      <c r="R312" s="8">
        <v>0</v>
      </c>
      <c r="S312" s="8">
        <v>0</v>
      </c>
      <c r="T312" s="8">
        <v>1</v>
      </c>
      <c r="U312" s="8">
        <v>2</v>
      </c>
      <c r="X312" s="8">
        <v>5</v>
      </c>
      <c r="AG312" s="8" t="str">
        <f t="shared" si="17"/>
        <v/>
      </c>
      <c r="AI312" s="8" t="str">
        <f t="shared" si="18"/>
        <v/>
      </c>
      <c r="AJ312" s="8" t="str">
        <f t="shared" si="19"/>
        <v/>
      </c>
      <c r="AL312" s="8" t="str">
        <f t="shared" si="20"/>
        <v/>
      </c>
    </row>
    <row r="313" spans="1:38" x14ac:dyDescent="0.25">
      <c r="A313" s="8" t="s">
        <v>1735</v>
      </c>
      <c r="B313" s="8" t="s">
        <v>1736</v>
      </c>
      <c r="C313" s="8">
        <v>30832758</v>
      </c>
      <c r="D313" s="8">
        <v>5</v>
      </c>
      <c r="E313" s="11">
        <v>43109</v>
      </c>
      <c r="F313" s="8" t="s">
        <v>57</v>
      </c>
      <c r="G313" s="11">
        <v>43110</v>
      </c>
      <c r="H313" s="8" t="s">
        <v>25</v>
      </c>
      <c r="J313" s="8" t="s">
        <v>25</v>
      </c>
      <c r="N313" s="8" t="s">
        <v>58</v>
      </c>
      <c r="O313" s="8" t="s">
        <v>59</v>
      </c>
      <c r="P313" s="8" t="s">
        <v>59</v>
      </c>
      <c r="R313" s="8">
        <v>0</v>
      </c>
      <c r="S313" s="8">
        <v>0</v>
      </c>
      <c r="T313" s="8">
        <v>1</v>
      </c>
      <c r="U313" s="8">
        <v>2</v>
      </c>
      <c r="AG313" s="8" t="str">
        <f t="shared" si="17"/>
        <v/>
      </c>
      <c r="AI313" s="8" t="str">
        <f t="shared" si="18"/>
        <v/>
      </c>
      <c r="AJ313" s="8" t="str">
        <f t="shared" si="19"/>
        <v/>
      </c>
      <c r="AL313" s="8" t="str">
        <f t="shared" si="20"/>
        <v/>
      </c>
    </row>
    <row r="314" spans="1:38" x14ac:dyDescent="0.25">
      <c r="A314" s="8" t="s">
        <v>1737</v>
      </c>
      <c r="B314" s="8" t="s">
        <v>1738</v>
      </c>
      <c r="C314" s="8">
        <v>30861505</v>
      </c>
      <c r="D314" s="8">
        <v>5</v>
      </c>
      <c r="E314" s="11">
        <v>43110</v>
      </c>
      <c r="F314" s="8" t="s">
        <v>58</v>
      </c>
      <c r="G314" s="11">
        <v>43110</v>
      </c>
      <c r="H314" s="8" t="s">
        <v>25</v>
      </c>
      <c r="I314" s="11">
        <v>43110</v>
      </c>
      <c r="J314" s="8" t="s">
        <v>25</v>
      </c>
      <c r="N314" s="8" t="s">
        <v>58</v>
      </c>
      <c r="O314" s="8" t="s">
        <v>59</v>
      </c>
      <c r="P314" s="8" t="s">
        <v>59</v>
      </c>
      <c r="R314" s="8">
        <v>0</v>
      </c>
      <c r="S314" s="8">
        <v>0</v>
      </c>
      <c r="T314" s="8">
        <v>1</v>
      </c>
      <c r="U314" s="8">
        <v>2</v>
      </c>
      <c r="X314" s="8">
        <v>5</v>
      </c>
      <c r="AG314" s="8" t="str">
        <f t="shared" si="17"/>
        <v/>
      </c>
      <c r="AI314" s="8" t="str">
        <f t="shared" si="18"/>
        <v/>
      </c>
      <c r="AJ314" s="8" t="str">
        <f t="shared" si="19"/>
        <v/>
      </c>
      <c r="AL314" s="8" t="str">
        <f t="shared" si="20"/>
        <v/>
      </c>
    </row>
    <row r="315" spans="1:38" x14ac:dyDescent="0.25">
      <c r="A315" s="8" t="s">
        <v>1739</v>
      </c>
      <c r="B315" s="8" t="s">
        <v>1740</v>
      </c>
      <c r="C315" s="8">
        <v>30810327</v>
      </c>
      <c r="D315" s="8">
        <v>5</v>
      </c>
      <c r="E315" s="11">
        <v>43108</v>
      </c>
      <c r="F315" s="8" t="s">
        <v>57</v>
      </c>
      <c r="G315" s="11">
        <v>43110</v>
      </c>
      <c r="H315" s="8" t="s">
        <v>25</v>
      </c>
      <c r="J315" s="8" t="s">
        <v>25</v>
      </c>
      <c r="N315" s="8" t="s">
        <v>58</v>
      </c>
      <c r="O315" s="8" t="s">
        <v>59</v>
      </c>
      <c r="P315" s="8" t="s">
        <v>59</v>
      </c>
      <c r="R315" s="8">
        <v>0</v>
      </c>
      <c r="S315" s="8">
        <v>0</v>
      </c>
      <c r="T315" s="8">
        <v>1</v>
      </c>
      <c r="U315" s="8">
        <v>2</v>
      </c>
      <c r="AG315" s="8" t="str">
        <f t="shared" si="17"/>
        <v/>
      </c>
      <c r="AI315" s="8" t="str">
        <f t="shared" si="18"/>
        <v/>
      </c>
      <c r="AJ315" s="8" t="str">
        <f t="shared" si="19"/>
        <v/>
      </c>
      <c r="AL315" s="8" t="str">
        <f t="shared" si="20"/>
        <v/>
      </c>
    </row>
    <row r="316" spans="1:38" x14ac:dyDescent="0.25">
      <c r="A316" s="8" t="s">
        <v>6681</v>
      </c>
      <c r="B316" s="8" t="s">
        <v>6682</v>
      </c>
      <c r="C316" s="8">
        <v>30848635</v>
      </c>
      <c r="D316" s="8">
        <v>5</v>
      </c>
      <c r="E316" s="11">
        <v>43109</v>
      </c>
      <c r="F316" s="8" t="s">
        <v>57</v>
      </c>
      <c r="G316" s="11">
        <v>43115</v>
      </c>
      <c r="H316" s="8" t="s">
        <v>145</v>
      </c>
      <c r="J316" s="8" t="s">
        <v>25</v>
      </c>
      <c r="N316" s="8" t="s">
        <v>58</v>
      </c>
      <c r="O316" s="8" t="s">
        <v>59</v>
      </c>
      <c r="P316" s="8" t="s">
        <v>59</v>
      </c>
      <c r="R316" s="8">
        <v>0</v>
      </c>
      <c r="S316" s="8">
        <v>0</v>
      </c>
      <c r="T316" s="8">
        <v>1</v>
      </c>
      <c r="U316" s="8">
        <v>2</v>
      </c>
      <c r="AG316" s="8" t="str">
        <f t="shared" si="17"/>
        <v/>
      </c>
      <c r="AI316" s="8" t="str">
        <f t="shared" si="18"/>
        <v/>
      </c>
      <c r="AJ316" s="8" t="str">
        <f t="shared" si="19"/>
        <v/>
      </c>
      <c r="AL316" s="8" t="str">
        <f t="shared" si="20"/>
        <v/>
      </c>
    </row>
    <row r="317" spans="1:38" x14ac:dyDescent="0.25">
      <c r="A317" s="8" t="s">
        <v>6683</v>
      </c>
      <c r="B317" s="8" t="s">
        <v>6684</v>
      </c>
      <c r="C317" s="8">
        <v>30899219</v>
      </c>
      <c r="D317" s="8">
        <v>5</v>
      </c>
      <c r="E317" s="11">
        <v>43111</v>
      </c>
      <c r="F317" s="8" t="s">
        <v>57</v>
      </c>
      <c r="G317" s="11">
        <v>43115</v>
      </c>
      <c r="H317" s="8" t="s">
        <v>25</v>
      </c>
      <c r="J317" s="8" t="s">
        <v>25</v>
      </c>
      <c r="N317" s="8" t="s">
        <v>58</v>
      </c>
      <c r="O317" s="8" t="s">
        <v>59</v>
      </c>
      <c r="P317" s="8" t="s">
        <v>59</v>
      </c>
      <c r="R317" s="8">
        <v>0</v>
      </c>
      <c r="S317" s="8">
        <v>0</v>
      </c>
      <c r="T317" s="8">
        <v>1</v>
      </c>
      <c r="U317" s="8">
        <v>2</v>
      </c>
      <c r="AG317" s="8" t="str">
        <f t="shared" si="17"/>
        <v/>
      </c>
      <c r="AI317" s="8" t="str">
        <f t="shared" si="18"/>
        <v/>
      </c>
      <c r="AJ317" s="8" t="str">
        <f t="shared" si="19"/>
        <v/>
      </c>
      <c r="AL317" s="8" t="str">
        <f t="shared" si="20"/>
        <v/>
      </c>
    </row>
    <row r="318" spans="1:38" x14ac:dyDescent="0.25">
      <c r="A318" s="8" t="s">
        <v>4834</v>
      </c>
      <c r="B318" s="8" t="s">
        <v>4835</v>
      </c>
      <c r="C318" s="8">
        <v>30818635</v>
      </c>
      <c r="D318" s="8">
        <v>3</v>
      </c>
      <c r="E318" s="11">
        <v>43108</v>
      </c>
      <c r="F318" s="8" t="s">
        <v>57</v>
      </c>
      <c r="G318" s="11">
        <v>43112</v>
      </c>
      <c r="H318" s="8" t="s">
        <v>145</v>
      </c>
      <c r="J318" s="8" t="s">
        <v>25</v>
      </c>
      <c r="N318" s="8" t="s">
        <v>58</v>
      </c>
      <c r="O318" s="8" t="s">
        <v>59</v>
      </c>
      <c r="P318" s="8" t="s">
        <v>59</v>
      </c>
      <c r="R318" s="8">
        <v>0</v>
      </c>
      <c r="S318" s="8">
        <v>0</v>
      </c>
      <c r="T318" s="8">
        <v>1</v>
      </c>
      <c r="U318" s="8">
        <v>2</v>
      </c>
      <c r="AG318" s="8" t="str">
        <f t="shared" si="17"/>
        <v/>
      </c>
      <c r="AI318" s="8" t="str">
        <f t="shared" si="18"/>
        <v/>
      </c>
      <c r="AJ318" s="8" t="str">
        <f t="shared" si="19"/>
        <v/>
      </c>
      <c r="AL318" s="8" t="str">
        <f t="shared" si="20"/>
        <v/>
      </c>
    </row>
    <row r="319" spans="1:38" x14ac:dyDescent="0.25">
      <c r="A319" s="8" t="s">
        <v>1741</v>
      </c>
      <c r="B319" s="8" t="s">
        <v>1742</v>
      </c>
      <c r="C319" s="8">
        <v>30826132</v>
      </c>
      <c r="D319" s="8">
        <v>5</v>
      </c>
      <c r="E319" s="11">
        <v>43108</v>
      </c>
      <c r="F319" s="8" t="s">
        <v>57</v>
      </c>
      <c r="G319" s="11">
        <v>43110</v>
      </c>
      <c r="H319" s="8" t="s">
        <v>25</v>
      </c>
      <c r="J319" s="8" t="s">
        <v>25</v>
      </c>
      <c r="N319" s="8" t="s">
        <v>58</v>
      </c>
      <c r="O319" s="8" t="s">
        <v>59</v>
      </c>
      <c r="P319" s="8" t="s">
        <v>59</v>
      </c>
      <c r="R319" s="8">
        <v>0</v>
      </c>
      <c r="S319" s="8">
        <v>0</v>
      </c>
      <c r="T319" s="8">
        <v>1</v>
      </c>
      <c r="U319" s="8">
        <v>2</v>
      </c>
      <c r="AG319" s="8" t="str">
        <f t="shared" si="17"/>
        <v/>
      </c>
      <c r="AI319" s="8" t="str">
        <f t="shared" si="18"/>
        <v/>
      </c>
      <c r="AJ319" s="8" t="str">
        <f t="shared" si="19"/>
        <v/>
      </c>
      <c r="AL319" s="8" t="str">
        <f t="shared" si="20"/>
        <v/>
      </c>
    </row>
    <row r="320" spans="1:38" x14ac:dyDescent="0.25">
      <c r="A320" s="8" t="s">
        <v>3352</v>
      </c>
      <c r="B320" s="8" t="s">
        <v>3353</v>
      </c>
      <c r="C320" s="8">
        <v>30885398</v>
      </c>
      <c r="D320" s="8">
        <v>5</v>
      </c>
      <c r="E320" s="11">
        <v>43111</v>
      </c>
      <c r="F320" s="8" t="s">
        <v>57</v>
      </c>
      <c r="G320" s="11">
        <v>43111</v>
      </c>
      <c r="H320" s="8" t="s">
        <v>25</v>
      </c>
      <c r="J320" s="8" t="s">
        <v>25</v>
      </c>
      <c r="N320" s="8" t="s">
        <v>58</v>
      </c>
      <c r="O320" s="8" t="s">
        <v>59</v>
      </c>
      <c r="P320" s="8" t="s">
        <v>59</v>
      </c>
      <c r="R320" s="8">
        <v>0</v>
      </c>
      <c r="S320" s="8">
        <v>0</v>
      </c>
      <c r="T320" s="8">
        <v>1</v>
      </c>
      <c r="U320" s="8">
        <v>2</v>
      </c>
      <c r="AG320" s="8" t="str">
        <f t="shared" si="17"/>
        <v/>
      </c>
      <c r="AI320" s="8" t="str">
        <f t="shared" si="18"/>
        <v/>
      </c>
      <c r="AJ320" s="8" t="str">
        <f t="shared" si="19"/>
        <v/>
      </c>
      <c r="AL320" s="8" t="str">
        <f t="shared" si="20"/>
        <v/>
      </c>
    </row>
    <row r="321" spans="1:38" x14ac:dyDescent="0.25">
      <c r="A321" s="8" t="s">
        <v>6685</v>
      </c>
      <c r="B321" s="8" t="s">
        <v>6686</v>
      </c>
      <c r="C321" s="8">
        <v>30931861</v>
      </c>
      <c r="D321" s="8">
        <v>5</v>
      </c>
      <c r="E321" s="11">
        <v>43115</v>
      </c>
      <c r="F321" s="8" t="s">
        <v>57</v>
      </c>
      <c r="G321" s="11">
        <v>43115</v>
      </c>
      <c r="H321" s="8" t="s">
        <v>25</v>
      </c>
      <c r="J321" s="8" t="s">
        <v>25</v>
      </c>
      <c r="N321" s="8" t="s">
        <v>58</v>
      </c>
      <c r="O321" s="8" t="s">
        <v>59</v>
      </c>
      <c r="P321" s="8" t="s">
        <v>59</v>
      </c>
      <c r="R321" s="8">
        <v>0</v>
      </c>
      <c r="S321" s="8">
        <v>0</v>
      </c>
      <c r="T321" s="8">
        <v>1</v>
      </c>
      <c r="U321" s="8">
        <v>2</v>
      </c>
      <c r="AG321" s="8" t="str">
        <f t="shared" si="17"/>
        <v/>
      </c>
      <c r="AI321" s="8" t="str">
        <f t="shared" si="18"/>
        <v/>
      </c>
      <c r="AJ321" s="8" t="str">
        <f t="shared" si="19"/>
        <v/>
      </c>
      <c r="AL321" s="8" t="str">
        <f t="shared" si="20"/>
        <v/>
      </c>
    </row>
    <row r="322" spans="1:38" x14ac:dyDescent="0.25">
      <c r="A322" s="8" t="s">
        <v>854</v>
      </c>
      <c r="B322" s="8" t="s">
        <v>855</v>
      </c>
      <c r="C322" s="8">
        <v>30839967</v>
      </c>
      <c r="D322" s="8">
        <v>5</v>
      </c>
      <c r="E322" s="11">
        <v>43109</v>
      </c>
      <c r="F322" s="8" t="s">
        <v>58</v>
      </c>
      <c r="G322" s="11">
        <v>43109</v>
      </c>
      <c r="H322" s="8" t="s">
        <v>25</v>
      </c>
      <c r="I322" s="11">
        <v>43110</v>
      </c>
      <c r="J322" s="8" t="s">
        <v>25</v>
      </c>
      <c r="N322" s="8" t="s">
        <v>58</v>
      </c>
      <c r="O322" s="8" t="s">
        <v>59</v>
      </c>
      <c r="P322" s="8" t="s">
        <v>59</v>
      </c>
      <c r="R322" s="8">
        <v>0</v>
      </c>
      <c r="S322" s="8">
        <v>0</v>
      </c>
      <c r="T322" s="8">
        <v>1</v>
      </c>
      <c r="U322" s="8">
        <v>2</v>
      </c>
      <c r="X322" s="8">
        <v>5</v>
      </c>
      <c r="AG322" s="8" t="str">
        <f t="shared" si="17"/>
        <v/>
      </c>
      <c r="AI322" s="8" t="str">
        <f t="shared" si="18"/>
        <v/>
      </c>
      <c r="AJ322" s="8" t="str">
        <f t="shared" si="19"/>
        <v/>
      </c>
      <c r="AL322" s="8" t="str">
        <f t="shared" si="20"/>
        <v/>
      </c>
    </row>
    <row r="323" spans="1:38" x14ac:dyDescent="0.25">
      <c r="A323" s="8" t="s">
        <v>6687</v>
      </c>
      <c r="B323" s="8" t="s">
        <v>6688</v>
      </c>
      <c r="C323" s="8">
        <v>30930245</v>
      </c>
      <c r="D323" s="8">
        <v>5</v>
      </c>
      <c r="E323" s="11">
        <v>43115</v>
      </c>
      <c r="F323" s="8" t="s">
        <v>58</v>
      </c>
      <c r="G323" s="11">
        <v>43115</v>
      </c>
      <c r="H323" s="8" t="s">
        <v>25</v>
      </c>
      <c r="I323" s="11">
        <v>43115</v>
      </c>
      <c r="J323" s="8" t="s">
        <v>25</v>
      </c>
      <c r="N323" s="8" t="s">
        <v>58</v>
      </c>
      <c r="O323" s="8" t="s">
        <v>59</v>
      </c>
      <c r="P323" s="8" t="s">
        <v>59</v>
      </c>
      <c r="R323" s="8">
        <v>0</v>
      </c>
      <c r="S323" s="8">
        <v>0</v>
      </c>
      <c r="T323" s="8">
        <v>1</v>
      </c>
      <c r="U323" s="8">
        <v>2</v>
      </c>
      <c r="X323" s="8">
        <v>5</v>
      </c>
      <c r="AG323" s="8" t="str">
        <f t="shared" ref="AG323:AG386" si="21">IF(AND(U323="",G323&lt;&gt;"",NOT(OR(R323,S323))),IF(NETWORKDAYS.INTL(G323,TODAY(),11)&lt;5,"En Plazo",IF(NETWORKDAYS.INTL(G323,TODAY(),11)=5,"Riesgo Incumplimiento","FALTA_02")),"")</f>
        <v/>
      </c>
      <c r="AI323" s="8" t="str">
        <f t="shared" ref="AI323:AI386" si="22">IF(AND(O323&lt;&gt;"B1",F323="Rejected"),IF(W323="","FALTA_04",""),"")</f>
        <v/>
      </c>
      <c r="AJ323" s="8" t="str">
        <f t="shared" ref="AJ323:AJ386" si="23">IF(AND(X323="",I323&lt;&gt;"",NOT(OR(R323,S323))),IF(NETWORKDAYS.INTL(G323,TODAY(),11)&lt;=1,"En Plazo",IF(OR(AND(X323="",O323&lt;&gt;"M1"),AND(O323="M1",(OR(Q323="S - S",Q323="S - T",)))),"FALTA_05","")),"")</f>
        <v/>
      </c>
      <c r="AL323" s="8" t="str">
        <f t="shared" ref="AL323:AL386" si="24">IF(AND(O323="B1",F323="Rejected"),IF(Z323="","FALTA_07",""),"")</f>
        <v/>
      </c>
    </row>
    <row r="324" spans="1:38" x14ac:dyDescent="0.25">
      <c r="A324" s="8" t="s">
        <v>6689</v>
      </c>
      <c r="B324" s="8" t="s">
        <v>6690</v>
      </c>
      <c r="C324" s="8">
        <v>30861016</v>
      </c>
      <c r="D324" s="8">
        <v>5</v>
      </c>
      <c r="E324" s="11">
        <v>43110</v>
      </c>
      <c r="F324" s="8" t="s">
        <v>57</v>
      </c>
      <c r="G324" s="11">
        <v>43115</v>
      </c>
      <c r="H324" s="8" t="s">
        <v>145</v>
      </c>
      <c r="J324" s="8" t="s">
        <v>25</v>
      </c>
      <c r="N324" s="8" t="s">
        <v>58</v>
      </c>
      <c r="O324" s="8" t="s">
        <v>59</v>
      </c>
      <c r="P324" s="8" t="s">
        <v>59</v>
      </c>
      <c r="R324" s="8">
        <v>0</v>
      </c>
      <c r="S324" s="8">
        <v>0</v>
      </c>
      <c r="T324" s="8">
        <v>1</v>
      </c>
      <c r="U324" s="8">
        <v>2</v>
      </c>
      <c r="AG324" s="8" t="str">
        <f t="shared" si="21"/>
        <v/>
      </c>
      <c r="AI324" s="8" t="str">
        <f t="shared" si="22"/>
        <v/>
      </c>
      <c r="AJ324" s="8" t="str">
        <f t="shared" si="23"/>
        <v/>
      </c>
      <c r="AL324" s="8" t="str">
        <f t="shared" si="24"/>
        <v/>
      </c>
    </row>
    <row r="325" spans="1:38" x14ac:dyDescent="0.25">
      <c r="A325" s="8" t="s">
        <v>6691</v>
      </c>
      <c r="B325" s="8" t="s">
        <v>6692</v>
      </c>
      <c r="C325" s="8">
        <v>30935953</v>
      </c>
      <c r="D325" s="8">
        <v>5</v>
      </c>
      <c r="E325" s="11">
        <v>43115</v>
      </c>
      <c r="F325" s="8" t="s">
        <v>58</v>
      </c>
      <c r="G325" s="11">
        <v>43115</v>
      </c>
      <c r="H325" s="8" t="s">
        <v>25</v>
      </c>
      <c r="I325" s="11">
        <v>43115</v>
      </c>
      <c r="J325" s="8" t="s">
        <v>25</v>
      </c>
      <c r="N325" s="8" t="s">
        <v>58</v>
      </c>
      <c r="O325" s="8" t="s">
        <v>59</v>
      </c>
      <c r="P325" s="8" t="s">
        <v>59</v>
      </c>
      <c r="R325" s="8">
        <v>0</v>
      </c>
      <c r="S325" s="8">
        <v>0</v>
      </c>
      <c r="T325" s="8">
        <v>1</v>
      </c>
      <c r="U325" s="8">
        <v>2</v>
      </c>
      <c r="X325" s="8">
        <v>5</v>
      </c>
      <c r="AG325" s="8" t="str">
        <f t="shared" si="21"/>
        <v/>
      </c>
      <c r="AI325" s="8" t="str">
        <f t="shared" si="22"/>
        <v/>
      </c>
      <c r="AJ325" s="8" t="str">
        <f t="shared" si="23"/>
        <v/>
      </c>
      <c r="AL325" s="8" t="str">
        <f t="shared" si="24"/>
        <v/>
      </c>
    </row>
    <row r="326" spans="1:38" x14ac:dyDescent="0.25">
      <c r="A326" s="8" t="s">
        <v>4836</v>
      </c>
      <c r="B326" s="8" t="s">
        <v>4837</v>
      </c>
      <c r="C326" s="8">
        <v>30893987</v>
      </c>
      <c r="D326" s="8">
        <v>5</v>
      </c>
      <c r="E326" s="11">
        <v>43111</v>
      </c>
      <c r="F326" s="8" t="s">
        <v>58</v>
      </c>
      <c r="G326" s="11">
        <v>43112</v>
      </c>
      <c r="H326" s="8" t="s">
        <v>25</v>
      </c>
      <c r="I326" s="11">
        <v>43115</v>
      </c>
      <c r="J326" s="8" t="s">
        <v>25</v>
      </c>
      <c r="N326" s="8" t="s">
        <v>58</v>
      </c>
      <c r="O326" s="8" t="s">
        <v>59</v>
      </c>
      <c r="P326" s="8" t="s">
        <v>59</v>
      </c>
      <c r="R326" s="8">
        <v>0</v>
      </c>
      <c r="S326" s="8">
        <v>0</v>
      </c>
      <c r="T326" s="8">
        <v>1</v>
      </c>
      <c r="U326" s="8">
        <v>2</v>
      </c>
      <c r="X326" s="8">
        <v>5</v>
      </c>
      <c r="AG326" s="8" t="str">
        <f t="shared" si="21"/>
        <v/>
      </c>
      <c r="AI326" s="8" t="str">
        <f t="shared" si="22"/>
        <v/>
      </c>
      <c r="AJ326" s="8" t="str">
        <f t="shared" si="23"/>
        <v/>
      </c>
      <c r="AL326" s="8" t="str">
        <f t="shared" si="24"/>
        <v/>
      </c>
    </row>
    <row r="327" spans="1:38" x14ac:dyDescent="0.25">
      <c r="A327" s="8" t="s">
        <v>3354</v>
      </c>
      <c r="B327" s="8" t="s">
        <v>3355</v>
      </c>
      <c r="C327" s="8">
        <v>30881337</v>
      </c>
      <c r="D327" s="8">
        <v>5</v>
      </c>
      <c r="E327" s="11">
        <v>43111</v>
      </c>
      <c r="F327" s="8" t="s">
        <v>57</v>
      </c>
      <c r="G327" s="11">
        <v>43111</v>
      </c>
      <c r="H327" s="8" t="s">
        <v>25</v>
      </c>
      <c r="J327" s="8" t="s">
        <v>25</v>
      </c>
      <c r="N327" s="8" t="s">
        <v>58</v>
      </c>
      <c r="O327" s="8" t="s">
        <v>59</v>
      </c>
      <c r="P327" s="8" t="s">
        <v>59</v>
      </c>
      <c r="R327" s="8">
        <v>0</v>
      </c>
      <c r="S327" s="8">
        <v>0</v>
      </c>
      <c r="T327" s="8">
        <v>1</v>
      </c>
      <c r="U327" s="8">
        <v>2</v>
      </c>
      <c r="AG327" s="8" t="str">
        <f t="shared" si="21"/>
        <v/>
      </c>
      <c r="AI327" s="8" t="str">
        <f t="shared" si="22"/>
        <v/>
      </c>
      <c r="AJ327" s="8" t="str">
        <f t="shared" si="23"/>
        <v/>
      </c>
      <c r="AL327" s="8" t="str">
        <f t="shared" si="24"/>
        <v/>
      </c>
    </row>
    <row r="328" spans="1:38" x14ac:dyDescent="0.25">
      <c r="A328" s="8" t="s">
        <v>1743</v>
      </c>
      <c r="B328" s="8" t="s">
        <v>1744</v>
      </c>
      <c r="C328" s="8">
        <v>30847959</v>
      </c>
      <c r="D328" s="8">
        <v>5</v>
      </c>
      <c r="E328" s="11">
        <v>43109</v>
      </c>
      <c r="F328" s="8" t="s">
        <v>58</v>
      </c>
      <c r="G328" s="11">
        <v>43110</v>
      </c>
      <c r="H328" s="8" t="s">
        <v>25</v>
      </c>
      <c r="I328" s="11">
        <v>43112</v>
      </c>
      <c r="J328" s="8" t="s">
        <v>25</v>
      </c>
      <c r="N328" s="8" t="s">
        <v>58</v>
      </c>
      <c r="O328" s="8" t="s">
        <v>59</v>
      </c>
      <c r="P328" s="8" t="s">
        <v>59</v>
      </c>
      <c r="R328" s="8">
        <v>0</v>
      </c>
      <c r="S328" s="8">
        <v>0</v>
      </c>
      <c r="T328" s="8">
        <v>1</v>
      </c>
      <c r="U328" s="8">
        <v>2</v>
      </c>
      <c r="X328" s="8">
        <v>5</v>
      </c>
      <c r="AG328" s="8" t="str">
        <f t="shared" si="21"/>
        <v/>
      </c>
      <c r="AI328" s="8" t="str">
        <f t="shared" si="22"/>
        <v/>
      </c>
      <c r="AJ328" s="8" t="str">
        <f t="shared" si="23"/>
        <v/>
      </c>
      <c r="AL328" s="8" t="str">
        <f t="shared" si="24"/>
        <v/>
      </c>
    </row>
    <row r="329" spans="1:38" x14ac:dyDescent="0.25">
      <c r="A329" s="8" t="s">
        <v>4838</v>
      </c>
      <c r="B329" s="8" t="s">
        <v>4839</v>
      </c>
      <c r="C329" s="8">
        <v>30922302</v>
      </c>
      <c r="D329" s="8">
        <v>5</v>
      </c>
      <c r="E329" s="11">
        <v>43112</v>
      </c>
      <c r="F329" s="8" t="s">
        <v>58</v>
      </c>
      <c r="G329" s="11">
        <v>43112</v>
      </c>
      <c r="H329" s="8" t="s">
        <v>25</v>
      </c>
      <c r="I329" s="11">
        <v>43113</v>
      </c>
      <c r="J329" s="8" t="s">
        <v>25</v>
      </c>
      <c r="N329" s="8" t="s">
        <v>58</v>
      </c>
      <c r="O329" s="8" t="s">
        <v>59</v>
      </c>
      <c r="P329" s="8" t="s">
        <v>59</v>
      </c>
      <c r="R329" s="8">
        <v>0</v>
      </c>
      <c r="S329" s="8">
        <v>0</v>
      </c>
      <c r="T329" s="8">
        <v>1</v>
      </c>
      <c r="U329" s="8">
        <v>2</v>
      </c>
      <c r="X329" s="8">
        <v>5</v>
      </c>
      <c r="AG329" s="8" t="str">
        <f t="shared" si="21"/>
        <v/>
      </c>
      <c r="AI329" s="8" t="str">
        <f t="shared" si="22"/>
        <v/>
      </c>
      <c r="AJ329" s="8" t="str">
        <f t="shared" si="23"/>
        <v/>
      </c>
      <c r="AL329" s="8" t="str">
        <f t="shared" si="24"/>
        <v/>
      </c>
    </row>
    <row r="330" spans="1:38" x14ac:dyDescent="0.25">
      <c r="A330" s="8" t="s">
        <v>6693</v>
      </c>
      <c r="B330" s="8" t="s">
        <v>6694</v>
      </c>
      <c r="C330" s="8">
        <v>30865193</v>
      </c>
      <c r="D330" s="8">
        <v>5</v>
      </c>
      <c r="E330" s="11">
        <v>43110</v>
      </c>
      <c r="F330" s="8" t="s">
        <v>57</v>
      </c>
      <c r="G330" s="11">
        <v>43115</v>
      </c>
      <c r="H330" s="8" t="s">
        <v>145</v>
      </c>
      <c r="J330" s="8" t="s">
        <v>25</v>
      </c>
      <c r="N330" s="8" t="s">
        <v>58</v>
      </c>
      <c r="O330" s="8" t="s">
        <v>59</v>
      </c>
      <c r="P330" s="8" t="s">
        <v>59</v>
      </c>
      <c r="R330" s="8">
        <v>0</v>
      </c>
      <c r="S330" s="8">
        <v>0</v>
      </c>
      <c r="T330" s="8">
        <v>1</v>
      </c>
      <c r="U330" s="8">
        <v>2</v>
      </c>
      <c r="AG330" s="8" t="str">
        <f t="shared" si="21"/>
        <v/>
      </c>
      <c r="AI330" s="8" t="str">
        <f t="shared" si="22"/>
        <v/>
      </c>
      <c r="AJ330" s="8" t="str">
        <f t="shared" si="23"/>
        <v/>
      </c>
      <c r="AL330" s="8" t="str">
        <f t="shared" si="24"/>
        <v/>
      </c>
    </row>
    <row r="331" spans="1:38" x14ac:dyDescent="0.25">
      <c r="A331" s="8" t="s">
        <v>1745</v>
      </c>
      <c r="B331" s="8" t="s">
        <v>1746</v>
      </c>
      <c r="C331" s="8">
        <v>30862258</v>
      </c>
      <c r="D331" s="8">
        <v>5</v>
      </c>
      <c r="E331" s="11">
        <v>43110</v>
      </c>
      <c r="F331" s="8" t="s">
        <v>58</v>
      </c>
      <c r="G331" s="11">
        <v>43110</v>
      </c>
      <c r="H331" s="8" t="s">
        <v>25</v>
      </c>
      <c r="I331" s="11">
        <v>43115</v>
      </c>
      <c r="J331" s="8" t="s">
        <v>145</v>
      </c>
      <c r="N331" s="8" t="s">
        <v>58</v>
      </c>
      <c r="O331" s="8" t="s">
        <v>59</v>
      </c>
      <c r="P331" s="8" t="s">
        <v>59</v>
      </c>
      <c r="R331" s="8">
        <v>0</v>
      </c>
      <c r="S331" s="8">
        <v>0</v>
      </c>
      <c r="T331" s="8">
        <v>1</v>
      </c>
      <c r="U331" s="8">
        <v>2</v>
      </c>
      <c r="X331" s="8">
        <v>5</v>
      </c>
      <c r="AG331" s="8" t="str">
        <f t="shared" si="21"/>
        <v/>
      </c>
      <c r="AI331" s="8" t="str">
        <f t="shared" si="22"/>
        <v/>
      </c>
      <c r="AJ331" s="8" t="str">
        <f t="shared" si="23"/>
        <v/>
      </c>
      <c r="AL331" s="8" t="str">
        <f t="shared" si="24"/>
        <v/>
      </c>
    </row>
    <row r="332" spans="1:38" x14ac:dyDescent="0.25">
      <c r="A332" s="8" t="s">
        <v>4840</v>
      </c>
      <c r="B332" s="8" t="s">
        <v>4841</v>
      </c>
      <c r="C332" s="8">
        <v>30919754</v>
      </c>
      <c r="D332" s="8">
        <v>5</v>
      </c>
      <c r="E332" s="11">
        <v>43112</v>
      </c>
      <c r="F332" s="8" t="s">
        <v>58</v>
      </c>
      <c r="G332" s="11">
        <v>43112</v>
      </c>
      <c r="H332" s="8" t="s">
        <v>25</v>
      </c>
      <c r="I332" s="11">
        <v>43112</v>
      </c>
      <c r="J332" s="8" t="s">
        <v>25</v>
      </c>
      <c r="N332" s="8" t="s">
        <v>58</v>
      </c>
      <c r="O332" s="8" t="s">
        <v>59</v>
      </c>
      <c r="P332" s="8" t="s">
        <v>59</v>
      </c>
      <c r="R332" s="8">
        <v>0</v>
      </c>
      <c r="S332" s="8">
        <v>0</v>
      </c>
      <c r="T332" s="8">
        <v>1</v>
      </c>
      <c r="U332" s="8">
        <v>2</v>
      </c>
      <c r="X332" s="8">
        <v>5</v>
      </c>
      <c r="AG332" s="8" t="str">
        <f t="shared" si="21"/>
        <v/>
      </c>
      <c r="AI332" s="8" t="str">
        <f t="shared" si="22"/>
        <v/>
      </c>
      <c r="AJ332" s="8" t="str">
        <f t="shared" si="23"/>
        <v/>
      </c>
      <c r="AL332" s="8" t="str">
        <f t="shared" si="24"/>
        <v/>
      </c>
    </row>
    <row r="333" spans="1:38" x14ac:dyDescent="0.25">
      <c r="A333" s="8" t="s">
        <v>6695</v>
      </c>
      <c r="B333" s="8" t="s">
        <v>6696</v>
      </c>
      <c r="C333" s="8">
        <v>30931657</v>
      </c>
      <c r="D333" s="8">
        <v>5</v>
      </c>
      <c r="E333" s="11">
        <v>43115</v>
      </c>
      <c r="F333" s="8" t="s">
        <v>57</v>
      </c>
      <c r="G333" s="11">
        <v>43115</v>
      </c>
      <c r="H333" s="8" t="s">
        <v>25</v>
      </c>
      <c r="J333" s="8" t="s">
        <v>25</v>
      </c>
      <c r="N333" s="8" t="s">
        <v>58</v>
      </c>
      <c r="O333" s="8" t="s">
        <v>59</v>
      </c>
      <c r="P333" s="8" t="s">
        <v>59</v>
      </c>
      <c r="R333" s="8">
        <v>0</v>
      </c>
      <c r="S333" s="8">
        <v>0</v>
      </c>
      <c r="T333" s="8">
        <v>1</v>
      </c>
      <c r="U333" s="8">
        <v>2</v>
      </c>
      <c r="AG333" s="8" t="str">
        <f t="shared" si="21"/>
        <v/>
      </c>
      <c r="AI333" s="8" t="str">
        <f t="shared" si="22"/>
        <v/>
      </c>
      <c r="AJ333" s="8" t="str">
        <f t="shared" si="23"/>
        <v/>
      </c>
      <c r="AL333" s="8" t="str">
        <f t="shared" si="24"/>
        <v/>
      </c>
    </row>
    <row r="334" spans="1:38" x14ac:dyDescent="0.25">
      <c r="A334" s="8" t="s">
        <v>857</v>
      </c>
      <c r="B334" s="8" t="s">
        <v>858</v>
      </c>
      <c r="C334" s="8">
        <v>30850575</v>
      </c>
      <c r="D334" s="8">
        <v>5</v>
      </c>
      <c r="E334" s="11">
        <v>43109</v>
      </c>
      <c r="F334" s="8" t="s">
        <v>57</v>
      </c>
      <c r="G334" s="11">
        <v>43109</v>
      </c>
      <c r="H334" s="8" t="s">
        <v>25</v>
      </c>
      <c r="J334" s="8" t="s">
        <v>25</v>
      </c>
      <c r="N334" s="8" t="s">
        <v>58</v>
      </c>
      <c r="O334" s="8" t="s">
        <v>59</v>
      </c>
      <c r="P334" s="8" t="s">
        <v>59</v>
      </c>
      <c r="R334" s="8">
        <v>0</v>
      </c>
      <c r="S334" s="8">
        <v>0</v>
      </c>
      <c r="T334" s="8">
        <v>1</v>
      </c>
      <c r="U334" s="8">
        <v>2</v>
      </c>
      <c r="AG334" s="8" t="str">
        <f t="shared" si="21"/>
        <v/>
      </c>
      <c r="AI334" s="8" t="str">
        <f t="shared" si="22"/>
        <v/>
      </c>
      <c r="AJ334" s="8" t="str">
        <f t="shared" si="23"/>
        <v/>
      </c>
      <c r="AL334" s="8" t="str">
        <f t="shared" si="24"/>
        <v/>
      </c>
    </row>
    <row r="335" spans="1:38" x14ac:dyDescent="0.25">
      <c r="A335" s="8" t="s">
        <v>3356</v>
      </c>
      <c r="B335" s="8" t="s">
        <v>3357</v>
      </c>
      <c r="C335" s="8">
        <v>30843379</v>
      </c>
      <c r="D335" s="8">
        <v>4</v>
      </c>
      <c r="E335" s="11">
        <v>43109</v>
      </c>
      <c r="F335" s="8" t="s">
        <v>58</v>
      </c>
      <c r="G335" s="11">
        <v>43111</v>
      </c>
      <c r="H335" s="8" t="s">
        <v>25</v>
      </c>
      <c r="I335" s="11">
        <v>43111</v>
      </c>
      <c r="J335" s="8" t="s">
        <v>25</v>
      </c>
      <c r="N335" s="8" t="s">
        <v>58</v>
      </c>
      <c r="O335" s="8" t="s">
        <v>59</v>
      </c>
      <c r="P335" s="8" t="s">
        <v>59</v>
      </c>
      <c r="R335" s="8">
        <v>0</v>
      </c>
      <c r="S335" s="8">
        <v>0</v>
      </c>
      <c r="T335" s="8">
        <v>1</v>
      </c>
      <c r="U335" s="8">
        <v>2</v>
      </c>
      <c r="X335" s="8">
        <v>5</v>
      </c>
      <c r="AG335" s="8" t="str">
        <f t="shared" si="21"/>
        <v/>
      </c>
      <c r="AI335" s="8" t="str">
        <f t="shared" si="22"/>
        <v/>
      </c>
      <c r="AJ335" s="8" t="str">
        <f t="shared" si="23"/>
        <v/>
      </c>
      <c r="AL335" s="8" t="str">
        <f t="shared" si="24"/>
        <v/>
      </c>
    </row>
    <row r="336" spans="1:38" x14ac:dyDescent="0.25">
      <c r="A336" s="8" t="s">
        <v>4842</v>
      </c>
      <c r="B336" s="8" t="s">
        <v>4843</v>
      </c>
      <c r="C336" s="8">
        <v>30818381</v>
      </c>
      <c r="D336" s="8">
        <v>5</v>
      </c>
      <c r="E336" s="11">
        <v>43108</v>
      </c>
      <c r="F336" s="8" t="s">
        <v>60</v>
      </c>
      <c r="G336" s="11">
        <v>43112</v>
      </c>
      <c r="H336" s="8" t="s">
        <v>145</v>
      </c>
      <c r="J336" s="8" t="s">
        <v>25</v>
      </c>
      <c r="L336" s="8" t="s">
        <v>6525</v>
      </c>
      <c r="N336" s="8" t="s">
        <v>58</v>
      </c>
      <c r="O336" s="8" t="s">
        <v>59</v>
      </c>
      <c r="P336" s="8" t="s">
        <v>59</v>
      </c>
      <c r="R336" s="8">
        <v>0</v>
      </c>
      <c r="S336" s="8">
        <v>0</v>
      </c>
      <c r="T336" s="8">
        <v>1</v>
      </c>
      <c r="U336" s="8">
        <v>2</v>
      </c>
      <c r="W336" s="8">
        <v>4</v>
      </c>
      <c r="AG336" s="8" t="str">
        <f t="shared" si="21"/>
        <v/>
      </c>
      <c r="AI336" s="8" t="str">
        <f t="shared" si="22"/>
        <v/>
      </c>
      <c r="AJ336" s="8" t="str">
        <f t="shared" si="23"/>
        <v/>
      </c>
      <c r="AL336" s="8" t="str">
        <f t="shared" si="24"/>
        <v/>
      </c>
    </row>
    <row r="337" spans="1:38" x14ac:dyDescent="0.25">
      <c r="A337" s="8" t="s">
        <v>859</v>
      </c>
      <c r="B337" s="8" t="s">
        <v>860</v>
      </c>
      <c r="C337" s="8">
        <v>30817776</v>
      </c>
      <c r="D337" s="8">
        <v>5</v>
      </c>
      <c r="E337" s="11">
        <v>43108</v>
      </c>
      <c r="F337" s="8" t="s">
        <v>57</v>
      </c>
      <c r="G337" s="11">
        <v>43109</v>
      </c>
      <c r="H337" s="8" t="s">
        <v>25</v>
      </c>
      <c r="J337" s="8" t="s">
        <v>25</v>
      </c>
      <c r="N337" s="8" t="s">
        <v>58</v>
      </c>
      <c r="O337" s="8" t="s">
        <v>59</v>
      </c>
      <c r="P337" s="8" t="s">
        <v>59</v>
      </c>
      <c r="R337" s="8">
        <v>0</v>
      </c>
      <c r="S337" s="8">
        <v>0</v>
      </c>
      <c r="T337" s="8">
        <v>1</v>
      </c>
      <c r="U337" s="8">
        <v>2</v>
      </c>
      <c r="AG337" s="8" t="str">
        <f t="shared" si="21"/>
        <v/>
      </c>
      <c r="AI337" s="8" t="str">
        <f t="shared" si="22"/>
        <v/>
      </c>
      <c r="AJ337" s="8" t="str">
        <f t="shared" si="23"/>
        <v/>
      </c>
      <c r="AL337" s="8" t="str">
        <f t="shared" si="24"/>
        <v/>
      </c>
    </row>
    <row r="338" spans="1:38" x14ac:dyDescent="0.25">
      <c r="A338" s="8" t="s">
        <v>1747</v>
      </c>
      <c r="B338" s="8" t="s">
        <v>1748</v>
      </c>
      <c r="C338" s="8">
        <v>30823108</v>
      </c>
      <c r="D338" s="8">
        <v>5</v>
      </c>
      <c r="E338" s="11">
        <v>43108</v>
      </c>
      <c r="F338" s="8" t="s">
        <v>57</v>
      </c>
      <c r="G338" s="11">
        <v>43110</v>
      </c>
      <c r="H338" s="8" t="s">
        <v>25</v>
      </c>
      <c r="J338" s="8" t="s">
        <v>25</v>
      </c>
      <c r="N338" s="8" t="s">
        <v>58</v>
      </c>
      <c r="O338" s="8" t="s">
        <v>59</v>
      </c>
      <c r="P338" s="8" t="s">
        <v>59</v>
      </c>
      <c r="R338" s="8">
        <v>0</v>
      </c>
      <c r="S338" s="8">
        <v>0</v>
      </c>
      <c r="T338" s="8">
        <v>1</v>
      </c>
      <c r="U338" s="8">
        <v>2</v>
      </c>
      <c r="AG338" s="8" t="str">
        <f t="shared" si="21"/>
        <v/>
      </c>
      <c r="AI338" s="8" t="str">
        <f t="shared" si="22"/>
        <v/>
      </c>
      <c r="AJ338" s="8" t="str">
        <f t="shared" si="23"/>
        <v/>
      </c>
      <c r="AL338" s="8" t="str">
        <f t="shared" si="24"/>
        <v/>
      </c>
    </row>
    <row r="339" spans="1:38" x14ac:dyDescent="0.25">
      <c r="A339" s="8" t="s">
        <v>6697</v>
      </c>
      <c r="B339" s="8" t="s">
        <v>6698</v>
      </c>
      <c r="C339" s="8">
        <v>30862236</v>
      </c>
      <c r="D339" s="8">
        <v>5</v>
      </c>
      <c r="E339" s="11">
        <v>43110</v>
      </c>
      <c r="F339" s="8" t="s">
        <v>57</v>
      </c>
      <c r="G339" s="11">
        <v>43115</v>
      </c>
      <c r="H339" s="8" t="s">
        <v>145</v>
      </c>
      <c r="J339" s="8" t="s">
        <v>25</v>
      </c>
      <c r="N339" s="8" t="s">
        <v>58</v>
      </c>
      <c r="O339" s="8" t="s">
        <v>59</v>
      </c>
      <c r="P339" s="8" t="s">
        <v>59</v>
      </c>
      <c r="R339" s="8">
        <v>0</v>
      </c>
      <c r="S339" s="8">
        <v>0</v>
      </c>
      <c r="T339" s="8">
        <v>1</v>
      </c>
      <c r="U339" s="8">
        <v>2</v>
      </c>
      <c r="AG339" s="8" t="str">
        <f t="shared" si="21"/>
        <v/>
      </c>
      <c r="AI339" s="8" t="str">
        <f t="shared" si="22"/>
        <v/>
      </c>
      <c r="AJ339" s="8" t="str">
        <f t="shared" si="23"/>
        <v/>
      </c>
      <c r="AL339" s="8" t="str">
        <f t="shared" si="24"/>
        <v/>
      </c>
    </row>
    <row r="340" spans="1:38" x14ac:dyDescent="0.25">
      <c r="A340" s="8" t="s">
        <v>1749</v>
      </c>
      <c r="B340" s="8" t="s">
        <v>1750</v>
      </c>
      <c r="C340" s="8">
        <v>30864861</v>
      </c>
      <c r="D340" s="8">
        <v>5</v>
      </c>
      <c r="E340" s="11">
        <v>43110</v>
      </c>
      <c r="F340" s="8" t="s">
        <v>58</v>
      </c>
      <c r="G340" s="11">
        <v>43110</v>
      </c>
      <c r="H340" s="8" t="s">
        <v>25</v>
      </c>
      <c r="I340" s="11">
        <v>43115</v>
      </c>
      <c r="J340" s="8" t="s">
        <v>145</v>
      </c>
      <c r="N340" s="8" t="s">
        <v>58</v>
      </c>
      <c r="O340" s="8" t="s">
        <v>59</v>
      </c>
      <c r="P340" s="8" t="s">
        <v>59</v>
      </c>
      <c r="R340" s="8">
        <v>0</v>
      </c>
      <c r="S340" s="8">
        <v>0</v>
      </c>
      <c r="T340" s="8">
        <v>1</v>
      </c>
      <c r="U340" s="8">
        <v>2</v>
      </c>
      <c r="X340" s="8">
        <v>5</v>
      </c>
      <c r="AG340" s="8" t="str">
        <f t="shared" si="21"/>
        <v/>
      </c>
      <c r="AI340" s="8" t="str">
        <f t="shared" si="22"/>
        <v/>
      </c>
      <c r="AJ340" s="8" t="str">
        <f t="shared" si="23"/>
        <v/>
      </c>
      <c r="AL340" s="8" t="str">
        <f t="shared" si="24"/>
        <v/>
      </c>
    </row>
    <row r="341" spans="1:38" x14ac:dyDescent="0.25">
      <c r="A341" s="8" t="s">
        <v>4844</v>
      </c>
      <c r="B341" s="8" t="s">
        <v>4845</v>
      </c>
      <c r="C341" s="8">
        <v>30915186</v>
      </c>
      <c r="D341" s="8">
        <v>5</v>
      </c>
      <c r="E341" s="11">
        <v>43112</v>
      </c>
      <c r="F341" s="8" t="s">
        <v>57</v>
      </c>
      <c r="G341" s="11">
        <v>43112</v>
      </c>
      <c r="H341" s="8" t="s">
        <v>25</v>
      </c>
      <c r="J341" s="8" t="s">
        <v>25</v>
      </c>
      <c r="N341" s="8" t="s">
        <v>58</v>
      </c>
      <c r="O341" s="8" t="s">
        <v>59</v>
      </c>
      <c r="P341" s="8" t="s">
        <v>59</v>
      </c>
      <c r="R341" s="8">
        <v>0</v>
      </c>
      <c r="S341" s="8">
        <v>0</v>
      </c>
      <c r="T341" s="8">
        <v>1</v>
      </c>
      <c r="U341" s="8">
        <v>2</v>
      </c>
      <c r="AG341" s="8" t="str">
        <f t="shared" si="21"/>
        <v/>
      </c>
      <c r="AI341" s="8" t="str">
        <f t="shared" si="22"/>
        <v/>
      </c>
      <c r="AJ341" s="8" t="str">
        <f t="shared" si="23"/>
        <v/>
      </c>
      <c r="AL341" s="8" t="str">
        <f t="shared" si="24"/>
        <v/>
      </c>
    </row>
    <row r="342" spans="1:38" x14ac:dyDescent="0.25">
      <c r="A342" s="8" t="s">
        <v>1751</v>
      </c>
      <c r="B342" s="8" t="s">
        <v>1752</v>
      </c>
      <c r="C342" s="8">
        <v>30867477</v>
      </c>
      <c r="D342" s="8">
        <v>5</v>
      </c>
      <c r="E342" s="11">
        <v>43110</v>
      </c>
      <c r="F342" s="8" t="s">
        <v>58</v>
      </c>
      <c r="G342" s="11">
        <v>43110</v>
      </c>
      <c r="H342" s="8" t="s">
        <v>25</v>
      </c>
      <c r="I342" s="11">
        <v>43110</v>
      </c>
      <c r="J342" s="8" t="s">
        <v>25</v>
      </c>
      <c r="N342" s="8" t="s">
        <v>58</v>
      </c>
      <c r="O342" s="8" t="s">
        <v>59</v>
      </c>
      <c r="P342" s="8" t="s">
        <v>59</v>
      </c>
      <c r="R342" s="8">
        <v>0</v>
      </c>
      <c r="S342" s="8">
        <v>0</v>
      </c>
      <c r="T342" s="8">
        <v>1</v>
      </c>
      <c r="U342" s="8">
        <v>2</v>
      </c>
      <c r="X342" s="8">
        <v>5</v>
      </c>
      <c r="AG342" s="8" t="str">
        <f t="shared" si="21"/>
        <v/>
      </c>
      <c r="AI342" s="8" t="str">
        <f t="shared" si="22"/>
        <v/>
      </c>
      <c r="AJ342" s="8" t="str">
        <f t="shared" si="23"/>
        <v/>
      </c>
      <c r="AL342" s="8" t="str">
        <f t="shared" si="24"/>
        <v/>
      </c>
    </row>
    <row r="343" spans="1:38" x14ac:dyDescent="0.25">
      <c r="A343" s="8" t="s">
        <v>6699</v>
      </c>
      <c r="B343" s="8" t="s">
        <v>6700</v>
      </c>
      <c r="C343" s="8">
        <v>30858626</v>
      </c>
      <c r="D343" s="8">
        <v>5</v>
      </c>
      <c r="E343" s="11">
        <v>43110</v>
      </c>
      <c r="F343" s="8" t="s">
        <v>58</v>
      </c>
      <c r="G343" s="11">
        <v>43115</v>
      </c>
      <c r="H343" s="8" t="s">
        <v>145</v>
      </c>
      <c r="I343" s="11">
        <v>43115</v>
      </c>
      <c r="J343" s="8" t="s">
        <v>25</v>
      </c>
      <c r="N343" s="8" t="s">
        <v>58</v>
      </c>
      <c r="O343" s="8" t="s">
        <v>59</v>
      </c>
      <c r="P343" s="8" t="s">
        <v>59</v>
      </c>
      <c r="R343" s="8">
        <v>0</v>
      </c>
      <c r="S343" s="8">
        <v>0</v>
      </c>
      <c r="T343" s="8">
        <v>1</v>
      </c>
      <c r="U343" s="8">
        <v>2</v>
      </c>
      <c r="X343" s="8">
        <v>5</v>
      </c>
      <c r="AG343" s="8" t="str">
        <f t="shared" si="21"/>
        <v/>
      </c>
      <c r="AI343" s="8" t="str">
        <f t="shared" si="22"/>
        <v/>
      </c>
      <c r="AJ343" s="8" t="str">
        <f t="shared" si="23"/>
        <v/>
      </c>
      <c r="AL343" s="8" t="str">
        <f t="shared" si="24"/>
        <v/>
      </c>
    </row>
    <row r="344" spans="1:38" x14ac:dyDescent="0.25">
      <c r="A344" s="8" t="s">
        <v>204</v>
      </c>
      <c r="B344" s="8" t="s">
        <v>205</v>
      </c>
      <c r="C344" s="8">
        <v>30821616</v>
      </c>
      <c r="D344" s="8">
        <v>5</v>
      </c>
      <c r="E344" s="11">
        <v>43108</v>
      </c>
      <c r="F344" s="8" t="s">
        <v>58</v>
      </c>
      <c r="G344" s="11">
        <v>43108</v>
      </c>
      <c r="H344" s="8" t="s">
        <v>25</v>
      </c>
      <c r="I344" s="11">
        <v>43111</v>
      </c>
      <c r="J344" s="8" t="s">
        <v>25</v>
      </c>
      <c r="N344" s="8" t="s">
        <v>58</v>
      </c>
      <c r="O344" s="8" t="s">
        <v>59</v>
      </c>
      <c r="P344" s="8" t="s">
        <v>59</v>
      </c>
      <c r="R344" s="8">
        <v>0</v>
      </c>
      <c r="S344" s="8">
        <v>0</v>
      </c>
      <c r="T344" s="8">
        <v>1</v>
      </c>
      <c r="U344" s="8">
        <v>2</v>
      </c>
      <c r="X344" s="8">
        <v>5</v>
      </c>
      <c r="AG344" s="8" t="str">
        <f t="shared" si="21"/>
        <v/>
      </c>
      <c r="AI344" s="8" t="str">
        <f t="shared" si="22"/>
        <v/>
      </c>
      <c r="AJ344" s="8" t="str">
        <f t="shared" si="23"/>
        <v/>
      </c>
      <c r="AL344" s="8" t="str">
        <f t="shared" si="24"/>
        <v/>
      </c>
    </row>
    <row r="345" spans="1:38" x14ac:dyDescent="0.25">
      <c r="A345" s="8" t="s">
        <v>3358</v>
      </c>
      <c r="B345" s="8" t="s">
        <v>3359</v>
      </c>
      <c r="C345" s="8">
        <v>30865194</v>
      </c>
      <c r="D345" s="8">
        <v>5</v>
      </c>
      <c r="E345" s="11">
        <v>43110</v>
      </c>
      <c r="F345" s="8" t="s">
        <v>58</v>
      </c>
      <c r="G345" s="11">
        <v>43111</v>
      </c>
      <c r="H345" s="8" t="s">
        <v>25</v>
      </c>
      <c r="I345" s="11">
        <v>43111</v>
      </c>
      <c r="J345" s="8" t="s">
        <v>25</v>
      </c>
      <c r="N345" s="8" t="s">
        <v>58</v>
      </c>
      <c r="O345" s="8" t="s">
        <v>59</v>
      </c>
      <c r="P345" s="8" t="s">
        <v>59</v>
      </c>
      <c r="R345" s="8">
        <v>0</v>
      </c>
      <c r="S345" s="8">
        <v>0</v>
      </c>
      <c r="T345" s="8">
        <v>1</v>
      </c>
      <c r="U345" s="8">
        <v>2</v>
      </c>
      <c r="X345" s="8">
        <v>5</v>
      </c>
      <c r="AG345" s="8" t="str">
        <f t="shared" si="21"/>
        <v/>
      </c>
      <c r="AI345" s="8" t="str">
        <f t="shared" si="22"/>
        <v/>
      </c>
      <c r="AJ345" s="8" t="str">
        <f t="shared" si="23"/>
        <v/>
      </c>
      <c r="AL345" s="8" t="str">
        <f t="shared" si="24"/>
        <v/>
      </c>
    </row>
    <row r="346" spans="1:38" x14ac:dyDescent="0.25">
      <c r="A346" s="8" t="s">
        <v>6701</v>
      </c>
      <c r="B346" s="8" t="s">
        <v>6702</v>
      </c>
      <c r="C346" s="8">
        <v>30910928</v>
      </c>
      <c r="D346" s="8">
        <v>5</v>
      </c>
      <c r="E346" s="11">
        <v>43112</v>
      </c>
      <c r="F346" s="8" t="s">
        <v>57</v>
      </c>
      <c r="G346" s="11">
        <v>43115</v>
      </c>
      <c r="H346" s="8" t="s">
        <v>25</v>
      </c>
      <c r="J346" s="8" t="s">
        <v>25</v>
      </c>
      <c r="N346" s="8" t="s">
        <v>58</v>
      </c>
      <c r="O346" s="8" t="s">
        <v>59</v>
      </c>
      <c r="P346" s="8" t="s">
        <v>59</v>
      </c>
      <c r="R346" s="8">
        <v>0</v>
      </c>
      <c r="S346" s="8">
        <v>0</v>
      </c>
      <c r="T346" s="8">
        <v>1</v>
      </c>
      <c r="U346" s="8">
        <v>2</v>
      </c>
      <c r="AG346" s="8" t="str">
        <f t="shared" si="21"/>
        <v/>
      </c>
      <c r="AI346" s="8" t="str">
        <f t="shared" si="22"/>
        <v/>
      </c>
      <c r="AJ346" s="8" t="str">
        <f t="shared" si="23"/>
        <v/>
      </c>
      <c r="AL346" s="8" t="str">
        <f t="shared" si="24"/>
        <v/>
      </c>
    </row>
    <row r="347" spans="1:38" x14ac:dyDescent="0.25">
      <c r="A347" s="8" t="s">
        <v>6703</v>
      </c>
      <c r="B347" s="8" t="s">
        <v>6704</v>
      </c>
      <c r="C347" s="8">
        <v>30938917</v>
      </c>
      <c r="D347" s="8">
        <v>5</v>
      </c>
      <c r="E347" s="11">
        <v>43115</v>
      </c>
      <c r="F347" s="8" t="s">
        <v>58</v>
      </c>
      <c r="G347" s="11">
        <v>43115</v>
      </c>
      <c r="H347" s="8" t="s">
        <v>25</v>
      </c>
      <c r="I347" s="11">
        <v>43115</v>
      </c>
      <c r="J347" s="8" t="s">
        <v>25</v>
      </c>
      <c r="N347" s="8" t="s">
        <v>58</v>
      </c>
      <c r="O347" s="8" t="s">
        <v>59</v>
      </c>
      <c r="P347" s="8" t="s">
        <v>59</v>
      </c>
      <c r="R347" s="8">
        <v>0</v>
      </c>
      <c r="S347" s="8">
        <v>0</v>
      </c>
      <c r="T347" s="8">
        <v>1</v>
      </c>
      <c r="U347" s="8">
        <v>2</v>
      </c>
      <c r="X347" s="8">
        <v>5</v>
      </c>
      <c r="AG347" s="8" t="str">
        <f t="shared" si="21"/>
        <v/>
      </c>
      <c r="AI347" s="8" t="str">
        <f t="shared" si="22"/>
        <v/>
      </c>
      <c r="AJ347" s="8" t="str">
        <f t="shared" si="23"/>
        <v/>
      </c>
      <c r="AL347" s="8" t="str">
        <f t="shared" si="24"/>
        <v/>
      </c>
    </row>
    <row r="348" spans="1:38" x14ac:dyDescent="0.25">
      <c r="A348" s="8" t="s">
        <v>6705</v>
      </c>
      <c r="B348" s="8" t="s">
        <v>6706</v>
      </c>
      <c r="C348" s="8">
        <v>30839533</v>
      </c>
      <c r="D348" s="8">
        <v>5</v>
      </c>
      <c r="E348" s="11">
        <v>43109</v>
      </c>
      <c r="F348" s="8" t="s">
        <v>57</v>
      </c>
      <c r="G348" s="11">
        <v>43115</v>
      </c>
      <c r="H348" s="8" t="s">
        <v>145</v>
      </c>
      <c r="J348" s="8" t="s">
        <v>25</v>
      </c>
      <c r="N348" s="8" t="s">
        <v>58</v>
      </c>
      <c r="O348" s="8" t="s">
        <v>59</v>
      </c>
      <c r="P348" s="8" t="s">
        <v>59</v>
      </c>
      <c r="R348" s="8">
        <v>0</v>
      </c>
      <c r="S348" s="8">
        <v>0</v>
      </c>
      <c r="T348" s="8">
        <v>1</v>
      </c>
      <c r="U348" s="8">
        <v>2</v>
      </c>
      <c r="AG348" s="8" t="str">
        <f t="shared" si="21"/>
        <v/>
      </c>
      <c r="AI348" s="8" t="str">
        <f t="shared" si="22"/>
        <v/>
      </c>
      <c r="AJ348" s="8" t="str">
        <f t="shared" si="23"/>
        <v/>
      </c>
      <c r="AL348" s="8" t="str">
        <f t="shared" si="24"/>
        <v/>
      </c>
    </row>
    <row r="349" spans="1:38" x14ac:dyDescent="0.25">
      <c r="A349" s="8" t="s">
        <v>4846</v>
      </c>
      <c r="B349" s="8" t="s">
        <v>4847</v>
      </c>
      <c r="C349" s="8">
        <v>30822751</v>
      </c>
      <c r="D349" s="8">
        <v>5</v>
      </c>
      <c r="E349" s="11">
        <v>43108</v>
      </c>
      <c r="F349" s="8" t="s">
        <v>57</v>
      </c>
      <c r="G349" s="11">
        <v>43112</v>
      </c>
      <c r="H349" s="8" t="s">
        <v>145</v>
      </c>
      <c r="J349" s="8" t="s">
        <v>25</v>
      </c>
      <c r="N349" s="8" t="s">
        <v>58</v>
      </c>
      <c r="O349" s="8" t="s">
        <v>59</v>
      </c>
      <c r="P349" s="8" t="s">
        <v>59</v>
      </c>
      <c r="R349" s="8">
        <v>0</v>
      </c>
      <c r="S349" s="8">
        <v>0</v>
      </c>
      <c r="T349" s="8">
        <v>1</v>
      </c>
      <c r="U349" s="8">
        <v>2</v>
      </c>
      <c r="AG349" s="8" t="str">
        <f t="shared" si="21"/>
        <v/>
      </c>
      <c r="AI349" s="8" t="str">
        <f t="shared" si="22"/>
        <v/>
      </c>
      <c r="AJ349" s="8" t="str">
        <f t="shared" si="23"/>
        <v/>
      </c>
      <c r="AL349" s="8" t="str">
        <f t="shared" si="24"/>
        <v/>
      </c>
    </row>
    <row r="350" spans="1:38" x14ac:dyDescent="0.25">
      <c r="A350" s="8" t="s">
        <v>6707</v>
      </c>
      <c r="B350" s="8" t="s">
        <v>6708</v>
      </c>
      <c r="C350" s="8">
        <v>30898022</v>
      </c>
      <c r="D350" s="8">
        <v>5</v>
      </c>
      <c r="E350" s="11">
        <v>43111</v>
      </c>
      <c r="F350" s="8" t="s">
        <v>57</v>
      </c>
      <c r="G350" s="11">
        <v>43115</v>
      </c>
      <c r="H350" s="8" t="s">
        <v>25</v>
      </c>
      <c r="J350" s="8" t="s">
        <v>25</v>
      </c>
      <c r="N350" s="8" t="s">
        <v>58</v>
      </c>
      <c r="O350" s="8" t="s">
        <v>59</v>
      </c>
      <c r="P350" s="8" t="s">
        <v>59</v>
      </c>
      <c r="R350" s="8">
        <v>0</v>
      </c>
      <c r="S350" s="8">
        <v>0</v>
      </c>
      <c r="T350" s="8">
        <v>1</v>
      </c>
      <c r="U350" s="8">
        <v>2</v>
      </c>
      <c r="AG350" s="8" t="str">
        <f t="shared" si="21"/>
        <v/>
      </c>
      <c r="AI350" s="8" t="str">
        <f t="shared" si="22"/>
        <v/>
      </c>
      <c r="AJ350" s="8" t="str">
        <f t="shared" si="23"/>
        <v/>
      </c>
      <c r="AL350" s="8" t="str">
        <f t="shared" si="24"/>
        <v/>
      </c>
    </row>
    <row r="351" spans="1:38" x14ac:dyDescent="0.25">
      <c r="A351" s="8" t="s">
        <v>6709</v>
      </c>
      <c r="B351" s="8" t="s">
        <v>6710</v>
      </c>
      <c r="C351" s="8">
        <v>30933491</v>
      </c>
      <c r="D351" s="8">
        <v>5</v>
      </c>
      <c r="E351" s="11">
        <v>43115</v>
      </c>
      <c r="F351" s="8" t="s">
        <v>58</v>
      </c>
      <c r="G351" s="11">
        <v>43115</v>
      </c>
      <c r="H351" s="8" t="s">
        <v>25</v>
      </c>
      <c r="I351" s="11">
        <v>43115</v>
      </c>
      <c r="J351" s="8" t="s">
        <v>25</v>
      </c>
      <c r="N351" s="8" t="s">
        <v>58</v>
      </c>
      <c r="O351" s="8" t="s">
        <v>59</v>
      </c>
      <c r="P351" s="8" t="s">
        <v>59</v>
      </c>
      <c r="R351" s="8">
        <v>0</v>
      </c>
      <c r="S351" s="8">
        <v>0</v>
      </c>
      <c r="T351" s="8">
        <v>1</v>
      </c>
      <c r="U351" s="8">
        <v>2</v>
      </c>
      <c r="X351" s="8">
        <v>5</v>
      </c>
      <c r="AG351" s="8" t="str">
        <f t="shared" si="21"/>
        <v/>
      </c>
      <c r="AI351" s="8" t="str">
        <f t="shared" si="22"/>
        <v/>
      </c>
      <c r="AJ351" s="8" t="str">
        <f t="shared" si="23"/>
        <v/>
      </c>
      <c r="AL351" s="8" t="str">
        <f t="shared" si="24"/>
        <v/>
      </c>
    </row>
    <row r="352" spans="1:38" x14ac:dyDescent="0.25">
      <c r="A352" s="8" t="s">
        <v>3360</v>
      </c>
      <c r="B352" s="8" t="s">
        <v>3361</v>
      </c>
      <c r="C352" s="8">
        <v>30891778</v>
      </c>
      <c r="D352" s="8">
        <v>5</v>
      </c>
      <c r="E352" s="11">
        <v>43111</v>
      </c>
      <c r="F352" s="8" t="s">
        <v>57</v>
      </c>
      <c r="G352" s="11">
        <v>43111</v>
      </c>
      <c r="H352" s="8" t="s">
        <v>25</v>
      </c>
      <c r="J352" s="8" t="s">
        <v>25</v>
      </c>
      <c r="N352" s="8" t="s">
        <v>58</v>
      </c>
      <c r="O352" s="8" t="s">
        <v>59</v>
      </c>
      <c r="P352" s="8" t="s">
        <v>59</v>
      </c>
      <c r="R352" s="8">
        <v>0</v>
      </c>
      <c r="S352" s="8">
        <v>0</v>
      </c>
      <c r="T352" s="8">
        <v>1</v>
      </c>
      <c r="U352" s="8">
        <v>2</v>
      </c>
      <c r="AG352" s="8" t="str">
        <f t="shared" si="21"/>
        <v/>
      </c>
      <c r="AI352" s="8" t="str">
        <f t="shared" si="22"/>
        <v/>
      </c>
      <c r="AJ352" s="8" t="str">
        <f t="shared" si="23"/>
        <v/>
      </c>
      <c r="AL352" s="8" t="str">
        <f t="shared" si="24"/>
        <v/>
      </c>
    </row>
    <row r="353" spans="1:38" x14ac:dyDescent="0.25">
      <c r="A353" s="8" t="s">
        <v>206</v>
      </c>
      <c r="B353" s="8" t="s">
        <v>207</v>
      </c>
      <c r="C353" s="8">
        <v>30811062</v>
      </c>
      <c r="D353" s="8">
        <v>5</v>
      </c>
      <c r="E353" s="11">
        <v>43108</v>
      </c>
      <c r="F353" s="8" t="s">
        <v>58</v>
      </c>
      <c r="G353" s="11">
        <v>43108</v>
      </c>
      <c r="H353" s="8" t="s">
        <v>25</v>
      </c>
      <c r="I353" s="11">
        <v>43108</v>
      </c>
      <c r="J353" s="8" t="s">
        <v>25</v>
      </c>
      <c r="N353" s="8" t="s">
        <v>58</v>
      </c>
      <c r="O353" s="8" t="s">
        <v>59</v>
      </c>
      <c r="P353" s="8" t="s">
        <v>59</v>
      </c>
      <c r="R353" s="8">
        <v>0</v>
      </c>
      <c r="S353" s="8">
        <v>0</v>
      </c>
      <c r="T353" s="8">
        <v>1</v>
      </c>
      <c r="U353" s="8">
        <v>2</v>
      </c>
      <c r="X353" s="8">
        <v>5</v>
      </c>
      <c r="AG353" s="8" t="str">
        <f t="shared" si="21"/>
        <v/>
      </c>
      <c r="AI353" s="8" t="str">
        <f t="shared" si="22"/>
        <v/>
      </c>
      <c r="AJ353" s="8" t="str">
        <f t="shared" si="23"/>
        <v/>
      </c>
      <c r="AL353" s="8" t="str">
        <f t="shared" si="24"/>
        <v/>
      </c>
    </row>
    <row r="354" spans="1:38" x14ac:dyDescent="0.25">
      <c r="A354" s="8" t="s">
        <v>3362</v>
      </c>
      <c r="B354" s="8" t="s">
        <v>3363</v>
      </c>
      <c r="C354" s="8">
        <v>30878619</v>
      </c>
      <c r="D354" s="8">
        <v>5</v>
      </c>
      <c r="E354" s="11">
        <v>43110</v>
      </c>
      <c r="F354" s="8" t="s">
        <v>60</v>
      </c>
      <c r="G354" s="11">
        <v>43111</v>
      </c>
      <c r="H354" s="8" t="s">
        <v>25</v>
      </c>
      <c r="J354" s="8" t="s">
        <v>25</v>
      </c>
      <c r="L354" s="8" t="s">
        <v>4797</v>
      </c>
      <c r="N354" s="8" t="s">
        <v>58</v>
      </c>
      <c r="O354" s="8" t="s">
        <v>59</v>
      </c>
      <c r="P354" s="8" t="s">
        <v>59</v>
      </c>
      <c r="R354" s="8">
        <v>0</v>
      </c>
      <c r="S354" s="8">
        <v>0</v>
      </c>
      <c r="T354" s="8">
        <v>1</v>
      </c>
      <c r="U354" s="8">
        <v>2</v>
      </c>
      <c r="W354" s="8">
        <v>4</v>
      </c>
      <c r="AG354" s="8" t="str">
        <f t="shared" si="21"/>
        <v/>
      </c>
      <c r="AI354" s="8" t="str">
        <f t="shared" si="22"/>
        <v/>
      </c>
      <c r="AJ354" s="8" t="str">
        <f t="shared" si="23"/>
        <v/>
      </c>
      <c r="AL354" s="8" t="str">
        <f t="shared" si="24"/>
        <v/>
      </c>
    </row>
    <row r="355" spans="1:38" x14ac:dyDescent="0.25">
      <c r="A355" s="8" t="s">
        <v>6711</v>
      </c>
      <c r="B355" s="8" t="s">
        <v>6712</v>
      </c>
      <c r="C355" s="8">
        <v>30914981</v>
      </c>
      <c r="D355" s="8">
        <v>5</v>
      </c>
      <c r="E355" s="11">
        <v>43112</v>
      </c>
      <c r="F355" s="8" t="s">
        <v>57</v>
      </c>
      <c r="G355" s="11">
        <v>43115</v>
      </c>
      <c r="H355" s="8" t="s">
        <v>25</v>
      </c>
      <c r="J355" s="8" t="s">
        <v>25</v>
      </c>
      <c r="N355" s="8" t="s">
        <v>58</v>
      </c>
      <c r="O355" s="8" t="s">
        <v>59</v>
      </c>
      <c r="P355" s="8" t="s">
        <v>59</v>
      </c>
      <c r="R355" s="8">
        <v>0</v>
      </c>
      <c r="S355" s="8">
        <v>0</v>
      </c>
      <c r="T355" s="8">
        <v>1</v>
      </c>
      <c r="U355" s="8">
        <v>2</v>
      </c>
      <c r="AG355" s="8" t="str">
        <f t="shared" si="21"/>
        <v/>
      </c>
      <c r="AI355" s="8" t="str">
        <f t="shared" si="22"/>
        <v/>
      </c>
      <c r="AJ355" s="8" t="str">
        <f t="shared" si="23"/>
        <v/>
      </c>
      <c r="AL355" s="8" t="str">
        <f t="shared" si="24"/>
        <v/>
      </c>
    </row>
    <row r="356" spans="1:38" x14ac:dyDescent="0.25">
      <c r="A356" s="8" t="s">
        <v>6713</v>
      </c>
      <c r="B356" s="8" t="s">
        <v>6714</v>
      </c>
      <c r="C356" s="8">
        <v>30850608</v>
      </c>
      <c r="D356" s="8">
        <v>5</v>
      </c>
      <c r="E356" s="11">
        <v>43109</v>
      </c>
      <c r="F356" s="8" t="s">
        <v>57</v>
      </c>
      <c r="G356" s="11">
        <v>43115</v>
      </c>
      <c r="H356" s="8" t="s">
        <v>145</v>
      </c>
      <c r="J356" s="8" t="s">
        <v>25</v>
      </c>
      <c r="N356" s="8" t="s">
        <v>58</v>
      </c>
      <c r="O356" s="8" t="s">
        <v>59</v>
      </c>
      <c r="P356" s="8" t="s">
        <v>59</v>
      </c>
      <c r="R356" s="8">
        <v>0</v>
      </c>
      <c r="S356" s="8">
        <v>0</v>
      </c>
      <c r="T356" s="8">
        <v>1</v>
      </c>
      <c r="U356" s="8">
        <v>2</v>
      </c>
      <c r="AG356" s="8" t="str">
        <f t="shared" si="21"/>
        <v/>
      </c>
      <c r="AI356" s="8" t="str">
        <f t="shared" si="22"/>
        <v/>
      </c>
      <c r="AJ356" s="8" t="str">
        <f t="shared" si="23"/>
        <v/>
      </c>
      <c r="AL356" s="8" t="str">
        <f t="shared" si="24"/>
        <v/>
      </c>
    </row>
    <row r="357" spans="1:38" x14ac:dyDescent="0.25">
      <c r="A357" s="8" t="s">
        <v>3364</v>
      </c>
      <c r="B357" s="8" t="s">
        <v>3365</v>
      </c>
      <c r="C357" s="8">
        <v>30885449</v>
      </c>
      <c r="D357" s="8">
        <v>5</v>
      </c>
      <c r="E357" s="11">
        <v>43111</v>
      </c>
      <c r="F357" s="8" t="s">
        <v>58</v>
      </c>
      <c r="G357" s="11">
        <v>43111</v>
      </c>
      <c r="H357" s="8" t="s">
        <v>25</v>
      </c>
      <c r="I357" s="11">
        <v>43111</v>
      </c>
      <c r="J357" s="8" t="s">
        <v>25</v>
      </c>
      <c r="N357" s="8" t="s">
        <v>58</v>
      </c>
      <c r="O357" s="8" t="s">
        <v>59</v>
      </c>
      <c r="P357" s="8" t="s">
        <v>59</v>
      </c>
      <c r="R357" s="8">
        <v>0</v>
      </c>
      <c r="S357" s="8">
        <v>0</v>
      </c>
      <c r="T357" s="8">
        <v>1</v>
      </c>
      <c r="U357" s="8">
        <v>2</v>
      </c>
      <c r="X357" s="8">
        <v>5</v>
      </c>
      <c r="AG357" s="8" t="str">
        <f t="shared" si="21"/>
        <v/>
      </c>
      <c r="AI357" s="8" t="str">
        <f t="shared" si="22"/>
        <v/>
      </c>
      <c r="AJ357" s="8" t="str">
        <f t="shared" si="23"/>
        <v/>
      </c>
      <c r="AL357" s="8" t="str">
        <f t="shared" si="24"/>
        <v/>
      </c>
    </row>
    <row r="358" spans="1:38" x14ac:dyDescent="0.25">
      <c r="A358" s="8" t="s">
        <v>1753</v>
      </c>
      <c r="B358" s="8" t="s">
        <v>1754</v>
      </c>
      <c r="C358" s="8">
        <v>30864819</v>
      </c>
      <c r="D358" s="8">
        <v>5</v>
      </c>
      <c r="E358" s="11">
        <v>43110</v>
      </c>
      <c r="F358" s="8" t="s">
        <v>58</v>
      </c>
      <c r="G358" s="11">
        <v>43110</v>
      </c>
      <c r="H358" s="8" t="s">
        <v>25</v>
      </c>
      <c r="I358" s="11">
        <v>43110</v>
      </c>
      <c r="J358" s="8" t="s">
        <v>25</v>
      </c>
      <c r="N358" s="8" t="s">
        <v>58</v>
      </c>
      <c r="O358" s="8" t="s">
        <v>59</v>
      </c>
      <c r="P358" s="8" t="s">
        <v>59</v>
      </c>
      <c r="R358" s="8">
        <v>0</v>
      </c>
      <c r="S358" s="8">
        <v>0</v>
      </c>
      <c r="T358" s="8">
        <v>1</v>
      </c>
      <c r="U358" s="8">
        <v>2</v>
      </c>
      <c r="X358" s="8">
        <v>5</v>
      </c>
      <c r="AG358" s="8" t="str">
        <f t="shared" si="21"/>
        <v/>
      </c>
      <c r="AI358" s="8" t="str">
        <f t="shared" si="22"/>
        <v/>
      </c>
      <c r="AJ358" s="8" t="str">
        <f t="shared" si="23"/>
        <v/>
      </c>
      <c r="AL358" s="8" t="str">
        <f t="shared" si="24"/>
        <v/>
      </c>
    </row>
    <row r="359" spans="1:38" x14ac:dyDescent="0.25">
      <c r="A359" s="8" t="s">
        <v>208</v>
      </c>
      <c r="B359" s="8" t="s">
        <v>209</v>
      </c>
      <c r="C359" s="8">
        <v>30827774</v>
      </c>
      <c r="D359" s="8">
        <v>5</v>
      </c>
      <c r="E359" s="11">
        <v>43108</v>
      </c>
      <c r="F359" s="8" t="s">
        <v>58</v>
      </c>
      <c r="G359" s="11">
        <v>43108</v>
      </c>
      <c r="H359" s="8" t="s">
        <v>25</v>
      </c>
      <c r="I359" s="11">
        <v>43110</v>
      </c>
      <c r="J359" s="8" t="s">
        <v>25</v>
      </c>
      <c r="N359" s="8" t="s">
        <v>58</v>
      </c>
      <c r="O359" s="8" t="s">
        <v>59</v>
      </c>
      <c r="P359" s="8" t="s">
        <v>59</v>
      </c>
      <c r="R359" s="8">
        <v>0</v>
      </c>
      <c r="S359" s="8">
        <v>0</v>
      </c>
      <c r="T359" s="8">
        <v>1</v>
      </c>
      <c r="U359" s="8">
        <v>2</v>
      </c>
      <c r="X359" s="8">
        <v>5</v>
      </c>
      <c r="AG359" s="8" t="str">
        <f t="shared" si="21"/>
        <v/>
      </c>
      <c r="AI359" s="8" t="str">
        <f t="shared" si="22"/>
        <v/>
      </c>
      <c r="AJ359" s="8" t="str">
        <f t="shared" si="23"/>
        <v/>
      </c>
      <c r="AL359" s="8" t="str">
        <f t="shared" si="24"/>
        <v/>
      </c>
    </row>
    <row r="360" spans="1:38" x14ac:dyDescent="0.25">
      <c r="A360" s="8" t="s">
        <v>6715</v>
      </c>
      <c r="B360" s="8" t="s">
        <v>6716</v>
      </c>
      <c r="C360" s="8">
        <v>30852439</v>
      </c>
      <c r="D360" s="8">
        <v>5</v>
      </c>
      <c r="E360" s="11">
        <v>43109</v>
      </c>
      <c r="F360" s="8" t="s">
        <v>58</v>
      </c>
      <c r="G360" s="11">
        <v>43115</v>
      </c>
      <c r="H360" s="8" t="s">
        <v>145</v>
      </c>
      <c r="I360" s="11">
        <v>43115</v>
      </c>
      <c r="J360" s="8" t="s">
        <v>25</v>
      </c>
      <c r="N360" s="8" t="s">
        <v>58</v>
      </c>
      <c r="O360" s="8" t="s">
        <v>59</v>
      </c>
      <c r="P360" s="8" t="s">
        <v>59</v>
      </c>
      <c r="R360" s="8">
        <v>0</v>
      </c>
      <c r="S360" s="8">
        <v>0</v>
      </c>
      <c r="T360" s="8">
        <v>1</v>
      </c>
      <c r="U360" s="8">
        <v>2</v>
      </c>
      <c r="X360" s="8">
        <v>5</v>
      </c>
      <c r="AG360" s="8" t="str">
        <f t="shared" si="21"/>
        <v/>
      </c>
      <c r="AI360" s="8" t="str">
        <f t="shared" si="22"/>
        <v/>
      </c>
      <c r="AJ360" s="8" t="str">
        <f t="shared" si="23"/>
        <v/>
      </c>
      <c r="AL360" s="8" t="str">
        <f t="shared" si="24"/>
        <v/>
      </c>
    </row>
    <row r="361" spans="1:38" x14ac:dyDescent="0.25">
      <c r="A361" s="8" t="s">
        <v>3366</v>
      </c>
      <c r="B361" s="8" t="s">
        <v>3367</v>
      </c>
      <c r="C361" s="8">
        <v>30896765</v>
      </c>
      <c r="D361" s="8">
        <v>5</v>
      </c>
      <c r="E361" s="11">
        <v>43111</v>
      </c>
      <c r="F361" s="8" t="s">
        <v>58</v>
      </c>
      <c r="G361" s="11">
        <v>43111</v>
      </c>
      <c r="H361" s="8" t="s">
        <v>25</v>
      </c>
      <c r="I361" s="11">
        <v>43112</v>
      </c>
      <c r="J361" s="8" t="s">
        <v>25</v>
      </c>
      <c r="N361" s="8" t="s">
        <v>58</v>
      </c>
      <c r="O361" s="8" t="s">
        <v>59</v>
      </c>
      <c r="P361" s="8" t="s">
        <v>59</v>
      </c>
      <c r="R361" s="8">
        <v>0</v>
      </c>
      <c r="S361" s="8">
        <v>0</v>
      </c>
      <c r="T361" s="8">
        <v>1</v>
      </c>
      <c r="U361" s="8">
        <v>2</v>
      </c>
      <c r="X361" s="8">
        <v>5</v>
      </c>
      <c r="AG361" s="8" t="str">
        <f t="shared" si="21"/>
        <v/>
      </c>
      <c r="AI361" s="8" t="str">
        <f t="shared" si="22"/>
        <v/>
      </c>
      <c r="AJ361" s="8" t="str">
        <f t="shared" si="23"/>
        <v/>
      </c>
      <c r="AL361" s="8" t="str">
        <f t="shared" si="24"/>
        <v/>
      </c>
    </row>
    <row r="362" spans="1:38" x14ac:dyDescent="0.25">
      <c r="A362" s="8" t="s">
        <v>1755</v>
      </c>
      <c r="B362" s="8" t="s">
        <v>1756</v>
      </c>
      <c r="C362" s="8">
        <v>30845357</v>
      </c>
      <c r="D362" s="8">
        <v>5</v>
      </c>
      <c r="E362" s="11">
        <v>43109</v>
      </c>
      <c r="F362" s="8" t="s">
        <v>58</v>
      </c>
      <c r="G362" s="11">
        <v>43110</v>
      </c>
      <c r="H362" s="8" t="s">
        <v>25</v>
      </c>
      <c r="I362" s="11">
        <v>43111</v>
      </c>
      <c r="J362" s="8" t="s">
        <v>25</v>
      </c>
      <c r="N362" s="8" t="s">
        <v>58</v>
      </c>
      <c r="O362" s="8" t="s">
        <v>59</v>
      </c>
      <c r="P362" s="8" t="s">
        <v>59</v>
      </c>
      <c r="R362" s="8">
        <v>0</v>
      </c>
      <c r="S362" s="8">
        <v>0</v>
      </c>
      <c r="T362" s="8">
        <v>1</v>
      </c>
      <c r="U362" s="8">
        <v>2</v>
      </c>
      <c r="X362" s="8">
        <v>5</v>
      </c>
      <c r="AG362" s="8" t="str">
        <f t="shared" si="21"/>
        <v/>
      </c>
      <c r="AI362" s="8" t="str">
        <f t="shared" si="22"/>
        <v/>
      </c>
      <c r="AJ362" s="8" t="str">
        <f t="shared" si="23"/>
        <v/>
      </c>
      <c r="AL362" s="8" t="str">
        <f t="shared" si="24"/>
        <v/>
      </c>
    </row>
    <row r="363" spans="1:38" x14ac:dyDescent="0.25">
      <c r="A363" s="8" t="s">
        <v>1757</v>
      </c>
      <c r="B363" s="8" t="s">
        <v>1758</v>
      </c>
      <c r="C363" s="8">
        <v>30861420</v>
      </c>
      <c r="D363" s="8">
        <v>5</v>
      </c>
      <c r="E363" s="11">
        <v>43110</v>
      </c>
      <c r="F363" s="8" t="s">
        <v>58</v>
      </c>
      <c r="G363" s="11">
        <v>43110</v>
      </c>
      <c r="H363" s="8" t="s">
        <v>25</v>
      </c>
      <c r="I363" s="11">
        <v>43110</v>
      </c>
      <c r="J363" s="8" t="s">
        <v>25</v>
      </c>
      <c r="N363" s="8" t="s">
        <v>58</v>
      </c>
      <c r="O363" s="8" t="s">
        <v>59</v>
      </c>
      <c r="P363" s="8" t="s">
        <v>59</v>
      </c>
      <c r="R363" s="8">
        <v>0</v>
      </c>
      <c r="S363" s="8">
        <v>0</v>
      </c>
      <c r="T363" s="8">
        <v>1</v>
      </c>
      <c r="U363" s="8">
        <v>2</v>
      </c>
      <c r="X363" s="8">
        <v>5</v>
      </c>
      <c r="AG363" s="8" t="str">
        <f t="shared" si="21"/>
        <v/>
      </c>
      <c r="AI363" s="8" t="str">
        <f t="shared" si="22"/>
        <v/>
      </c>
      <c r="AJ363" s="8" t="str">
        <f t="shared" si="23"/>
        <v/>
      </c>
      <c r="AL363" s="8" t="str">
        <f t="shared" si="24"/>
        <v/>
      </c>
    </row>
    <row r="364" spans="1:38" x14ac:dyDescent="0.25">
      <c r="A364" s="8" t="s">
        <v>4848</v>
      </c>
      <c r="B364" s="8" t="s">
        <v>4849</v>
      </c>
      <c r="C364" s="8">
        <v>30913550</v>
      </c>
      <c r="D364" s="8">
        <v>5</v>
      </c>
      <c r="E364" s="11">
        <v>43112</v>
      </c>
      <c r="F364" s="8" t="s">
        <v>58</v>
      </c>
      <c r="G364" s="11">
        <v>43112</v>
      </c>
      <c r="H364" s="8" t="s">
        <v>25</v>
      </c>
      <c r="I364" s="11">
        <v>43112</v>
      </c>
      <c r="J364" s="8" t="s">
        <v>25</v>
      </c>
      <c r="N364" s="8" t="s">
        <v>58</v>
      </c>
      <c r="O364" s="8" t="s">
        <v>59</v>
      </c>
      <c r="P364" s="8" t="s">
        <v>59</v>
      </c>
      <c r="R364" s="8">
        <v>0</v>
      </c>
      <c r="S364" s="8">
        <v>0</v>
      </c>
      <c r="T364" s="8">
        <v>1</v>
      </c>
      <c r="U364" s="8">
        <v>2</v>
      </c>
      <c r="X364" s="8">
        <v>5</v>
      </c>
      <c r="AG364" s="8" t="str">
        <f t="shared" si="21"/>
        <v/>
      </c>
      <c r="AI364" s="8" t="str">
        <f t="shared" si="22"/>
        <v/>
      </c>
      <c r="AJ364" s="8" t="str">
        <f t="shared" si="23"/>
        <v/>
      </c>
      <c r="AL364" s="8" t="str">
        <f t="shared" si="24"/>
        <v/>
      </c>
    </row>
    <row r="365" spans="1:38" x14ac:dyDescent="0.25">
      <c r="A365" s="8" t="s">
        <v>1759</v>
      </c>
      <c r="B365" s="8" t="s">
        <v>1760</v>
      </c>
      <c r="C365" s="8">
        <v>30869941</v>
      </c>
      <c r="D365" s="8">
        <v>5</v>
      </c>
      <c r="E365" s="11">
        <v>43110</v>
      </c>
      <c r="F365" s="8" t="s">
        <v>57</v>
      </c>
      <c r="G365" s="11">
        <v>43110</v>
      </c>
      <c r="H365" s="8" t="s">
        <v>25</v>
      </c>
      <c r="J365" s="8" t="s">
        <v>25</v>
      </c>
      <c r="N365" s="8" t="s">
        <v>58</v>
      </c>
      <c r="O365" s="8" t="s">
        <v>59</v>
      </c>
      <c r="P365" s="8" t="s">
        <v>59</v>
      </c>
      <c r="R365" s="8">
        <v>0</v>
      </c>
      <c r="S365" s="8">
        <v>0</v>
      </c>
      <c r="T365" s="8">
        <v>1</v>
      </c>
      <c r="U365" s="8">
        <v>2</v>
      </c>
      <c r="AG365" s="8" t="str">
        <f t="shared" si="21"/>
        <v/>
      </c>
      <c r="AI365" s="8" t="str">
        <f t="shared" si="22"/>
        <v/>
      </c>
      <c r="AJ365" s="8" t="str">
        <f t="shared" si="23"/>
        <v/>
      </c>
      <c r="AL365" s="8" t="str">
        <f t="shared" si="24"/>
        <v/>
      </c>
    </row>
    <row r="366" spans="1:38" x14ac:dyDescent="0.25">
      <c r="A366" s="8" t="s">
        <v>4850</v>
      </c>
      <c r="B366" s="8" t="s">
        <v>4851</v>
      </c>
      <c r="C366" s="8">
        <v>30915190</v>
      </c>
      <c r="D366" s="8">
        <v>5</v>
      </c>
      <c r="E366" s="11">
        <v>43112</v>
      </c>
      <c r="F366" s="8" t="s">
        <v>57</v>
      </c>
      <c r="G366" s="11">
        <v>43112</v>
      </c>
      <c r="H366" s="8" t="s">
        <v>25</v>
      </c>
      <c r="J366" s="8" t="s">
        <v>25</v>
      </c>
      <c r="N366" s="8" t="s">
        <v>58</v>
      </c>
      <c r="O366" s="8" t="s">
        <v>59</v>
      </c>
      <c r="P366" s="8" t="s">
        <v>59</v>
      </c>
      <c r="R366" s="8">
        <v>0</v>
      </c>
      <c r="S366" s="8">
        <v>0</v>
      </c>
      <c r="T366" s="8">
        <v>1</v>
      </c>
      <c r="U366" s="8">
        <v>2</v>
      </c>
      <c r="AG366" s="8" t="str">
        <f t="shared" si="21"/>
        <v/>
      </c>
      <c r="AI366" s="8" t="str">
        <f t="shared" si="22"/>
        <v/>
      </c>
      <c r="AJ366" s="8" t="str">
        <f t="shared" si="23"/>
        <v/>
      </c>
      <c r="AL366" s="8" t="str">
        <f t="shared" si="24"/>
        <v/>
      </c>
    </row>
    <row r="367" spans="1:38" x14ac:dyDescent="0.25">
      <c r="A367" s="8" t="s">
        <v>4852</v>
      </c>
      <c r="B367" s="8" t="s">
        <v>4853</v>
      </c>
      <c r="C367" s="8">
        <v>30818200</v>
      </c>
      <c r="D367" s="8">
        <v>5</v>
      </c>
      <c r="E367" s="11">
        <v>43108</v>
      </c>
      <c r="F367" s="8" t="s">
        <v>57</v>
      </c>
      <c r="G367" s="11">
        <v>43112</v>
      </c>
      <c r="H367" s="8" t="s">
        <v>145</v>
      </c>
      <c r="J367" s="8" t="s">
        <v>25</v>
      </c>
      <c r="N367" s="8" t="s">
        <v>58</v>
      </c>
      <c r="O367" s="8" t="s">
        <v>59</v>
      </c>
      <c r="P367" s="8" t="s">
        <v>59</v>
      </c>
      <c r="R367" s="8">
        <v>0</v>
      </c>
      <c r="S367" s="8">
        <v>0</v>
      </c>
      <c r="T367" s="8">
        <v>1</v>
      </c>
      <c r="U367" s="8">
        <v>2</v>
      </c>
      <c r="AG367" s="8" t="str">
        <f t="shared" si="21"/>
        <v/>
      </c>
      <c r="AI367" s="8" t="str">
        <f t="shared" si="22"/>
        <v/>
      </c>
      <c r="AJ367" s="8" t="str">
        <f t="shared" si="23"/>
        <v/>
      </c>
      <c r="AL367" s="8" t="str">
        <f t="shared" si="24"/>
        <v/>
      </c>
    </row>
    <row r="368" spans="1:38" x14ac:dyDescent="0.25">
      <c r="A368" s="8" t="s">
        <v>1761</v>
      </c>
      <c r="B368" s="8" t="s">
        <v>1762</v>
      </c>
      <c r="C368" s="8">
        <v>30871657</v>
      </c>
      <c r="D368" s="8">
        <v>5</v>
      </c>
      <c r="E368" s="11">
        <v>43110</v>
      </c>
      <c r="F368" s="8" t="s">
        <v>58</v>
      </c>
      <c r="G368" s="11">
        <v>43110</v>
      </c>
      <c r="H368" s="8" t="s">
        <v>25</v>
      </c>
      <c r="I368" s="11">
        <v>43115</v>
      </c>
      <c r="J368" s="8" t="s">
        <v>145</v>
      </c>
      <c r="N368" s="8" t="s">
        <v>58</v>
      </c>
      <c r="O368" s="8" t="s">
        <v>59</v>
      </c>
      <c r="P368" s="8" t="s">
        <v>59</v>
      </c>
      <c r="R368" s="8">
        <v>0</v>
      </c>
      <c r="S368" s="8">
        <v>0</v>
      </c>
      <c r="T368" s="8">
        <v>1</v>
      </c>
      <c r="U368" s="8">
        <v>2</v>
      </c>
      <c r="X368" s="8">
        <v>5</v>
      </c>
      <c r="AG368" s="8" t="str">
        <f t="shared" si="21"/>
        <v/>
      </c>
      <c r="AI368" s="8" t="str">
        <f t="shared" si="22"/>
        <v/>
      </c>
      <c r="AJ368" s="8" t="str">
        <f t="shared" si="23"/>
        <v/>
      </c>
      <c r="AL368" s="8" t="str">
        <f t="shared" si="24"/>
        <v/>
      </c>
    </row>
    <row r="369" spans="1:38" x14ac:dyDescent="0.25">
      <c r="A369" s="8" t="s">
        <v>210</v>
      </c>
      <c r="B369" s="8" t="s">
        <v>211</v>
      </c>
      <c r="C369" s="8">
        <v>30814210</v>
      </c>
      <c r="D369" s="8">
        <v>5</v>
      </c>
      <c r="E369" s="11">
        <v>43108</v>
      </c>
      <c r="F369" s="8" t="s">
        <v>58</v>
      </c>
      <c r="G369" s="11">
        <v>43108</v>
      </c>
      <c r="H369" s="8" t="s">
        <v>25</v>
      </c>
      <c r="I369" s="11">
        <v>43111</v>
      </c>
      <c r="J369" s="8" t="s">
        <v>25</v>
      </c>
      <c r="N369" s="8" t="s">
        <v>58</v>
      </c>
      <c r="O369" s="8" t="s">
        <v>59</v>
      </c>
      <c r="P369" s="8" t="s">
        <v>59</v>
      </c>
      <c r="R369" s="8">
        <v>0</v>
      </c>
      <c r="S369" s="8">
        <v>0</v>
      </c>
      <c r="T369" s="8">
        <v>1</v>
      </c>
      <c r="U369" s="8">
        <v>2</v>
      </c>
      <c r="X369" s="8">
        <v>5</v>
      </c>
      <c r="AG369" s="8" t="str">
        <f t="shared" si="21"/>
        <v/>
      </c>
      <c r="AI369" s="8" t="str">
        <f t="shared" si="22"/>
        <v/>
      </c>
      <c r="AJ369" s="8" t="str">
        <f t="shared" si="23"/>
        <v/>
      </c>
      <c r="AL369" s="8" t="str">
        <f t="shared" si="24"/>
        <v/>
      </c>
    </row>
    <row r="370" spans="1:38" x14ac:dyDescent="0.25">
      <c r="A370" s="8" t="s">
        <v>6717</v>
      </c>
      <c r="B370" s="8" t="s">
        <v>6718</v>
      </c>
      <c r="C370" s="8">
        <v>30877708</v>
      </c>
      <c r="D370" s="8">
        <v>4</v>
      </c>
      <c r="E370" s="11">
        <v>43110</v>
      </c>
      <c r="F370" s="8" t="s">
        <v>57</v>
      </c>
      <c r="G370" s="11">
        <v>43115</v>
      </c>
      <c r="H370" s="8" t="s">
        <v>145</v>
      </c>
      <c r="J370" s="8" t="s">
        <v>25</v>
      </c>
      <c r="N370" s="8" t="s">
        <v>58</v>
      </c>
      <c r="O370" s="8" t="s">
        <v>59</v>
      </c>
      <c r="P370" s="8" t="s">
        <v>59</v>
      </c>
      <c r="R370" s="8">
        <v>0</v>
      </c>
      <c r="S370" s="8">
        <v>0</v>
      </c>
      <c r="T370" s="8">
        <v>1</v>
      </c>
      <c r="U370" s="8">
        <v>2</v>
      </c>
      <c r="AG370" s="8" t="str">
        <f t="shared" si="21"/>
        <v/>
      </c>
      <c r="AI370" s="8" t="str">
        <f t="shared" si="22"/>
        <v/>
      </c>
      <c r="AJ370" s="8" t="str">
        <f t="shared" si="23"/>
        <v/>
      </c>
      <c r="AL370" s="8" t="str">
        <f t="shared" si="24"/>
        <v/>
      </c>
    </row>
    <row r="371" spans="1:38" x14ac:dyDescent="0.25">
      <c r="A371" s="8" t="s">
        <v>6719</v>
      </c>
      <c r="B371" s="8" t="s">
        <v>6720</v>
      </c>
      <c r="C371" s="8">
        <v>30934535</v>
      </c>
      <c r="D371" s="8">
        <v>5</v>
      </c>
      <c r="E371" s="11">
        <v>43115</v>
      </c>
      <c r="F371" s="8" t="s">
        <v>57</v>
      </c>
      <c r="G371" s="11">
        <v>43115</v>
      </c>
      <c r="H371" s="8" t="s">
        <v>25</v>
      </c>
      <c r="J371" s="8" t="s">
        <v>25</v>
      </c>
      <c r="N371" s="8" t="s">
        <v>58</v>
      </c>
      <c r="O371" s="8" t="s">
        <v>59</v>
      </c>
      <c r="P371" s="8" t="s">
        <v>59</v>
      </c>
      <c r="R371" s="8">
        <v>0</v>
      </c>
      <c r="S371" s="8">
        <v>0</v>
      </c>
      <c r="T371" s="8">
        <v>1</v>
      </c>
      <c r="U371" s="8">
        <v>2</v>
      </c>
      <c r="AG371" s="8" t="str">
        <f t="shared" si="21"/>
        <v/>
      </c>
      <c r="AI371" s="8" t="str">
        <f t="shared" si="22"/>
        <v/>
      </c>
      <c r="AJ371" s="8" t="str">
        <f t="shared" si="23"/>
        <v/>
      </c>
      <c r="AL371" s="8" t="str">
        <f t="shared" si="24"/>
        <v/>
      </c>
    </row>
    <row r="372" spans="1:38" x14ac:dyDescent="0.25">
      <c r="A372" s="8" t="s">
        <v>1763</v>
      </c>
      <c r="B372" s="8" t="s">
        <v>1764</v>
      </c>
      <c r="C372" s="8">
        <v>30868478</v>
      </c>
      <c r="D372" s="8">
        <v>4</v>
      </c>
      <c r="E372" s="11">
        <v>43110</v>
      </c>
      <c r="F372" s="8" t="s">
        <v>57</v>
      </c>
      <c r="G372" s="11">
        <v>43110</v>
      </c>
      <c r="H372" s="8" t="s">
        <v>25</v>
      </c>
      <c r="J372" s="8" t="s">
        <v>25</v>
      </c>
      <c r="N372" s="8" t="s">
        <v>58</v>
      </c>
      <c r="O372" s="8" t="s">
        <v>59</v>
      </c>
      <c r="P372" s="8" t="s">
        <v>59</v>
      </c>
      <c r="R372" s="8">
        <v>0</v>
      </c>
      <c r="S372" s="8">
        <v>0</v>
      </c>
      <c r="T372" s="8">
        <v>1</v>
      </c>
      <c r="U372" s="8">
        <v>2</v>
      </c>
      <c r="AG372" s="8" t="str">
        <f t="shared" si="21"/>
        <v/>
      </c>
      <c r="AI372" s="8" t="str">
        <f t="shared" si="22"/>
        <v/>
      </c>
      <c r="AJ372" s="8" t="str">
        <f t="shared" si="23"/>
        <v/>
      </c>
      <c r="AL372" s="8" t="str">
        <f t="shared" si="24"/>
        <v/>
      </c>
    </row>
    <row r="373" spans="1:38" x14ac:dyDescent="0.25">
      <c r="A373" s="8" t="s">
        <v>3368</v>
      </c>
      <c r="B373" s="8" t="s">
        <v>3369</v>
      </c>
      <c r="C373" s="8">
        <v>30866810</v>
      </c>
      <c r="D373" s="8">
        <v>5</v>
      </c>
      <c r="E373" s="11">
        <v>43110</v>
      </c>
      <c r="F373" s="8" t="s">
        <v>58</v>
      </c>
      <c r="G373" s="11">
        <v>43111</v>
      </c>
      <c r="H373" s="8" t="s">
        <v>25</v>
      </c>
      <c r="I373" s="11">
        <v>43115</v>
      </c>
      <c r="J373" s="8" t="s">
        <v>25</v>
      </c>
      <c r="N373" s="8" t="s">
        <v>58</v>
      </c>
      <c r="O373" s="8" t="s">
        <v>59</v>
      </c>
      <c r="P373" s="8" t="s">
        <v>59</v>
      </c>
      <c r="R373" s="8">
        <v>0</v>
      </c>
      <c r="S373" s="8">
        <v>0</v>
      </c>
      <c r="T373" s="8">
        <v>1</v>
      </c>
      <c r="U373" s="8">
        <v>2</v>
      </c>
      <c r="X373" s="8">
        <v>5</v>
      </c>
      <c r="AG373" s="8" t="str">
        <f t="shared" si="21"/>
        <v/>
      </c>
      <c r="AI373" s="8" t="str">
        <f t="shared" si="22"/>
        <v/>
      </c>
      <c r="AJ373" s="8" t="str">
        <f t="shared" si="23"/>
        <v/>
      </c>
      <c r="AL373" s="8" t="str">
        <f t="shared" si="24"/>
        <v/>
      </c>
    </row>
    <row r="374" spans="1:38" x14ac:dyDescent="0.25">
      <c r="A374" s="8" t="s">
        <v>1765</v>
      </c>
      <c r="B374" s="8" t="s">
        <v>1766</v>
      </c>
      <c r="C374" s="8">
        <v>30837244</v>
      </c>
      <c r="D374" s="8">
        <v>5</v>
      </c>
      <c r="E374" s="11">
        <v>43109</v>
      </c>
      <c r="F374" s="8" t="s">
        <v>58</v>
      </c>
      <c r="G374" s="11">
        <v>43110</v>
      </c>
      <c r="H374" s="8" t="s">
        <v>25</v>
      </c>
      <c r="I374" s="11">
        <v>43110</v>
      </c>
      <c r="J374" s="8" t="s">
        <v>25</v>
      </c>
      <c r="N374" s="8" t="s">
        <v>58</v>
      </c>
      <c r="O374" s="8" t="s">
        <v>59</v>
      </c>
      <c r="P374" s="8" t="s">
        <v>59</v>
      </c>
      <c r="R374" s="8">
        <v>0</v>
      </c>
      <c r="S374" s="8">
        <v>0</v>
      </c>
      <c r="T374" s="8">
        <v>1</v>
      </c>
      <c r="U374" s="8">
        <v>2</v>
      </c>
      <c r="X374" s="8">
        <v>5</v>
      </c>
      <c r="AG374" s="8" t="str">
        <f t="shared" si="21"/>
        <v/>
      </c>
      <c r="AI374" s="8" t="str">
        <f t="shared" si="22"/>
        <v/>
      </c>
      <c r="AJ374" s="8" t="str">
        <f t="shared" si="23"/>
        <v/>
      </c>
      <c r="AL374" s="8" t="str">
        <f t="shared" si="24"/>
        <v/>
      </c>
    </row>
    <row r="375" spans="1:38" x14ac:dyDescent="0.25">
      <c r="A375" s="8" t="s">
        <v>861</v>
      </c>
      <c r="B375" s="8" t="s">
        <v>862</v>
      </c>
      <c r="C375" s="8">
        <v>30826171</v>
      </c>
      <c r="D375" s="8">
        <v>5</v>
      </c>
      <c r="E375" s="11">
        <v>43108</v>
      </c>
      <c r="F375" s="8" t="s">
        <v>57</v>
      </c>
      <c r="G375" s="11">
        <v>43109</v>
      </c>
      <c r="H375" s="8" t="s">
        <v>25</v>
      </c>
      <c r="J375" s="8" t="s">
        <v>25</v>
      </c>
      <c r="N375" s="8" t="s">
        <v>58</v>
      </c>
      <c r="O375" s="8" t="s">
        <v>59</v>
      </c>
      <c r="P375" s="8" t="s">
        <v>59</v>
      </c>
      <c r="R375" s="8">
        <v>0</v>
      </c>
      <c r="S375" s="8">
        <v>0</v>
      </c>
      <c r="T375" s="8">
        <v>1</v>
      </c>
      <c r="U375" s="8">
        <v>2</v>
      </c>
      <c r="AG375" s="8" t="str">
        <f t="shared" si="21"/>
        <v/>
      </c>
      <c r="AI375" s="8" t="str">
        <f t="shared" si="22"/>
        <v/>
      </c>
      <c r="AJ375" s="8" t="str">
        <f t="shared" si="23"/>
        <v/>
      </c>
      <c r="AL375" s="8" t="str">
        <f t="shared" si="24"/>
        <v/>
      </c>
    </row>
    <row r="376" spans="1:38" x14ac:dyDescent="0.25">
      <c r="A376" s="8" t="s">
        <v>1767</v>
      </c>
      <c r="B376" s="8" t="s">
        <v>1768</v>
      </c>
      <c r="C376" s="8">
        <v>30832482</v>
      </c>
      <c r="D376" s="8">
        <v>5</v>
      </c>
      <c r="E376" s="11">
        <v>43109</v>
      </c>
      <c r="F376" s="8" t="s">
        <v>60</v>
      </c>
      <c r="G376" s="11">
        <v>43110</v>
      </c>
      <c r="H376" s="8" t="s">
        <v>25</v>
      </c>
      <c r="J376" s="8" t="s">
        <v>25</v>
      </c>
      <c r="L376" s="8" t="s">
        <v>3287</v>
      </c>
      <c r="N376" s="8" t="s">
        <v>58</v>
      </c>
      <c r="O376" s="8" t="s">
        <v>59</v>
      </c>
      <c r="P376" s="8" t="s">
        <v>59</v>
      </c>
      <c r="R376" s="8">
        <v>0</v>
      </c>
      <c r="S376" s="8">
        <v>0</v>
      </c>
      <c r="T376" s="8">
        <v>1</v>
      </c>
      <c r="U376" s="8">
        <v>2</v>
      </c>
      <c r="W376" s="8">
        <v>4</v>
      </c>
      <c r="AG376" s="8" t="str">
        <f t="shared" si="21"/>
        <v/>
      </c>
      <c r="AI376" s="8" t="str">
        <f t="shared" si="22"/>
        <v/>
      </c>
      <c r="AJ376" s="8" t="str">
        <f t="shared" si="23"/>
        <v/>
      </c>
      <c r="AL376" s="8" t="str">
        <f t="shared" si="24"/>
        <v/>
      </c>
    </row>
    <row r="377" spans="1:38" x14ac:dyDescent="0.25">
      <c r="A377" s="8" t="s">
        <v>6721</v>
      </c>
      <c r="B377" s="8" t="s">
        <v>6722</v>
      </c>
      <c r="C377" s="8">
        <v>30941434</v>
      </c>
      <c r="D377" s="8">
        <v>4</v>
      </c>
      <c r="E377" s="11">
        <v>43115</v>
      </c>
      <c r="F377" s="8" t="s">
        <v>57</v>
      </c>
      <c r="G377" s="11">
        <v>43115</v>
      </c>
      <c r="H377" s="8" t="s">
        <v>25</v>
      </c>
      <c r="J377" s="8" t="s">
        <v>25</v>
      </c>
      <c r="N377" s="8" t="s">
        <v>58</v>
      </c>
      <c r="O377" s="8" t="s">
        <v>59</v>
      </c>
      <c r="P377" s="8" t="s">
        <v>59</v>
      </c>
      <c r="R377" s="8">
        <v>0</v>
      </c>
      <c r="S377" s="8">
        <v>0</v>
      </c>
      <c r="T377" s="8">
        <v>1</v>
      </c>
      <c r="U377" s="8">
        <v>2</v>
      </c>
      <c r="AG377" s="8" t="str">
        <f t="shared" si="21"/>
        <v/>
      </c>
      <c r="AI377" s="8" t="str">
        <f t="shared" si="22"/>
        <v/>
      </c>
      <c r="AJ377" s="8" t="str">
        <f t="shared" si="23"/>
        <v/>
      </c>
      <c r="AL377" s="8" t="str">
        <f t="shared" si="24"/>
        <v/>
      </c>
    </row>
    <row r="378" spans="1:38" x14ac:dyDescent="0.25">
      <c r="A378" s="8" t="s">
        <v>6723</v>
      </c>
      <c r="B378" s="8" t="s">
        <v>6724</v>
      </c>
      <c r="C378" s="8">
        <v>30926569</v>
      </c>
      <c r="D378" s="8">
        <v>3</v>
      </c>
      <c r="E378" s="11">
        <v>43113</v>
      </c>
      <c r="F378" s="8" t="s">
        <v>57</v>
      </c>
      <c r="G378" s="11">
        <v>43115</v>
      </c>
      <c r="H378" s="8" t="s">
        <v>25</v>
      </c>
      <c r="J378" s="8" t="s">
        <v>25</v>
      </c>
      <c r="N378" s="8" t="s">
        <v>58</v>
      </c>
      <c r="O378" s="8" t="s">
        <v>59</v>
      </c>
      <c r="P378" s="8" t="s">
        <v>59</v>
      </c>
      <c r="R378" s="8">
        <v>0</v>
      </c>
      <c r="S378" s="8">
        <v>0</v>
      </c>
      <c r="T378" s="8">
        <v>1</v>
      </c>
      <c r="U378" s="8">
        <v>2</v>
      </c>
      <c r="AG378" s="8" t="str">
        <f t="shared" si="21"/>
        <v/>
      </c>
      <c r="AI378" s="8" t="str">
        <f t="shared" si="22"/>
        <v/>
      </c>
      <c r="AJ378" s="8" t="str">
        <f t="shared" si="23"/>
        <v/>
      </c>
      <c r="AL378" s="8" t="str">
        <f t="shared" si="24"/>
        <v/>
      </c>
    </row>
    <row r="379" spans="1:38" x14ac:dyDescent="0.25">
      <c r="A379" s="8" t="s">
        <v>6725</v>
      </c>
      <c r="B379" s="8" t="s">
        <v>6726</v>
      </c>
      <c r="C379" s="8">
        <v>30947612</v>
      </c>
      <c r="D379" s="8">
        <v>5</v>
      </c>
      <c r="E379" s="11">
        <v>43115</v>
      </c>
      <c r="F379" s="8" t="s">
        <v>57</v>
      </c>
      <c r="G379" s="11">
        <v>43115</v>
      </c>
      <c r="H379" s="8" t="s">
        <v>25</v>
      </c>
      <c r="J379" s="8" t="s">
        <v>25</v>
      </c>
      <c r="N379" s="8" t="s">
        <v>58</v>
      </c>
      <c r="O379" s="8" t="s">
        <v>59</v>
      </c>
      <c r="P379" s="8" t="s">
        <v>59</v>
      </c>
      <c r="R379" s="8">
        <v>0</v>
      </c>
      <c r="S379" s="8">
        <v>0</v>
      </c>
      <c r="T379" s="8">
        <v>1</v>
      </c>
      <c r="U379" s="8">
        <v>2</v>
      </c>
      <c r="AG379" s="8" t="str">
        <f t="shared" si="21"/>
        <v/>
      </c>
      <c r="AI379" s="8" t="str">
        <f t="shared" si="22"/>
        <v/>
      </c>
      <c r="AJ379" s="8" t="str">
        <f t="shared" si="23"/>
        <v/>
      </c>
      <c r="AL379" s="8" t="str">
        <f t="shared" si="24"/>
        <v/>
      </c>
    </row>
    <row r="380" spans="1:38" x14ac:dyDescent="0.25">
      <c r="A380" s="8" t="s">
        <v>3370</v>
      </c>
      <c r="B380" s="8" t="s">
        <v>3371</v>
      </c>
      <c r="C380" s="8">
        <v>30842905</v>
      </c>
      <c r="D380" s="8">
        <v>5</v>
      </c>
      <c r="E380" s="11">
        <v>43109</v>
      </c>
      <c r="F380" s="8" t="s">
        <v>58</v>
      </c>
      <c r="G380" s="11">
        <v>43111</v>
      </c>
      <c r="H380" s="8" t="s">
        <v>25</v>
      </c>
      <c r="I380" s="11">
        <v>43115</v>
      </c>
      <c r="J380" s="8" t="s">
        <v>25</v>
      </c>
      <c r="N380" s="8" t="s">
        <v>58</v>
      </c>
      <c r="O380" s="8" t="s">
        <v>59</v>
      </c>
      <c r="P380" s="8" t="s">
        <v>59</v>
      </c>
      <c r="R380" s="8">
        <v>0</v>
      </c>
      <c r="S380" s="8">
        <v>0</v>
      </c>
      <c r="T380" s="8">
        <v>1</v>
      </c>
      <c r="U380" s="8">
        <v>2</v>
      </c>
      <c r="X380" s="8">
        <v>5</v>
      </c>
      <c r="AG380" s="8" t="str">
        <f t="shared" si="21"/>
        <v/>
      </c>
      <c r="AI380" s="8" t="str">
        <f t="shared" si="22"/>
        <v/>
      </c>
      <c r="AJ380" s="8" t="str">
        <f t="shared" si="23"/>
        <v/>
      </c>
      <c r="AL380" s="8" t="str">
        <f t="shared" si="24"/>
        <v/>
      </c>
    </row>
    <row r="381" spans="1:38" x14ac:dyDescent="0.25">
      <c r="A381" s="8" t="s">
        <v>4854</v>
      </c>
      <c r="B381" s="8" t="s">
        <v>4855</v>
      </c>
      <c r="C381" s="8">
        <v>30915823</v>
      </c>
      <c r="D381" s="8">
        <v>5</v>
      </c>
      <c r="E381" s="11">
        <v>43112</v>
      </c>
      <c r="F381" s="8" t="s">
        <v>57</v>
      </c>
      <c r="G381" s="11">
        <v>43112</v>
      </c>
      <c r="H381" s="8" t="s">
        <v>25</v>
      </c>
      <c r="J381" s="8" t="s">
        <v>25</v>
      </c>
      <c r="N381" s="8" t="s">
        <v>58</v>
      </c>
      <c r="O381" s="8" t="s">
        <v>59</v>
      </c>
      <c r="P381" s="8" t="s">
        <v>59</v>
      </c>
      <c r="R381" s="8">
        <v>0</v>
      </c>
      <c r="S381" s="8">
        <v>0</v>
      </c>
      <c r="T381" s="8">
        <v>1</v>
      </c>
      <c r="U381" s="8">
        <v>2</v>
      </c>
      <c r="AG381" s="8" t="str">
        <f t="shared" si="21"/>
        <v/>
      </c>
      <c r="AI381" s="8" t="str">
        <f t="shared" si="22"/>
        <v/>
      </c>
      <c r="AJ381" s="8" t="str">
        <f t="shared" si="23"/>
        <v/>
      </c>
      <c r="AL381" s="8" t="str">
        <f t="shared" si="24"/>
        <v/>
      </c>
    </row>
    <row r="382" spans="1:38" x14ac:dyDescent="0.25">
      <c r="A382" s="8" t="s">
        <v>1769</v>
      </c>
      <c r="B382" s="8" t="s">
        <v>1770</v>
      </c>
      <c r="C382" s="8">
        <v>30820868</v>
      </c>
      <c r="D382" s="8">
        <v>5</v>
      </c>
      <c r="E382" s="11">
        <v>43108</v>
      </c>
      <c r="F382" s="8" t="s">
        <v>60</v>
      </c>
      <c r="G382" s="11">
        <v>43110</v>
      </c>
      <c r="H382" s="8" t="s">
        <v>25</v>
      </c>
      <c r="J382" s="8" t="s">
        <v>25</v>
      </c>
      <c r="L382" s="8" t="s">
        <v>4797</v>
      </c>
      <c r="N382" s="8" t="s">
        <v>58</v>
      </c>
      <c r="O382" s="8" t="s">
        <v>59</v>
      </c>
      <c r="P382" s="8" t="s">
        <v>59</v>
      </c>
      <c r="R382" s="8">
        <v>0</v>
      </c>
      <c r="S382" s="8">
        <v>0</v>
      </c>
      <c r="T382" s="8">
        <v>1</v>
      </c>
      <c r="U382" s="8">
        <v>2</v>
      </c>
      <c r="W382" s="8">
        <v>4</v>
      </c>
      <c r="AG382" s="8" t="str">
        <f t="shared" si="21"/>
        <v/>
      </c>
      <c r="AI382" s="8" t="str">
        <f t="shared" si="22"/>
        <v/>
      </c>
      <c r="AJ382" s="8" t="str">
        <f t="shared" si="23"/>
        <v/>
      </c>
      <c r="AL382" s="8" t="str">
        <f t="shared" si="24"/>
        <v/>
      </c>
    </row>
    <row r="383" spans="1:38" x14ac:dyDescent="0.25">
      <c r="A383" s="8" t="s">
        <v>6727</v>
      </c>
      <c r="B383" s="8" t="s">
        <v>6728</v>
      </c>
      <c r="C383" s="8">
        <v>30931323</v>
      </c>
      <c r="D383" s="8">
        <v>5</v>
      </c>
      <c r="E383" s="11">
        <v>43115</v>
      </c>
      <c r="F383" s="8" t="s">
        <v>57</v>
      </c>
      <c r="G383" s="11">
        <v>43115</v>
      </c>
      <c r="H383" s="8" t="s">
        <v>25</v>
      </c>
      <c r="J383" s="8" t="s">
        <v>25</v>
      </c>
      <c r="N383" s="8" t="s">
        <v>58</v>
      </c>
      <c r="O383" s="8" t="s">
        <v>59</v>
      </c>
      <c r="P383" s="8" t="s">
        <v>59</v>
      </c>
      <c r="R383" s="8">
        <v>0</v>
      </c>
      <c r="S383" s="8">
        <v>0</v>
      </c>
      <c r="T383" s="8">
        <v>1</v>
      </c>
      <c r="U383" s="8">
        <v>2</v>
      </c>
      <c r="AG383" s="8" t="str">
        <f t="shared" si="21"/>
        <v/>
      </c>
      <c r="AI383" s="8" t="str">
        <f t="shared" si="22"/>
        <v/>
      </c>
      <c r="AJ383" s="8" t="str">
        <f t="shared" si="23"/>
        <v/>
      </c>
      <c r="AL383" s="8" t="str">
        <f t="shared" si="24"/>
        <v/>
      </c>
    </row>
    <row r="384" spans="1:38" x14ac:dyDescent="0.25">
      <c r="A384" s="8" t="s">
        <v>1771</v>
      </c>
      <c r="B384" s="8" t="s">
        <v>1772</v>
      </c>
      <c r="C384" s="8">
        <v>30868578</v>
      </c>
      <c r="D384" s="8">
        <v>5</v>
      </c>
      <c r="E384" s="11">
        <v>43110</v>
      </c>
      <c r="F384" s="8" t="s">
        <v>57</v>
      </c>
      <c r="G384" s="11">
        <v>43110</v>
      </c>
      <c r="H384" s="8" t="s">
        <v>25</v>
      </c>
      <c r="J384" s="8" t="s">
        <v>25</v>
      </c>
      <c r="N384" s="8" t="s">
        <v>58</v>
      </c>
      <c r="O384" s="8" t="s">
        <v>59</v>
      </c>
      <c r="P384" s="8" t="s">
        <v>59</v>
      </c>
      <c r="R384" s="8">
        <v>0</v>
      </c>
      <c r="S384" s="8">
        <v>0</v>
      </c>
      <c r="T384" s="8">
        <v>1</v>
      </c>
      <c r="U384" s="8">
        <v>2</v>
      </c>
      <c r="AG384" s="8" t="str">
        <f t="shared" si="21"/>
        <v/>
      </c>
      <c r="AI384" s="8" t="str">
        <f t="shared" si="22"/>
        <v/>
      </c>
      <c r="AJ384" s="8" t="str">
        <f t="shared" si="23"/>
        <v/>
      </c>
      <c r="AL384" s="8" t="str">
        <f t="shared" si="24"/>
        <v/>
      </c>
    </row>
    <row r="385" spans="1:38" x14ac:dyDescent="0.25">
      <c r="A385" s="8" t="s">
        <v>863</v>
      </c>
      <c r="B385" s="8" t="s">
        <v>864</v>
      </c>
      <c r="C385" s="8">
        <v>30834094</v>
      </c>
      <c r="D385" s="8">
        <v>5</v>
      </c>
      <c r="E385" s="11">
        <v>43109</v>
      </c>
      <c r="F385" s="8" t="s">
        <v>57</v>
      </c>
      <c r="G385" s="11">
        <v>43109</v>
      </c>
      <c r="H385" s="8" t="s">
        <v>25</v>
      </c>
      <c r="J385" s="8" t="s">
        <v>25</v>
      </c>
      <c r="N385" s="8" t="s">
        <v>58</v>
      </c>
      <c r="O385" s="8" t="s">
        <v>59</v>
      </c>
      <c r="P385" s="8" t="s">
        <v>59</v>
      </c>
      <c r="R385" s="8">
        <v>0</v>
      </c>
      <c r="S385" s="8">
        <v>0</v>
      </c>
      <c r="T385" s="8">
        <v>1</v>
      </c>
      <c r="U385" s="8">
        <v>2</v>
      </c>
      <c r="AG385" s="8" t="str">
        <f t="shared" si="21"/>
        <v/>
      </c>
      <c r="AI385" s="8" t="str">
        <f t="shared" si="22"/>
        <v/>
      </c>
      <c r="AJ385" s="8" t="str">
        <f t="shared" si="23"/>
        <v/>
      </c>
      <c r="AL385" s="8" t="str">
        <f t="shared" si="24"/>
        <v/>
      </c>
    </row>
    <row r="386" spans="1:38" x14ac:dyDescent="0.25">
      <c r="A386" s="8" t="s">
        <v>4856</v>
      </c>
      <c r="B386" s="8" t="s">
        <v>4857</v>
      </c>
      <c r="C386" s="8">
        <v>30827352</v>
      </c>
      <c r="D386" s="8">
        <v>5</v>
      </c>
      <c r="E386" s="11">
        <v>43108</v>
      </c>
      <c r="F386" s="8" t="s">
        <v>58</v>
      </c>
      <c r="G386" s="11">
        <v>43112</v>
      </c>
      <c r="H386" s="8" t="s">
        <v>145</v>
      </c>
      <c r="I386" s="11">
        <v>43115</v>
      </c>
      <c r="J386" s="8" t="s">
        <v>25</v>
      </c>
      <c r="N386" s="8" t="s">
        <v>58</v>
      </c>
      <c r="O386" s="8" t="s">
        <v>59</v>
      </c>
      <c r="P386" s="8" t="s">
        <v>59</v>
      </c>
      <c r="R386" s="8">
        <v>0</v>
      </c>
      <c r="S386" s="8">
        <v>0</v>
      </c>
      <c r="T386" s="8">
        <v>1</v>
      </c>
      <c r="U386" s="8">
        <v>2</v>
      </c>
      <c r="X386" s="8">
        <v>5</v>
      </c>
      <c r="AG386" s="8" t="str">
        <f t="shared" si="21"/>
        <v/>
      </c>
      <c r="AI386" s="8" t="str">
        <f t="shared" si="22"/>
        <v/>
      </c>
      <c r="AJ386" s="8" t="str">
        <f t="shared" si="23"/>
        <v/>
      </c>
      <c r="AL386" s="8" t="str">
        <f t="shared" si="24"/>
        <v/>
      </c>
    </row>
    <row r="387" spans="1:38" x14ac:dyDescent="0.25">
      <c r="A387" s="8" t="s">
        <v>865</v>
      </c>
      <c r="B387" s="8" t="s">
        <v>866</v>
      </c>
      <c r="C387" s="8">
        <v>30822033</v>
      </c>
      <c r="D387" s="8">
        <v>5</v>
      </c>
      <c r="E387" s="11">
        <v>43108</v>
      </c>
      <c r="F387" s="8" t="s">
        <v>58</v>
      </c>
      <c r="G387" s="11">
        <v>43109</v>
      </c>
      <c r="H387" s="8" t="s">
        <v>25</v>
      </c>
      <c r="I387" s="11">
        <v>43111</v>
      </c>
      <c r="J387" s="8" t="s">
        <v>25</v>
      </c>
      <c r="N387" s="8" t="s">
        <v>58</v>
      </c>
      <c r="O387" s="8" t="s">
        <v>59</v>
      </c>
      <c r="P387" s="8" t="s">
        <v>59</v>
      </c>
      <c r="R387" s="8">
        <v>0</v>
      </c>
      <c r="S387" s="8">
        <v>0</v>
      </c>
      <c r="T387" s="8">
        <v>1</v>
      </c>
      <c r="U387" s="8">
        <v>2</v>
      </c>
      <c r="X387" s="8">
        <v>5</v>
      </c>
      <c r="AG387" s="8" t="str">
        <f t="shared" ref="AG387:AG450" si="25">IF(AND(U387="",G387&lt;&gt;"",NOT(OR(R387,S387))),IF(NETWORKDAYS.INTL(G387,TODAY(),11)&lt;5,"En Plazo",IF(NETWORKDAYS.INTL(G387,TODAY(),11)=5,"Riesgo Incumplimiento","FALTA_02")),"")</f>
        <v/>
      </c>
      <c r="AI387" s="8" t="str">
        <f t="shared" ref="AI387:AI450" si="26">IF(AND(O387&lt;&gt;"B1",F387="Rejected"),IF(W387="","FALTA_04",""),"")</f>
        <v/>
      </c>
      <c r="AJ387" s="8" t="str">
        <f t="shared" ref="AJ387:AJ450" si="27">IF(AND(X387="",I387&lt;&gt;"",NOT(OR(R387,S387))),IF(NETWORKDAYS.INTL(G387,TODAY(),11)&lt;=1,"En Plazo",IF(OR(AND(X387="",O387&lt;&gt;"M1"),AND(O387="M1",(OR(Q387="S - S",Q387="S - T",)))),"FALTA_05","")),"")</f>
        <v/>
      </c>
      <c r="AL387" s="8" t="str">
        <f t="shared" ref="AL387:AL450" si="28">IF(AND(O387="B1",F387="Rejected"),IF(Z387="","FALTA_07",""),"")</f>
        <v/>
      </c>
    </row>
    <row r="388" spans="1:38" x14ac:dyDescent="0.25">
      <c r="A388" s="8" t="s">
        <v>3372</v>
      </c>
      <c r="B388" s="8" t="s">
        <v>3373</v>
      </c>
      <c r="C388" s="8">
        <v>30864369</v>
      </c>
      <c r="D388" s="8">
        <v>5</v>
      </c>
      <c r="E388" s="11">
        <v>43110</v>
      </c>
      <c r="F388" s="8" t="s">
        <v>58</v>
      </c>
      <c r="G388" s="11">
        <v>43111</v>
      </c>
      <c r="H388" s="8" t="s">
        <v>25</v>
      </c>
      <c r="I388" s="11">
        <v>43111</v>
      </c>
      <c r="J388" s="8" t="s">
        <v>25</v>
      </c>
      <c r="N388" s="8" t="s">
        <v>58</v>
      </c>
      <c r="O388" s="8" t="s">
        <v>59</v>
      </c>
      <c r="P388" s="8" t="s">
        <v>59</v>
      </c>
      <c r="R388" s="8">
        <v>0</v>
      </c>
      <c r="S388" s="8">
        <v>0</v>
      </c>
      <c r="T388" s="8">
        <v>1</v>
      </c>
      <c r="U388" s="8">
        <v>2</v>
      </c>
      <c r="X388" s="8">
        <v>5</v>
      </c>
      <c r="AG388" s="8" t="str">
        <f t="shared" si="25"/>
        <v/>
      </c>
      <c r="AI388" s="8" t="str">
        <f t="shared" si="26"/>
        <v/>
      </c>
      <c r="AJ388" s="8" t="str">
        <f t="shared" si="27"/>
        <v/>
      </c>
      <c r="AL388" s="8" t="str">
        <f t="shared" si="28"/>
        <v/>
      </c>
    </row>
    <row r="389" spans="1:38" x14ac:dyDescent="0.25">
      <c r="A389" s="8" t="s">
        <v>4858</v>
      </c>
      <c r="B389" s="8" t="s">
        <v>4859</v>
      </c>
      <c r="C389" s="8">
        <v>30891779</v>
      </c>
      <c r="D389" s="8">
        <v>5</v>
      </c>
      <c r="E389" s="11">
        <v>43111</v>
      </c>
      <c r="F389" s="8" t="s">
        <v>58</v>
      </c>
      <c r="G389" s="11">
        <v>43112</v>
      </c>
      <c r="H389" s="8" t="s">
        <v>25</v>
      </c>
      <c r="I389" s="11">
        <v>43112</v>
      </c>
      <c r="J389" s="8" t="s">
        <v>25</v>
      </c>
      <c r="N389" s="8" t="s">
        <v>58</v>
      </c>
      <c r="O389" s="8" t="s">
        <v>59</v>
      </c>
      <c r="P389" s="8" t="s">
        <v>59</v>
      </c>
      <c r="R389" s="8">
        <v>0</v>
      </c>
      <c r="S389" s="8">
        <v>0</v>
      </c>
      <c r="T389" s="8">
        <v>1</v>
      </c>
      <c r="U389" s="8">
        <v>2</v>
      </c>
      <c r="X389" s="8">
        <v>5</v>
      </c>
      <c r="AG389" s="8" t="str">
        <f t="shared" si="25"/>
        <v/>
      </c>
      <c r="AI389" s="8" t="str">
        <f t="shared" si="26"/>
        <v/>
      </c>
      <c r="AJ389" s="8" t="str">
        <f t="shared" si="27"/>
        <v/>
      </c>
      <c r="AL389" s="8" t="str">
        <f t="shared" si="28"/>
        <v/>
      </c>
    </row>
    <row r="390" spans="1:38" x14ac:dyDescent="0.25">
      <c r="A390" s="8" t="s">
        <v>4860</v>
      </c>
      <c r="B390" s="8" t="s">
        <v>4861</v>
      </c>
      <c r="C390" s="8">
        <v>30909672</v>
      </c>
      <c r="D390" s="8">
        <v>5</v>
      </c>
      <c r="E390" s="11">
        <v>43112</v>
      </c>
      <c r="F390" s="8" t="s">
        <v>57</v>
      </c>
      <c r="G390" s="11">
        <v>43112</v>
      </c>
      <c r="H390" s="8" t="s">
        <v>25</v>
      </c>
      <c r="J390" s="8" t="s">
        <v>25</v>
      </c>
      <c r="N390" s="8" t="s">
        <v>58</v>
      </c>
      <c r="O390" s="8" t="s">
        <v>59</v>
      </c>
      <c r="P390" s="8" t="s">
        <v>59</v>
      </c>
      <c r="R390" s="8">
        <v>0</v>
      </c>
      <c r="S390" s="8">
        <v>0</v>
      </c>
      <c r="T390" s="8">
        <v>1</v>
      </c>
      <c r="U390" s="8">
        <v>2</v>
      </c>
      <c r="AG390" s="8" t="str">
        <f t="shared" si="25"/>
        <v/>
      </c>
      <c r="AI390" s="8" t="str">
        <f t="shared" si="26"/>
        <v/>
      </c>
      <c r="AJ390" s="8" t="str">
        <f t="shared" si="27"/>
        <v/>
      </c>
      <c r="AL390" s="8" t="str">
        <f t="shared" si="28"/>
        <v/>
      </c>
    </row>
    <row r="391" spans="1:38" x14ac:dyDescent="0.25">
      <c r="A391" s="8" t="s">
        <v>1773</v>
      </c>
      <c r="B391" s="8" t="s">
        <v>1774</v>
      </c>
      <c r="C391" s="8">
        <v>30869252</v>
      </c>
      <c r="D391" s="8">
        <v>5</v>
      </c>
      <c r="E391" s="11">
        <v>43110</v>
      </c>
      <c r="F391" s="8" t="s">
        <v>57</v>
      </c>
      <c r="G391" s="11">
        <v>43110</v>
      </c>
      <c r="H391" s="8" t="s">
        <v>25</v>
      </c>
      <c r="J391" s="8" t="s">
        <v>25</v>
      </c>
      <c r="N391" s="8" t="s">
        <v>58</v>
      </c>
      <c r="O391" s="8" t="s">
        <v>59</v>
      </c>
      <c r="P391" s="8" t="s">
        <v>59</v>
      </c>
      <c r="R391" s="8">
        <v>0</v>
      </c>
      <c r="S391" s="8">
        <v>0</v>
      </c>
      <c r="T391" s="8">
        <v>1</v>
      </c>
      <c r="U391" s="8">
        <v>2</v>
      </c>
      <c r="AG391" s="8" t="str">
        <f t="shared" si="25"/>
        <v/>
      </c>
      <c r="AI391" s="8" t="str">
        <f t="shared" si="26"/>
        <v/>
      </c>
      <c r="AJ391" s="8" t="str">
        <f t="shared" si="27"/>
        <v/>
      </c>
      <c r="AL391" s="8" t="str">
        <f t="shared" si="28"/>
        <v/>
      </c>
    </row>
    <row r="392" spans="1:38" x14ac:dyDescent="0.25">
      <c r="A392" s="8" t="s">
        <v>1775</v>
      </c>
      <c r="B392" s="8" t="s">
        <v>1776</v>
      </c>
      <c r="C392" s="8">
        <v>30837593</v>
      </c>
      <c r="D392" s="8">
        <v>5</v>
      </c>
      <c r="E392" s="11">
        <v>43109</v>
      </c>
      <c r="F392" s="8" t="s">
        <v>58</v>
      </c>
      <c r="G392" s="11">
        <v>43110</v>
      </c>
      <c r="H392" s="8" t="s">
        <v>25</v>
      </c>
      <c r="I392" s="11">
        <v>43112</v>
      </c>
      <c r="J392" s="8" t="s">
        <v>25</v>
      </c>
      <c r="N392" s="8" t="s">
        <v>58</v>
      </c>
      <c r="O392" s="8" t="s">
        <v>59</v>
      </c>
      <c r="P392" s="8" t="s">
        <v>59</v>
      </c>
      <c r="R392" s="8">
        <v>0</v>
      </c>
      <c r="S392" s="8">
        <v>0</v>
      </c>
      <c r="T392" s="8">
        <v>1</v>
      </c>
      <c r="U392" s="8">
        <v>2</v>
      </c>
      <c r="X392" s="8">
        <v>5</v>
      </c>
      <c r="AG392" s="8" t="str">
        <f t="shared" si="25"/>
        <v/>
      </c>
      <c r="AI392" s="8" t="str">
        <f t="shared" si="26"/>
        <v/>
      </c>
      <c r="AJ392" s="8" t="str">
        <f t="shared" si="27"/>
        <v/>
      </c>
      <c r="AL392" s="8" t="str">
        <f t="shared" si="28"/>
        <v/>
      </c>
    </row>
    <row r="393" spans="1:38" x14ac:dyDescent="0.25">
      <c r="A393" s="8" t="s">
        <v>212</v>
      </c>
      <c r="B393" s="8" t="s">
        <v>213</v>
      </c>
      <c r="C393" s="8">
        <v>30822711</v>
      </c>
      <c r="D393" s="8">
        <v>5</v>
      </c>
      <c r="E393" s="11">
        <v>43108</v>
      </c>
      <c r="F393" s="8" t="s">
        <v>58</v>
      </c>
      <c r="G393" s="11">
        <v>43108</v>
      </c>
      <c r="H393" s="8" t="s">
        <v>25</v>
      </c>
      <c r="I393" s="11">
        <v>43108</v>
      </c>
      <c r="J393" s="8" t="s">
        <v>25</v>
      </c>
      <c r="N393" s="8" t="s">
        <v>58</v>
      </c>
      <c r="O393" s="8" t="s">
        <v>59</v>
      </c>
      <c r="P393" s="8" t="s">
        <v>59</v>
      </c>
      <c r="R393" s="8">
        <v>0</v>
      </c>
      <c r="S393" s="8">
        <v>0</v>
      </c>
      <c r="T393" s="8">
        <v>1</v>
      </c>
      <c r="U393" s="8">
        <v>2</v>
      </c>
      <c r="X393" s="8">
        <v>5</v>
      </c>
      <c r="AG393" s="8" t="str">
        <f t="shared" si="25"/>
        <v/>
      </c>
      <c r="AI393" s="8" t="str">
        <f t="shared" si="26"/>
        <v/>
      </c>
      <c r="AJ393" s="8" t="str">
        <f t="shared" si="27"/>
        <v/>
      </c>
      <c r="AL393" s="8" t="str">
        <f t="shared" si="28"/>
        <v/>
      </c>
    </row>
    <row r="394" spans="1:38" x14ac:dyDescent="0.25">
      <c r="A394" s="8" t="s">
        <v>867</v>
      </c>
      <c r="B394" s="8" t="s">
        <v>868</v>
      </c>
      <c r="C394" s="8">
        <v>30829888</v>
      </c>
      <c r="D394" s="8">
        <v>5</v>
      </c>
      <c r="E394" s="11">
        <v>43108</v>
      </c>
      <c r="F394" s="8" t="s">
        <v>58</v>
      </c>
      <c r="G394" s="11">
        <v>43109</v>
      </c>
      <c r="H394" s="8" t="s">
        <v>25</v>
      </c>
      <c r="I394" s="11">
        <v>43109</v>
      </c>
      <c r="J394" s="8" t="s">
        <v>25</v>
      </c>
      <c r="N394" s="8" t="s">
        <v>58</v>
      </c>
      <c r="O394" s="8" t="s">
        <v>59</v>
      </c>
      <c r="P394" s="8" t="s">
        <v>59</v>
      </c>
      <c r="R394" s="8">
        <v>0</v>
      </c>
      <c r="S394" s="8">
        <v>0</v>
      </c>
      <c r="T394" s="8">
        <v>1</v>
      </c>
      <c r="U394" s="8">
        <v>2</v>
      </c>
      <c r="X394" s="8">
        <v>5</v>
      </c>
      <c r="AG394" s="8" t="str">
        <f t="shared" si="25"/>
        <v/>
      </c>
      <c r="AI394" s="8" t="str">
        <f t="shared" si="26"/>
        <v/>
      </c>
      <c r="AJ394" s="8" t="str">
        <f t="shared" si="27"/>
        <v/>
      </c>
      <c r="AL394" s="8" t="str">
        <f t="shared" si="28"/>
        <v/>
      </c>
    </row>
    <row r="395" spans="1:38" x14ac:dyDescent="0.25">
      <c r="A395" s="8" t="s">
        <v>6729</v>
      </c>
      <c r="B395" s="8" t="s">
        <v>6730</v>
      </c>
      <c r="C395" s="8">
        <v>30900718</v>
      </c>
      <c r="D395" s="8">
        <v>5</v>
      </c>
      <c r="E395" s="11">
        <v>43111</v>
      </c>
      <c r="F395" s="8" t="s">
        <v>57</v>
      </c>
      <c r="G395" s="11">
        <v>43115</v>
      </c>
      <c r="H395" s="8" t="s">
        <v>25</v>
      </c>
      <c r="J395" s="8" t="s">
        <v>25</v>
      </c>
      <c r="N395" s="8" t="s">
        <v>58</v>
      </c>
      <c r="O395" s="8" t="s">
        <v>59</v>
      </c>
      <c r="P395" s="8" t="s">
        <v>59</v>
      </c>
      <c r="R395" s="8">
        <v>0</v>
      </c>
      <c r="S395" s="8">
        <v>0</v>
      </c>
      <c r="T395" s="8">
        <v>1</v>
      </c>
      <c r="U395" s="8">
        <v>2</v>
      </c>
      <c r="AG395" s="8" t="str">
        <f t="shared" si="25"/>
        <v/>
      </c>
      <c r="AI395" s="8" t="str">
        <f t="shared" si="26"/>
        <v/>
      </c>
      <c r="AJ395" s="8" t="str">
        <f t="shared" si="27"/>
        <v/>
      </c>
      <c r="AL395" s="8" t="str">
        <f t="shared" si="28"/>
        <v/>
      </c>
    </row>
    <row r="396" spans="1:38" x14ac:dyDescent="0.25">
      <c r="A396" s="8" t="s">
        <v>869</v>
      </c>
      <c r="B396" s="8" t="s">
        <v>870</v>
      </c>
      <c r="C396" s="8">
        <v>30818382</v>
      </c>
      <c r="D396" s="8">
        <v>5</v>
      </c>
      <c r="E396" s="11">
        <v>43108</v>
      </c>
      <c r="F396" s="8" t="s">
        <v>58</v>
      </c>
      <c r="G396" s="11">
        <v>43109</v>
      </c>
      <c r="H396" s="8" t="s">
        <v>25</v>
      </c>
      <c r="I396" s="11">
        <v>43110</v>
      </c>
      <c r="J396" s="8" t="s">
        <v>25</v>
      </c>
      <c r="N396" s="8" t="s">
        <v>58</v>
      </c>
      <c r="O396" s="8" t="s">
        <v>59</v>
      </c>
      <c r="P396" s="8" t="s">
        <v>59</v>
      </c>
      <c r="R396" s="8">
        <v>0</v>
      </c>
      <c r="S396" s="8">
        <v>0</v>
      </c>
      <c r="T396" s="8">
        <v>1</v>
      </c>
      <c r="U396" s="8">
        <v>2</v>
      </c>
      <c r="X396" s="8">
        <v>5</v>
      </c>
      <c r="AG396" s="8" t="str">
        <f t="shared" si="25"/>
        <v/>
      </c>
      <c r="AI396" s="8" t="str">
        <f t="shared" si="26"/>
        <v/>
      </c>
      <c r="AJ396" s="8" t="str">
        <f t="shared" si="27"/>
        <v/>
      </c>
      <c r="AL396" s="8" t="str">
        <f t="shared" si="28"/>
        <v/>
      </c>
    </row>
    <row r="397" spans="1:38" x14ac:dyDescent="0.25">
      <c r="A397" s="8" t="s">
        <v>4862</v>
      </c>
      <c r="B397" s="8" t="s">
        <v>4863</v>
      </c>
      <c r="C397" s="8">
        <v>30806751</v>
      </c>
      <c r="D397" s="8">
        <v>5</v>
      </c>
      <c r="E397" s="11">
        <v>43108</v>
      </c>
      <c r="F397" s="8" t="s">
        <v>57</v>
      </c>
      <c r="G397" s="11">
        <v>43112</v>
      </c>
      <c r="H397" s="8" t="s">
        <v>145</v>
      </c>
      <c r="J397" s="8" t="s">
        <v>25</v>
      </c>
      <c r="N397" s="8" t="s">
        <v>58</v>
      </c>
      <c r="O397" s="8" t="s">
        <v>59</v>
      </c>
      <c r="P397" s="8" t="s">
        <v>59</v>
      </c>
      <c r="R397" s="8">
        <v>0</v>
      </c>
      <c r="S397" s="8">
        <v>0</v>
      </c>
      <c r="T397" s="8">
        <v>1</v>
      </c>
      <c r="U397" s="8">
        <v>2</v>
      </c>
      <c r="AG397" s="8" t="str">
        <f t="shared" si="25"/>
        <v/>
      </c>
      <c r="AI397" s="8" t="str">
        <f t="shared" si="26"/>
        <v/>
      </c>
      <c r="AJ397" s="8" t="str">
        <f t="shared" si="27"/>
        <v/>
      </c>
      <c r="AL397" s="8" t="str">
        <f t="shared" si="28"/>
        <v/>
      </c>
    </row>
    <row r="398" spans="1:38" x14ac:dyDescent="0.25">
      <c r="A398" s="8" t="s">
        <v>1777</v>
      </c>
      <c r="B398" s="8" t="s">
        <v>1778</v>
      </c>
      <c r="C398" s="8">
        <v>30863184</v>
      </c>
      <c r="D398" s="8">
        <v>5</v>
      </c>
      <c r="E398" s="11">
        <v>43110</v>
      </c>
      <c r="F398" s="8" t="s">
        <v>57</v>
      </c>
      <c r="G398" s="11">
        <v>43110</v>
      </c>
      <c r="H398" s="8" t="s">
        <v>25</v>
      </c>
      <c r="J398" s="8" t="s">
        <v>25</v>
      </c>
      <c r="N398" s="8" t="s">
        <v>58</v>
      </c>
      <c r="O398" s="8" t="s">
        <v>59</v>
      </c>
      <c r="P398" s="8" t="s">
        <v>59</v>
      </c>
      <c r="R398" s="8">
        <v>0</v>
      </c>
      <c r="S398" s="8">
        <v>0</v>
      </c>
      <c r="T398" s="8">
        <v>1</v>
      </c>
      <c r="U398" s="8">
        <v>2</v>
      </c>
      <c r="AG398" s="8" t="str">
        <f t="shared" si="25"/>
        <v/>
      </c>
      <c r="AI398" s="8" t="str">
        <f t="shared" si="26"/>
        <v/>
      </c>
      <c r="AJ398" s="8" t="str">
        <f t="shared" si="27"/>
        <v/>
      </c>
      <c r="AL398" s="8" t="str">
        <f t="shared" si="28"/>
        <v/>
      </c>
    </row>
    <row r="399" spans="1:38" x14ac:dyDescent="0.25">
      <c r="A399" s="8" t="s">
        <v>3374</v>
      </c>
      <c r="B399" s="8" t="s">
        <v>3375</v>
      </c>
      <c r="C399" s="8">
        <v>30894513</v>
      </c>
      <c r="D399" s="8">
        <v>5</v>
      </c>
      <c r="E399" s="11">
        <v>43111</v>
      </c>
      <c r="F399" s="8" t="s">
        <v>57</v>
      </c>
      <c r="G399" s="11">
        <v>43111</v>
      </c>
      <c r="H399" s="8" t="s">
        <v>25</v>
      </c>
      <c r="J399" s="8" t="s">
        <v>25</v>
      </c>
      <c r="N399" s="8" t="s">
        <v>58</v>
      </c>
      <c r="O399" s="8" t="s">
        <v>59</v>
      </c>
      <c r="P399" s="8" t="s">
        <v>59</v>
      </c>
      <c r="R399" s="8">
        <v>0</v>
      </c>
      <c r="S399" s="8">
        <v>0</v>
      </c>
      <c r="T399" s="8">
        <v>1</v>
      </c>
      <c r="U399" s="8">
        <v>2</v>
      </c>
      <c r="AG399" s="8" t="str">
        <f t="shared" si="25"/>
        <v/>
      </c>
      <c r="AI399" s="8" t="str">
        <f t="shared" si="26"/>
        <v/>
      </c>
      <c r="AJ399" s="8" t="str">
        <f t="shared" si="27"/>
        <v/>
      </c>
      <c r="AL399" s="8" t="str">
        <f t="shared" si="28"/>
        <v/>
      </c>
    </row>
    <row r="400" spans="1:38" x14ac:dyDescent="0.25">
      <c r="A400" s="8" t="s">
        <v>3376</v>
      </c>
      <c r="B400" s="8" t="s">
        <v>3377</v>
      </c>
      <c r="C400" s="8">
        <v>30888858</v>
      </c>
      <c r="D400" s="8">
        <v>5</v>
      </c>
      <c r="E400" s="11">
        <v>43111</v>
      </c>
      <c r="F400" s="8" t="s">
        <v>57</v>
      </c>
      <c r="G400" s="11">
        <v>43111</v>
      </c>
      <c r="H400" s="8" t="s">
        <v>25</v>
      </c>
      <c r="J400" s="8" t="s">
        <v>25</v>
      </c>
      <c r="N400" s="8" t="s">
        <v>58</v>
      </c>
      <c r="O400" s="8" t="s">
        <v>59</v>
      </c>
      <c r="P400" s="8" t="s">
        <v>59</v>
      </c>
      <c r="R400" s="8">
        <v>0</v>
      </c>
      <c r="S400" s="8">
        <v>0</v>
      </c>
      <c r="T400" s="8">
        <v>1</v>
      </c>
      <c r="U400" s="8">
        <v>2</v>
      </c>
      <c r="AG400" s="8" t="str">
        <f t="shared" si="25"/>
        <v/>
      </c>
      <c r="AI400" s="8" t="str">
        <f t="shared" si="26"/>
        <v/>
      </c>
      <c r="AJ400" s="8" t="str">
        <f t="shared" si="27"/>
        <v/>
      </c>
      <c r="AL400" s="8" t="str">
        <f t="shared" si="28"/>
        <v/>
      </c>
    </row>
    <row r="401" spans="1:38" x14ac:dyDescent="0.25">
      <c r="A401" s="8" t="s">
        <v>3378</v>
      </c>
      <c r="B401" s="8" t="s">
        <v>3379</v>
      </c>
      <c r="C401" s="8">
        <v>30869613</v>
      </c>
      <c r="D401" s="8">
        <v>5</v>
      </c>
      <c r="E401" s="11">
        <v>43110</v>
      </c>
      <c r="F401" s="8" t="s">
        <v>58</v>
      </c>
      <c r="G401" s="11">
        <v>43111</v>
      </c>
      <c r="H401" s="8" t="s">
        <v>25</v>
      </c>
      <c r="I401" s="11">
        <v>43111</v>
      </c>
      <c r="J401" s="8" t="s">
        <v>25</v>
      </c>
      <c r="N401" s="8" t="s">
        <v>58</v>
      </c>
      <c r="O401" s="8" t="s">
        <v>59</v>
      </c>
      <c r="P401" s="8" t="s">
        <v>59</v>
      </c>
      <c r="R401" s="8">
        <v>0</v>
      </c>
      <c r="S401" s="8">
        <v>0</v>
      </c>
      <c r="T401" s="8">
        <v>1</v>
      </c>
      <c r="U401" s="8">
        <v>2</v>
      </c>
      <c r="X401" s="8">
        <v>5</v>
      </c>
      <c r="AG401" s="8" t="str">
        <f t="shared" si="25"/>
        <v/>
      </c>
      <c r="AI401" s="8" t="str">
        <f t="shared" si="26"/>
        <v/>
      </c>
      <c r="AJ401" s="8" t="str">
        <f t="shared" si="27"/>
        <v/>
      </c>
      <c r="AL401" s="8" t="str">
        <f t="shared" si="28"/>
        <v/>
      </c>
    </row>
    <row r="402" spans="1:38" x14ac:dyDescent="0.25">
      <c r="A402" s="8" t="s">
        <v>1779</v>
      </c>
      <c r="B402" s="8" t="s">
        <v>1780</v>
      </c>
      <c r="C402" s="8">
        <v>30873190</v>
      </c>
      <c r="D402" s="8">
        <v>5</v>
      </c>
      <c r="E402" s="11">
        <v>43110</v>
      </c>
      <c r="F402" s="8" t="s">
        <v>58</v>
      </c>
      <c r="G402" s="11">
        <v>43110</v>
      </c>
      <c r="H402" s="8" t="s">
        <v>25</v>
      </c>
      <c r="I402" s="11">
        <v>43110</v>
      </c>
      <c r="J402" s="8" t="s">
        <v>25</v>
      </c>
      <c r="N402" s="8" t="s">
        <v>58</v>
      </c>
      <c r="O402" s="8" t="s">
        <v>59</v>
      </c>
      <c r="P402" s="8" t="s">
        <v>59</v>
      </c>
      <c r="R402" s="8">
        <v>0</v>
      </c>
      <c r="S402" s="8">
        <v>0</v>
      </c>
      <c r="T402" s="8">
        <v>1</v>
      </c>
      <c r="U402" s="8">
        <v>2</v>
      </c>
      <c r="X402" s="8">
        <v>5</v>
      </c>
      <c r="AG402" s="8" t="str">
        <f t="shared" si="25"/>
        <v/>
      </c>
      <c r="AI402" s="8" t="str">
        <f t="shared" si="26"/>
        <v/>
      </c>
      <c r="AJ402" s="8" t="str">
        <f t="shared" si="27"/>
        <v/>
      </c>
      <c r="AL402" s="8" t="str">
        <f t="shared" si="28"/>
        <v/>
      </c>
    </row>
    <row r="403" spans="1:38" x14ac:dyDescent="0.25">
      <c r="A403" s="8" t="s">
        <v>4864</v>
      </c>
      <c r="B403" s="8" t="s">
        <v>4865</v>
      </c>
      <c r="C403" s="8">
        <v>30877373</v>
      </c>
      <c r="D403" s="8">
        <v>5</v>
      </c>
      <c r="E403" s="11">
        <v>43110</v>
      </c>
      <c r="F403" s="8" t="s">
        <v>57</v>
      </c>
      <c r="G403" s="11">
        <v>43112</v>
      </c>
      <c r="H403" s="8" t="s">
        <v>25</v>
      </c>
      <c r="J403" s="8" t="s">
        <v>25</v>
      </c>
      <c r="N403" s="8" t="s">
        <v>58</v>
      </c>
      <c r="O403" s="8" t="s">
        <v>59</v>
      </c>
      <c r="P403" s="8" t="s">
        <v>59</v>
      </c>
      <c r="R403" s="8">
        <v>0</v>
      </c>
      <c r="S403" s="8">
        <v>0</v>
      </c>
      <c r="T403" s="8">
        <v>1</v>
      </c>
      <c r="U403" s="8">
        <v>2</v>
      </c>
      <c r="AG403" s="8" t="str">
        <f t="shared" si="25"/>
        <v/>
      </c>
      <c r="AI403" s="8" t="str">
        <f t="shared" si="26"/>
        <v/>
      </c>
      <c r="AJ403" s="8" t="str">
        <f t="shared" si="27"/>
        <v/>
      </c>
      <c r="AL403" s="8" t="str">
        <f t="shared" si="28"/>
        <v/>
      </c>
    </row>
    <row r="404" spans="1:38" x14ac:dyDescent="0.25">
      <c r="A404" s="8" t="s">
        <v>871</v>
      </c>
      <c r="B404" s="8" t="s">
        <v>872</v>
      </c>
      <c r="C404" s="8">
        <v>30832546</v>
      </c>
      <c r="D404" s="8">
        <v>5</v>
      </c>
      <c r="E404" s="11">
        <v>43109</v>
      </c>
      <c r="F404" s="8" t="s">
        <v>58</v>
      </c>
      <c r="G404" s="11">
        <v>43109</v>
      </c>
      <c r="H404" s="8" t="s">
        <v>25</v>
      </c>
      <c r="I404" s="11">
        <v>43109</v>
      </c>
      <c r="J404" s="8" t="s">
        <v>25</v>
      </c>
      <c r="N404" s="8" t="s">
        <v>58</v>
      </c>
      <c r="O404" s="8" t="s">
        <v>59</v>
      </c>
      <c r="P404" s="8" t="s">
        <v>59</v>
      </c>
      <c r="R404" s="8">
        <v>0</v>
      </c>
      <c r="S404" s="8">
        <v>0</v>
      </c>
      <c r="T404" s="8">
        <v>1</v>
      </c>
      <c r="U404" s="8">
        <v>2</v>
      </c>
      <c r="X404" s="8">
        <v>5</v>
      </c>
      <c r="AG404" s="8" t="str">
        <f t="shared" si="25"/>
        <v/>
      </c>
      <c r="AI404" s="8" t="str">
        <f t="shared" si="26"/>
        <v/>
      </c>
      <c r="AJ404" s="8" t="str">
        <f t="shared" si="27"/>
        <v/>
      </c>
      <c r="AL404" s="8" t="str">
        <f t="shared" si="28"/>
        <v/>
      </c>
    </row>
    <row r="405" spans="1:38" x14ac:dyDescent="0.25">
      <c r="A405" s="8" t="s">
        <v>873</v>
      </c>
      <c r="B405" s="8" t="s">
        <v>874</v>
      </c>
      <c r="C405" s="8">
        <v>30851939</v>
      </c>
      <c r="D405" s="8">
        <v>5</v>
      </c>
      <c r="E405" s="11">
        <v>43109</v>
      </c>
      <c r="F405" s="8" t="s">
        <v>57</v>
      </c>
      <c r="G405" s="11">
        <v>43109</v>
      </c>
      <c r="H405" s="8" t="s">
        <v>25</v>
      </c>
      <c r="J405" s="8" t="s">
        <v>25</v>
      </c>
      <c r="N405" s="8" t="s">
        <v>58</v>
      </c>
      <c r="O405" s="8" t="s">
        <v>59</v>
      </c>
      <c r="P405" s="8" t="s">
        <v>59</v>
      </c>
      <c r="R405" s="8">
        <v>0</v>
      </c>
      <c r="S405" s="8">
        <v>0</v>
      </c>
      <c r="T405" s="8">
        <v>1</v>
      </c>
      <c r="U405" s="8">
        <v>2</v>
      </c>
      <c r="AG405" s="8" t="str">
        <f t="shared" si="25"/>
        <v/>
      </c>
      <c r="AI405" s="8" t="str">
        <f t="shared" si="26"/>
        <v/>
      </c>
      <c r="AJ405" s="8" t="str">
        <f t="shared" si="27"/>
        <v/>
      </c>
      <c r="AL405" s="8" t="str">
        <f t="shared" si="28"/>
        <v/>
      </c>
    </row>
    <row r="406" spans="1:38" x14ac:dyDescent="0.25">
      <c r="A406" s="8" t="s">
        <v>6731</v>
      </c>
      <c r="B406" s="8" t="s">
        <v>6732</v>
      </c>
      <c r="C406" s="8">
        <v>30931515</v>
      </c>
      <c r="D406" s="8">
        <v>5</v>
      </c>
      <c r="E406" s="11">
        <v>43115</v>
      </c>
      <c r="F406" s="8" t="s">
        <v>57</v>
      </c>
      <c r="G406" s="11">
        <v>43115</v>
      </c>
      <c r="H406" s="8" t="s">
        <v>25</v>
      </c>
      <c r="J406" s="8" t="s">
        <v>25</v>
      </c>
      <c r="N406" s="8" t="s">
        <v>58</v>
      </c>
      <c r="O406" s="8" t="s">
        <v>59</v>
      </c>
      <c r="P406" s="8" t="s">
        <v>59</v>
      </c>
      <c r="R406" s="8">
        <v>0</v>
      </c>
      <c r="S406" s="8">
        <v>0</v>
      </c>
      <c r="T406" s="8">
        <v>1</v>
      </c>
      <c r="U406" s="8">
        <v>2</v>
      </c>
      <c r="AG406" s="8" t="str">
        <f t="shared" si="25"/>
        <v/>
      </c>
      <c r="AI406" s="8" t="str">
        <f t="shared" si="26"/>
        <v/>
      </c>
      <c r="AJ406" s="8" t="str">
        <f t="shared" si="27"/>
        <v/>
      </c>
      <c r="AL406" s="8" t="str">
        <f t="shared" si="28"/>
        <v/>
      </c>
    </row>
    <row r="407" spans="1:38" x14ac:dyDescent="0.25">
      <c r="A407" s="8" t="s">
        <v>3380</v>
      </c>
      <c r="B407" s="8" t="s">
        <v>3381</v>
      </c>
      <c r="C407" s="8">
        <v>30882423</v>
      </c>
      <c r="D407" s="8">
        <v>5</v>
      </c>
      <c r="E407" s="11">
        <v>43111</v>
      </c>
      <c r="F407" s="8" t="s">
        <v>57</v>
      </c>
      <c r="G407" s="11">
        <v>43111</v>
      </c>
      <c r="H407" s="8" t="s">
        <v>25</v>
      </c>
      <c r="J407" s="8" t="s">
        <v>25</v>
      </c>
      <c r="N407" s="8" t="s">
        <v>58</v>
      </c>
      <c r="O407" s="8" t="s">
        <v>59</v>
      </c>
      <c r="P407" s="8" t="s">
        <v>59</v>
      </c>
      <c r="R407" s="8">
        <v>0</v>
      </c>
      <c r="S407" s="8">
        <v>0</v>
      </c>
      <c r="T407" s="8">
        <v>1</v>
      </c>
      <c r="U407" s="8">
        <v>2</v>
      </c>
      <c r="AG407" s="8" t="str">
        <f t="shared" si="25"/>
        <v/>
      </c>
      <c r="AI407" s="8" t="str">
        <f t="shared" si="26"/>
        <v/>
      </c>
      <c r="AJ407" s="8" t="str">
        <f t="shared" si="27"/>
        <v/>
      </c>
      <c r="AL407" s="8" t="str">
        <f t="shared" si="28"/>
        <v/>
      </c>
    </row>
    <row r="408" spans="1:38" x14ac:dyDescent="0.25">
      <c r="A408" s="8" t="s">
        <v>1781</v>
      </c>
      <c r="B408" s="8" t="s">
        <v>1782</v>
      </c>
      <c r="C408" s="8">
        <v>30863250</v>
      </c>
      <c r="D408" s="8">
        <v>5</v>
      </c>
      <c r="E408" s="11">
        <v>43110</v>
      </c>
      <c r="F408" s="8" t="s">
        <v>57</v>
      </c>
      <c r="G408" s="11">
        <v>43110</v>
      </c>
      <c r="H408" s="8" t="s">
        <v>25</v>
      </c>
      <c r="J408" s="8" t="s">
        <v>25</v>
      </c>
      <c r="N408" s="8" t="s">
        <v>58</v>
      </c>
      <c r="O408" s="8" t="s">
        <v>59</v>
      </c>
      <c r="P408" s="8" t="s">
        <v>59</v>
      </c>
      <c r="R408" s="8">
        <v>0</v>
      </c>
      <c r="S408" s="8">
        <v>0</v>
      </c>
      <c r="T408" s="8">
        <v>1</v>
      </c>
      <c r="U408" s="8">
        <v>2</v>
      </c>
      <c r="AG408" s="8" t="str">
        <f t="shared" si="25"/>
        <v/>
      </c>
      <c r="AI408" s="8" t="str">
        <f t="shared" si="26"/>
        <v/>
      </c>
      <c r="AJ408" s="8" t="str">
        <f t="shared" si="27"/>
        <v/>
      </c>
      <c r="AL408" s="8" t="str">
        <f t="shared" si="28"/>
        <v/>
      </c>
    </row>
    <row r="409" spans="1:38" x14ac:dyDescent="0.25">
      <c r="A409" s="8" t="s">
        <v>3382</v>
      </c>
      <c r="B409" s="8" t="s">
        <v>3383</v>
      </c>
      <c r="C409" s="8">
        <v>30878740</v>
      </c>
      <c r="D409" s="8">
        <v>5</v>
      </c>
      <c r="E409" s="11">
        <v>43110</v>
      </c>
      <c r="F409" s="8" t="s">
        <v>57</v>
      </c>
      <c r="G409" s="11">
        <v>43111</v>
      </c>
      <c r="H409" s="8" t="s">
        <v>25</v>
      </c>
      <c r="J409" s="8" t="s">
        <v>25</v>
      </c>
      <c r="N409" s="8" t="s">
        <v>58</v>
      </c>
      <c r="O409" s="8" t="s">
        <v>59</v>
      </c>
      <c r="P409" s="8" t="s">
        <v>59</v>
      </c>
      <c r="R409" s="8">
        <v>0</v>
      </c>
      <c r="S409" s="8">
        <v>0</v>
      </c>
      <c r="T409" s="8">
        <v>1</v>
      </c>
      <c r="U409" s="8">
        <v>2</v>
      </c>
      <c r="AG409" s="8" t="str">
        <f t="shared" si="25"/>
        <v/>
      </c>
      <c r="AI409" s="8" t="str">
        <f t="shared" si="26"/>
        <v/>
      </c>
      <c r="AJ409" s="8" t="str">
        <f t="shared" si="27"/>
        <v/>
      </c>
      <c r="AL409" s="8" t="str">
        <f t="shared" si="28"/>
        <v/>
      </c>
    </row>
    <row r="410" spans="1:38" x14ac:dyDescent="0.25">
      <c r="A410" s="8" t="s">
        <v>875</v>
      </c>
      <c r="B410" s="8" t="s">
        <v>876</v>
      </c>
      <c r="C410" s="8">
        <v>30816388</v>
      </c>
      <c r="D410" s="8">
        <v>5</v>
      </c>
      <c r="E410" s="11">
        <v>43108</v>
      </c>
      <c r="F410" s="8" t="s">
        <v>58</v>
      </c>
      <c r="G410" s="11">
        <v>43109</v>
      </c>
      <c r="H410" s="8" t="s">
        <v>25</v>
      </c>
      <c r="I410" s="11">
        <v>43109</v>
      </c>
      <c r="J410" s="8" t="s">
        <v>25</v>
      </c>
      <c r="N410" s="8" t="s">
        <v>58</v>
      </c>
      <c r="O410" s="8" t="s">
        <v>59</v>
      </c>
      <c r="P410" s="8" t="s">
        <v>59</v>
      </c>
      <c r="R410" s="8">
        <v>0</v>
      </c>
      <c r="S410" s="8">
        <v>0</v>
      </c>
      <c r="T410" s="8">
        <v>1</v>
      </c>
      <c r="U410" s="8">
        <v>2</v>
      </c>
      <c r="X410" s="8">
        <v>5</v>
      </c>
      <c r="AG410" s="8" t="str">
        <f t="shared" si="25"/>
        <v/>
      </c>
      <c r="AI410" s="8" t="str">
        <f t="shared" si="26"/>
        <v/>
      </c>
      <c r="AJ410" s="8" t="str">
        <f t="shared" si="27"/>
        <v/>
      </c>
      <c r="AL410" s="8" t="str">
        <f t="shared" si="28"/>
        <v/>
      </c>
    </row>
    <row r="411" spans="1:38" x14ac:dyDescent="0.25">
      <c r="A411" s="8" t="s">
        <v>6733</v>
      </c>
      <c r="B411" s="8" t="s">
        <v>6734</v>
      </c>
      <c r="C411" s="8">
        <v>30900293</v>
      </c>
      <c r="D411" s="8">
        <v>5</v>
      </c>
      <c r="E411" s="11">
        <v>43111</v>
      </c>
      <c r="F411" s="8" t="s">
        <v>57</v>
      </c>
      <c r="G411" s="11">
        <v>43115</v>
      </c>
      <c r="H411" s="8" t="s">
        <v>25</v>
      </c>
      <c r="J411" s="8" t="s">
        <v>25</v>
      </c>
      <c r="N411" s="8" t="s">
        <v>58</v>
      </c>
      <c r="O411" s="8" t="s">
        <v>59</v>
      </c>
      <c r="P411" s="8" t="s">
        <v>59</v>
      </c>
      <c r="R411" s="8">
        <v>0</v>
      </c>
      <c r="S411" s="8">
        <v>0</v>
      </c>
      <c r="T411" s="8">
        <v>1</v>
      </c>
      <c r="U411" s="8">
        <v>2</v>
      </c>
      <c r="AG411" s="8" t="str">
        <f t="shared" si="25"/>
        <v/>
      </c>
      <c r="AI411" s="8" t="str">
        <f t="shared" si="26"/>
        <v/>
      </c>
      <c r="AJ411" s="8" t="str">
        <f t="shared" si="27"/>
        <v/>
      </c>
      <c r="AL411" s="8" t="str">
        <f t="shared" si="28"/>
        <v/>
      </c>
    </row>
    <row r="412" spans="1:38" x14ac:dyDescent="0.25">
      <c r="A412" s="8" t="s">
        <v>214</v>
      </c>
      <c r="B412" s="8" t="s">
        <v>215</v>
      </c>
      <c r="C412" s="8">
        <v>30818090</v>
      </c>
      <c r="D412" s="8">
        <v>5</v>
      </c>
      <c r="E412" s="11">
        <v>43108</v>
      </c>
      <c r="F412" s="8" t="s">
        <v>60</v>
      </c>
      <c r="G412" s="11">
        <v>43108</v>
      </c>
      <c r="H412" s="8" t="s">
        <v>25</v>
      </c>
      <c r="J412" s="8" t="s">
        <v>856</v>
      </c>
      <c r="L412" s="8" t="s">
        <v>6525</v>
      </c>
      <c r="N412" s="8" t="s">
        <v>58</v>
      </c>
      <c r="O412" s="8" t="s">
        <v>59</v>
      </c>
      <c r="P412" s="8" t="s">
        <v>59</v>
      </c>
      <c r="R412" s="8">
        <v>0</v>
      </c>
      <c r="S412" s="8">
        <v>0</v>
      </c>
      <c r="T412" s="8">
        <v>1</v>
      </c>
      <c r="U412" s="8">
        <v>2</v>
      </c>
      <c r="W412" s="8">
        <v>4</v>
      </c>
      <c r="AG412" s="8" t="str">
        <f t="shared" si="25"/>
        <v/>
      </c>
      <c r="AI412" s="8" t="str">
        <f t="shared" si="26"/>
        <v/>
      </c>
      <c r="AJ412" s="8" t="str">
        <f t="shared" si="27"/>
        <v/>
      </c>
      <c r="AL412" s="8" t="str">
        <f t="shared" si="28"/>
        <v/>
      </c>
    </row>
    <row r="413" spans="1:38" x14ac:dyDescent="0.25">
      <c r="A413" s="8" t="s">
        <v>3384</v>
      </c>
      <c r="B413" s="8" t="s">
        <v>3385</v>
      </c>
      <c r="C413" s="8">
        <v>30901220</v>
      </c>
      <c r="D413" s="8">
        <v>5</v>
      </c>
      <c r="E413" s="11">
        <v>43111</v>
      </c>
      <c r="F413" s="8" t="s">
        <v>58</v>
      </c>
      <c r="G413" s="11">
        <v>43111</v>
      </c>
      <c r="H413" s="8" t="s">
        <v>25</v>
      </c>
      <c r="I413" s="11">
        <v>43115</v>
      </c>
      <c r="J413" s="8" t="s">
        <v>25</v>
      </c>
      <c r="N413" s="8" t="s">
        <v>58</v>
      </c>
      <c r="O413" s="8" t="s">
        <v>59</v>
      </c>
      <c r="P413" s="8" t="s">
        <v>59</v>
      </c>
      <c r="R413" s="8">
        <v>0</v>
      </c>
      <c r="S413" s="8">
        <v>0</v>
      </c>
      <c r="T413" s="8">
        <v>1</v>
      </c>
      <c r="U413" s="8">
        <v>2</v>
      </c>
      <c r="X413" s="8">
        <v>5</v>
      </c>
      <c r="AG413" s="8" t="str">
        <f t="shared" si="25"/>
        <v/>
      </c>
      <c r="AI413" s="8" t="str">
        <f t="shared" si="26"/>
        <v/>
      </c>
      <c r="AJ413" s="8" t="str">
        <f t="shared" si="27"/>
        <v/>
      </c>
      <c r="AL413" s="8" t="str">
        <f t="shared" si="28"/>
        <v/>
      </c>
    </row>
    <row r="414" spans="1:38" x14ac:dyDescent="0.25">
      <c r="A414" s="8" t="s">
        <v>216</v>
      </c>
      <c r="B414" s="8" t="s">
        <v>217</v>
      </c>
      <c r="C414" s="8">
        <v>30822168</v>
      </c>
      <c r="D414" s="8">
        <v>5</v>
      </c>
      <c r="E414" s="11">
        <v>43108</v>
      </c>
      <c r="F414" s="8" t="s">
        <v>58</v>
      </c>
      <c r="G414" s="11">
        <v>43108</v>
      </c>
      <c r="H414" s="8" t="s">
        <v>25</v>
      </c>
      <c r="I414" s="11">
        <v>43109</v>
      </c>
      <c r="J414" s="8" t="s">
        <v>25</v>
      </c>
      <c r="N414" s="8" t="s">
        <v>58</v>
      </c>
      <c r="O414" s="8" t="s">
        <v>59</v>
      </c>
      <c r="P414" s="8" t="s">
        <v>59</v>
      </c>
      <c r="R414" s="8">
        <v>0</v>
      </c>
      <c r="S414" s="8">
        <v>0</v>
      </c>
      <c r="T414" s="8">
        <v>1</v>
      </c>
      <c r="U414" s="8">
        <v>2</v>
      </c>
      <c r="X414" s="8">
        <v>5</v>
      </c>
      <c r="AG414" s="8" t="str">
        <f t="shared" si="25"/>
        <v/>
      </c>
      <c r="AI414" s="8" t="str">
        <f t="shared" si="26"/>
        <v/>
      </c>
      <c r="AJ414" s="8" t="str">
        <f t="shared" si="27"/>
        <v/>
      </c>
      <c r="AL414" s="8" t="str">
        <f t="shared" si="28"/>
        <v/>
      </c>
    </row>
    <row r="415" spans="1:38" x14ac:dyDescent="0.25">
      <c r="A415" s="8" t="s">
        <v>3386</v>
      </c>
      <c r="B415" s="8" t="s">
        <v>3387</v>
      </c>
      <c r="C415" s="8">
        <v>30886955</v>
      </c>
      <c r="D415" s="8">
        <v>5</v>
      </c>
      <c r="E415" s="11">
        <v>43111</v>
      </c>
      <c r="F415" s="8" t="s">
        <v>57</v>
      </c>
      <c r="G415" s="11">
        <v>43111</v>
      </c>
      <c r="H415" s="8" t="s">
        <v>25</v>
      </c>
      <c r="J415" s="8" t="s">
        <v>25</v>
      </c>
      <c r="N415" s="8" t="s">
        <v>58</v>
      </c>
      <c r="O415" s="8" t="s">
        <v>59</v>
      </c>
      <c r="P415" s="8" t="s">
        <v>59</v>
      </c>
      <c r="R415" s="8">
        <v>0</v>
      </c>
      <c r="S415" s="8">
        <v>0</v>
      </c>
      <c r="T415" s="8">
        <v>1</v>
      </c>
      <c r="U415" s="8">
        <v>2</v>
      </c>
      <c r="AG415" s="8" t="str">
        <f t="shared" si="25"/>
        <v/>
      </c>
      <c r="AI415" s="8" t="str">
        <f t="shared" si="26"/>
        <v/>
      </c>
      <c r="AJ415" s="8" t="str">
        <f t="shared" si="27"/>
        <v/>
      </c>
      <c r="AL415" s="8" t="str">
        <f t="shared" si="28"/>
        <v/>
      </c>
    </row>
    <row r="416" spans="1:38" x14ac:dyDescent="0.25">
      <c r="A416" s="8" t="s">
        <v>218</v>
      </c>
      <c r="B416" s="8" t="s">
        <v>219</v>
      </c>
      <c r="C416" s="8">
        <v>30813782</v>
      </c>
      <c r="D416" s="8">
        <v>5</v>
      </c>
      <c r="E416" s="11">
        <v>43108</v>
      </c>
      <c r="F416" s="8" t="s">
        <v>58</v>
      </c>
      <c r="G416" s="11">
        <v>43108</v>
      </c>
      <c r="H416" s="8" t="s">
        <v>25</v>
      </c>
      <c r="I416" s="11">
        <v>43108</v>
      </c>
      <c r="J416" s="8" t="s">
        <v>25</v>
      </c>
      <c r="N416" s="8" t="s">
        <v>58</v>
      </c>
      <c r="O416" s="8" t="s">
        <v>59</v>
      </c>
      <c r="P416" s="8" t="s">
        <v>59</v>
      </c>
      <c r="R416" s="8">
        <v>0</v>
      </c>
      <c r="S416" s="8">
        <v>0</v>
      </c>
      <c r="T416" s="8">
        <v>1</v>
      </c>
      <c r="U416" s="8">
        <v>2</v>
      </c>
      <c r="X416" s="8">
        <v>5</v>
      </c>
      <c r="AG416" s="8" t="str">
        <f t="shared" si="25"/>
        <v/>
      </c>
      <c r="AI416" s="8" t="str">
        <f t="shared" si="26"/>
        <v/>
      </c>
      <c r="AJ416" s="8" t="str">
        <f t="shared" si="27"/>
        <v/>
      </c>
      <c r="AL416" s="8" t="str">
        <f t="shared" si="28"/>
        <v/>
      </c>
    </row>
    <row r="417" spans="1:38" x14ac:dyDescent="0.25">
      <c r="A417" s="8" t="s">
        <v>6735</v>
      </c>
      <c r="B417" s="8" t="s">
        <v>6736</v>
      </c>
      <c r="C417" s="8">
        <v>30944771</v>
      </c>
      <c r="D417" s="8">
        <v>5</v>
      </c>
      <c r="E417" s="11">
        <v>43115</v>
      </c>
      <c r="F417" s="8" t="s">
        <v>57</v>
      </c>
      <c r="G417" s="11">
        <v>43115</v>
      </c>
      <c r="H417" s="8" t="s">
        <v>25</v>
      </c>
      <c r="J417" s="8" t="s">
        <v>25</v>
      </c>
      <c r="N417" s="8" t="s">
        <v>58</v>
      </c>
      <c r="O417" s="8" t="s">
        <v>59</v>
      </c>
      <c r="P417" s="8" t="s">
        <v>59</v>
      </c>
      <c r="R417" s="8">
        <v>0</v>
      </c>
      <c r="S417" s="8">
        <v>0</v>
      </c>
      <c r="T417" s="8">
        <v>1</v>
      </c>
      <c r="U417" s="8">
        <v>2</v>
      </c>
      <c r="AG417" s="8" t="str">
        <f t="shared" si="25"/>
        <v/>
      </c>
      <c r="AI417" s="8" t="str">
        <f t="shared" si="26"/>
        <v/>
      </c>
      <c r="AJ417" s="8" t="str">
        <f t="shared" si="27"/>
        <v/>
      </c>
      <c r="AL417" s="8" t="str">
        <f t="shared" si="28"/>
        <v/>
      </c>
    </row>
    <row r="418" spans="1:38" x14ac:dyDescent="0.25">
      <c r="A418" s="8" t="s">
        <v>4866</v>
      </c>
      <c r="B418" s="8" t="s">
        <v>4867</v>
      </c>
      <c r="C418" s="8">
        <v>30903876</v>
      </c>
      <c r="D418" s="8">
        <v>5</v>
      </c>
      <c r="E418" s="11">
        <v>43111</v>
      </c>
      <c r="F418" s="8" t="s">
        <v>58</v>
      </c>
      <c r="G418" s="11">
        <v>43112</v>
      </c>
      <c r="H418" s="8" t="s">
        <v>25</v>
      </c>
      <c r="I418" s="11">
        <v>43112</v>
      </c>
      <c r="J418" s="8" t="s">
        <v>25</v>
      </c>
      <c r="N418" s="8" t="s">
        <v>58</v>
      </c>
      <c r="O418" s="8" t="s">
        <v>59</v>
      </c>
      <c r="P418" s="8" t="s">
        <v>59</v>
      </c>
      <c r="R418" s="8">
        <v>0</v>
      </c>
      <c r="S418" s="8">
        <v>0</v>
      </c>
      <c r="T418" s="8">
        <v>1</v>
      </c>
      <c r="U418" s="8">
        <v>2</v>
      </c>
      <c r="X418" s="8">
        <v>5</v>
      </c>
      <c r="AG418" s="8" t="str">
        <f t="shared" si="25"/>
        <v/>
      </c>
      <c r="AI418" s="8" t="str">
        <f t="shared" si="26"/>
        <v/>
      </c>
      <c r="AJ418" s="8" t="str">
        <f t="shared" si="27"/>
        <v/>
      </c>
      <c r="AL418" s="8" t="str">
        <f t="shared" si="28"/>
        <v/>
      </c>
    </row>
    <row r="419" spans="1:38" x14ac:dyDescent="0.25">
      <c r="A419" s="8" t="s">
        <v>6737</v>
      </c>
      <c r="B419" s="8" t="s">
        <v>6738</v>
      </c>
      <c r="C419" s="8">
        <v>30944556</v>
      </c>
      <c r="D419" s="8">
        <v>5</v>
      </c>
      <c r="E419" s="11">
        <v>43115</v>
      </c>
      <c r="F419" s="8" t="s">
        <v>57</v>
      </c>
      <c r="G419" s="11">
        <v>43115</v>
      </c>
      <c r="H419" s="8" t="s">
        <v>25</v>
      </c>
      <c r="J419" s="8" t="s">
        <v>25</v>
      </c>
      <c r="N419" s="8" t="s">
        <v>58</v>
      </c>
      <c r="O419" s="8" t="s">
        <v>59</v>
      </c>
      <c r="P419" s="8" t="s">
        <v>59</v>
      </c>
      <c r="R419" s="8">
        <v>0</v>
      </c>
      <c r="S419" s="8">
        <v>0</v>
      </c>
      <c r="T419" s="8">
        <v>1</v>
      </c>
      <c r="U419" s="8">
        <v>2</v>
      </c>
      <c r="AG419" s="8" t="str">
        <f t="shared" si="25"/>
        <v/>
      </c>
      <c r="AI419" s="8" t="str">
        <f t="shared" si="26"/>
        <v/>
      </c>
      <c r="AJ419" s="8" t="str">
        <f t="shared" si="27"/>
        <v/>
      </c>
      <c r="AL419" s="8" t="str">
        <f t="shared" si="28"/>
        <v/>
      </c>
    </row>
    <row r="420" spans="1:38" x14ac:dyDescent="0.25">
      <c r="A420" s="8" t="s">
        <v>3388</v>
      </c>
      <c r="B420" s="8" t="s">
        <v>3389</v>
      </c>
      <c r="C420" s="8">
        <v>30902275</v>
      </c>
      <c r="D420" s="8">
        <v>5</v>
      </c>
      <c r="E420" s="11">
        <v>43111</v>
      </c>
      <c r="F420" s="8" t="s">
        <v>58</v>
      </c>
      <c r="G420" s="11">
        <v>43111</v>
      </c>
      <c r="H420" s="8" t="s">
        <v>25</v>
      </c>
      <c r="I420" s="11">
        <v>43112</v>
      </c>
      <c r="J420" s="8" t="s">
        <v>25</v>
      </c>
      <c r="N420" s="8" t="s">
        <v>58</v>
      </c>
      <c r="O420" s="8" t="s">
        <v>59</v>
      </c>
      <c r="P420" s="8" t="s">
        <v>59</v>
      </c>
      <c r="R420" s="8">
        <v>0</v>
      </c>
      <c r="S420" s="8">
        <v>0</v>
      </c>
      <c r="T420" s="8">
        <v>1</v>
      </c>
      <c r="U420" s="8">
        <v>2</v>
      </c>
      <c r="X420" s="8">
        <v>5</v>
      </c>
      <c r="AG420" s="8" t="str">
        <f t="shared" si="25"/>
        <v/>
      </c>
      <c r="AI420" s="8" t="str">
        <f t="shared" si="26"/>
        <v/>
      </c>
      <c r="AJ420" s="8" t="str">
        <f t="shared" si="27"/>
        <v/>
      </c>
      <c r="AL420" s="8" t="str">
        <f t="shared" si="28"/>
        <v/>
      </c>
    </row>
    <row r="421" spans="1:38" x14ac:dyDescent="0.25">
      <c r="A421" s="8" t="s">
        <v>1783</v>
      </c>
      <c r="B421" s="8" t="s">
        <v>1784</v>
      </c>
      <c r="C421" s="8">
        <v>30861591</v>
      </c>
      <c r="D421" s="8">
        <v>5</v>
      </c>
      <c r="E421" s="11">
        <v>43110</v>
      </c>
      <c r="F421" s="8" t="s">
        <v>57</v>
      </c>
      <c r="G421" s="11">
        <v>43110</v>
      </c>
      <c r="H421" s="8" t="s">
        <v>25</v>
      </c>
      <c r="J421" s="8" t="s">
        <v>25</v>
      </c>
      <c r="N421" s="8" t="s">
        <v>58</v>
      </c>
      <c r="O421" s="8" t="s">
        <v>59</v>
      </c>
      <c r="P421" s="8" t="s">
        <v>59</v>
      </c>
      <c r="R421" s="8">
        <v>0</v>
      </c>
      <c r="S421" s="8">
        <v>0</v>
      </c>
      <c r="T421" s="8">
        <v>1</v>
      </c>
      <c r="U421" s="8">
        <v>2</v>
      </c>
      <c r="AG421" s="8" t="str">
        <f t="shared" si="25"/>
        <v/>
      </c>
      <c r="AI421" s="8" t="str">
        <f t="shared" si="26"/>
        <v/>
      </c>
      <c r="AJ421" s="8" t="str">
        <f t="shared" si="27"/>
        <v/>
      </c>
      <c r="AL421" s="8" t="str">
        <f t="shared" si="28"/>
        <v/>
      </c>
    </row>
    <row r="422" spans="1:38" x14ac:dyDescent="0.25">
      <c r="A422" s="8" t="s">
        <v>1785</v>
      </c>
      <c r="B422" s="8" t="s">
        <v>1786</v>
      </c>
      <c r="C422" s="8">
        <v>30838505</v>
      </c>
      <c r="D422" s="8">
        <v>5</v>
      </c>
      <c r="E422" s="11">
        <v>43109</v>
      </c>
      <c r="F422" s="8" t="s">
        <v>57</v>
      </c>
      <c r="G422" s="11">
        <v>43110</v>
      </c>
      <c r="H422" s="8" t="s">
        <v>25</v>
      </c>
      <c r="J422" s="8" t="s">
        <v>25</v>
      </c>
      <c r="N422" s="8" t="s">
        <v>58</v>
      </c>
      <c r="O422" s="8" t="s">
        <v>59</v>
      </c>
      <c r="P422" s="8" t="s">
        <v>59</v>
      </c>
      <c r="R422" s="8">
        <v>0</v>
      </c>
      <c r="S422" s="8">
        <v>0</v>
      </c>
      <c r="T422" s="8">
        <v>1</v>
      </c>
      <c r="U422" s="8">
        <v>2</v>
      </c>
      <c r="AG422" s="8" t="str">
        <f t="shared" si="25"/>
        <v/>
      </c>
      <c r="AI422" s="8" t="str">
        <f t="shared" si="26"/>
        <v/>
      </c>
      <c r="AJ422" s="8" t="str">
        <f t="shared" si="27"/>
        <v/>
      </c>
      <c r="AL422" s="8" t="str">
        <f t="shared" si="28"/>
        <v/>
      </c>
    </row>
    <row r="423" spans="1:38" x14ac:dyDescent="0.25">
      <c r="A423" s="8" t="s">
        <v>6739</v>
      </c>
      <c r="B423" s="8" t="s">
        <v>6740</v>
      </c>
      <c r="C423" s="8">
        <v>30889673</v>
      </c>
      <c r="D423" s="8">
        <v>5</v>
      </c>
      <c r="E423" s="11">
        <v>43111</v>
      </c>
      <c r="F423" s="8" t="s">
        <v>58</v>
      </c>
      <c r="G423" s="11">
        <v>43115</v>
      </c>
      <c r="H423" s="8" t="s">
        <v>25</v>
      </c>
      <c r="I423" s="11">
        <v>43115</v>
      </c>
      <c r="J423" s="8" t="s">
        <v>25</v>
      </c>
      <c r="N423" s="8" t="s">
        <v>58</v>
      </c>
      <c r="O423" s="8" t="s">
        <v>59</v>
      </c>
      <c r="P423" s="8" t="s">
        <v>59</v>
      </c>
      <c r="R423" s="8">
        <v>0</v>
      </c>
      <c r="S423" s="8">
        <v>0</v>
      </c>
      <c r="T423" s="8">
        <v>1</v>
      </c>
      <c r="U423" s="8">
        <v>2</v>
      </c>
      <c r="X423" s="8">
        <v>5</v>
      </c>
      <c r="AG423" s="8" t="str">
        <f t="shared" si="25"/>
        <v/>
      </c>
      <c r="AI423" s="8" t="str">
        <f t="shared" si="26"/>
        <v/>
      </c>
      <c r="AJ423" s="8" t="str">
        <f t="shared" si="27"/>
        <v/>
      </c>
      <c r="AL423" s="8" t="str">
        <f t="shared" si="28"/>
        <v/>
      </c>
    </row>
    <row r="424" spans="1:38" x14ac:dyDescent="0.25">
      <c r="A424" s="8" t="s">
        <v>6741</v>
      </c>
      <c r="B424" s="8" t="s">
        <v>6742</v>
      </c>
      <c r="C424" s="8">
        <v>30843498</v>
      </c>
      <c r="D424" s="8">
        <v>5</v>
      </c>
      <c r="E424" s="11">
        <v>43109</v>
      </c>
      <c r="F424" s="8" t="s">
        <v>58</v>
      </c>
      <c r="G424" s="11">
        <v>43115</v>
      </c>
      <c r="H424" s="8" t="s">
        <v>145</v>
      </c>
      <c r="I424" s="11">
        <v>43115</v>
      </c>
      <c r="J424" s="8" t="s">
        <v>25</v>
      </c>
      <c r="N424" s="8" t="s">
        <v>58</v>
      </c>
      <c r="O424" s="8" t="s">
        <v>59</v>
      </c>
      <c r="P424" s="8" t="s">
        <v>59</v>
      </c>
      <c r="R424" s="8">
        <v>0</v>
      </c>
      <c r="S424" s="8">
        <v>0</v>
      </c>
      <c r="T424" s="8">
        <v>1</v>
      </c>
      <c r="U424" s="8">
        <v>2</v>
      </c>
      <c r="X424" s="8">
        <v>5</v>
      </c>
      <c r="AG424" s="8" t="str">
        <f t="shared" si="25"/>
        <v/>
      </c>
      <c r="AI424" s="8" t="str">
        <f t="shared" si="26"/>
        <v/>
      </c>
      <c r="AJ424" s="8" t="str">
        <f t="shared" si="27"/>
        <v/>
      </c>
      <c r="AL424" s="8" t="str">
        <f t="shared" si="28"/>
        <v/>
      </c>
    </row>
    <row r="425" spans="1:38" x14ac:dyDescent="0.25">
      <c r="A425" s="8" t="s">
        <v>3390</v>
      </c>
      <c r="B425" s="8" t="s">
        <v>3391</v>
      </c>
      <c r="C425" s="8">
        <v>30884549</v>
      </c>
      <c r="D425" s="8">
        <v>5</v>
      </c>
      <c r="E425" s="11">
        <v>43111</v>
      </c>
      <c r="F425" s="8" t="s">
        <v>58</v>
      </c>
      <c r="G425" s="11">
        <v>43111</v>
      </c>
      <c r="H425" s="8" t="s">
        <v>25</v>
      </c>
      <c r="I425" s="11">
        <v>43113</v>
      </c>
      <c r="J425" s="8" t="s">
        <v>25</v>
      </c>
      <c r="N425" s="8" t="s">
        <v>58</v>
      </c>
      <c r="O425" s="8" t="s">
        <v>59</v>
      </c>
      <c r="P425" s="8" t="s">
        <v>59</v>
      </c>
      <c r="R425" s="8">
        <v>0</v>
      </c>
      <c r="S425" s="8">
        <v>0</v>
      </c>
      <c r="T425" s="8">
        <v>1</v>
      </c>
      <c r="U425" s="8">
        <v>2</v>
      </c>
      <c r="X425" s="8">
        <v>5</v>
      </c>
      <c r="AG425" s="8" t="str">
        <f t="shared" si="25"/>
        <v/>
      </c>
      <c r="AI425" s="8" t="str">
        <f t="shared" si="26"/>
        <v/>
      </c>
      <c r="AJ425" s="8" t="str">
        <f t="shared" si="27"/>
        <v/>
      </c>
      <c r="AL425" s="8" t="str">
        <f t="shared" si="28"/>
        <v/>
      </c>
    </row>
    <row r="426" spans="1:38" x14ac:dyDescent="0.25">
      <c r="A426" s="8" t="s">
        <v>877</v>
      </c>
      <c r="B426" s="8" t="s">
        <v>878</v>
      </c>
      <c r="C426" s="8">
        <v>30810844</v>
      </c>
      <c r="D426" s="8">
        <v>5</v>
      </c>
      <c r="E426" s="11">
        <v>43108</v>
      </c>
      <c r="F426" s="8" t="s">
        <v>58</v>
      </c>
      <c r="G426" s="11">
        <v>43109</v>
      </c>
      <c r="H426" s="8" t="s">
        <v>25</v>
      </c>
      <c r="I426" s="11">
        <v>43115</v>
      </c>
      <c r="J426" s="8" t="s">
        <v>145</v>
      </c>
      <c r="N426" s="8" t="s">
        <v>58</v>
      </c>
      <c r="O426" s="8" t="s">
        <v>59</v>
      </c>
      <c r="P426" s="8" t="s">
        <v>59</v>
      </c>
      <c r="R426" s="8">
        <v>0</v>
      </c>
      <c r="S426" s="8">
        <v>0</v>
      </c>
      <c r="T426" s="8">
        <v>1</v>
      </c>
      <c r="U426" s="8">
        <v>2</v>
      </c>
      <c r="X426" s="8">
        <v>5</v>
      </c>
      <c r="AG426" s="8" t="str">
        <f t="shared" si="25"/>
        <v/>
      </c>
      <c r="AI426" s="8" t="str">
        <f t="shared" si="26"/>
        <v/>
      </c>
      <c r="AJ426" s="8" t="str">
        <f t="shared" si="27"/>
        <v/>
      </c>
      <c r="AL426" s="8" t="str">
        <f t="shared" si="28"/>
        <v/>
      </c>
    </row>
    <row r="427" spans="1:38" x14ac:dyDescent="0.25">
      <c r="A427" s="8" t="s">
        <v>6743</v>
      </c>
      <c r="B427" s="8" t="s">
        <v>6744</v>
      </c>
      <c r="C427" s="8">
        <v>30944661</v>
      </c>
      <c r="D427" s="8">
        <v>5</v>
      </c>
      <c r="E427" s="11">
        <v>43115</v>
      </c>
      <c r="F427" s="8" t="s">
        <v>57</v>
      </c>
      <c r="G427" s="11">
        <v>43115</v>
      </c>
      <c r="H427" s="8" t="s">
        <v>25</v>
      </c>
      <c r="J427" s="8" t="s">
        <v>25</v>
      </c>
      <c r="N427" s="8" t="s">
        <v>58</v>
      </c>
      <c r="O427" s="8" t="s">
        <v>59</v>
      </c>
      <c r="P427" s="8" t="s">
        <v>59</v>
      </c>
      <c r="R427" s="8">
        <v>0</v>
      </c>
      <c r="S427" s="8">
        <v>0</v>
      </c>
      <c r="T427" s="8">
        <v>1</v>
      </c>
      <c r="U427" s="8">
        <v>2</v>
      </c>
      <c r="AG427" s="8" t="str">
        <f t="shared" si="25"/>
        <v/>
      </c>
      <c r="AI427" s="8" t="str">
        <f t="shared" si="26"/>
        <v/>
      </c>
      <c r="AJ427" s="8" t="str">
        <f t="shared" si="27"/>
        <v/>
      </c>
      <c r="AL427" s="8" t="str">
        <f t="shared" si="28"/>
        <v/>
      </c>
    </row>
    <row r="428" spans="1:38" x14ac:dyDescent="0.25">
      <c r="A428" s="8" t="s">
        <v>220</v>
      </c>
      <c r="B428" s="8" t="s">
        <v>221</v>
      </c>
      <c r="C428" s="8">
        <v>30827501</v>
      </c>
      <c r="D428" s="8">
        <v>5</v>
      </c>
      <c r="E428" s="11">
        <v>43108</v>
      </c>
      <c r="F428" s="8" t="s">
        <v>58</v>
      </c>
      <c r="G428" s="11">
        <v>43108</v>
      </c>
      <c r="H428" s="8" t="s">
        <v>25</v>
      </c>
      <c r="I428" s="11">
        <v>43110</v>
      </c>
      <c r="J428" s="8" t="s">
        <v>25</v>
      </c>
      <c r="N428" s="8" t="s">
        <v>58</v>
      </c>
      <c r="O428" s="8" t="s">
        <v>59</v>
      </c>
      <c r="P428" s="8" t="s">
        <v>59</v>
      </c>
      <c r="R428" s="8">
        <v>0</v>
      </c>
      <c r="S428" s="8">
        <v>0</v>
      </c>
      <c r="T428" s="8">
        <v>1</v>
      </c>
      <c r="U428" s="8">
        <v>2</v>
      </c>
      <c r="X428" s="8">
        <v>5</v>
      </c>
      <c r="AG428" s="8" t="str">
        <f t="shared" si="25"/>
        <v/>
      </c>
      <c r="AI428" s="8" t="str">
        <f t="shared" si="26"/>
        <v/>
      </c>
      <c r="AJ428" s="8" t="str">
        <f t="shared" si="27"/>
        <v/>
      </c>
      <c r="AL428" s="8" t="str">
        <f t="shared" si="28"/>
        <v/>
      </c>
    </row>
    <row r="429" spans="1:38" x14ac:dyDescent="0.25">
      <c r="A429" s="8" t="s">
        <v>1787</v>
      </c>
      <c r="B429" s="8" t="s">
        <v>1788</v>
      </c>
      <c r="C429" s="8">
        <v>30875865</v>
      </c>
      <c r="D429" s="8">
        <v>5</v>
      </c>
      <c r="E429" s="11">
        <v>43110</v>
      </c>
      <c r="F429" s="8" t="s">
        <v>58</v>
      </c>
      <c r="G429" s="11">
        <v>43110</v>
      </c>
      <c r="H429" s="8" t="s">
        <v>25</v>
      </c>
      <c r="I429" s="11">
        <v>43110</v>
      </c>
      <c r="J429" s="8" t="s">
        <v>25</v>
      </c>
      <c r="N429" s="8" t="s">
        <v>58</v>
      </c>
      <c r="O429" s="8" t="s">
        <v>59</v>
      </c>
      <c r="P429" s="8" t="s">
        <v>59</v>
      </c>
      <c r="R429" s="8">
        <v>0</v>
      </c>
      <c r="S429" s="8">
        <v>0</v>
      </c>
      <c r="T429" s="8">
        <v>1</v>
      </c>
      <c r="U429" s="8">
        <v>2</v>
      </c>
      <c r="X429" s="8">
        <v>5</v>
      </c>
      <c r="AG429" s="8" t="str">
        <f t="shared" si="25"/>
        <v/>
      </c>
      <c r="AI429" s="8" t="str">
        <f t="shared" si="26"/>
        <v/>
      </c>
      <c r="AJ429" s="8" t="str">
        <f t="shared" si="27"/>
        <v/>
      </c>
      <c r="AL429" s="8" t="str">
        <f t="shared" si="28"/>
        <v/>
      </c>
    </row>
    <row r="430" spans="1:38" x14ac:dyDescent="0.25">
      <c r="A430" s="8" t="s">
        <v>3392</v>
      </c>
      <c r="B430" s="8" t="s">
        <v>3393</v>
      </c>
      <c r="C430" s="8">
        <v>30889586</v>
      </c>
      <c r="D430" s="8">
        <v>5</v>
      </c>
      <c r="E430" s="11">
        <v>43111</v>
      </c>
      <c r="F430" s="8" t="s">
        <v>58</v>
      </c>
      <c r="G430" s="11">
        <v>43111</v>
      </c>
      <c r="H430" s="8" t="s">
        <v>25</v>
      </c>
      <c r="I430" s="11">
        <v>43112</v>
      </c>
      <c r="J430" s="8" t="s">
        <v>25</v>
      </c>
      <c r="N430" s="8" t="s">
        <v>58</v>
      </c>
      <c r="O430" s="8" t="s">
        <v>59</v>
      </c>
      <c r="P430" s="8" t="s">
        <v>59</v>
      </c>
      <c r="R430" s="8">
        <v>0</v>
      </c>
      <c r="S430" s="8">
        <v>0</v>
      </c>
      <c r="T430" s="8">
        <v>1</v>
      </c>
      <c r="U430" s="8">
        <v>2</v>
      </c>
      <c r="X430" s="8">
        <v>5</v>
      </c>
      <c r="AG430" s="8" t="str">
        <f t="shared" si="25"/>
        <v/>
      </c>
      <c r="AI430" s="8" t="str">
        <f t="shared" si="26"/>
        <v/>
      </c>
      <c r="AJ430" s="8" t="str">
        <f t="shared" si="27"/>
        <v/>
      </c>
      <c r="AL430" s="8" t="str">
        <f t="shared" si="28"/>
        <v/>
      </c>
    </row>
    <row r="431" spans="1:38" x14ac:dyDescent="0.25">
      <c r="A431" s="8" t="s">
        <v>4868</v>
      </c>
      <c r="B431" s="8" t="s">
        <v>4869</v>
      </c>
      <c r="C431" s="8">
        <v>30874406</v>
      </c>
      <c r="D431" s="8">
        <v>5</v>
      </c>
      <c r="E431" s="11">
        <v>43110</v>
      </c>
      <c r="F431" s="8" t="s">
        <v>58</v>
      </c>
      <c r="G431" s="11">
        <v>43112</v>
      </c>
      <c r="H431" s="8" t="s">
        <v>25</v>
      </c>
      <c r="I431" s="11">
        <v>43115</v>
      </c>
      <c r="J431" s="8" t="s">
        <v>25</v>
      </c>
      <c r="N431" s="8" t="s">
        <v>58</v>
      </c>
      <c r="O431" s="8" t="s">
        <v>59</v>
      </c>
      <c r="P431" s="8" t="s">
        <v>59</v>
      </c>
      <c r="R431" s="8">
        <v>0</v>
      </c>
      <c r="S431" s="8">
        <v>0</v>
      </c>
      <c r="T431" s="8">
        <v>1</v>
      </c>
      <c r="U431" s="8">
        <v>2</v>
      </c>
      <c r="X431" s="8">
        <v>5</v>
      </c>
      <c r="AG431" s="8" t="str">
        <f t="shared" si="25"/>
        <v/>
      </c>
      <c r="AI431" s="8" t="str">
        <f t="shared" si="26"/>
        <v/>
      </c>
      <c r="AJ431" s="8" t="str">
        <f t="shared" si="27"/>
        <v/>
      </c>
      <c r="AL431" s="8" t="str">
        <f t="shared" si="28"/>
        <v/>
      </c>
    </row>
    <row r="432" spans="1:38" x14ac:dyDescent="0.25">
      <c r="A432" s="8" t="s">
        <v>6745</v>
      </c>
      <c r="B432" s="8" t="s">
        <v>6746</v>
      </c>
      <c r="C432" s="8">
        <v>30930579</v>
      </c>
      <c r="D432" s="8">
        <v>5</v>
      </c>
      <c r="E432" s="11">
        <v>43115</v>
      </c>
      <c r="F432" s="8" t="s">
        <v>58</v>
      </c>
      <c r="G432" s="11">
        <v>43115</v>
      </c>
      <c r="H432" s="8" t="s">
        <v>25</v>
      </c>
      <c r="I432" s="11">
        <v>43115</v>
      </c>
      <c r="J432" s="8" t="s">
        <v>25</v>
      </c>
      <c r="N432" s="8" t="s">
        <v>58</v>
      </c>
      <c r="O432" s="8" t="s">
        <v>59</v>
      </c>
      <c r="P432" s="8" t="s">
        <v>59</v>
      </c>
      <c r="R432" s="8">
        <v>0</v>
      </c>
      <c r="S432" s="8">
        <v>0</v>
      </c>
      <c r="T432" s="8">
        <v>1</v>
      </c>
      <c r="U432" s="8">
        <v>2</v>
      </c>
      <c r="X432" s="8">
        <v>5</v>
      </c>
      <c r="AG432" s="8" t="str">
        <f t="shared" si="25"/>
        <v/>
      </c>
      <c r="AI432" s="8" t="str">
        <f t="shared" si="26"/>
        <v/>
      </c>
      <c r="AJ432" s="8" t="str">
        <f t="shared" si="27"/>
        <v/>
      </c>
      <c r="AL432" s="8" t="str">
        <f t="shared" si="28"/>
        <v/>
      </c>
    </row>
    <row r="433" spans="1:38" x14ac:dyDescent="0.25">
      <c r="A433" s="8" t="s">
        <v>6747</v>
      </c>
      <c r="B433" s="8" t="s">
        <v>6748</v>
      </c>
      <c r="C433" s="8">
        <v>30931264</v>
      </c>
      <c r="D433" s="8">
        <v>5</v>
      </c>
      <c r="E433" s="11">
        <v>43115</v>
      </c>
      <c r="F433" s="8" t="s">
        <v>62</v>
      </c>
      <c r="G433" s="11">
        <v>43115</v>
      </c>
      <c r="H433" s="8" t="s">
        <v>25</v>
      </c>
      <c r="J433" s="8" t="s">
        <v>25</v>
      </c>
      <c r="M433" s="8" t="s">
        <v>66</v>
      </c>
      <c r="N433" s="8" t="s">
        <v>63</v>
      </c>
      <c r="O433" s="8" t="s">
        <v>59</v>
      </c>
      <c r="P433" s="8" t="s">
        <v>59</v>
      </c>
      <c r="R433" s="8">
        <v>0</v>
      </c>
      <c r="S433" s="8">
        <v>0</v>
      </c>
      <c r="T433" s="8">
        <v>1</v>
      </c>
      <c r="U433" s="8">
        <v>2</v>
      </c>
      <c r="AG433" s="8" t="str">
        <f t="shared" si="25"/>
        <v/>
      </c>
      <c r="AI433" s="8" t="str">
        <f t="shared" si="26"/>
        <v/>
      </c>
      <c r="AJ433" s="8" t="str">
        <f t="shared" si="27"/>
        <v/>
      </c>
      <c r="AL433" s="8" t="str">
        <f t="shared" si="28"/>
        <v/>
      </c>
    </row>
    <row r="434" spans="1:38" x14ac:dyDescent="0.25">
      <c r="A434" s="8" t="s">
        <v>1789</v>
      </c>
      <c r="B434" s="8" t="s">
        <v>1790</v>
      </c>
      <c r="C434" s="8">
        <v>30839261</v>
      </c>
      <c r="D434" s="8">
        <v>5</v>
      </c>
      <c r="E434" s="11">
        <v>43109</v>
      </c>
      <c r="F434" s="8" t="s">
        <v>58</v>
      </c>
      <c r="G434" s="11">
        <v>43110</v>
      </c>
      <c r="H434" s="8" t="s">
        <v>25</v>
      </c>
      <c r="I434" s="11">
        <v>43110</v>
      </c>
      <c r="J434" s="8" t="s">
        <v>25</v>
      </c>
      <c r="N434" s="8" t="s">
        <v>58</v>
      </c>
      <c r="O434" s="8" t="s">
        <v>59</v>
      </c>
      <c r="P434" s="8" t="s">
        <v>59</v>
      </c>
      <c r="R434" s="8">
        <v>0</v>
      </c>
      <c r="S434" s="8">
        <v>0</v>
      </c>
      <c r="T434" s="8">
        <v>1</v>
      </c>
      <c r="U434" s="8">
        <v>2</v>
      </c>
      <c r="X434" s="8">
        <v>5</v>
      </c>
      <c r="AG434" s="8" t="str">
        <f t="shared" si="25"/>
        <v/>
      </c>
      <c r="AI434" s="8" t="str">
        <f t="shared" si="26"/>
        <v/>
      </c>
      <c r="AJ434" s="8" t="str">
        <f t="shared" si="27"/>
        <v/>
      </c>
      <c r="AL434" s="8" t="str">
        <f t="shared" si="28"/>
        <v/>
      </c>
    </row>
    <row r="435" spans="1:38" x14ac:dyDescent="0.25">
      <c r="A435" s="8" t="s">
        <v>222</v>
      </c>
      <c r="B435" s="8" t="s">
        <v>223</v>
      </c>
      <c r="C435" s="8">
        <v>30811243</v>
      </c>
      <c r="D435" s="8">
        <v>5</v>
      </c>
      <c r="E435" s="11">
        <v>43108</v>
      </c>
      <c r="F435" s="8" t="s">
        <v>57</v>
      </c>
      <c r="G435" s="11">
        <v>43108</v>
      </c>
      <c r="H435" s="8" t="s">
        <v>25</v>
      </c>
      <c r="J435" s="8" t="s">
        <v>25</v>
      </c>
      <c r="N435" s="8" t="s">
        <v>58</v>
      </c>
      <c r="O435" s="8" t="s">
        <v>59</v>
      </c>
      <c r="P435" s="8" t="s">
        <v>59</v>
      </c>
      <c r="R435" s="8">
        <v>0</v>
      </c>
      <c r="S435" s="8">
        <v>0</v>
      </c>
      <c r="T435" s="8">
        <v>1</v>
      </c>
      <c r="U435" s="8">
        <v>2</v>
      </c>
      <c r="AG435" s="8" t="str">
        <f t="shared" si="25"/>
        <v/>
      </c>
      <c r="AI435" s="8" t="str">
        <f t="shared" si="26"/>
        <v/>
      </c>
      <c r="AJ435" s="8" t="str">
        <f t="shared" si="27"/>
        <v/>
      </c>
      <c r="AL435" s="8" t="str">
        <f t="shared" si="28"/>
        <v/>
      </c>
    </row>
    <row r="436" spans="1:38" x14ac:dyDescent="0.25">
      <c r="A436" s="8" t="s">
        <v>3394</v>
      </c>
      <c r="B436" s="8" t="s">
        <v>3395</v>
      </c>
      <c r="C436" s="8">
        <v>30891115</v>
      </c>
      <c r="D436" s="8">
        <v>5</v>
      </c>
      <c r="E436" s="11">
        <v>43111</v>
      </c>
      <c r="F436" s="8" t="s">
        <v>60</v>
      </c>
      <c r="G436" s="11">
        <v>43111</v>
      </c>
      <c r="H436" s="8" t="s">
        <v>25</v>
      </c>
      <c r="J436" s="8" t="s">
        <v>25</v>
      </c>
      <c r="L436" s="8" t="s">
        <v>4797</v>
      </c>
      <c r="N436" s="8" t="s">
        <v>58</v>
      </c>
      <c r="O436" s="8" t="s">
        <v>59</v>
      </c>
      <c r="P436" s="8" t="s">
        <v>59</v>
      </c>
      <c r="R436" s="8">
        <v>0</v>
      </c>
      <c r="S436" s="8">
        <v>0</v>
      </c>
      <c r="T436" s="8">
        <v>1</v>
      </c>
      <c r="U436" s="8">
        <v>2</v>
      </c>
      <c r="W436" s="8">
        <v>4</v>
      </c>
      <c r="AG436" s="8" t="str">
        <f t="shared" si="25"/>
        <v/>
      </c>
      <c r="AI436" s="8" t="str">
        <f t="shared" si="26"/>
        <v/>
      </c>
      <c r="AJ436" s="8" t="str">
        <f t="shared" si="27"/>
        <v/>
      </c>
      <c r="AL436" s="8" t="str">
        <f t="shared" si="28"/>
        <v/>
      </c>
    </row>
    <row r="437" spans="1:38" x14ac:dyDescent="0.25">
      <c r="A437" s="8" t="s">
        <v>6749</v>
      </c>
      <c r="B437" s="8" t="s">
        <v>6750</v>
      </c>
      <c r="C437" s="8">
        <v>30947366</v>
      </c>
      <c r="D437" s="8">
        <v>5</v>
      </c>
      <c r="E437" s="11">
        <v>43115</v>
      </c>
      <c r="F437" s="8" t="s">
        <v>57</v>
      </c>
      <c r="G437" s="11">
        <v>43115</v>
      </c>
      <c r="H437" s="8" t="s">
        <v>25</v>
      </c>
      <c r="J437" s="8" t="s">
        <v>25</v>
      </c>
      <c r="N437" s="8" t="s">
        <v>58</v>
      </c>
      <c r="O437" s="8" t="s">
        <v>59</v>
      </c>
      <c r="P437" s="8" t="s">
        <v>59</v>
      </c>
      <c r="R437" s="8">
        <v>0</v>
      </c>
      <c r="S437" s="8">
        <v>0</v>
      </c>
      <c r="T437" s="8">
        <v>1</v>
      </c>
      <c r="U437" s="8">
        <v>2</v>
      </c>
      <c r="AG437" s="8" t="str">
        <f t="shared" si="25"/>
        <v/>
      </c>
      <c r="AI437" s="8" t="str">
        <f t="shared" si="26"/>
        <v/>
      </c>
      <c r="AJ437" s="8" t="str">
        <f t="shared" si="27"/>
        <v/>
      </c>
      <c r="AL437" s="8" t="str">
        <f t="shared" si="28"/>
        <v/>
      </c>
    </row>
    <row r="438" spans="1:38" x14ac:dyDescent="0.25">
      <c r="A438" s="8" t="s">
        <v>3396</v>
      </c>
      <c r="B438" s="8" t="s">
        <v>3397</v>
      </c>
      <c r="C438" s="8">
        <v>30893276</v>
      </c>
      <c r="D438" s="8">
        <v>5</v>
      </c>
      <c r="E438" s="11">
        <v>43111</v>
      </c>
      <c r="F438" s="8" t="s">
        <v>58</v>
      </c>
      <c r="G438" s="11">
        <v>43111</v>
      </c>
      <c r="H438" s="8" t="s">
        <v>25</v>
      </c>
      <c r="I438" s="11">
        <v>43112</v>
      </c>
      <c r="J438" s="8" t="s">
        <v>25</v>
      </c>
      <c r="N438" s="8" t="s">
        <v>58</v>
      </c>
      <c r="O438" s="8" t="s">
        <v>59</v>
      </c>
      <c r="P438" s="8" t="s">
        <v>59</v>
      </c>
      <c r="R438" s="8">
        <v>0</v>
      </c>
      <c r="S438" s="8">
        <v>0</v>
      </c>
      <c r="T438" s="8">
        <v>1</v>
      </c>
      <c r="U438" s="8">
        <v>2</v>
      </c>
      <c r="X438" s="8">
        <v>5</v>
      </c>
      <c r="AG438" s="8" t="str">
        <f t="shared" si="25"/>
        <v/>
      </c>
      <c r="AI438" s="8" t="str">
        <f t="shared" si="26"/>
        <v/>
      </c>
      <c r="AJ438" s="8" t="str">
        <f t="shared" si="27"/>
        <v/>
      </c>
      <c r="AL438" s="8" t="str">
        <f t="shared" si="28"/>
        <v/>
      </c>
    </row>
    <row r="439" spans="1:38" x14ac:dyDescent="0.25">
      <c r="A439" s="8" t="s">
        <v>1791</v>
      </c>
      <c r="B439" s="8" t="s">
        <v>1792</v>
      </c>
      <c r="C439" s="8">
        <v>30811193</v>
      </c>
      <c r="D439" s="8">
        <v>3</v>
      </c>
      <c r="E439" s="11">
        <v>43108</v>
      </c>
      <c r="F439" s="8" t="s">
        <v>57</v>
      </c>
      <c r="G439" s="11">
        <v>43110</v>
      </c>
      <c r="H439" s="8" t="s">
        <v>25</v>
      </c>
      <c r="J439" s="8" t="s">
        <v>25</v>
      </c>
      <c r="N439" s="8" t="s">
        <v>58</v>
      </c>
      <c r="O439" s="8" t="s">
        <v>59</v>
      </c>
      <c r="P439" s="8" t="s">
        <v>59</v>
      </c>
      <c r="R439" s="8">
        <v>0</v>
      </c>
      <c r="S439" s="8">
        <v>0</v>
      </c>
      <c r="T439" s="8">
        <v>1</v>
      </c>
      <c r="U439" s="8">
        <v>2</v>
      </c>
      <c r="AG439" s="8" t="str">
        <f t="shared" si="25"/>
        <v/>
      </c>
      <c r="AI439" s="8" t="str">
        <f t="shared" si="26"/>
        <v/>
      </c>
      <c r="AJ439" s="8" t="str">
        <f t="shared" si="27"/>
        <v/>
      </c>
      <c r="AL439" s="8" t="str">
        <f t="shared" si="28"/>
        <v/>
      </c>
    </row>
    <row r="440" spans="1:38" x14ac:dyDescent="0.25">
      <c r="A440" s="8" t="s">
        <v>3398</v>
      </c>
      <c r="B440" s="8" t="s">
        <v>3399</v>
      </c>
      <c r="C440" s="8">
        <v>30893289</v>
      </c>
      <c r="D440" s="8">
        <v>5</v>
      </c>
      <c r="E440" s="11">
        <v>43111</v>
      </c>
      <c r="F440" s="8" t="s">
        <v>57</v>
      </c>
      <c r="G440" s="11">
        <v>43111</v>
      </c>
      <c r="H440" s="8" t="s">
        <v>25</v>
      </c>
      <c r="J440" s="8" t="s">
        <v>25</v>
      </c>
      <c r="N440" s="8" t="s">
        <v>58</v>
      </c>
      <c r="O440" s="8" t="s">
        <v>59</v>
      </c>
      <c r="P440" s="8" t="s">
        <v>59</v>
      </c>
      <c r="R440" s="8">
        <v>0</v>
      </c>
      <c r="S440" s="8">
        <v>0</v>
      </c>
      <c r="T440" s="8">
        <v>1</v>
      </c>
      <c r="U440" s="8">
        <v>2</v>
      </c>
      <c r="AG440" s="8" t="str">
        <f t="shared" si="25"/>
        <v/>
      </c>
      <c r="AI440" s="8" t="str">
        <f t="shared" si="26"/>
        <v/>
      </c>
      <c r="AJ440" s="8" t="str">
        <f t="shared" si="27"/>
        <v/>
      </c>
      <c r="AL440" s="8" t="str">
        <f t="shared" si="28"/>
        <v/>
      </c>
    </row>
    <row r="441" spans="1:38" x14ac:dyDescent="0.25">
      <c r="A441" s="8" t="s">
        <v>6751</v>
      </c>
      <c r="B441" s="8" t="s">
        <v>6752</v>
      </c>
      <c r="C441" s="8">
        <v>30931175</v>
      </c>
      <c r="D441" s="8">
        <v>5</v>
      </c>
      <c r="E441" s="11">
        <v>43115</v>
      </c>
      <c r="F441" s="8" t="s">
        <v>58</v>
      </c>
      <c r="G441" s="11">
        <v>43115</v>
      </c>
      <c r="H441" s="8" t="s">
        <v>25</v>
      </c>
      <c r="I441" s="11">
        <v>43115</v>
      </c>
      <c r="J441" s="8" t="s">
        <v>25</v>
      </c>
      <c r="N441" s="8" t="s">
        <v>58</v>
      </c>
      <c r="O441" s="8" t="s">
        <v>59</v>
      </c>
      <c r="P441" s="8" t="s">
        <v>59</v>
      </c>
      <c r="R441" s="8">
        <v>0</v>
      </c>
      <c r="S441" s="8">
        <v>0</v>
      </c>
      <c r="T441" s="8">
        <v>1</v>
      </c>
      <c r="U441" s="8">
        <v>2</v>
      </c>
      <c r="X441" s="8">
        <v>5</v>
      </c>
      <c r="AG441" s="8" t="str">
        <f t="shared" si="25"/>
        <v/>
      </c>
      <c r="AI441" s="8" t="str">
        <f t="shared" si="26"/>
        <v/>
      </c>
      <c r="AJ441" s="8" t="str">
        <f t="shared" si="27"/>
        <v/>
      </c>
      <c r="AL441" s="8" t="str">
        <f t="shared" si="28"/>
        <v/>
      </c>
    </row>
    <row r="442" spans="1:38" x14ac:dyDescent="0.25">
      <c r="A442" s="8" t="s">
        <v>6753</v>
      </c>
      <c r="B442" s="8" t="s">
        <v>6754</v>
      </c>
      <c r="C442" s="8">
        <v>30865966</v>
      </c>
      <c r="D442" s="8">
        <v>5</v>
      </c>
      <c r="E442" s="11">
        <v>43110</v>
      </c>
      <c r="F442" s="8" t="s">
        <v>57</v>
      </c>
      <c r="G442" s="11">
        <v>43115</v>
      </c>
      <c r="H442" s="8" t="s">
        <v>145</v>
      </c>
      <c r="J442" s="8" t="s">
        <v>25</v>
      </c>
      <c r="N442" s="8" t="s">
        <v>58</v>
      </c>
      <c r="O442" s="8" t="s">
        <v>59</v>
      </c>
      <c r="P442" s="8" t="s">
        <v>59</v>
      </c>
      <c r="R442" s="8">
        <v>0</v>
      </c>
      <c r="S442" s="8">
        <v>0</v>
      </c>
      <c r="T442" s="8">
        <v>1</v>
      </c>
      <c r="U442" s="8">
        <v>2</v>
      </c>
      <c r="AG442" s="8" t="str">
        <f t="shared" si="25"/>
        <v/>
      </c>
      <c r="AI442" s="8" t="str">
        <f t="shared" si="26"/>
        <v/>
      </c>
      <c r="AJ442" s="8" t="str">
        <f t="shared" si="27"/>
        <v/>
      </c>
      <c r="AL442" s="8" t="str">
        <f t="shared" si="28"/>
        <v/>
      </c>
    </row>
    <row r="443" spans="1:38" x14ac:dyDescent="0.25">
      <c r="A443" s="8" t="s">
        <v>879</v>
      </c>
      <c r="B443" s="8" t="s">
        <v>880</v>
      </c>
      <c r="C443" s="8">
        <v>30848258</v>
      </c>
      <c r="D443" s="8">
        <v>5</v>
      </c>
      <c r="E443" s="11">
        <v>43109</v>
      </c>
      <c r="F443" s="8" t="s">
        <v>58</v>
      </c>
      <c r="G443" s="11">
        <v>43109</v>
      </c>
      <c r="H443" s="8" t="s">
        <v>25</v>
      </c>
      <c r="I443" s="11">
        <v>43110</v>
      </c>
      <c r="J443" s="8" t="s">
        <v>25</v>
      </c>
      <c r="N443" s="8" t="s">
        <v>58</v>
      </c>
      <c r="O443" s="8" t="s">
        <v>59</v>
      </c>
      <c r="P443" s="8" t="s">
        <v>59</v>
      </c>
      <c r="R443" s="8">
        <v>0</v>
      </c>
      <c r="S443" s="8">
        <v>0</v>
      </c>
      <c r="T443" s="8">
        <v>1</v>
      </c>
      <c r="U443" s="8">
        <v>2</v>
      </c>
      <c r="X443" s="8">
        <v>5</v>
      </c>
      <c r="AG443" s="8" t="str">
        <f t="shared" si="25"/>
        <v/>
      </c>
      <c r="AI443" s="8" t="str">
        <f t="shared" si="26"/>
        <v/>
      </c>
      <c r="AJ443" s="8" t="str">
        <f t="shared" si="27"/>
        <v/>
      </c>
      <c r="AL443" s="8" t="str">
        <f t="shared" si="28"/>
        <v/>
      </c>
    </row>
    <row r="444" spans="1:38" x14ac:dyDescent="0.25">
      <c r="A444" s="8" t="s">
        <v>881</v>
      </c>
      <c r="B444" s="8" t="s">
        <v>882</v>
      </c>
      <c r="C444" s="8">
        <v>30842255</v>
      </c>
      <c r="D444" s="8">
        <v>5</v>
      </c>
      <c r="E444" s="11">
        <v>43109</v>
      </c>
      <c r="F444" s="8" t="s">
        <v>58</v>
      </c>
      <c r="G444" s="11">
        <v>43109</v>
      </c>
      <c r="H444" s="8" t="s">
        <v>25</v>
      </c>
      <c r="I444" s="11">
        <v>43111</v>
      </c>
      <c r="J444" s="8" t="s">
        <v>25</v>
      </c>
      <c r="N444" s="8" t="s">
        <v>58</v>
      </c>
      <c r="O444" s="8" t="s">
        <v>59</v>
      </c>
      <c r="P444" s="8" t="s">
        <v>59</v>
      </c>
      <c r="R444" s="8">
        <v>0</v>
      </c>
      <c r="S444" s="8">
        <v>0</v>
      </c>
      <c r="T444" s="8">
        <v>1</v>
      </c>
      <c r="U444" s="8">
        <v>2</v>
      </c>
      <c r="X444" s="8">
        <v>5</v>
      </c>
      <c r="AG444" s="8" t="str">
        <f t="shared" si="25"/>
        <v/>
      </c>
      <c r="AI444" s="8" t="str">
        <f t="shared" si="26"/>
        <v/>
      </c>
      <c r="AJ444" s="8" t="str">
        <f t="shared" si="27"/>
        <v/>
      </c>
      <c r="AL444" s="8" t="str">
        <f t="shared" si="28"/>
        <v/>
      </c>
    </row>
    <row r="445" spans="1:38" x14ac:dyDescent="0.25">
      <c r="A445" s="8" t="s">
        <v>1793</v>
      </c>
      <c r="B445" s="8" t="s">
        <v>1794</v>
      </c>
      <c r="C445" s="8">
        <v>30873206</v>
      </c>
      <c r="D445" s="8">
        <v>5</v>
      </c>
      <c r="E445" s="11">
        <v>43110</v>
      </c>
      <c r="F445" s="8" t="s">
        <v>58</v>
      </c>
      <c r="G445" s="11">
        <v>43110</v>
      </c>
      <c r="H445" s="8" t="s">
        <v>25</v>
      </c>
      <c r="I445" s="11">
        <v>43110</v>
      </c>
      <c r="J445" s="8" t="s">
        <v>25</v>
      </c>
      <c r="N445" s="8" t="s">
        <v>58</v>
      </c>
      <c r="O445" s="8" t="s">
        <v>59</v>
      </c>
      <c r="P445" s="8" t="s">
        <v>59</v>
      </c>
      <c r="R445" s="8">
        <v>0</v>
      </c>
      <c r="S445" s="8">
        <v>0</v>
      </c>
      <c r="T445" s="8">
        <v>1</v>
      </c>
      <c r="U445" s="8">
        <v>2</v>
      </c>
      <c r="X445" s="8">
        <v>5</v>
      </c>
      <c r="AG445" s="8" t="str">
        <f t="shared" si="25"/>
        <v/>
      </c>
      <c r="AI445" s="8" t="str">
        <f t="shared" si="26"/>
        <v/>
      </c>
      <c r="AJ445" s="8" t="str">
        <f t="shared" si="27"/>
        <v/>
      </c>
      <c r="AL445" s="8" t="str">
        <f t="shared" si="28"/>
        <v/>
      </c>
    </row>
    <row r="446" spans="1:38" x14ac:dyDescent="0.25">
      <c r="A446" s="8" t="s">
        <v>883</v>
      </c>
      <c r="B446" s="8" t="s">
        <v>884</v>
      </c>
      <c r="C446" s="8">
        <v>30841497</v>
      </c>
      <c r="D446" s="8">
        <v>5</v>
      </c>
      <c r="E446" s="11">
        <v>43109</v>
      </c>
      <c r="F446" s="8" t="s">
        <v>58</v>
      </c>
      <c r="G446" s="11">
        <v>43109</v>
      </c>
      <c r="H446" s="8" t="s">
        <v>25</v>
      </c>
      <c r="I446" s="11">
        <v>43109</v>
      </c>
      <c r="J446" s="8" t="s">
        <v>25</v>
      </c>
      <c r="N446" s="8" t="s">
        <v>58</v>
      </c>
      <c r="O446" s="8" t="s">
        <v>59</v>
      </c>
      <c r="P446" s="8" t="s">
        <v>59</v>
      </c>
      <c r="R446" s="8">
        <v>0</v>
      </c>
      <c r="S446" s="8">
        <v>0</v>
      </c>
      <c r="T446" s="8">
        <v>1</v>
      </c>
      <c r="U446" s="8">
        <v>2</v>
      </c>
      <c r="X446" s="8">
        <v>5</v>
      </c>
      <c r="AG446" s="8" t="str">
        <f t="shared" si="25"/>
        <v/>
      </c>
      <c r="AI446" s="8" t="str">
        <f t="shared" si="26"/>
        <v/>
      </c>
      <c r="AJ446" s="8" t="str">
        <f t="shared" si="27"/>
        <v/>
      </c>
      <c r="AL446" s="8" t="str">
        <f t="shared" si="28"/>
        <v/>
      </c>
    </row>
    <row r="447" spans="1:38" x14ac:dyDescent="0.25">
      <c r="A447" s="8" t="s">
        <v>4870</v>
      </c>
      <c r="B447" s="8" t="s">
        <v>4871</v>
      </c>
      <c r="C447" s="8">
        <v>30825467</v>
      </c>
      <c r="D447" s="8">
        <v>5</v>
      </c>
      <c r="E447" s="11">
        <v>43108</v>
      </c>
      <c r="F447" s="8" t="s">
        <v>58</v>
      </c>
      <c r="G447" s="11">
        <v>43112</v>
      </c>
      <c r="H447" s="8" t="s">
        <v>145</v>
      </c>
      <c r="I447" s="11">
        <v>43115</v>
      </c>
      <c r="J447" s="8" t="s">
        <v>25</v>
      </c>
      <c r="N447" s="8" t="s">
        <v>58</v>
      </c>
      <c r="O447" s="8" t="s">
        <v>59</v>
      </c>
      <c r="P447" s="8" t="s">
        <v>59</v>
      </c>
      <c r="R447" s="8">
        <v>0</v>
      </c>
      <c r="S447" s="8">
        <v>0</v>
      </c>
      <c r="T447" s="8">
        <v>1</v>
      </c>
      <c r="U447" s="8">
        <v>2</v>
      </c>
      <c r="X447" s="8">
        <v>5</v>
      </c>
      <c r="AG447" s="8" t="str">
        <f t="shared" si="25"/>
        <v/>
      </c>
      <c r="AI447" s="8" t="str">
        <f t="shared" si="26"/>
        <v/>
      </c>
      <c r="AJ447" s="8" t="str">
        <f t="shared" si="27"/>
        <v/>
      </c>
      <c r="AL447" s="8" t="str">
        <f t="shared" si="28"/>
        <v/>
      </c>
    </row>
    <row r="448" spans="1:38" x14ac:dyDescent="0.25">
      <c r="A448" s="8" t="s">
        <v>3400</v>
      </c>
      <c r="B448" s="8" t="s">
        <v>3401</v>
      </c>
      <c r="C448" s="8">
        <v>30866993</v>
      </c>
      <c r="D448" s="8">
        <v>5</v>
      </c>
      <c r="E448" s="11">
        <v>43110</v>
      </c>
      <c r="F448" s="8" t="s">
        <v>57</v>
      </c>
      <c r="G448" s="11">
        <v>43111</v>
      </c>
      <c r="H448" s="8" t="s">
        <v>25</v>
      </c>
      <c r="J448" s="8" t="s">
        <v>25</v>
      </c>
      <c r="N448" s="8" t="s">
        <v>58</v>
      </c>
      <c r="O448" s="8" t="s">
        <v>59</v>
      </c>
      <c r="P448" s="8" t="s">
        <v>59</v>
      </c>
      <c r="R448" s="8">
        <v>0</v>
      </c>
      <c r="S448" s="8">
        <v>0</v>
      </c>
      <c r="T448" s="8">
        <v>1</v>
      </c>
      <c r="U448" s="8">
        <v>2</v>
      </c>
      <c r="AG448" s="8" t="str">
        <f t="shared" si="25"/>
        <v/>
      </c>
      <c r="AI448" s="8" t="str">
        <f t="shared" si="26"/>
        <v/>
      </c>
      <c r="AJ448" s="8" t="str">
        <f t="shared" si="27"/>
        <v/>
      </c>
      <c r="AL448" s="8" t="str">
        <f t="shared" si="28"/>
        <v/>
      </c>
    </row>
    <row r="449" spans="1:38" x14ac:dyDescent="0.25">
      <c r="A449" s="8" t="s">
        <v>3402</v>
      </c>
      <c r="B449" s="8" t="s">
        <v>3403</v>
      </c>
      <c r="C449" s="8">
        <v>30898338</v>
      </c>
      <c r="D449" s="8">
        <v>5</v>
      </c>
      <c r="E449" s="11">
        <v>43111</v>
      </c>
      <c r="F449" s="8" t="s">
        <v>58</v>
      </c>
      <c r="G449" s="11">
        <v>43111</v>
      </c>
      <c r="H449" s="8" t="s">
        <v>25</v>
      </c>
      <c r="I449" s="11">
        <v>43111</v>
      </c>
      <c r="J449" s="8" t="s">
        <v>25</v>
      </c>
      <c r="N449" s="8" t="s">
        <v>58</v>
      </c>
      <c r="O449" s="8" t="s">
        <v>59</v>
      </c>
      <c r="P449" s="8" t="s">
        <v>59</v>
      </c>
      <c r="R449" s="8">
        <v>0</v>
      </c>
      <c r="S449" s="8">
        <v>0</v>
      </c>
      <c r="T449" s="8">
        <v>1</v>
      </c>
      <c r="U449" s="8">
        <v>2</v>
      </c>
      <c r="X449" s="8">
        <v>5</v>
      </c>
      <c r="AG449" s="8" t="str">
        <f t="shared" si="25"/>
        <v/>
      </c>
      <c r="AI449" s="8" t="str">
        <f t="shared" si="26"/>
        <v/>
      </c>
      <c r="AJ449" s="8" t="str">
        <f t="shared" si="27"/>
        <v/>
      </c>
      <c r="AL449" s="8" t="str">
        <f t="shared" si="28"/>
        <v/>
      </c>
    </row>
    <row r="450" spans="1:38" x14ac:dyDescent="0.25">
      <c r="A450" s="8" t="s">
        <v>6755</v>
      </c>
      <c r="B450" s="8" t="s">
        <v>6756</v>
      </c>
      <c r="C450" s="8">
        <v>30842789</v>
      </c>
      <c r="D450" s="8">
        <v>5</v>
      </c>
      <c r="E450" s="11">
        <v>43109</v>
      </c>
      <c r="F450" s="8" t="s">
        <v>57</v>
      </c>
      <c r="G450" s="11">
        <v>43115</v>
      </c>
      <c r="H450" s="8" t="s">
        <v>145</v>
      </c>
      <c r="J450" s="8" t="s">
        <v>25</v>
      </c>
      <c r="N450" s="8" t="s">
        <v>58</v>
      </c>
      <c r="O450" s="8" t="s">
        <v>59</v>
      </c>
      <c r="P450" s="8" t="s">
        <v>59</v>
      </c>
      <c r="R450" s="8">
        <v>0</v>
      </c>
      <c r="S450" s="8">
        <v>0</v>
      </c>
      <c r="T450" s="8">
        <v>1</v>
      </c>
      <c r="U450" s="8">
        <v>2</v>
      </c>
      <c r="AG450" s="8" t="str">
        <f t="shared" si="25"/>
        <v/>
      </c>
      <c r="AI450" s="8" t="str">
        <f t="shared" si="26"/>
        <v/>
      </c>
      <c r="AJ450" s="8" t="str">
        <f t="shared" si="27"/>
        <v/>
      </c>
      <c r="AL450" s="8" t="str">
        <f t="shared" si="28"/>
        <v/>
      </c>
    </row>
    <row r="451" spans="1:38" x14ac:dyDescent="0.25">
      <c r="A451" s="8" t="s">
        <v>6757</v>
      </c>
      <c r="B451" s="8" t="s">
        <v>6758</v>
      </c>
      <c r="C451" s="8">
        <v>30871175</v>
      </c>
      <c r="D451" s="8">
        <v>5</v>
      </c>
      <c r="E451" s="11">
        <v>43110</v>
      </c>
      <c r="F451" s="8" t="s">
        <v>57</v>
      </c>
      <c r="G451" s="11">
        <v>43115</v>
      </c>
      <c r="H451" s="8" t="s">
        <v>145</v>
      </c>
      <c r="J451" s="8" t="s">
        <v>25</v>
      </c>
      <c r="N451" s="8" t="s">
        <v>58</v>
      </c>
      <c r="O451" s="8" t="s">
        <v>59</v>
      </c>
      <c r="P451" s="8" t="s">
        <v>59</v>
      </c>
      <c r="R451" s="8">
        <v>0</v>
      </c>
      <c r="S451" s="8">
        <v>0</v>
      </c>
      <c r="T451" s="8">
        <v>1</v>
      </c>
      <c r="U451" s="8">
        <v>2</v>
      </c>
      <c r="AG451" s="8" t="str">
        <f t="shared" ref="AG451:AG514" si="29">IF(AND(U451="",G451&lt;&gt;"",NOT(OR(R451,S451))),IF(NETWORKDAYS.INTL(G451,TODAY(),11)&lt;5,"En Plazo",IF(NETWORKDAYS.INTL(G451,TODAY(),11)=5,"Riesgo Incumplimiento","FALTA_02")),"")</f>
        <v/>
      </c>
      <c r="AI451" s="8" t="str">
        <f t="shared" ref="AI451:AI514" si="30">IF(AND(O451&lt;&gt;"B1",F451="Rejected"),IF(W451="","FALTA_04",""),"")</f>
        <v/>
      </c>
      <c r="AJ451" s="8" t="str">
        <f t="shared" ref="AJ451:AJ514" si="31">IF(AND(X451="",I451&lt;&gt;"",NOT(OR(R451,S451))),IF(NETWORKDAYS.INTL(G451,TODAY(),11)&lt;=1,"En Plazo",IF(OR(AND(X451="",O451&lt;&gt;"M1"),AND(O451="M1",(OR(Q451="S - S",Q451="S - T",)))),"FALTA_05","")),"")</f>
        <v/>
      </c>
      <c r="AL451" s="8" t="str">
        <f t="shared" ref="AL451:AL514" si="32">IF(AND(O451="B1",F451="Rejected"),IF(Z451="","FALTA_07",""),"")</f>
        <v/>
      </c>
    </row>
    <row r="452" spans="1:38" x14ac:dyDescent="0.25">
      <c r="A452" s="8" t="s">
        <v>885</v>
      </c>
      <c r="B452" s="8" t="s">
        <v>886</v>
      </c>
      <c r="C452" s="8">
        <v>30849266</v>
      </c>
      <c r="D452" s="8">
        <v>5</v>
      </c>
      <c r="E452" s="11">
        <v>43109</v>
      </c>
      <c r="F452" s="8" t="s">
        <v>58</v>
      </c>
      <c r="G452" s="11">
        <v>43109</v>
      </c>
      <c r="H452" s="8" t="s">
        <v>25</v>
      </c>
      <c r="I452" s="11">
        <v>43109</v>
      </c>
      <c r="J452" s="8" t="s">
        <v>25</v>
      </c>
      <c r="N452" s="8" t="s">
        <v>58</v>
      </c>
      <c r="O452" s="8" t="s">
        <v>59</v>
      </c>
      <c r="P452" s="8" t="s">
        <v>59</v>
      </c>
      <c r="R452" s="8">
        <v>0</v>
      </c>
      <c r="S452" s="8">
        <v>0</v>
      </c>
      <c r="T452" s="8">
        <v>1</v>
      </c>
      <c r="U452" s="8">
        <v>2</v>
      </c>
      <c r="X452" s="8">
        <v>5</v>
      </c>
      <c r="AG452" s="8" t="str">
        <f t="shared" si="29"/>
        <v/>
      </c>
      <c r="AI452" s="8" t="str">
        <f t="shared" si="30"/>
        <v/>
      </c>
      <c r="AJ452" s="8" t="str">
        <f t="shared" si="31"/>
        <v/>
      </c>
      <c r="AL452" s="8" t="str">
        <f t="shared" si="32"/>
        <v/>
      </c>
    </row>
    <row r="453" spans="1:38" x14ac:dyDescent="0.25">
      <c r="A453" s="8" t="s">
        <v>4872</v>
      </c>
      <c r="B453" s="8" t="s">
        <v>4873</v>
      </c>
      <c r="C453" s="8">
        <v>30913225</v>
      </c>
      <c r="D453" s="8">
        <v>5</v>
      </c>
      <c r="E453" s="11">
        <v>43112</v>
      </c>
      <c r="F453" s="8" t="s">
        <v>58</v>
      </c>
      <c r="G453" s="11">
        <v>43112</v>
      </c>
      <c r="H453" s="8" t="s">
        <v>25</v>
      </c>
      <c r="I453" s="11">
        <v>43112</v>
      </c>
      <c r="J453" s="8" t="s">
        <v>25</v>
      </c>
      <c r="N453" s="8" t="s">
        <v>58</v>
      </c>
      <c r="O453" s="8" t="s">
        <v>59</v>
      </c>
      <c r="P453" s="8" t="s">
        <v>59</v>
      </c>
      <c r="R453" s="8">
        <v>0</v>
      </c>
      <c r="S453" s="8">
        <v>0</v>
      </c>
      <c r="T453" s="8">
        <v>1</v>
      </c>
      <c r="U453" s="8">
        <v>2</v>
      </c>
      <c r="X453" s="8">
        <v>5</v>
      </c>
      <c r="AG453" s="8" t="str">
        <f t="shared" si="29"/>
        <v/>
      </c>
      <c r="AI453" s="8" t="str">
        <f t="shared" si="30"/>
        <v/>
      </c>
      <c r="AJ453" s="8" t="str">
        <f t="shared" si="31"/>
        <v/>
      </c>
      <c r="AL453" s="8" t="str">
        <f t="shared" si="32"/>
        <v/>
      </c>
    </row>
    <row r="454" spans="1:38" x14ac:dyDescent="0.25">
      <c r="A454" s="8" t="s">
        <v>4874</v>
      </c>
      <c r="B454" s="8" t="s">
        <v>4875</v>
      </c>
      <c r="C454" s="8">
        <v>30912128</v>
      </c>
      <c r="D454" s="8">
        <v>5</v>
      </c>
      <c r="E454" s="11">
        <v>43112</v>
      </c>
      <c r="F454" s="8" t="s">
        <v>57</v>
      </c>
      <c r="G454" s="11">
        <v>43112</v>
      </c>
      <c r="H454" s="8" t="s">
        <v>25</v>
      </c>
      <c r="J454" s="8" t="s">
        <v>25</v>
      </c>
      <c r="N454" s="8" t="s">
        <v>58</v>
      </c>
      <c r="O454" s="8" t="s">
        <v>59</v>
      </c>
      <c r="P454" s="8" t="s">
        <v>59</v>
      </c>
      <c r="R454" s="8">
        <v>0</v>
      </c>
      <c r="S454" s="8">
        <v>0</v>
      </c>
      <c r="T454" s="8">
        <v>1</v>
      </c>
      <c r="U454" s="8">
        <v>2</v>
      </c>
      <c r="AG454" s="8" t="str">
        <f t="shared" si="29"/>
        <v/>
      </c>
      <c r="AI454" s="8" t="str">
        <f t="shared" si="30"/>
        <v/>
      </c>
      <c r="AJ454" s="8" t="str">
        <f t="shared" si="31"/>
        <v/>
      </c>
      <c r="AL454" s="8" t="str">
        <f t="shared" si="32"/>
        <v/>
      </c>
    </row>
    <row r="455" spans="1:38" x14ac:dyDescent="0.25">
      <c r="A455" s="8" t="s">
        <v>224</v>
      </c>
      <c r="B455" s="8" t="s">
        <v>225</v>
      </c>
      <c r="C455" s="8">
        <v>30814856</v>
      </c>
      <c r="D455" s="8">
        <v>5</v>
      </c>
      <c r="E455" s="11">
        <v>43108</v>
      </c>
      <c r="F455" s="8" t="s">
        <v>58</v>
      </c>
      <c r="G455" s="11">
        <v>43108</v>
      </c>
      <c r="H455" s="8" t="s">
        <v>25</v>
      </c>
      <c r="I455" s="11">
        <v>43108</v>
      </c>
      <c r="J455" s="8" t="s">
        <v>25</v>
      </c>
      <c r="N455" s="8" t="s">
        <v>58</v>
      </c>
      <c r="O455" s="8" t="s">
        <v>59</v>
      </c>
      <c r="P455" s="8" t="s">
        <v>59</v>
      </c>
      <c r="R455" s="8">
        <v>0</v>
      </c>
      <c r="S455" s="8">
        <v>0</v>
      </c>
      <c r="T455" s="8">
        <v>1</v>
      </c>
      <c r="U455" s="8">
        <v>2</v>
      </c>
      <c r="X455" s="8">
        <v>5</v>
      </c>
      <c r="AG455" s="8" t="str">
        <f t="shared" si="29"/>
        <v/>
      </c>
      <c r="AI455" s="8" t="str">
        <f t="shared" si="30"/>
        <v/>
      </c>
      <c r="AJ455" s="8" t="str">
        <f t="shared" si="31"/>
        <v/>
      </c>
      <c r="AL455" s="8" t="str">
        <f t="shared" si="32"/>
        <v/>
      </c>
    </row>
    <row r="456" spans="1:38" x14ac:dyDescent="0.25">
      <c r="A456" s="8" t="s">
        <v>1795</v>
      </c>
      <c r="B456" s="8" t="s">
        <v>1796</v>
      </c>
      <c r="C456" s="8">
        <v>30858471</v>
      </c>
      <c r="D456" s="8">
        <v>5</v>
      </c>
      <c r="E456" s="11">
        <v>43110</v>
      </c>
      <c r="F456" s="8" t="s">
        <v>58</v>
      </c>
      <c r="G456" s="11">
        <v>43110</v>
      </c>
      <c r="H456" s="8" t="s">
        <v>25</v>
      </c>
      <c r="I456" s="11">
        <v>43110</v>
      </c>
      <c r="J456" s="8" t="s">
        <v>25</v>
      </c>
      <c r="N456" s="8" t="s">
        <v>58</v>
      </c>
      <c r="O456" s="8" t="s">
        <v>59</v>
      </c>
      <c r="P456" s="8" t="s">
        <v>59</v>
      </c>
      <c r="R456" s="8">
        <v>0</v>
      </c>
      <c r="S456" s="8">
        <v>0</v>
      </c>
      <c r="T456" s="8">
        <v>1</v>
      </c>
      <c r="U456" s="8">
        <v>2</v>
      </c>
      <c r="X456" s="8">
        <v>5</v>
      </c>
      <c r="AG456" s="8" t="str">
        <f t="shared" si="29"/>
        <v/>
      </c>
      <c r="AI456" s="8" t="str">
        <f t="shared" si="30"/>
        <v/>
      </c>
      <c r="AJ456" s="8" t="str">
        <f t="shared" si="31"/>
        <v/>
      </c>
      <c r="AL456" s="8" t="str">
        <f t="shared" si="32"/>
        <v/>
      </c>
    </row>
    <row r="457" spans="1:38" x14ac:dyDescent="0.25">
      <c r="A457" s="8" t="s">
        <v>4876</v>
      </c>
      <c r="B457" s="8" t="s">
        <v>4877</v>
      </c>
      <c r="C457" s="8">
        <v>30816105</v>
      </c>
      <c r="D457" s="8">
        <v>5</v>
      </c>
      <c r="E457" s="11">
        <v>43108</v>
      </c>
      <c r="F457" s="8" t="s">
        <v>58</v>
      </c>
      <c r="G457" s="11">
        <v>43112</v>
      </c>
      <c r="H457" s="8" t="s">
        <v>145</v>
      </c>
      <c r="I457" s="11">
        <v>43115</v>
      </c>
      <c r="J457" s="8" t="s">
        <v>25</v>
      </c>
      <c r="N457" s="8" t="s">
        <v>58</v>
      </c>
      <c r="O457" s="8" t="s">
        <v>59</v>
      </c>
      <c r="P457" s="8" t="s">
        <v>59</v>
      </c>
      <c r="R457" s="8">
        <v>0</v>
      </c>
      <c r="S457" s="8">
        <v>0</v>
      </c>
      <c r="T457" s="8">
        <v>1</v>
      </c>
      <c r="U457" s="8">
        <v>2</v>
      </c>
      <c r="X457" s="8">
        <v>5</v>
      </c>
      <c r="AG457" s="8" t="str">
        <f t="shared" si="29"/>
        <v/>
      </c>
      <c r="AI457" s="8" t="str">
        <f t="shared" si="30"/>
        <v/>
      </c>
      <c r="AJ457" s="8" t="str">
        <f t="shared" si="31"/>
        <v/>
      </c>
      <c r="AL457" s="8" t="str">
        <f t="shared" si="32"/>
        <v/>
      </c>
    </row>
    <row r="458" spans="1:38" x14ac:dyDescent="0.25">
      <c r="A458" s="8" t="s">
        <v>4878</v>
      </c>
      <c r="B458" s="8" t="s">
        <v>4879</v>
      </c>
      <c r="C458" s="8">
        <v>30913922</v>
      </c>
      <c r="D458" s="8">
        <v>5</v>
      </c>
      <c r="E458" s="11">
        <v>43112</v>
      </c>
      <c r="F458" s="8" t="s">
        <v>57</v>
      </c>
      <c r="G458" s="11">
        <v>43112</v>
      </c>
      <c r="H458" s="8" t="s">
        <v>25</v>
      </c>
      <c r="J458" s="8" t="s">
        <v>25</v>
      </c>
      <c r="N458" s="8" t="s">
        <v>58</v>
      </c>
      <c r="O458" s="8" t="s">
        <v>59</v>
      </c>
      <c r="P458" s="8" t="s">
        <v>59</v>
      </c>
      <c r="R458" s="8">
        <v>0</v>
      </c>
      <c r="S458" s="8">
        <v>0</v>
      </c>
      <c r="T458" s="8">
        <v>1</v>
      </c>
      <c r="U458" s="8">
        <v>2</v>
      </c>
      <c r="AG458" s="8" t="str">
        <f t="shared" si="29"/>
        <v/>
      </c>
      <c r="AI458" s="8" t="str">
        <f t="shared" si="30"/>
        <v/>
      </c>
      <c r="AJ458" s="8" t="str">
        <f t="shared" si="31"/>
        <v/>
      </c>
      <c r="AL458" s="8" t="str">
        <f t="shared" si="32"/>
        <v/>
      </c>
    </row>
    <row r="459" spans="1:38" x14ac:dyDescent="0.25">
      <c r="A459" s="8" t="s">
        <v>887</v>
      </c>
      <c r="B459" s="8" t="s">
        <v>888</v>
      </c>
      <c r="C459" s="8">
        <v>30846105</v>
      </c>
      <c r="D459" s="8">
        <v>5</v>
      </c>
      <c r="E459" s="11">
        <v>43109</v>
      </c>
      <c r="F459" s="8" t="s">
        <v>58</v>
      </c>
      <c r="G459" s="11">
        <v>43109</v>
      </c>
      <c r="H459" s="8" t="s">
        <v>25</v>
      </c>
      <c r="I459" s="11">
        <v>43109</v>
      </c>
      <c r="J459" s="8" t="s">
        <v>25</v>
      </c>
      <c r="N459" s="8" t="s">
        <v>58</v>
      </c>
      <c r="O459" s="8" t="s">
        <v>59</v>
      </c>
      <c r="P459" s="8" t="s">
        <v>59</v>
      </c>
      <c r="R459" s="8">
        <v>0</v>
      </c>
      <c r="S459" s="8">
        <v>0</v>
      </c>
      <c r="T459" s="8">
        <v>1</v>
      </c>
      <c r="U459" s="8">
        <v>2</v>
      </c>
      <c r="X459" s="8">
        <v>5</v>
      </c>
      <c r="AG459" s="8" t="str">
        <f t="shared" si="29"/>
        <v/>
      </c>
      <c r="AI459" s="8" t="str">
        <f t="shared" si="30"/>
        <v/>
      </c>
      <c r="AJ459" s="8" t="str">
        <f t="shared" si="31"/>
        <v/>
      </c>
      <c r="AL459" s="8" t="str">
        <f t="shared" si="32"/>
        <v/>
      </c>
    </row>
    <row r="460" spans="1:38" x14ac:dyDescent="0.25">
      <c r="A460" s="8" t="s">
        <v>3404</v>
      </c>
      <c r="B460" s="8" t="s">
        <v>3405</v>
      </c>
      <c r="C460" s="8">
        <v>30866434</v>
      </c>
      <c r="D460" s="8">
        <v>5</v>
      </c>
      <c r="E460" s="11">
        <v>43110</v>
      </c>
      <c r="F460" s="8" t="s">
        <v>57</v>
      </c>
      <c r="G460" s="11">
        <v>43111</v>
      </c>
      <c r="H460" s="8" t="s">
        <v>25</v>
      </c>
      <c r="J460" s="8" t="s">
        <v>25</v>
      </c>
      <c r="N460" s="8" t="s">
        <v>58</v>
      </c>
      <c r="O460" s="8" t="s">
        <v>59</v>
      </c>
      <c r="P460" s="8" t="s">
        <v>59</v>
      </c>
      <c r="R460" s="8">
        <v>0</v>
      </c>
      <c r="S460" s="8">
        <v>0</v>
      </c>
      <c r="T460" s="8">
        <v>1</v>
      </c>
      <c r="U460" s="8">
        <v>2</v>
      </c>
      <c r="AG460" s="8" t="str">
        <f t="shared" si="29"/>
        <v/>
      </c>
      <c r="AI460" s="8" t="str">
        <f t="shared" si="30"/>
        <v/>
      </c>
      <c r="AJ460" s="8" t="str">
        <f t="shared" si="31"/>
        <v/>
      </c>
      <c r="AL460" s="8" t="str">
        <f t="shared" si="32"/>
        <v/>
      </c>
    </row>
    <row r="461" spans="1:38" x14ac:dyDescent="0.25">
      <c r="A461" s="8" t="s">
        <v>4880</v>
      </c>
      <c r="B461" s="8" t="s">
        <v>4881</v>
      </c>
      <c r="C461" s="8">
        <v>30881696</v>
      </c>
      <c r="D461" s="8">
        <v>4</v>
      </c>
      <c r="E461" s="11">
        <v>43111</v>
      </c>
      <c r="F461" s="8" t="s">
        <v>57</v>
      </c>
      <c r="G461" s="11">
        <v>43112</v>
      </c>
      <c r="H461" s="8" t="s">
        <v>25</v>
      </c>
      <c r="J461" s="8" t="s">
        <v>25</v>
      </c>
      <c r="N461" s="8" t="s">
        <v>58</v>
      </c>
      <c r="O461" s="8" t="s">
        <v>59</v>
      </c>
      <c r="P461" s="8" t="s">
        <v>59</v>
      </c>
      <c r="R461" s="8">
        <v>0</v>
      </c>
      <c r="S461" s="8">
        <v>0</v>
      </c>
      <c r="T461" s="8">
        <v>1</v>
      </c>
      <c r="U461" s="8">
        <v>2</v>
      </c>
      <c r="AG461" s="8" t="str">
        <f t="shared" si="29"/>
        <v/>
      </c>
      <c r="AI461" s="8" t="str">
        <f t="shared" si="30"/>
        <v/>
      </c>
      <c r="AJ461" s="8" t="str">
        <f t="shared" si="31"/>
        <v/>
      </c>
      <c r="AL461" s="8" t="str">
        <f t="shared" si="32"/>
        <v/>
      </c>
    </row>
    <row r="462" spans="1:38" x14ac:dyDescent="0.25">
      <c r="A462" s="8" t="s">
        <v>3406</v>
      </c>
      <c r="B462" s="8" t="s">
        <v>3407</v>
      </c>
      <c r="C462" s="8">
        <v>30887486</v>
      </c>
      <c r="D462" s="8">
        <v>5</v>
      </c>
      <c r="E462" s="11">
        <v>43111</v>
      </c>
      <c r="F462" s="8" t="s">
        <v>58</v>
      </c>
      <c r="G462" s="11">
        <v>43111</v>
      </c>
      <c r="H462" s="8" t="s">
        <v>25</v>
      </c>
      <c r="I462" s="11">
        <v>43111</v>
      </c>
      <c r="J462" s="8" t="s">
        <v>25</v>
      </c>
      <c r="N462" s="8" t="s">
        <v>58</v>
      </c>
      <c r="O462" s="8" t="s">
        <v>59</v>
      </c>
      <c r="P462" s="8" t="s">
        <v>59</v>
      </c>
      <c r="R462" s="8">
        <v>0</v>
      </c>
      <c r="S462" s="8">
        <v>0</v>
      </c>
      <c r="T462" s="8">
        <v>1</v>
      </c>
      <c r="U462" s="8">
        <v>2</v>
      </c>
      <c r="X462" s="8">
        <v>5</v>
      </c>
      <c r="AG462" s="8" t="str">
        <f t="shared" si="29"/>
        <v/>
      </c>
      <c r="AI462" s="8" t="str">
        <f t="shared" si="30"/>
        <v/>
      </c>
      <c r="AJ462" s="8" t="str">
        <f t="shared" si="31"/>
        <v/>
      </c>
      <c r="AL462" s="8" t="str">
        <f t="shared" si="32"/>
        <v/>
      </c>
    </row>
    <row r="463" spans="1:38" x14ac:dyDescent="0.25">
      <c r="A463" s="8" t="s">
        <v>6759</v>
      </c>
      <c r="B463" s="8" t="s">
        <v>6760</v>
      </c>
      <c r="C463" s="8">
        <v>30853488</v>
      </c>
      <c r="D463" s="8">
        <v>5</v>
      </c>
      <c r="E463" s="11">
        <v>43109</v>
      </c>
      <c r="F463" s="8" t="s">
        <v>57</v>
      </c>
      <c r="G463" s="11">
        <v>43115</v>
      </c>
      <c r="H463" s="8" t="s">
        <v>145</v>
      </c>
      <c r="J463" s="8" t="s">
        <v>25</v>
      </c>
      <c r="N463" s="8" t="s">
        <v>58</v>
      </c>
      <c r="O463" s="8" t="s">
        <v>59</v>
      </c>
      <c r="P463" s="8" t="s">
        <v>59</v>
      </c>
      <c r="R463" s="8">
        <v>0</v>
      </c>
      <c r="S463" s="8">
        <v>0</v>
      </c>
      <c r="T463" s="8">
        <v>1</v>
      </c>
      <c r="U463" s="8">
        <v>2</v>
      </c>
      <c r="AG463" s="8" t="str">
        <f t="shared" si="29"/>
        <v/>
      </c>
      <c r="AI463" s="8" t="str">
        <f t="shared" si="30"/>
        <v/>
      </c>
      <c r="AJ463" s="8" t="str">
        <f t="shared" si="31"/>
        <v/>
      </c>
      <c r="AL463" s="8" t="str">
        <f t="shared" si="32"/>
        <v/>
      </c>
    </row>
    <row r="464" spans="1:38" x14ac:dyDescent="0.25">
      <c r="A464" s="8" t="s">
        <v>3408</v>
      </c>
      <c r="B464" s="8" t="s">
        <v>3409</v>
      </c>
      <c r="C464" s="8">
        <v>30893525</v>
      </c>
      <c r="D464" s="8">
        <v>5</v>
      </c>
      <c r="E464" s="11">
        <v>43111</v>
      </c>
      <c r="F464" s="8" t="s">
        <v>58</v>
      </c>
      <c r="G464" s="11">
        <v>43111</v>
      </c>
      <c r="H464" s="8" t="s">
        <v>25</v>
      </c>
      <c r="I464" s="11">
        <v>43111</v>
      </c>
      <c r="J464" s="8" t="s">
        <v>25</v>
      </c>
      <c r="N464" s="8" t="s">
        <v>58</v>
      </c>
      <c r="O464" s="8" t="s">
        <v>59</v>
      </c>
      <c r="P464" s="8" t="s">
        <v>59</v>
      </c>
      <c r="R464" s="8">
        <v>0</v>
      </c>
      <c r="S464" s="8">
        <v>0</v>
      </c>
      <c r="T464" s="8">
        <v>1</v>
      </c>
      <c r="U464" s="8">
        <v>2</v>
      </c>
      <c r="X464" s="8">
        <v>5</v>
      </c>
      <c r="AG464" s="8" t="str">
        <f t="shared" si="29"/>
        <v/>
      </c>
      <c r="AI464" s="8" t="str">
        <f t="shared" si="30"/>
        <v/>
      </c>
      <c r="AJ464" s="8" t="str">
        <f t="shared" si="31"/>
        <v/>
      </c>
      <c r="AL464" s="8" t="str">
        <f t="shared" si="32"/>
        <v/>
      </c>
    </row>
    <row r="465" spans="1:38" x14ac:dyDescent="0.25">
      <c r="A465" s="8" t="s">
        <v>6761</v>
      </c>
      <c r="B465" s="8" t="s">
        <v>6762</v>
      </c>
      <c r="C465" s="8">
        <v>30853349</v>
      </c>
      <c r="D465" s="8">
        <v>5</v>
      </c>
      <c r="E465" s="11">
        <v>43109</v>
      </c>
      <c r="F465" s="8" t="s">
        <v>57</v>
      </c>
      <c r="G465" s="11">
        <v>43115</v>
      </c>
      <c r="H465" s="8" t="s">
        <v>145</v>
      </c>
      <c r="J465" s="8" t="s">
        <v>25</v>
      </c>
      <c r="N465" s="8" t="s">
        <v>58</v>
      </c>
      <c r="O465" s="8" t="s">
        <v>59</v>
      </c>
      <c r="P465" s="8" t="s">
        <v>59</v>
      </c>
      <c r="R465" s="8">
        <v>0</v>
      </c>
      <c r="S465" s="8">
        <v>0</v>
      </c>
      <c r="T465" s="8">
        <v>1</v>
      </c>
      <c r="U465" s="8">
        <v>2</v>
      </c>
      <c r="AG465" s="8" t="str">
        <f t="shared" si="29"/>
        <v/>
      </c>
      <c r="AI465" s="8" t="str">
        <f t="shared" si="30"/>
        <v/>
      </c>
      <c r="AJ465" s="8" t="str">
        <f t="shared" si="31"/>
        <v/>
      </c>
      <c r="AL465" s="8" t="str">
        <f t="shared" si="32"/>
        <v/>
      </c>
    </row>
    <row r="466" spans="1:38" x14ac:dyDescent="0.25">
      <c r="A466" s="8" t="s">
        <v>1797</v>
      </c>
      <c r="B466" s="8" t="s">
        <v>1798</v>
      </c>
      <c r="C466" s="8">
        <v>30865196</v>
      </c>
      <c r="D466" s="8">
        <v>5</v>
      </c>
      <c r="E466" s="11">
        <v>43110</v>
      </c>
      <c r="F466" s="8" t="s">
        <v>58</v>
      </c>
      <c r="G466" s="11">
        <v>43110</v>
      </c>
      <c r="H466" s="8" t="s">
        <v>25</v>
      </c>
      <c r="I466" s="11">
        <v>43110</v>
      </c>
      <c r="J466" s="8" t="s">
        <v>25</v>
      </c>
      <c r="N466" s="8" t="s">
        <v>58</v>
      </c>
      <c r="O466" s="8" t="s">
        <v>59</v>
      </c>
      <c r="P466" s="8" t="s">
        <v>59</v>
      </c>
      <c r="R466" s="8">
        <v>0</v>
      </c>
      <c r="S466" s="8">
        <v>0</v>
      </c>
      <c r="T466" s="8">
        <v>1</v>
      </c>
      <c r="U466" s="8">
        <v>2</v>
      </c>
      <c r="X466" s="8">
        <v>5</v>
      </c>
      <c r="AG466" s="8" t="str">
        <f t="shared" si="29"/>
        <v/>
      </c>
      <c r="AI466" s="8" t="str">
        <f t="shared" si="30"/>
        <v/>
      </c>
      <c r="AJ466" s="8" t="str">
        <f t="shared" si="31"/>
        <v/>
      </c>
      <c r="AL466" s="8" t="str">
        <f t="shared" si="32"/>
        <v/>
      </c>
    </row>
    <row r="467" spans="1:38" x14ac:dyDescent="0.25">
      <c r="A467" s="8" t="s">
        <v>1799</v>
      </c>
      <c r="B467" s="8" t="s">
        <v>1800</v>
      </c>
      <c r="C467" s="8">
        <v>30868023</v>
      </c>
      <c r="D467" s="8">
        <v>5</v>
      </c>
      <c r="E467" s="11">
        <v>43110</v>
      </c>
      <c r="F467" s="8" t="s">
        <v>60</v>
      </c>
      <c r="G467" s="11">
        <v>43111</v>
      </c>
      <c r="H467" s="8" t="s">
        <v>25</v>
      </c>
      <c r="J467" s="8" t="s">
        <v>25</v>
      </c>
      <c r="L467" s="8" t="s">
        <v>3287</v>
      </c>
      <c r="M467" s="8" t="s">
        <v>66</v>
      </c>
      <c r="N467" s="8" t="s">
        <v>58</v>
      </c>
      <c r="O467" s="8" t="s">
        <v>59</v>
      </c>
      <c r="P467" s="8" t="s">
        <v>59</v>
      </c>
      <c r="R467" s="8">
        <v>0</v>
      </c>
      <c r="S467" s="8">
        <v>0</v>
      </c>
      <c r="T467" s="8">
        <v>1</v>
      </c>
      <c r="U467" s="8">
        <v>2</v>
      </c>
      <c r="AG467" s="8" t="str">
        <f t="shared" si="29"/>
        <v/>
      </c>
      <c r="AI467" s="8" t="str">
        <f t="shared" si="30"/>
        <v/>
      </c>
      <c r="AJ467" s="8" t="str">
        <f t="shared" si="31"/>
        <v/>
      </c>
      <c r="AL467" s="8" t="str">
        <f t="shared" si="32"/>
        <v/>
      </c>
    </row>
    <row r="468" spans="1:38" x14ac:dyDescent="0.25">
      <c r="A468" s="8" t="s">
        <v>4882</v>
      </c>
      <c r="B468" s="8" t="s">
        <v>1800</v>
      </c>
      <c r="C468" s="8">
        <v>30910420</v>
      </c>
      <c r="D468" s="8">
        <v>5</v>
      </c>
      <c r="E468" s="11">
        <v>43112</v>
      </c>
      <c r="F468" s="8" t="s">
        <v>58</v>
      </c>
      <c r="G468" s="11">
        <v>43115</v>
      </c>
      <c r="H468" s="8" t="s">
        <v>25</v>
      </c>
      <c r="I468" s="11">
        <v>43115</v>
      </c>
      <c r="J468" s="8" t="s">
        <v>25</v>
      </c>
      <c r="M468" s="8" t="s">
        <v>66</v>
      </c>
      <c r="N468" s="8" t="s">
        <v>58</v>
      </c>
      <c r="O468" s="8" t="s">
        <v>59</v>
      </c>
      <c r="P468" s="8" t="s">
        <v>59</v>
      </c>
      <c r="R468" s="8">
        <v>0</v>
      </c>
      <c r="S468" s="8">
        <v>0</v>
      </c>
      <c r="T468" s="8">
        <v>1</v>
      </c>
      <c r="U468" s="8">
        <v>2</v>
      </c>
      <c r="X468" s="8">
        <v>5</v>
      </c>
      <c r="AG468" s="8" t="str">
        <f t="shared" si="29"/>
        <v/>
      </c>
      <c r="AI468" s="8" t="str">
        <f t="shared" si="30"/>
        <v/>
      </c>
      <c r="AJ468" s="8" t="str">
        <f t="shared" si="31"/>
        <v/>
      </c>
      <c r="AL468" s="8" t="str">
        <f t="shared" si="32"/>
        <v/>
      </c>
    </row>
    <row r="469" spans="1:38" x14ac:dyDescent="0.25">
      <c r="A469" s="8" t="s">
        <v>4883</v>
      </c>
      <c r="B469" s="8" t="s">
        <v>4884</v>
      </c>
      <c r="C469" s="8">
        <v>30886011</v>
      </c>
      <c r="D469" s="8">
        <v>5</v>
      </c>
      <c r="E469" s="11">
        <v>43111</v>
      </c>
      <c r="F469" s="8" t="s">
        <v>57</v>
      </c>
      <c r="G469" s="11">
        <v>43112</v>
      </c>
      <c r="H469" s="8" t="s">
        <v>25</v>
      </c>
      <c r="J469" s="8" t="s">
        <v>25</v>
      </c>
      <c r="N469" s="8" t="s">
        <v>58</v>
      </c>
      <c r="O469" s="8" t="s">
        <v>59</v>
      </c>
      <c r="P469" s="8" t="s">
        <v>59</v>
      </c>
      <c r="R469" s="8">
        <v>0</v>
      </c>
      <c r="S469" s="8">
        <v>0</v>
      </c>
      <c r="T469" s="8">
        <v>1</v>
      </c>
      <c r="U469" s="8">
        <v>2</v>
      </c>
      <c r="AG469" s="8" t="str">
        <f t="shared" si="29"/>
        <v/>
      </c>
      <c r="AI469" s="8" t="str">
        <f t="shared" si="30"/>
        <v/>
      </c>
      <c r="AJ469" s="8" t="str">
        <f t="shared" si="31"/>
        <v/>
      </c>
      <c r="AL469" s="8" t="str">
        <f t="shared" si="32"/>
        <v/>
      </c>
    </row>
    <row r="470" spans="1:38" x14ac:dyDescent="0.25">
      <c r="A470" s="8" t="s">
        <v>4885</v>
      </c>
      <c r="B470" s="8" t="s">
        <v>4886</v>
      </c>
      <c r="C470" s="8">
        <v>30815035</v>
      </c>
      <c r="D470" s="8">
        <v>5</v>
      </c>
      <c r="E470" s="11">
        <v>43108</v>
      </c>
      <c r="F470" s="8" t="s">
        <v>58</v>
      </c>
      <c r="G470" s="11">
        <v>43112</v>
      </c>
      <c r="H470" s="8" t="s">
        <v>145</v>
      </c>
      <c r="I470" s="11">
        <v>43115</v>
      </c>
      <c r="J470" s="8" t="s">
        <v>25</v>
      </c>
      <c r="N470" s="8" t="s">
        <v>58</v>
      </c>
      <c r="O470" s="8" t="s">
        <v>59</v>
      </c>
      <c r="P470" s="8" t="s">
        <v>59</v>
      </c>
      <c r="R470" s="8">
        <v>0</v>
      </c>
      <c r="S470" s="8">
        <v>0</v>
      </c>
      <c r="T470" s="8">
        <v>1</v>
      </c>
      <c r="U470" s="8">
        <v>2</v>
      </c>
      <c r="X470" s="8">
        <v>5</v>
      </c>
      <c r="AG470" s="8" t="str">
        <f t="shared" si="29"/>
        <v/>
      </c>
      <c r="AI470" s="8" t="str">
        <f t="shared" si="30"/>
        <v/>
      </c>
      <c r="AJ470" s="8" t="str">
        <f t="shared" si="31"/>
        <v/>
      </c>
      <c r="AL470" s="8" t="str">
        <f t="shared" si="32"/>
        <v/>
      </c>
    </row>
    <row r="471" spans="1:38" x14ac:dyDescent="0.25">
      <c r="A471" s="8" t="s">
        <v>6763</v>
      </c>
      <c r="B471" s="8" t="s">
        <v>6764</v>
      </c>
      <c r="C471" s="8">
        <v>30912896</v>
      </c>
      <c r="D471" s="8">
        <v>5</v>
      </c>
      <c r="E471" s="11">
        <v>43112</v>
      </c>
      <c r="F471" s="8" t="s">
        <v>58</v>
      </c>
      <c r="G471" s="11">
        <v>43115</v>
      </c>
      <c r="H471" s="8" t="s">
        <v>25</v>
      </c>
      <c r="I471" s="11">
        <v>43115</v>
      </c>
      <c r="J471" s="8" t="s">
        <v>25</v>
      </c>
      <c r="N471" s="8" t="s">
        <v>58</v>
      </c>
      <c r="O471" s="8" t="s">
        <v>59</v>
      </c>
      <c r="P471" s="8" t="s">
        <v>59</v>
      </c>
      <c r="R471" s="8">
        <v>0</v>
      </c>
      <c r="S471" s="8">
        <v>0</v>
      </c>
      <c r="T471" s="8">
        <v>1</v>
      </c>
      <c r="U471" s="8">
        <v>2</v>
      </c>
      <c r="X471" s="8">
        <v>5</v>
      </c>
      <c r="AG471" s="8" t="str">
        <f t="shared" si="29"/>
        <v/>
      </c>
      <c r="AI471" s="8" t="str">
        <f t="shared" si="30"/>
        <v/>
      </c>
      <c r="AJ471" s="8" t="str">
        <f t="shared" si="31"/>
        <v/>
      </c>
      <c r="AL471" s="8" t="str">
        <f t="shared" si="32"/>
        <v/>
      </c>
    </row>
    <row r="472" spans="1:38" x14ac:dyDescent="0.25">
      <c r="A472" s="8" t="s">
        <v>3410</v>
      </c>
      <c r="B472" s="8" t="s">
        <v>3411</v>
      </c>
      <c r="C472" s="8">
        <v>30848838</v>
      </c>
      <c r="D472" s="8">
        <v>5</v>
      </c>
      <c r="E472" s="11">
        <v>43109</v>
      </c>
      <c r="F472" s="8" t="s">
        <v>57</v>
      </c>
      <c r="G472" s="11">
        <v>43111</v>
      </c>
      <c r="H472" s="8" t="s">
        <v>25</v>
      </c>
      <c r="J472" s="8" t="s">
        <v>25</v>
      </c>
      <c r="N472" s="8" t="s">
        <v>58</v>
      </c>
      <c r="O472" s="8" t="s">
        <v>59</v>
      </c>
      <c r="P472" s="8" t="s">
        <v>59</v>
      </c>
      <c r="R472" s="8">
        <v>0</v>
      </c>
      <c r="S472" s="8">
        <v>0</v>
      </c>
      <c r="T472" s="8">
        <v>1</v>
      </c>
      <c r="U472" s="8">
        <v>2</v>
      </c>
      <c r="AG472" s="8" t="str">
        <f t="shared" si="29"/>
        <v/>
      </c>
      <c r="AI472" s="8" t="str">
        <f t="shared" si="30"/>
        <v/>
      </c>
      <c r="AJ472" s="8" t="str">
        <f t="shared" si="31"/>
        <v/>
      </c>
      <c r="AL472" s="8" t="str">
        <f t="shared" si="32"/>
        <v/>
      </c>
    </row>
    <row r="473" spans="1:38" x14ac:dyDescent="0.25">
      <c r="A473" s="8" t="s">
        <v>4887</v>
      </c>
      <c r="B473" s="8" t="s">
        <v>4888</v>
      </c>
      <c r="C473" s="8">
        <v>30921611</v>
      </c>
      <c r="D473" s="8">
        <v>5</v>
      </c>
      <c r="E473" s="11">
        <v>43112</v>
      </c>
      <c r="F473" s="8" t="s">
        <v>57</v>
      </c>
      <c r="G473" s="11">
        <v>43112</v>
      </c>
      <c r="H473" s="8" t="s">
        <v>25</v>
      </c>
      <c r="J473" s="8" t="s">
        <v>25</v>
      </c>
      <c r="N473" s="8" t="s">
        <v>58</v>
      </c>
      <c r="O473" s="8" t="s">
        <v>59</v>
      </c>
      <c r="P473" s="8" t="s">
        <v>59</v>
      </c>
      <c r="R473" s="8">
        <v>0</v>
      </c>
      <c r="S473" s="8">
        <v>0</v>
      </c>
      <c r="T473" s="8">
        <v>1</v>
      </c>
      <c r="U473" s="8">
        <v>2</v>
      </c>
      <c r="AG473" s="8" t="str">
        <f t="shared" si="29"/>
        <v/>
      </c>
      <c r="AI473" s="8" t="str">
        <f t="shared" si="30"/>
        <v/>
      </c>
      <c r="AJ473" s="8" t="str">
        <f t="shared" si="31"/>
        <v/>
      </c>
      <c r="AL473" s="8" t="str">
        <f t="shared" si="32"/>
        <v/>
      </c>
    </row>
    <row r="474" spans="1:38" x14ac:dyDescent="0.25">
      <c r="A474" s="8" t="s">
        <v>4889</v>
      </c>
      <c r="B474" s="8" t="s">
        <v>133</v>
      </c>
      <c r="C474" s="8">
        <v>30909979</v>
      </c>
      <c r="D474" s="8">
        <v>5</v>
      </c>
      <c r="E474" s="11">
        <v>43112</v>
      </c>
      <c r="F474" s="8" t="s">
        <v>60</v>
      </c>
      <c r="G474" s="11">
        <v>43112</v>
      </c>
      <c r="H474" s="8" t="s">
        <v>25</v>
      </c>
      <c r="J474" s="8" t="s">
        <v>25</v>
      </c>
      <c r="L474" s="8" t="s">
        <v>6525</v>
      </c>
      <c r="N474" s="8" t="s">
        <v>58</v>
      </c>
      <c r="O474" s="8" t="s">
        <v>59</v>
      </c>
      <c r="P474" s="8" t="s">
        <v>59</v>
      </c>
      <c r="R474" s="8">
        <v>0</v>
      </c>
      <c r="S474" s="8">
        <v>0</v>
      </c>
      <c r="T474" s="8">
        <v>1</v>
      </c>
      <c r="U474" s="8">
        <v>2</v>
      </c>
      <c r="W474" s="8">
        <v>4</v>
      </c>
      <c r="AG474" s="8" t="str">
        <f t="shared" si="29"/>
        <v/>
      </c>
      <c r="AI474" s="8" t="str">
        <f t="shared" si="30"/>
        <v/>
      </c>
      <c r="AJ474" s="8" t="str">
        <f t="shared" si="31"/>
        <v/>
      </c>
      <c r="AL474" s="8" t="str">
        <f t="shared" si="32"/>
        <v/>
      </c>
    </row>
    <row r="475" spans="1:38" x14ac:dyDescent="0.25">
      <c r="A475" s="8" t="s">
        <v>1801</v>
      </c>
      <c r="B475" s="8" t="s">
        <v>1802</v>
      </c>
      <c r="C475" s="8">
        <v>30874057</v>
      </c>
      <c r="D475" s="8">
        <v>5</v>
      </c>
      <c r="E475" s="11">
        <v>43110</v>
      </c>
      <c r="F475" s="8" t="s">
        <v>57</v>
      </c>
      <c r="G475" s="11">
        <v>43110</v>
      </c>
      <c r="H475" s="8" t="s">
        <v>25</v>
      </c>
      <c r="J475" s="8" t="s">
        <v>25</v>
      </c>
      <c r="N475" s="8" t="s">
        <v>58</v>
      </c>
      <c r="O475" s="8" t="s">
        <v>59</v>
      </c>
      <c r="P475" s="8" t="s">
        <v>59</v>
      </c>
      <c r="R475" s="8">
        <v>0</v>
      </c>
      <c r="S475" s="8">
        <v>0</v>
      </c>
      <c r="T475" s="8">
        <v>1</v>
      </c>
      <c r="U475" s="8">
        <v>2</v>
      </c>
      <c r="AG475" s="8" t="str">
        <f t="shared" si="29"/>
        <v/>
      </c>
      <c r="AI475" s="8" t="str">
        <f t="shared" si="30"/>
        <v/>
      </c>
      <c r="AJ475" s="8" t="str">
        <f t="shared" si="31"/>
        <v/>
      </c>
      <c r="AL475" s="8" t="str">
        <f t="shared" si="32"/>
        <v/>
      </c>
    </row>
    <row r="476" spans="1:38" x14ac:dyDescent="0.25">
      <c r="A476" s="8" t="s">
        <v>6765</v>
      </c>
      <c r="B476" s="8" t="s">
        <v>6766</v>
      </c>
      <c r="C476" s="8">
        <v>30867865</v>
      </c>
      <c r="D476" s="8">
        <v>5</v>
      </c>
      <c r="E476" s="11">
        <v>43110</v>
      </c>
      <c r="F476" s="8" t="s">
        <v>57</v>
      </c>
      <c r="G476" s="11">
        <v>43115</v>
      </c>
      <c r="H476" s="8" t="s">
        <v>145</v>
      </c>
      <c r="J476" s="8" t="s">
        <v>25</v>
      </c>
      <c r="N476" s="8" t="s">
        <v>58</v>
      </c>
      <c r="O476" s="8" t="s">
        <v>59</v>
      </c>
      <c r="P476" s="8" t="s">
        <v>59</v>
      </c>
      <c r="R476" s="8">
        <v>0</v>
      </c>
      <c r="S476" s="8">
        <v>0</v>
      </c>
      <c r="T476" s="8">
        <v>1</v>
      </c>
      <c r="U476" s="8">
        <v>2</v>
      </c>
      <c r="AG476" s="8" t="str">
        <f t="shared" si="29"/>
        <v/>
      </c>
      <c r="AI476" s="8" t="str">
        <f t="shared" si="30"/>
        <v/>
      </c>
      <c r="AJ476" s="8" t="str">
        <f t="shared" si="31"/>
        <v/>
      </c>
      <c r="AL476" s="8" t="str">
        <f t="shared" si="32"/>
        <v/>
      </c>
    </row>
    <row r="477" spans="1:38" x14ac:dyDescent="0.25">
      <c r="A477" s="8" t="s">
        <v>6767</v>
      </c>
      <c r="B477" s="8" t="s">
        <v>6768</v>
      </c>
      <c r="C477" s="8">
        <v>30932487</v>
      </c>
      <c r="D477" s="8">
        <v>5</v>
      </c>
      <c r="E477" s="11">
        <v>43115</v>
      </c>
      <c r="F477" s="8" t="s">
        <v>58</v>
      </c>
      <c r="G477" s="11">
        <v>43115</v>
      </c>
      <c r="H477" s="8" t="s">
        <v>25</v>
      </c>
      <c r="I477" s="11">
        <v>43115</v>
      </c>
      <c r="J477" s="8" t="s">
        <v>25</v>
      </c>
      <c r="N477" s="8" t="s">
        <v>58</v>
      </c>
      <c r="O477" s="8" t="s">
        <v>59</v>
      </c>
      <c r="P477" s="8" t="s">
        <v>59</v>
      </c>
      <c r="R477" s="8">
        <v>0</v>
      </c>
      <c r="S477" s="8">
        <v>0</v>
      </c>
      <c r="T477" s="8">
        <v>1</v>
      </c>
      <c r="U477" s="8">
        <v>2</v>
      </c>
      <c r="X477" s="8">
        <v>5</v>
      </c>
      <c r="AG477" s="8" t="str">
        <f t="shared" si="29"/>
        <v/>
      </c>
      <c r="AI477" s="8" t="str">
        <f t="shared" si="30"/>
        <v/>
      </c>
      <c r="AJ477" s="8" t="str">
        <f t="shared" si="31"/>
        <v/>
      </c>
      <c r="AL477" s="8" t="str">
        <f t="shared" si="32"/>
        <v/>
      </c>
    </row>
    <row r="478" spans="1:38" x14ac:dyDescent="0.25">
      <c r="A478" s="8" t="s">
        <v>226</v>
      </c>
      <c r="B478" s="8" t="s">
        <v>227</v>
      </c>
      <c r="C478" s="8">
        <v>30815841</v>
      </c>
      <c r="D478" s="8">
        <v>5</v>
      </c>
      <c r="E478" s="11">
        <v>43108</v>
      </c>
      <c r="F478" s="8" t="s">
        <v>58</v>
      </c>
      <c r="G478" s="11">
        <v>43108</v>
      </c>
      <c r="H478" s="8" t="s">
        <v>25</v>
      </c>
      <c r="I478" s="11">
        <v>43109</v>
      </c>
      <c r="J478" s="8" t="s">
        <v>25</v>
      </c>
      <c r="N478" s="8" t="s">
        <v>58</v>
      </c>
      <c r="O478" s="8" t="s">
        <v>59</v>
      </c>
      <c r="P478" s="8" t="s">
        <v>59</v>
      </c>
      <c r="R478" s="8">
        <v>0</v>
      </c>
      <c r="S478" s="8">
        <v>0</v>
      </c>
      <c r="T478" s="8">
        <v>1</v>
      </c>
      <c r="U478" s="8">
        <v>2</v>
      </c>
      <c r="X478" s="8">
        <v>5</v>
      </c>
      <c r="AG478" s="8" t="str">
        <f t="shared" si="29"/>
        <v/>
      </c>
      <c r="AI478" s="8" t="str">
        <f t="shared" si="30"/>
        <v/>
      </c>
      <c r="AJ478" s="8" t="str">
        <f t="shared" si="31"/>
        <v/>
      </c>
      <c r="AL478" s="8" t="str">
        <f t="shared" si="32"/>
        <v/>
      </c>
    </row>
    <row r="479" spans="1:38" x14ac:dyDescent="0.25">
      <c r="A479" s="8" t="s">
        <v>889</v>
      </c>
      <c r="B479" s="8" t="s">
        <v>890</v>
      </c>
      <c r="C479" s="8">
        <v>30812384</v>
      </c>
      <c r="D479" s="8">
        <v>5</v>
      </c>
      <c r="E479" s="11">
        <v>43108</v>
      </c>
      <c r="F479" s="8" t="s">
        <v>58</v>
      </c>
      <c r="G479" s="11">
        <v>43109</v>
      </c>
      <c r="H479" s="8" t="s">
        <v>25</v>
      </c>
      <c r="I479" s="11">
        <v>43110</v>
      </c>
      <c r="J479" s="8" t="s">
        <v>25</v>
      </c>
      <c r="N479" s="8" t="s">
        <v>58</v>
      </c>
      <c r="O479" s="8" t="s">
        <v>59</v>
      </c>
      <c r="P479" s="8" t="s">
        <v>59</v>
      </c>
      <c r="R479" s="8">
        <v>0</v>
      </c>
      <c r="S479" s="8">
        <v>0</v>
      </c>
      <c r="T479" s="8">
        <v>1</v>
      </c>
      <c r="U479" s="8">
        <v>2</v>
      </c>
      <c r="X479" s="8">
        <v>5</v>
      </c>
      <c r="AG479" s="8" t="str">
        <f t="shared" si="29"/>
        <v/>
      </c>
      <c r="AI479" s="8" t="str">
        <f t="shared" si="30"/>
        <v/>
      </c>
      <c r="AJ479" s="8" t="str">
        <f t="shared" si="31"/>
        <v/>
      </c>
      <c r="AL479" s="8" t="str">
        <f t="shared" si="32"/>
        <v/>
      </c>
    </row>
    <row r="480" spans="1:38" x14ac:dyDescent="0.25">
      <c r="A480" s="8" t="s">
        <v>1803</v>
      </c>
      <c r="B480" s="8" t="s">
        <v>1804</v>
      </c>
      <c r="C480" s="8">
        <v>30815140</v>
      </c>
      <c r="D480" s="8">
        <v>5</v>
      </c>
      <c r="E480" s="11">
        <v>43108</v>
      </c>
      <c r="F480" s="8" t="s">
        <v>58</v>
      </c>
      <c r="G480" s="11">
        <v>43110</v>
      </c>
      <c r="H480" s="8" t="s">
        <v>25</v>
      </c>
      <c r="I480" s="11">
        <v>43110</v>
      </c>
      <c r="J480" s="8" t="s">
        <v>25</v>
      </c>
      <c r="N480" s="8" t="s">
        <v>58</v>
      </c>
      <c r="O480" s="8" t="s">
        <v>59</v>
      </c>
      <c r="P480" s="8" t="s">
        <v>59</v>
      </c>
      <c r="R480" s="8">
        <v>0</v>
      </c>
      <c r="S480" s="8">
        <v>0</v>
      </c>
      <c r="T480" s="8">
        <v>1</v>
      </c>
      <c r="U480" s="8">
        <v>2</v>
      </c>
      <c r="X480" s="8">
        <v>5</v>
      </c>
      <c r="AG480" s="8" t="str">
        <f t="shared" si="29"/>
        <v/>
      </c>
      <c r="AI480" s="8" t="str">
        <f t="shared" si="30"/>
        <v/>
      </c>
      <c r="AJ480" s="8" t="str">
        <f t="shared" si="31"/>
        <v/>
      </c>
      <c r="AL480" s="8" t="str">
        <f t="shared" si="32"/>
        <v/>
      </c>
    </row>
    <row r="481" spans="1:38" x14ac:dyDescent="0.25">
      <c r="A481" s="8" t="s">
        <v>891</v>
      </c>
      <c r="B481" s="8" t="s">
        <v>892</v>
      </c>
      <c r="C481" s="8">
        <v>30839132</v>
      </c>
      <c r="D481" s="8">
        <v>5</v>
      </c>
      <c r="E481" s="11">
        <v>43109</v>
      </c>
      <c r="F481" s="8" t="s">
        <v>57</v>
      </c>
      <c r="G481" s="11">
        <v>43109</v>
      </c>
      <c r="H481" s="8" t="s">
        <v>25</v>
      </c>
      <c r="J481" s="8" t="s">
        <v>25</v>
      </c>
      <c r="N481" s="8" t="s">
        <v>58</v>
      </c>
      <c r="O481" s="8" t="s">
        <v>59</v>
      </c>
      <c r="P481" s="8" t="s">
        <v>59</v>
      </c>
      <c r="R481" s="8">
        <v>0</v>
      </c>
      <c r="S481" s="8">
        <v>0</v>
      </c>
      <c r="T481" s="8">
        <v>1</v>
      </c>
      <c r="U481" s="8">
        <v>2</v>
      </c>
      <c r="AG481" s="8" t="str">
        <f t="shared" si="29"/>
        <v/>
      </c>
      <c r="AI481" s="8" t="str">
        <f t="shared" si="30"/>
        <v/>
      </c>
      <c r="AJ481" s="8" t="str">
        <f t="shared" si="31"/>
        <v/>
      </c>
      <c r="AL481" s="8" t="str">
        <f t="shared" si="32"/>
        <v/>
      </c>
    </row>
    <row r="482" spans="1:38" x14ac:dyDescent="0.25">
      <c r="A482" s="8" t="s">
        <v>228</v>
      </c>
      <c r="B482" s="8" t="s">
        <v>229</v>
      </c>
      <c r="C482" s="8">
        <v>30828210</v>
      </c>
      <c r="D482" s="8">
        <v>5</v>
      </c>
      <c r="E482" s="11">
        <v>43108</v>
      </c>
      <c r="F482" s="8" t="s">
        <v>58</v>
      </c>
      <c r="G482" s="11">
        <v>43108</v>
      </c>
      <c r="H482" s="8" t="s">
        <v>25</v>
      </c>
      <c r="I482" s="11">
        <v>43115</v>
      </c>
      <c r="J482" s="8" t="s">
        <v>856</v>
      </c>
      <c r="N482" s="8" t="s">
        <v>58</v>
      </c>
      <c r="O482" s="8" t="s">
        <v>59</v>
      </c>
      <c r="P482" s="8" t="s">
        <v>59</v>
      </c>
      <c r="R482" s="8">
        <v>0</v>
      </c>
      <c r="S482" s="8">
        <v>0</v>
      </c>
      <c r="T482" s="8">
        <v>1</v>
      </c>
      <c r="U482" s="8">
        <v>2</v>
      </c>
      <c r="X482" s="8">
        <v>5</v>
      </c>
      <c r="AG482" s="8" t="str">
        <f t="shared" si="29"/>
        <v/>
      </c>
      <c r="AI482" s="8" t="str">
        <f t="shared" si="30"/>
        <v/>
      </c>
      <c r="AJ482" s="8" t="str">
        <f t="shared" si="31"/>
        <v/>
      </c>
      <c r="AL482" s="8" t="str">
        <f t="shared" si="32"/>
        <v/>
      </c>
    </row>
    <row r="483" spans="1:38" x14ac:dyDescent="0.25">
      <c r="A483" s="8" t="s">
        <v>3412</v>
      </c>
      <c r="B483" s="8" t="s">
        <v>3413</v>
      </c>
      <c r="C483" s="8">
        <v>30890167</v>
      </c>
      <c r="D483" s="8">
        <v>5</v>
      </c>
      <c r="E483" s="11">
        <v>43111</v>
      </c>
      <c r="F483" s="8" t="s">
        <v>58</v>
      </c>
      <c r="G483" s="11">
        <v>43111</v>
      </c>
      <c r="H483" s="8" t="s">
        <v>25</v>
      </c>
      <c r="I483" s="11">
        <v>43111</v>
      </c>
      <c r="J483" s="8" t="s">
        <v>25</v>
      </c>
      <c r="N483" s="8" t="s">
        <v>58</v>
      </c>
      <c r="O483" s="8" t="s">
        <v>59</v>
      </c>
      <c r="P483" s="8" t="s">
        <v>59</v>
      </c>
      <c r="R483" s="8">
        <v>0</v>
      </c>
      <c r="S483" s="8">
        <v>0</v>
      </c>
      <c r="T483" s="8">
        <v>1</v>
      </c>
      <c r="U483" s="8">
        <v>2</v>
      </c>
      <c r="X483" s="8">
        <v>5</v>
      </c>
      <c r="AG483" s="8" t="str">
        <f t="shared" si="29"/>
        <v/>
      </c>
      <c r="AI483" s="8" t="str">
        <f t="shared" si="30"/>
        <v/>
      </c>
      <c r="AJ483" s="8" t="str">
        <f t="shared" si="31"/>
        <v/>
      </c>
      <c r="AL483" s="8" t="str">
        <f t="shared" si="32"/>
        <v/>
      </c>
    </row>
    <row r="484" spans="1:38" x14ac:dyDescent="0.25">
      <c r="A484" s="8" t="s">
        <v>4890</v>
      </c>
      <c r="B484" s="8" t="s">
        <v>4891</v>
      </c>
      <c r="C484" s="8">
        <v>30915268</v>
      </c>
      <c r="D484" s="8">
        <v>5</v>
      </c>
      <c r="E484" s="11">
        <v>43112</v>
      </c>
      <c r="F484" s="8" t="s">
        <v>57</v>
      </c>
      <c r="G484" s="11">
        <v>43112</v>
      </c>
      <c r="H484" s="8" t="s">
        <v>25</v>
      </c>
      <c r="J484" s="8" t="s">
        <v>25</v>
      </c>
      <c r="N484" s="8" t="s">
        <v>58</v>
      </c>
      <c r="O484" s="8" t="s">
        <v>59</v>
      </c>
      <c r="P484" s="8" t="s">
        <v>59</v>
      </c>
      <c r="R484" s="8">
        <v>0</v>
      </c>
      <c r="S484" s="8">
        <v>0</v>
      </c>
      <c r="T484" s="8">
        <v>1</v>
      </c>
      <c r="U484" s="8">
        <v>2</v>
      </c>
      <c r="AG484" s="8" t="str">
        <f t="shared" si="29"/>
        <v/>
      </c>
      <c r="AI484" s="8" t="str">
        <f t="shared" si="30"/>
        <v/>
      </c>
      <c r="AJ484" s="8" t="str">
        <f t="shared" si="31"/>
        <v/>
      </c>
      <c r="AL484" s="8" t="str">
        <f t="shared" si="32"/>
        <v/>
      </c>
    </row>
    <row r="485" spans="1:38" x14ac:dyDescent="0.25">
      <c r="A485" s="8" t="s">
        <v>893</v>
      </c>
      <c r="B485" s="8" t="s">
        <v>894</v>
      </c>
      <c r="C485" s="8">
        <v>30844719</v>
      </c>
      <c r="D485" s="8">
        <v>5</v>
      </c>
      <c r="E485" s="11">
        <v>43109</v>
      </c>
      <c r="F485" s="8" t="s">
        <v>58</v>
      </c>
      <c r="G485" s="11">
        <v>43109</v>
      </c>
      <c r="H485" s="8" t="s">
        <v>25</v>
      </c>
      <c r="I485" s="11">
        <v>43109</v>
      </c>
      <c r="J485" s="8" t="s">
        <v>25</v>
      </c>
      <c r="N485" s="8" t="s">
        <v>58</v>
      </c>
      <c r="O485" s="8" t="s">
        <v>59</v>
      </c>
      <c r="P485" s="8" t="s">
        <v>59</v>
      </c>
      <c r="R485" s="8">
        <v>0</v>
      </c>
      <c r="S485" s="8">
        <v>0</v>
      </c>
      <c r="T485" s="8">
        <v>1</v>
      </c>
      <c r="U485" s="8">
        <v>2</v>
      </c>
      <c r="X485" s="8">
        <v>5</v>
      </c>
      <c r="AG485" s="8" t="str">
        <f t="shared" si="29"/>
        <v/>
      </c>
      <c r="AI485" s="8" t="str">
        <f t="shared" si="30"/>
        <v/>
      </c>
      <c r="AJ485" s="8" t="str">
        <f t="shared" si="31"/>
        <v/>
      </c>
      <c r="AL485" s="8" t="str">
        <f t="shared" si="32"/>
        <v/>
      </c>
    </row>
    <row r="486" spans="1:38" x14ac:dyDescent="0.25">
      <c r="A486" s="8" t="s">
        <v>6769</v>
      </c>
      <c r="B486" s="8" t="s">
        <v>6770</v>
      </c>
      <c r="C486" s="8">
        <v>30874367</v>
      </c>
      <c r="D486" s="8">
        <v>5</v>
      </c>
      <c r="E486" s="11">
        <v>43110</v>
      </c>
      <c r="F486" s="8" t="s">
        <v>57</v>
      </c>
      <c r="G486" s="11">
        <v>43115</v>
      </c>
      <c r="H486" s="8" t="s">
        <v>145</v>
      </c>
      <c r="J486" s="8" t="s">
        <v>25</v>
      </c>
      <c r="N486" s="8" t="s">
        <v>58</v>
      </c>
      <c r="O486" s="8" t="s">
        <v>59</v>
      </c>
      <c r="P486" s="8" t="s">
        <v>59</v>
      </c>
      <c r="R486" s="8">
        <v>0</v>
      </c>
      <c r="S486" s="8">
        <v>0</v>
      </c>
      <c r="T486" s="8">
        <v>1</v>
      </c>
      <c r="U486" s="8">
        <v>2</v>
      </c>
      <c r="AG486" s="8" t="str">
        <f t="shared" si="29"/>
        <v/>
      </c>
      <c r="AI486" s="8" t="str">
        <f t="shared" si="30"/>
        <v/>
      </c>
      <c r="AJ486" s="8" t="str">
        <f t="shared" si="31"/>
        <v/>
      </c>
      <c r="AL486" s="8" t="str">
        <f t="shared" si="32"/>
        <v/>
      </c>
    </row>
    <row r="487" spans="1:38" x14ac:dyDescent="0.25">
      <c r="A487" s="8" t="s">
        <v>6771</v>
      </c>
      <c r="B487" s="8" t="s">
        <v>6772</v>
      </c>
      <c r="C487" s="8">
        <v>30932917</v>
      </c>
      <c r="D487" s="8">
        <v>5</v>
      </c>
      <c r="E487" s="11">
        <v>43115</v>
      </c>
      <c r="F487" s="8" t="s">
        <v>58</v>
      </c>
      <c r="G487" s="11">
        <v>43115</v>
      </c>
      <c r="H487" s="8" t="s">
        <v>25</v>
      </c>
      <c r="I487" s="11">
        <v>43115</v>
      </c>
      <c r="J487" s="8" t="s">
        <v>25</v>
      </c>
      <c r="N487" s="8" t="s">
        <v>58</v>
      </c>
      <c r="O487" s="8" t="s">
        <v>59</v>
      </c>
      <c r="P487" s="8" t="s">
        <v>59</v>
      </c>
      <c r="R487" s="8">
        <v>0</v>
      </c>
      <c r="S487" s="8">
        <v>0</v>
      </c>
      <c r="T487" s="8">
        <v>1</v>
      </c>
      <c r="U487" s="8">
        <v>2</v>
      </c>
      <c r="X487" s="8">
        <v>5</v>
      </c>
      <c r="AG487" s="8" t="str">
        <f t="shared" si="29"/>
        <v/>
      </c>
      <c r="AI487" s="8" t="str">
        <f t="shared" si="30"/>
        <v/>
      </c>
      <c r="AJ487" s="8" t="str">
        <f t="shared" si="31"/>
        <v/>
      </c>
      <c r="AL487" s="8" t="str">
        <f t="shared" si="32"/>
        <v/>
      </c>
    </row>
    <row r="488" spans="1:38" x14ac:dyDescent="0.25">
      <c r="A488" s="8" t="s">
        <v>895</v>
      </c>
      <c r="B488" s="8" t="s">
        <v>896</v>
      </c>
      <c r="C488" s="8">
        <v>30837369</v>
      </c>
      <c r="D488" s="8">
        <v>5</v>
      </c>
      <c r="E488" s="11">
        <v>43109</v>
      </c>
      <c r="F488" s="8" t="s">
        <v>58</v>
      </c>
      <c r="G488" s="11">
        <v>43109</v>
      </c>
      <c r="H488" s="8" t="s">
        <v>25</v>
      </c>
      <c r="I488" s="11">
        <v>43109</v>
      </c>
      <c r="J488" s="8" t="s">
        <v>25</v>
      </c>
      <c r="N488" s="8" t="s">
        <v>58</v>
      </c>
      <c r="O488" s="8" t="s">
        <v>59</v>
      </c>
      <c r="P488" s="8" t="s">
        <v>59</v>
      </c>
      <c r="R488" s="8">
        <v>0</v>
      </c>
      <c r="S488" s="8">
        <v>0</v>
      </c>
      <c r="T488" s="8">
        <v>1</v>
      </c>
      <c r="U488" s="8">
        <v>2</v>
      </c>
      <c r="X488" s="8">
        <v>5</v>
      </c>
      <c r="AG488" s="8" t="str">
        <f t="shared" si="29"/>
        <v/>
      </c>
      <c r="AI488" s="8" t="str">
        <f t="shared" si="30"/>
        <v/>
      </c>
      <c r="AJ488" s="8" t="str">
        <f t="shared" si="31"/>
        <v/>
      </c>
      <c r="AL488" s="8" t="str">
        <f t="shared" si="32"/>
        <v/>
      </c>
    </row>
    <row r="489" spans="1:38" x14ac:dyDescent="0.25">
      <c r="A489" s="8" t="s">
        <v>230</v>
      </c>
      <c r="B489" s="8" t="s">
        <v>231</v>
      </c>
      <c r="C489" s="8">
        <v>30813711</v>
      </c>
      <c r="D489" s="8">
        <v>5</v>
      </c>
      <c r="E489" s="11">
        <v>43108</v>
      </c>
      <c r="F489" s="8" t="s">
        <v>58</v>
      </c>
      <c r="G489" s="11">
        <v>43108</v>
      </c>
      <c r="H489" s="8" t="s">
        <v>25</v>
      </c>
      <c r="I489" s="11">
        <v>43108</v>
      </c>
      <c r="J489" s="8" t="s">
        <v>25</v>
      </c>
      <c r="N489" s="8" t="s">
        <v>58</v>
      </c>
      <c r="O489" s="8" t="s">
        <v>59</v>
      </c>
      <c r="P489" s="8" t="s">
        <v>59</v>
      </c>
      <c r="R489" s="8">
        <v>0</v>
      </c>
      <c r="S489" s="8">
        <v>0</v>
      </c>
      <c r="T489" s="8">
        <v>1</v>
      </c>
      <c r="U489" s="8">
        <v>2</v>
      </c>
      <c r="X489" s="8">
        <v>5</v>
      </c>
      <c r="AG489" s="8" t="str">
        <f t="shared" si="29"/>
        <v/>
      </c>
      <c r="AI489" s="8" t="str">
        <f t="shared" si="30"/>
        <v/>
      </c>
      <c r="AJ489" s="8" t="str">
        <f t="shared" si="31"/>
        <v/>
      </c>
      <c r="AL489" s="8" t="str">
        <f t="shared" si="32"/>
        <v/>
      </c>
    </row>
    <row r="490" spans="1:38" x14ac:dyDescent="0.25">
      <c r="A490" s="8" t="s">
        <v>4892</v>
      </c>
      <c r="B490" s="8" t="s">
        <v>4893</v>
      </c>
      <c r="C490" s="8">
        <v>30830892</v>
      </c>
      <c r="D490" s="8">
        <v>5</v>
      </c>
      <c r="E490" s="11">
        <v>43109</v>
      </c>
      <c r="F490" s="8" t="s">
        <v>57</v>
      </c>
      <c r="G490" s="11">
        <v>43115</v>
      </c>
      <c r="H490" s="8" t="s">
        <v>145</v>
      </c>
      <c r="J490" s="8" t="s">
        <v>25</v>
      </c>
      <c r="N490" s="8" t="s">
        <v>58</v>
      </c>
      <c r="O490" s="8" t="s">
        <v>59</v>
      </c>
      <c r="P490" s="8" t="s">
        <v>59</v>
      </c>
      <c r="R490" s="8">
        <v>0</v>
      </c>
      <c r="S490" s="8">
        <v>0</v>
      </c>
      <c r="T490" s="8">
        <v>1</v>
      </c>
      <c r="U490" s="8">
        <v>2</v>
      </c>
      <c r="AG490" s="8" t="str">
        <f t="shared" si="29"/>
        <v/>
      </c>
      <c r="AI490" s="8" t="str">
        <f t="shared" si="30"/>
        <v/>
      </c>
      <c r="AJ490" s="8" t="str">
        <f t="shared" si="31"/>
        <v/>
      </c>
      <c r="AL490" s="8" t="str">
        <f t="shared" si="32"/>
        <v/>
      </c>
    </row>
    <row r="491" spans="1:38" x14ac:dyDescent="0.25">
      <c r="A491" s="8" t="s">
        <v>3414</v>
      </c>
      <c r="B491" s="8" t="s">
        <v>3415</v>
      </c>
      <c r="C491" s="8">
        <v>30859758</v>
      </c>
      <c r="D491" s="8">
        <v>5</v>
      </c>
      <c r="E491" s="11">
        <v>43110</v>
      </c>
      <c r="F491" s="8" t="s">
        <v>58</v>
      </c>
      <c r="G491" s="11">
        <v>43111</v>
      </c>
      <c r="H491" s="8" t="s">
        <v>25</v>
      </c>
      <c r="I491" s="11">
        <v>43111</v>
      </c>
      <c r="J491" s="8" t="s">
        <v>25</v>
      </c>
      <c r="N491" s="8" t="s">
        <v>58</v>
      </c>
      <c r="O491" s="8" t="s">
        <v>59</v>
      </c>
      <c r="P491" s="8" t="s">
        <v>59</v>
      </c>
      <c r="R491" s="8">
        <v>0</v>
      </c>
      <c r="S491" s="8">
        <v>0</v>
      </c>
      <c r="T491" s="8">
        <v>1</v>
      </c>
      <c r="U491" s="8">
        <v>2</v>
      </c>
      <c r="X491" s="8">
        <v>5</v>
      </c>
      <c r="AG491" s="8" t="str">
        <f t="shared" si="29"/>
        <v/>
      </c>
      <c r="AI491" s="8" t="str">
        <f t="shared" si="30"/>
        <v/>
      </c>
      <c r="AJ491" s="8" t="str">
        <f t="shared" si="31"/>
        <v/>
      </c>
      <c r="AL491" s="8" t="str">
        <f t="shared" si="32"/>
        <v/>
      </c>
    </row>
    <row r="492" spans="1:38" x14ac:dyDescent="0.25">
      <c r="A492" s="8" t="s">
        <v>1805</v>
      </c>
      <c r="B492" s="8" t="s">
        <v>1806</v>
      </c>
      <c r="C492" s="8">
        <v>30831682</v>
      </c>
      <c r="D492" s="8">
        <v>5</v>
      </c>
      <c r="E492" s="11">
        <v>43109</v>
      </c>
      <c r="F492" s="8" t="s">
        <v>58</v>
      </c>
      <c r="G492" s="11">
        <v>43110</v>
      </c>
      <c r="H492" s="8" t="s">
        <v>25</v>
      </c>
      <c r="I492" s="11">
        <v>43115</v>
      </c>
      <c r="J492" s="8" t="s">
        <v>145</v>
      </c>
      <c r="N492" s="8" t="s">
        <v>58</v>
      </c>
      <c r="O492" s="8" t="s">
        <v>59</v>
      </c>
      <c r="P492" s="8" t="s">
        <v>59</v>
      </c>
      <c r="R492" s="8">
        <v>0</v>
      </c>
      <c r="S492" s="8">
        <v>0</v>
      </c>
      <c r="T492" s="8">
        <v>1</v>
      </c>
      <c r="U492" s="8">
        <v>2</v>
      </c>
      <c r="X492" s="8">
        <v>5</v>
      </c>
      <c r="AG492" s="8" t="str">
        <f t="shared" si="29"/>
        <v/>
      </c>
      <c r="AI492" s="8" t="str">
        <f t="shared" si="30"/>
        <v/>
      </c>
      <c r="AJ492" s="8" t="str">
        <f t="shared" si="31"/>
        <v/>
      </c>
      <c r="AL492" s="8" t="str">
        <f t="shared" si="32"/>
        <v/>
      </c>
    </row>
    <row r="493" spans="1:38" x14ac:dyDescent="0.25">
      <c r="A493" s="8" t="s">
        <v>897</v>
      </c>
      <c r="B493" s="8" t="s">
        <v>898</v>
      </c>
      <c r="C493" s="8">
        <v>30829550</v>
      </c>
      <c r="D493" s="8">
        <v>5</v>
      </c>
      <c r="E493" s="11">
        <v>43108</v>
      </c>
      <c r="F493" s="8" t="s">
        <v>58</v>
      </c>
      <c r="G493" s="11">
        <v>43109</v>
      </c>
      <c r="H493" s="8" t="s">
        <v>25</v>
      </c>
      <c r="I493" s="11">
        <v>43109</v>
      </c>
      <c r="J493" s="8" t="s">
        <v>25</v>
      </c>
      <c r="N493" s="8" t="s">
        <v>58</v>
      </c>
      <c r="O493" s="8" t="s">
        <v>59</v>
      </c>
      <c r="P493" s="8" t="s">
        <v>59</v>
      </c>
      <c r="R493" s="8">
        <v>0</v>
      </c>
      <c r="S493" s="8">
        <v>0</v>
      </c>
      <c r="T493" s="8">
        <v>1</v>
      </c>
      <c r="U493" s="8">
        <v>2</v>
      </c>
      <c r="X493" s="8">
        <v>5</v>
      </c>
      <c r="AG493" s="8" t="str">
        <f t="shared" si="29"/>
        <v/>
      </c>
      <c r="AI493" s="8" t="str">
        <f t="shared" si="30"/>
        <v/>
      </c>
      <c r="AJ493" s="8" t="str">
        <f t="shared" si="31"/>
        <v/>
      </c>
      <c r="AL493" s="8" t="str">
        <f t="shared" si="32"/>
        <v/>
      </c>
    </row>
    <row r="494" spans="1:38" x14ac:dyDescent="0.25">
      <c r="A494" s="8" t="s">
        <v>4894</v>
      </c>
      <c r="B494" s="8" t="s">
        <v>4895</v>
      </c>
      <c r="C494" s="8">
        <v>30811338</v>
      </c>
      <c r="D494" s="8">
        <v>5</v>
      </c>
      <c r="E494" s="11">
        <v>43108</v>
      </c>
      <c r="F494" s="8" t="s">
        <v>57</v>
      </c>
      <c r="G494" s="11">
        <v>43112</v>
      </c>
      <c r="H494" s="8" t="s">
        <v>145</v>
      </c>
      <c r="J494" s="8" t="s">
        <v>25</v>
      </c>
      <c r="N494" s="8" t="s">
        <v>58</v>
      </c>
      <c r="O494" s="8" t="s">
        <v>59</v>
      </c>
      <c r="P494" s="8" t="s">
        <v>59</v>
      </c>
      <c r="R494" s="8">
        <v>0</v>
      </c>
      <c r="S494" s="8">
        <v>0</v>
      </c>
      <c r="T494" s="8">
        <v>1</v>
      </c>
      <c r="U494" s="8">
        <v>2</v>
      </c>
      <c r="AG494" s="8" t="str">
        <f t="shared" si="29"/>
        <v/>
      </c>
      <c r="AI494" s="8" t="str">
        <f t="shared" si="30"/>
        <v/>
      </c>
      <c r="AJ494" s="8" t="str">
        <f t="shared" si="31"/>
        <v/>
      </c>
      <c r="AL494" s="8" t="str">
        <f t="shared" si="32"/>
        <v/>
      </c>
    </row>
    <row r="495" spans="1:38" x14ac:dyDescent="0.25">
      <c r="A495" s="8" t="s">
        <v>232</v>
      </c>
      <c r="B495" s="8" t="s">
        <v>233</v>
      </c>
      <c r="C495" s="8">
        <v>30816622</v>
      </c>
      <c r="D495" s="8">
        <v>5</v>
      </c>
      <c r="E495" s="11">
        <v>43108</v>
      </c>
      <c r="F495" s="8" t="s">
        <v>58</v>
      </c>
      <c r="G495" s="11">
        <v>43108</v>
      </c>
      <c r="H495" s="8" t="s">
        <v>25</v>
      </c>
      <c r="I495" s="11">
        <v>43108</v>
      </c>
      <c r="J495" s="8" t="s">
        <v>25</v>
      </c>
      <c r="N495" s="8" t="s">
        <v>58</v>
      </c>
      <c r="O495" s="8" t="s">
        <v>59</v>
      </c>
      <c r="P495" s="8" t="s">
        <v>59</v>
      </c>
      <c r="R495" s="8">
        <v>0</v>
      </c>
      <c r="S495" s="8">
        <v>0</v>
      </c>
      <c r="T495" s="8">
        <v>1</v>
      </c>
      <c r="U495" s="8">
        <v>2</v>
      </c>
      <c r="X495" s="8">
        <v>5</v>
      </c>
      <c r="AG495" s="8" t="str">
        <f t="shared" si="29"/>
        <v/>
      </c>
      <c r="AI495" s="8" t="str">
        <f t="shared" si="30"/>
        <v/>
      </c>
      <c r="AJ495" s="8" t="str">
        <f t="shared" si="31"/>
        <v/>
      </c>
      <c r="AL495" s="8" t="str">
        <f t="shared" si="32"/>
        <v/>
      </c>
    </row>
    <row r="496" spans="1:38" x14ac:dyDescent="0.25">
      <c r="A496" s="8" t="s">
        <v>234</v>
      </c>
      <c r="B496" s="8" t="s">
        <v>235</v>
      </c>
      <c r="C496" s="8">
        <v>30815529</v>
      </c>
      <c r="D496" s="8">
        <v>5</v>
      </c>
      <c r="E496" s="11">
        <v>43108</v>
      </c>
      <c r="F496" s="8" t="s">
        <v>58</v>
      </c>
      <c r="G496" s="11">
        <v>43108</v>
      </c>
      <c r="H496" s="8" t="s">
        <v>25</v>
      </c>
      <c r="I496" s="11">
        <v>43108</v>
      </c>
      <c r="J496" s="8" t="s">
        <v>25</v>
      </c>
      <c r="N496" s="8" t="s">
        <v>58</v>
      </c>
      <c r="O496" s="8" t="s">
        <v>59</v>
      </c>
      <c r="P496" s="8" t="s">
        <v>59</v>
      </c>
      <c r="R496" s="8">
        <v>0</v>
      </c>
      <c r="S496" s="8">
        <v>0</v>
      </c>
      <c r="T496" s="8">
        <v>1</v>
      </c>
      <c r="U496" s="8">
        <v>2</v>
      </c>
      <c r="X496" s="8">
        <v>5</v>
      </c>
      <c r="AG496" s="8" t="str">
        <f t="shared" si="29"/>
        <v/>
      </c>
      <c r="AI496" s="8" t="str">
        <f t="shared" si="30"/>
        <v/>
      </c>
      <c r="AJ496" s="8" t="str">
        <f t="shared" si="31"/>
        <v/>
      </c>
      <c r="AL496" s="8" t="str">
        <f t="shared" si="32"/>
        <v/>
      </c>
    </row>
    <row r="497" spans="1:38" x14ac:dyDescent="0.25">
      <c r="A497" s="8" t="s">
        <v>3416</v>
      </c>
      <c r="B497" s="8" t="s">
        <v>3417</v>
      </c>
      <c r="C497" s="8">
        <v>30869025</v>
      </c>
      <c r="D497" s="8">
        <v>5</v>
      </c>
      <c r="E497" s="11">
        <v>43110</v>
      </c>
      <c r="F497" s="8" t="s">
        <v>58</v>
      </c>
      <c r="G497" s="11">
        <v>43111</v>
      </c>
      <c r="H497" s="8" t="s">
        <v>25</v>
      </c>
      <c r="I497" s="11">
        <v>43111</v>
      </c>
      <c r="J497" s="8" t="s">
        <v>25</v>
      </c>
      <c r="N497" s="8" t="s">
        <v>58</v>
      </c>
      <c r="O497" s="8" t="s">
        <v>59</v>
      </c>
      <c r="P497" s="8" t="s">
        <v>59</v>
      </c>
      <c r="R497" s="8">
        <v>0</v>
      </c>
      <c r="S497" s="8">
        <v>0</v>
      </c>
      <c r="T497" s="8">
        <v>1</v>
      </c>
      <c r="U497" s="8">
        <v>2</v>
      </c>
      <c r="X497" s="8">
        <v>5</v>
      </c>
      <c r="AG497" s="8" t="str">
        <f t="shared" si="29"/>
        <v/>
      </c>
      <c r="AI497" s="8" t="str">
        <f t="shared" si="30"/>
        <v/>
      </c>
      <c r="AJ497" s="8" t="str">
        <f t="shared" si="31"/>
        <v/>
      </c>
      <c r="AL497" s="8" t="str">
        <f t="shared" si="32"/>
        <v/>
      </c>
    </row>
    <row r="498" spans="1:38" x14ac:dyDescent="0.25">
      <c r="A498" s="8" t="s">
        <v>3418</v>
      </c>
      <c r="B498" s="8" t="s">
        <v>3419</v>
      </c>
      <c r="C498" s="8">
        <v>30860419</v>
      </c>
      <c r="D498" s="8">
        <v>5</v>
      </c>
      <c r="E498" s="11">
        <v>43110</v>
      </c>
      <c r="F498" s="8" t="s">
        <v>58</v>
      </c>
      <c r="G498" s="11">
        <v>43111</v>
      </c>
      <c r="H498" s="8" t="s">
        <v>25</v>
      </c>
      <c r="I498" s="11">
        <v>43111</v>
      </c>
      <c r="J498" s="8" t="s">
        <v>25</v>
      </c>
      <c r="N498" s="8" t="s">
        <v>58</v>
      </c>
      <c r="O498" s="8" t="s">
        <v>59</v>
      </c>
      <c r="P498" s="8" t="s">
        <v>59</v>
      </c>
      <c r="R498" s="8">
        <v>0</v>
      </c>
      <c r="S498" s="8">
        <v>0</v>
      </c>
      <c r="T498" s="8">
        <v>1</v>
      </c>
      <c r="U498" s="8">
        <v>2</v>
      </c>
      <c r="X498" s="8">
        <v>5</v>
      </c>
      <c r="AG498" s="8" t="str">
        <f t="shared" si="29"/>
        <v/>
      </c>
      <c r="AI498" s="8" t="str">
        <f t="shared" si="30"/>
        <v/>
      </c>
      <c r="AJ498" s="8" t="str">
        <f t="shared" si="31"/>
        <v/>
      </c>
      <c r="AL498" s="8" t="str">
        <f t="shared" si="32"/>
        <v/>
      </c>
    </row>
    <row r="499" spans="1:38" x14ac:dyDescent="0.25">
      <c r="A499" s="8" t="s">
        <v>4896</v>
      </c>
      <c r="B499" s="8" t="s">
        <v>4897</v>
      </c>
      <c r="C499" s="8">
        <v>30813746</v>
      </c>
      <c r="D499" s="8">
        <v>5</v>
      </c>
      <c r="E499" s="11">
        <v>43108</v>
      </c>
      <c r="F499" s="8" t="s">
        <v>57</v>
      </c>
      <c r="G499" s="11">
        <v>43112</v>
      </c>
      <c r="H499" s="8" t="s">
        <v>145</v>
      </c>
      <c r="J499" s="8" t="s">
        <v>25</v>
      </c>
      <c r="N499" s="8" t="s">
        <v>58</v>
      </c>
      <c r="O499" s="8" t="s">
        <v>59</v>
      </c>
      <c r="P499" s="8" t="s">
        <v>59</v>
      </c>
      <c r="R499" s="8">
        <v>0</v>
      </c>
      <c r="S499" s="8">
        <v>0</v>
      </c>
      <c r="T499" s="8">
        <v>1</v>
      </c>
      <c r="U499" s="8">
        <v>2</v>
      </c>
      <c r="AG499" s="8" t="str">
        <f t="shared" si="29"/>
        <v/>
      </c>
      <c r="AI499" s="8" t="str">
        <f t="shared" si="30"/>
        <v/>
      </c>
      <c r="AJ499" s="8" t="str">
        <f t="shared" si="31"/>
        <v/>
      </c>
      <c r="AL499" s="8" t="str">
        <f t="shared" si="32"/>
        <v/>
      </c>
    </row>
    <row r="500" spans="1:38" x14ac:dyDescent="0.25">
      <c r="A500" s="8" t="s">
        <v>4898</v>
      </c>
      <c r="B500" s="8" t="s">
        <v>4899</v>
      </c>
      <c r="C500" s="8">
        <v>30891785</v>
      </c>
      <c r="D500" s="8">
        <v>5</v>
      </c>
      <c r="E500" s="11">
        <v>43111</v>
      </c>
      <c r="F500" s="8" t="s">
        <v>57</v>
      </c>
      <c r="G500" s="11">
        <v>43112</v>
      </c>
      <c r="H500" s="8" t="s">
        <v>25</v>
      </c>
      <c r="J500" s="8" t="s">
        <v>25</v>
      </c>
      <c r="N500" s="8" t="s">
        <v>58</v>
      </c>
      <c r="O500" s="8" t="s">
        <v>59</v>
      </c>
      <c r="P500" s="8" t="s">
        <v>59</v>
      </c>
      <c r="R500" s="8">
        <v>0</v>
      </c>
      <c r="S500" s="8">
        <v>0</v>
      </c>
      <c r="T500" s="8">
        <v>1</v>
      </c>
      <c r="U500" s="8">
        <v>2</v>
      </c>
      <c r="AG500" s="8" t="str">
        <f t="shared" si="29"/>
        <v/>
      </c>
      <c r="AI500" s="8" t="str">
        <f t="shared" si="30"/>
        <v/>
      </c>
      <c r="AJ500" s="8" t="str">
        <f t="shared" si="31"/>
        <v/>
      </c>
      <c r="AL500" s="8" t="str">
        <f t="shared" si="32"/>
        <v/>
      </c>
    </row>
    <row r="501" spans="1:38" x14ac:dyDescent="0.25">
      <c r="A501" s="8" t="s">
        <v>6773</v>
      </c>
      <c r="B501" s="8" t="s">
        <v>6774</v>
      </c>
      <c r="C501" s="8">
        <v>30935528</v>
      </c>
      <c r="D501" s="8">
        <v>5</v>
      </c>
      <c r="E501" s="11">
        <v>43115</v>
      </c>
      <c r="F501" s="8" t="s">
        <v>58</v>
      </c>
      <c r="G501" s="11">
        <v>43115</v>
      </c>
      <c r="H501" s="8" t="s">
        <v>25</v>
      </c>
      <c r="I501" s="11">
        <v>43115</v>
      </c>
      <c r="J501" s="8" t="s">
        <v>25</v>
      </c>
      <c r="N501" s="8" t="s">
        <v>58</v>
      </c>
      <c r="O501" s="8" t="s">
        <v>59</v>
      </c>
      <c r="P501" s="8" t="s">
        <v>59</v>
      </c>
      <c r="R501" s="8">
        <v>0</v>
      </c>
      <c r="S501" s="8">
        <v>0</v>
      </c>
      <c r="T501" s="8">
        <v>1</v>
      </c>
      <c r="U501" s="8">
        <v>2</v>
      </c>
      <c r="X501" s="8">
        <v>5</v>
      </c>
      <c r="AG501" s="8" t="str">
        <f t="shared" si="29"/>
        <v/>
      </c>
      <c r="AI501" s="8" t="str">
        <f t="shared" si="30"/>
        <v/>
      </c>
      <c r="AJ501" s="8" t="str">
        <f t="shared" si="31"/>
        <v/>
      </c>
      <c r="AL501" s="8" t="str">
        <f t="shared" si="32"/>
        <v/>
      </c>
    </row>
    <row r="502" spans="1:38" x14ac:dyDescent="0.25">
      <c r="A502" s="8" t="s">
        <v>1807</v>
      </c>
      <c r="B502" s="8" t="s">
        <v>1808</v>
      </c>
      <c r="C502" s="8">
        <v>30833213</v>
      </c>
      <c r="D502" s="8">
        <v>5</v>
      </c>
      <c r="E502" s="11">
        <v>43109</v>
      </c>
      <c r="F502" s="8" t="s">
        <v>57</v>
      </c>
      <c r="G502" s="11">
        <v>43110</v>
      </c>
      <c r="H502" s="8" t="s">
        <v>25</v>
      </c>
      <c r="J502" s="8" t="s">
        <v>25</v>
      </c>
      <c r="N502" s="8" t="s">
        <v>58</v>
      </c>
      <c r="O502" s="8" t="s">
        <v>59</v>
      </c>
      <c r="P502" s="8" t="s">
        <v>59</v>
      </c>
      <c r="R502" s="8">
        <v>0</v>
      </c>
      <c r="S502" s="8">
        <v>0</v>
      </c>
      <c r="T502" s="8">
        <v>1</v>
      </c>
      <c r="U502" s="8">
        <v>2</v>
      </c>
      <c r="AG502" s="8" t="str">
        <f t="shared" si="29"/>
        <v/>
      </c>
      <c r="AI502" s="8" t="str">
        <f t="shared" si="30"/>
        <v/>
      </c>
      <c r="AJ502" s="8" t="str">
        <f t="shared" si="31"/>
        <v/>
      </c>
      <c r="AL502" s="8" t="str">
        <f t="shared" si="32"/>
        <v/>
      </c>
    </row>
    <row r="503" spans="1:38" x14ac:dyDescent="0.25">
      <c r="A503" s="8" t="s">
        <v>6775</v>
      </c>
      <c r="B503" s="8" t="s">
        <v>6776</v>
      </c>
      <c r="C503" s="8">
        <v>30849992</v>
      </c>
      <c r="D503" s="8">
        <v>5</v>
      </c>
      <c r="E503" s="11">
        <v>43109</v>
      </c>
      <c r="F503" s="8" t="s">
        <v>57</v>
      </c>
      <c r="G503" s="11">
        <v>43115</v>
      </c>
      <c r="H503" s="8" t="s">
        <v>145</v>
      </c>
      <c r="J503" s="8" t="s">
        <v>25</v>
      </c>
      <c r="N503" s="8" t="s">
        <v>58</v>
      </c>
      <c r="O503" s="8" t="s">
        <v>59</v>
      </c>
      <c r="P503" s="8" t="s">
        <v>59</v>
      </c>
      <c r="R503" s="8">
        <v>0</v>
      </c>
      <c r="S503" s="8">
        <v>0</v>
      </c>
      <c r="T503" s="8">
        <v>1</v>
      </c>
      <c r="U503" s="8">
        <v>2</v>
      </c>
      <c r="AG503" s="8" t="str">
        <f t="shared" si="29"/>
        <v/>
      </c>
      <c r="AI503" s="8" t="str">
        <f t="shared" si="30"/>
        <v/>
      </c>
      <c r="AJ503" s="8" t="str">
        <f t="shared" si="31"/>
        <v/>
      </c>
      <c r="AL503" s="8" t="str">
        <f t="shared" si="32"/>
        <v/>
      </c>
    </row>
    <row r="504" spans="1:38" x14ac:dyDescent="0.25">
      <c r="A504" s="8" t="s">
        <v>4900</v>
      </c>
      <c r="B504" s="8" t="s">
        <v>4901</v>
      </c>
      <c r="C504" s="8">
        <v>30915022</v>
      </c>
      <c r="D504" s="8">
        <v>5</v>
      </c>
      <c r="E504" s="11">
        <v>43112</v>
      </c>
      <c r="F504" s="8" t="s">
        <v>58</v>
      </c>
      <c r="G504" s="11">
        <v>43112</v>
      </c>
      <c r="H504" s="8" t="s">
        <v>25</v>
      </c>
      <c r="I504" s="11">
        <v>43112</v>
      </c>
      <c r="J504" s="8" t="s">
        <v>25</v>
      </c>
      <c r="N504" s="8" t="s">
        <v>58</v>
      </c>
      <c r="O504" s="8" t="s">
        <v>59</v>
      </c>
      <c r="P504" s="8" t="s">
        <v>59</v>
      </c>
      <c r="R504" s="8">
        <v>0</v>
      </c>
      <c r="S504" s="8">
        <v>0</v>
      </c>
      <c r="T504" s="8">
        <v>1</v>
      </c>
      <c r="U504" s="8">
        <v>2</v>
      </c>
      <c r="X504" s="8">
        <v>5</v>
      </c>
      <c r="AG504" s="8" t="str">
        <f t="shared" si="29"/>
        <v/>
      </c>
      <c r="AI504" s="8" t="str">
        <f t="shared" si="30"/>
        <v/>
      </c>
      <c r="AJ504" s="8" t="str">
        <f t="shared" si="31"/>
        <v/>
      </c>
      <c r="AL504" s="8" t="str">
        <f t="shared" si="32"/>
        <v/>
      </c>
    </row>
    <row r="505" spans="1:38" x14ac:dyDescent="0.25">
      <c r="A505" s="8" t="s">
        <v>6777</v>
      </c>
      <c r="B505" s="8" t="s">
        <v>6778</v>
      </c>
      <c r="C505" s="8">
        <v>30917390</v>
      </c>
      <c r="D505" s="8">
        <v>5</v>
      </c>
      <c r="E505" s="11">
        <v>43112</v>
      </c>
      <c r="F505" s="8" t="s">
        <v>57</v>
      </c>
      <c r="G505" s="11">
        <v>43115</v>
      </c>
      <c r="H505" s="8" t="s">
        <v>25</v>
      </c>
      <c r="J505" s="8" t="s">
        <v>25</v>
      </c>
      <c r="N505" s="8" t="s">
        <v>58</v>
      </c>
      <c r="O505" s="8" t="s">
        <v>59</v>
      </c>
      <c r="P505" s="8" t="s">
        <v>59</v>
      </c>
      <c r="R505" s="8">
        <v>0</v>
      </c>
      <c r="S505" s="8">
        <v>0</v>
      </c>
      <c r="T505" s="8">
        <v>1</v>
      </c>
      <c r="U505" s="8">
        <v>2</v>
      </c>
      <c r="AG505" s="8" t="str">
        <f t="shared" si="29"/>
        <v/>
      </c>
      <c r="AI505" s="8" t="str">
        <f t="shared" si="30"/>
        <v/>
      </c>
      <c r="AJ505" s="8" t="str">
        <f t="shared" si="31"/>
        <v/>
      </c>
      <c r="AL505" s="8" t="str">
        <f t="shared" si="32"/>
        <v/>
      </c>
    </row>
    <row r="506" spans="1:38" x14ac:dyDescent="0.25">
      <c r="A506" s="8" t="s">
        <v>3420</v>
      </c>
      <c r="B506" s="8" t="s">
        <v>3421</v>
      </c>
      <c r="C506" s="8">
        <v>30890679</v>
      </c>
      <c r="D506" s="8">
        <v>4</v>
      </c>
      <c r="E506" s="11">
        <v>43111</v>
      </c>
      <c r="F506" s="8" t="s">
        <v>57</v>
      </c>
      <c r="G506" s="11">
        <v>43111</v>
      </c>
      <c r="H506" s="8" t="s">
        <v>25</v>
      </c>
      <c r="J506" s="8" t="s">
        <v>25</v>
      </c>
      <c r="N506" s="8" t="s">
        <v>58</v>
      </c>
      <c r="O506" s="8" t="s">
        <v>59</v>
      </c>
      <c r="P506" s="8" t="s">
        <v>59</v>
      </c>
      <c r="R506" s="8">
        <v>0</v>
      </c>
      <c r="S506" s="8">
        <v>0</v>
      </c>
      <c r="T506" s="8">
        <v>1</v>
      </c>
      <c r="U506" s="8">
        <v>2</v>
      </c>
      <c r="AG506" s="8" t="str">
        <f t="shared" si="29"/>
        <v/>
      </c>
      <c r="AI506" s="8" t="str">
        <f t="shared" si="30"/>
        <v/>
      </c>
      <c r="AJ506" s="8" t="str">
        <f t="shared" si="31"/>
        <v/>
      </c>
      <c r="AL506" s="8" t="str">
        <f t="shared" si="32"/>
        <v/>
      </c>
    </row>
    <row r="507" spans="1:38" x14ac:dyDescent="0.25">
      <c r="A507" s="8" t="s">
        <v>6779</v>
      </c>
      <c r="B507" s="8" t="s">
        <v>6780</v>
      </c>
      <c r="C507" s="8">
        <v>30920577</v>
      </c>
      <c r="D507" s="8">
        <v>4</v>
      </c>
      <c r="E507" s="11">
        <v>43112</v>
      </c>
      <c r="F507" s="8" t="s">
        <v>57</v>
      </c>
      <c r="G507" s="11">
        <v>43115</v>
      </c>
      <c r="H507" s="8" t="s">
        <v>25</v>
      </c>
      <c r="J507" s="8" t="s">
        <v>25</v>
      </c>
      <c r="N507" s="8" t="s">
        <v>58</v>
      </c>
      <c r="O507" s="8" t="s">
        <v>59</v>
      </c>
      <c r="P507" s="8" t="s">
        <v>59</v>
      </c>
      <c r="R507" s="8">
        <v>0</v>
      </c>
      <c r="S507" s="8">
        <v>0</v>
      </c>
      <c r="T507" s="8">
        <v>1</v>
      </c>
      <c r="U507" s="8">
        <v>2</v>
      </c>
      <c r="AG507" s="8" t="str">
        <f t="shared" si="29"/>
        <v/>
      </c>
      <c r="AI507" s="8" t="str">
        <f t="shared" si="30"/>
        <v/>
      </c>
      <c r="AJ507" s="8" t="str">
        <f t="shared" si="31"/>
        <v/>
      </c>
      <c r="AL507" s="8" t="str">
        <f t="shared" si="32"/>
        <v/>
      </c>
    </row>
    <row r="508" spans="1:38" x14ac:dyDescent="0.25">
      <c r="A508" s="8" t="s">
        <v>1809</v>
      </c>
      <c r="B508" s="8" t="s">
        <v>1810</v>
      </c>
      <c r="C508" s="8">
        <v>30845591</v>
      </c>
      <c r="D508" s="8">
        <v>5</v>
      </c>
      <c r="E508" s="11">
        <v>43109</v>
      </c>
      <c r="F508" s="8" t="s">
        <v>58</v>
      </c>
      <c r="G508" s="11">
        <v>43110</v>
      </c>
      <c r="H508" s="8" t="s">
        <v>25</v>
      </c>
      <c r="I508" s="11">
        <v>43115</v>
      </c>
      <c r="J508" s="8" t="s">
        <v>145</v>
      </c>
      <c r="N508" s="8" t="s">
        <v>58</v>
      </c>
      <c r="O508" s="8" t="s">
        <v>59</v>
      </c>
      <c r="P508" s="8" t="s">
        <v>59</v>
      </c>
      <c r="R508" s="8">
        <v>0</v>
      </c>
      <c r="S508" s="8">
        <v>0</v>
      </c>
      <c r="T508" s="8">
        <v>1</v>
      </c>
      <c r="U508" s="8">
        <v>2</v>
      </c>
      <c r="X508" s="8">
        <v>5</v>
      </c>
      <c r="AG508" s="8" t="str">
        <f t="shared" si="29"/>
        <v/>
      </c>
      <c r="AI508" s="8" t="str">
        <f t="shared" si="30"/>
        <v/>
      </c>
      <c r="AJ508" s="8" t="str">
        <f t="shared" si="31"/>
        <v/>
      </c>
      <c r="AL508" s="8" t="str">
        <f t="shared" si="32"/>
        <v/>
      </c>
    </row>
    <row r="509" spans="1:38" x14ac:dyDescent="0.25">
      <c r="A509" s="8" t="s">
        <v>1811</v>
      </c>
      <c r="B509" s="8" t="s">
        <v>1812</v>
      </c>
      <c r="C509" s="8">
        <v>30868056</v>
      </c>
      <c r="D509" s="8">
        <v>5</v>
      </c>
      <c r="E509" s="11">
        <v>43110</v>
      </c>
      <c r="F509" s="8" t="s">
        <v>58</v>
      </c>
      <c r="G509" s="11">
        <v>43110</v>
      </c>
      <c r="H509" s="8" t="s">
        <v>25</v>
      </c>
      <c r="I509" s="11">
        <v>43112</v>
      </c>
      <c r="J509" s="8" t="s">
        <v>25</v>
      </c>
      <c r="N509" s="8" t="s">
        <v>58</v>
      </c>
      <c r="O509" s="8" t="s">
        <v>59</v>
      </c>
      <c r="P509" s="8" t="s">
        <v>59</v>
      </c>
      <c r="R509" s="8">
        <v>0</v>
      </c>
      <c r="S509" s="8">
        <v>0</v>
      </c>
      <c r="T509" s="8">
        <v>1</v>
      </c>
      <c r="U509" s="8">
        <v>2</v>
      </c>
      <c r="X509" s="8">
        <v>5</v>
      </c>
      <c r="AG509" s="8" t="str">
        <f t="shared" si="29"/>
        <v/>
      </c>
      <c r="AI509" s="8" t="str">
        <f t="shared" si="30"/>
        <v/>
      </c>
      <c r="AJ509" s="8" t="str">
        <f t="shared" si="31"/>
        <v/>
      </c>
      <c r="AL509" s="8" t="str">
        <f t="shared" si="32"/>
        <v/>
      </c>
    </row>
    <row r="510" spans="1:38" x14ac:dyDescent="0.25">
      <c r="A510" s="8" t="s">
        <v>3422</v>
      </c>
      <c r="B510" s="8" t="s">
        <v>3423</v>
      </c>
      <c r="C510" s="8">
        <v>30879779</v>
      </c>
      <c r="D510" s="8">
        <v>4</v>
      </c>
      <c r="E510" s="11">
        <v>43111</v>
      </c>
      <c r="F510" s="8" t="s">
        <v>58</v>
      </c>
      <c r="G510" s="11">
        <v>43111</v>
      </c>
      <c r="H510" s="8" t="s">
        <v>25</v>
      </c>
      <c r="I510" s="11">
        <v>43111</v>
      </c>
      <c r="J510" s="8" t="s">
        <v>25</v>
      </c>
      <c r="N510" s="8" t="s">
        <v>58</v>
      </c>
      <c r="O510" s="8" t="s">
        <v>59</v>
      </c>
      <c r="P510" s="8" t="s">
        <v>59</v>
      </c>
      <c r="R510" s="8">
        <v>0</v>
      </c>
      <c r="S510" s="8">
        <v>0</v>
      </c>
      <c r="T510" s="8">
        <v>1</v>
      </c>
      <c r="U510" s="8">
        <v>2</v>
      </c>
      <c r="X510" s="8">
        <v>5</v>
      </c>
      <c r="AG510" s="8" t="str">
        <f t="shared" si="29"/>
        <v/>
      </c>
      <c r="AI510" s="8" t="str">
        <f t="shared" si="30"/>
        <v/>
      </c>
      <c r="AJ510" s="8" t="str">
        <f t="shared" si="31"/>
        <v/>
      </c>
      <c r="AL510" s="8" t="str">
        <f t="shared" si="32"/>
        <v/>
      </c>
    </row>
    <row r="511" spans="1:38" x14ac:dyDescent="0.25">
      <c r="A511" s="8" t="s">
        <v>236</v>
      </c>
      <c r="B511" s="8" t="s">
        <v>237</v>
      </c>
      <c r="C511" s="8">
        <v>30807037</v>
      </c>
      <c r="D511" s="8">
        <v>5</v>
      </c>
      <c r="E511" s="11">
        <v>43108</v>
      </c>
      <c r="F511" s="8" t="s">
        <v>58</v>
      </c>
      <c r="G511" s="11">
        <v>43108</v>
      </c>
      <c r="H511" s="8" t="s">
        <v>25</v>
      </c>
      <c r="I511" s="11">
        <v>43108</v>
      </c>
      <c r="J511" s="8" t="s">
        <v>25</v>
      </c>
      <c r="N511" s="8" t="s">
        <v>58</v>
      </c>
      <c r="O511" s="8" t="s">
        <v>59</v>
      </c>
      <c r="P511" s="8" t="s">
        <v>59</v>
      </c>
      <c r="R511" s="8">
        <v>0</v>
      </c>
      <c r="S511" s="8">
        <v>0</v>
      </c>
      <c r="T511" s="8">
        <v>1</v>
      </c>
      <c r="U511" s="8">
        <v>2</v>
      </c>
      <c r="X511" s="8">
        <v>5</v>
      </c>
      <c r="AG511" s="8" t="str">
        <f t="shared" si="29"/>
        <v/>
      </c>
      <c r="AI511" s="8" t="str">
        <f t="shared" si="30"/>
        <v/>
      </c>
      <c r="AJ511" s="8" t="str">
        <f t="shared" si="31"/>
        <v/>
      </c>
      <c r="AL511" s="8" t="str">
        <f t="shared" si="32"/>
        <v/>
      </c>
    </row>
    <row r="512" spans="1:38" x14ac:dyDescent="0.25">
      <c r="A512" s="8" t="s">
        <v>4902</v>
      </c>
      <c r="B512" s="8" t="s">
        <v>4903</v>
      </c>
      <c r="C512" s="8">
        <v>30913542</v>
      </c>
      <c r="D512" s="8">
        <v>5</v>
      </c>
      <c r="E512" s="11">
        <v>43112</v>
      </c>
      <c r="F512" s="8" t="s">
        <v>58</v>
      </c>
      <c r="G512" s="11">
        <v>43112</v>
      </c>
      <c r="H512" s="8" t="s">
        <v>25</v>
      </c>
      <c r="I512" s="11">
        <v>43112</v>
      </c>
      <c r="J512" s="8" t="s">
        <v>25</v>
      </c>
      <c r="N512" s="8" t="s">
        <v>58</v>
      </c>
      <c r="O512" s="8" t="s">
        <v>59</v>
      </c>
      <c r="P512" s="8" t="s">
        <v>59</v>
      </c>
      <c r="R512" s="8">
        <v>0</v>
      </c>
      <c r="S512" s="8">
        <v>0</v>
      </c>
      <c r="T512" s="8">
        <v>1</v>
      </c>
      <c r="U512" s="8">
        <v>2</v>
      </c>
      <c r="X512" s="8">
        <v>5</v>
      </c>
      <c r="AG512" s="8" t="str">
        <f t="shared" si="29"/>
        <v/>
      </c>
      <c r="AI512" s="8" t="str">
        <f t="shared" si="30"/>
        <v/>
      </c>
      <c r="AJ512" s="8" t="str">
        <f t="shared" si="31"/>
        <v/>
      </c>
      <c r="AL512" s="8" t="str">
        <f t="shared" si="32"/>
        <v/>
      </c>
    </row>
    <row r="513" spans="1:38" x14ac:dyDescent="0.25">
      <c r="A513" s="8" t="s">
        <v>4904</v>
      </c>
      <c r="B513" s="8" t="s">
        <v>4905</v>
      </c>
      <c r="C513" s="8">
        <v>30895394</v>
      </c>
      <c r="D513" s="8">
        <v>5</v>
      </c>
      <c r="E513" s="11">
        <v>43111</v>
      </c>
      <c r="F513" s="8" t="s">
        <v>58</v>
      </c>
      <c r="G513" s="11">
        <v>43112</v>
      </c>
      <c r="H513" s="8" t="s">
        <v>25</v>
      </c>
      <c r="I513" s="11">
        <v>43114</v>
      </c>
      <c r="J513" s="8" t="s">
        <v>25</v>
      </c>
      <c r="N513" s="8" t="s">
        <v>58</v>
      </c>
      <c r="O513" s="8" t="s">
        <v>59</v>
      </c>
      <c r="P513" s="8" t="s">
        <v>59</v>
      </c>
      <c r="R513" s="8">
        <v>0</v>
      </c>
      <c r="S513" s="8">
        <v>0</v>
      </c>
      <c r="T513" s="8">
        <v>1</v>
      </c>
      <c r="U513" s="8">
        <v>2</v>
      </c>
      <c r="X513" s="8">
        <v>5</v>
      </c>
      <c r="AG513" s="8" t="str">
        <f t="shared" si="29"/>
        <v/>
      </c>
      <c r="AI513" s="8" t="str">
        <f t="shared" si="30"/>
        <v/>
      </c>
      <c r="AJ513" s="8" t="str">
        <f t="shared" si="31"/>
        <v/>
      </c>
      <c r="AL513" s="8" t="str">
        <f t="shared" si="32"/>
        <v/>
      </c>
    </row>
    <row r="514" spans="1:38" x14ac:dyDescent="0.25">
      <c r="A514" s="8" t="s">
        <v>899</v>
      </c>
      <c r="B514" s="8" t="s">
        <v>900</v>
      </c>
      <c r="C514" s="8">
        <v>30846037</v>
      </c>
      <c r="D514" s="8">
        <v>5</v>
      </c>
      <c r="E514" s="11">
        <v>43109</v>
      </c>
      <c r="F514" s="8" t="s">
        <v>58</v>
      </c>
      <c r="G514" s="11">
        <v>43109</v>
      </c>
      <c r="H514" s="8" t="s">
        <v>25</v>
      </c>
      <c r="I514" s="11">
        <v>43109</v>
      </c>
      <c r="J514" s="8" t="s">
        <v>25</v>
      </c>
      <c r="N514" s="8" t="s">
        <v>58</v>
      </c>
      <c r="O514" s="8" t="s">
        <v>59</v>
      </c>
      <c r="P514" s="8" t="s">
        <v>59</v>
      </c>
      <c r="R514" s="8">
        <v>0</v>
      </c>
      <c r="S514" s="8">
        <v>0</v>
      </c>
      <c r="T514" s="8">
        <v>1</v>
      </c>
      <c r="U514" s="8">
        <v>2</v>
      </c>
      <c r="X514" s="8">
        <v>5</v>
      </c>
      <c r="AG514" s="8" t="str">
        <f t="shared" si="29"/>
        <v/>
      </c>
      <c r="AI514" s="8" t="str">
        <f t="shared" si="30"/>
        <v/>
      </c>
      <c r="AJ514" s="8" t="str">
        <f t="shared" si="31"/>
        <v/>
      </c>
      <c r="AL514" s="8" t="str">
        <f t="shared" si="32"/>
        <v/>
      </c>
    </row>
    <row r="515" spans="1:38" x14ac:dyDescent="0.25">
      <c r="A515" s="8" t="s">
        <v>1813</v>
      </c>
      <c r="B515" s="8" t="s">
        <v>1814</v>
      </c>
      <c r="C515" s="8">
        <v>30875262</v>
      </c>
      <c r="D515" s="8">
        <v>5</v>
      </c>
      <c r="E515" s="11">
        <v>43110</v>
      </c>
      <c r="F515" s="8" t="s">
        <v>58</v>
      </c>
      <c r="G515" s="11">
        <v>43110</v>
      </c>
      <c r="H515" s="8" t="s">
        <v>25</v>
      </c>
      <c r="I515" s="11">
        <v>43115</v>
      </c>
      <c r="J515" s="8" t="s">
        <v>145</v>
      </c>
      <c r="N515" s="8" t="s">
        <v>58</v>
      </c>
      <c r="O515" s="8" t="s">
        <v>59</v>
      </c>
      <c r="P515" s="8" t="s">
        <v>59</v>
      </c>
      <c r="R515" s="8">
        <v>0</v>
      </c>
      <c r="S515" s="8">
        <v>0</v>
      </c>
      <c r="T515" s="8">
        <v>1</v>
      </c>
      <c r="U515" s="8">
        <v>2</v>
      </c>
      <c r="X515" s="8">
        <v>5</v>
      </c>
      <c r="AG515" s="8" t="str">
        <f t="shared" ref="AG515:AG578" si="33">IF(AND(U515="",G515&lt;&gt;"",NOT(OR(R515,S515))),IF(NETWORKDAYS.INTL(G515,TODAY(),11)&lt;5,"En Plazo",IF(NETWORKDAYS.INTL(G515,TODAY(),11)=5,"Riesgo Incumplimiento","FALTA_02")),"")</f>
        <v/>
      </c>
      <c r="AI515" s="8" t="str">
        <f t="shared" ref="AI515:AI578" si="34">IF(AND(O515&lt;&gt;"B1",F515="Rejected"),IF(W515="","FALTA_04",""),"")</f>
        <v/>
      </c>
      <c r="AJ515" s="8" t="str">
        <f t="shared" ref="AJ515:AJ578" si="35">IF(AND(X515="",I515&lt;&gt;"",NOT(OR(R515,S515))),IF(NETWORKDAYS.INTL(G515,TODAY(),11)&lt;=1,"En Plazo",IF(OR(AND(X515="",O515&lt;&gt;"M1"),AND(O515="M1",(OR(Q515="S - S",Q515="S - T",)))),"FALTA_05","")),"")</f>
        <v/>
      </c>
      <c r="AL515" s="8" t="str">
        <f t="shared" ref="AL515:AL578" si="36">IF(AND(O515="B1",F515="Rejected"),IF(Z515="","FALTA_07",""),"")</f>
        <v/>
      </c>
    </row>
    <row r="516" spans="1:38" x14ac:dyDescent="0.25">
      <c r="A516" s="8" t="s">
        <v>6781</v>
      </c>
      <c r="B516" s="8" t="s">
        <v>6782</v>
      </c>
      <c r="C516" s="8">
        <v>30913486</v>
      </c>
      <c r="D516" s="8">
        <v>3</v>
      </c>
      <c r="E516" s="11">
        <v>43112</v>
      </c>
      <c r="F516" s="8" t="s">
        <v>57</v>
      </c>
      <c r="G516" s="11">
        <v>43115</v>
      </c>
      <c r="H516" s="8" t="s">
        <v>25</v>
      </c>
      <c r="J516" s="8" t="s">
        <v>25</v>
      </c>
      <c r="N516" s="8" t="s">
        <v>58</v>
      </c>
      <c r="O516" s="8" t="s">
        <v>59</v>
      </c>
      <c r="P516" s="8" t="s">
        <v>59</v>
      </c>
      <c r="R516" s="8">
        <v>0</v>
      </c>
      <c r="S516" s="8">
        <v>0</v>
      </c>
      <c r="T516" s="8">
        <v>1</v>
      </c>
      <c r="U516" s="8">
        <v>2</v>
      </c>
      <c r="AG516" s="8" t="str">
        <f t="shared" si="33"/>
        <v/>
      </c>
      <c r="AI516" s="8" t="str">
        <f t="shared" si="34"/>
        <v/>
      </c>
      <c r="AJ516" s="8" t="str">
        <f t="shared" si="35"/>
        <v/>
      </c>
      <c r="AL516" s="8" t="str">
        <f t="shared" si="36"/>
        <v/>
      </c>
    </row>
    <row r="517" spans="1:38" x14ac:dyDescent="0.25">
      <c r="A517" s="8" t="s">
        <v>1815</v>
      </c>
      <c r="B517" s="8" t="s">
        <v>1816</v>
      </c>
      <c r="C517" s="8">
        <v>30811537</v>
      </c>
      <c r="D517" s="8">
        <v>5</v>
      </c>
      <c r="E517" s="11">
        <v>43108</v>
      </c>
      <c r="F517" s="8" t="s">
        <v>57</v>
      </c>
      <c r="G517" s="11">
        <v>43110</v>
      </c>
      <c r="H517" s="8" t="s">
        <v>25</v>
      </c>
      <c r="J517" s="8" t="s">
        <v>25</v>
      </c>
      <c r="N517" s="8" t="s">
        <v>58</v>
      </c>
      <c r="O517" s="8" t="s">
        <v>59</v>
      </c>
      <c r="P517" s="8" t="s">
        <v>59</v>
      </c>
      <c r="R517" s="8">
        <v>0</v>
      </c>
      <c r="S517" s="8">
        <v>0</v>
      </c>
      <c r="T517" s="8">
        <v>1</v>
      </c>
      <c r="U517" s="8">
        <v>2</v>
      </c>
      <c r="AG517" s="8" t="str">
        <f t="shared" si="33"/>
        <v/>
      </c>
      <c r="AI517" s="8" t="str">
        <f t="shared" si="34"/>
        <v/>
      </c>
      <c r="AJ517" s="8" t="str">
        <f t="shared" si="35"/>
        <v/>
      </c>
      <c r="AL517" s="8" t="str">
        <f t="shared" si="36"/>
        <v/>
      </c>
    </row>
    <row r="518" spans="1:38" x14ac:dyDescent="0.25">
      <c r="A518" s="8" t="s">
        <v>901</v>
      </c>
      <c r="B518" s="8" t="s">
        <v>902</v>
      </c>
      <c r="C518" s="8">
        <v>30833026</v>
      </c>
      <c r="D518" s="8">
        <v>5</v>
      </c>
      <c r="E518" s="11">
        <v>43109</v>
      </c>
      <c r="F518" s="8" t="s">
        <v>58</v>
      </c>
      <c r="G518" s="11">
        <v>43109</v>
      </c>
      <c r="H518" s="8" t="s">
        <v>25</v>
      </c>
      <c r="I518" s="11">
        <v>43109</v>
      </c>
      <c r="J518" s="8" t="s">
        <v>25</v>
      </c>
      <c r="N518" s="8" t="s">
        <v>58</v>
      </c>
      <c r="O518" s="8" t="s">
        <v>59</v>
      </c>
      <c r="P518" s="8" t="s">
        <v>59</v>
      </c>
      <c r="R518" s="8">
        <v>0</v>
      </c>
      <c r="S518" s="8">
        <v>0</v>
      </c>
      <c r="T518" s="8">
        <v>1</v>
      </c>
      <c r="U518" s="8">
        <v>2</v>
      </c>
      <c r="X518" s="8">
        <v>5</v>
      </c>
      <c r="AG518" s="8" t="str">
        <f t="shared" si="33"/>
        <v/>
      </c>
      <c r="AI518" s="8" t="str">
        <f t="shared" si="34"/>
        <v/>
      </c>
      <c r="AJ518" s="8" t="str">
        <f t="shared" si="35"/>
        <v/>
      </c>
      <c r="AL518" s="8" t="str">
        <f t="shared" si="36"/>
        <v/>
      </c>
    </row>
    <row r="519" spans="1:38" x14ac:dyDescent="0.25">
      <c r="A519" s="8" t="s">
        <v>238</v>
      </c>
      <c r="B519" s="8" t="s">
        <v>239</v>
      </c>
      <c r="C519" s="8">
        <v>30810075</v>
      </c>
      <c r="D519" s="8">
        <v>5</v>
      </c>
      <c r="E519" s="11">
        <v>43108</v>
      </c>
      <c r="F519" s="8" t="s">
        <v>58</v>
      </c>
      <c r="G519" s="11">
        <v>43108</v>
      </c>
      <c r="H519" s="8" t="s">
        <v>25</v>
      </c>
      <c r="I519" s="11">
        <v>43109</v>
      </c>
      <c r="J519" s="8" t="s">
        <v>25</v>
      </c>
      <c r="N519" s="8" t="s">
        <v>58</v>
      </c>
      <c r="O519" s="8" t="s">
        <v>59</v>
      </c>
      <c r="P519" s="8" t="s">
        <v>59</v>
      </c>
      <c r="R519" s="8">
        <v>0</v>
      </c>
      <c r="S519" s="8">
        <v>0</v>
      </c>
      <c r="T519" s="8">
        <v>1</v>
      </c>
      <c r="U519" s="8">
        <v>2</v>
      </c>
      <c r="X519" s="8">
        <v>5</v>
      </c>
      <c r="AG519" s="8" t="str">
        <f t="shared" si="33"/>
        <v/>
      </c>
      <c r="AI519" s="8" t="str">
        <f t="shared" si="34"/>
        <v/>
      </c>
      <c r="AJ519" s="8" t="str">
        <f t="shared" si="35"/>
        <v/>
      </c>
      <c r="AL519" s="8" t="str">
        <f t="shared" si="36"/>
        <v/>
      </c>
    </row>
    <row r="520" spans="1:38" x14ac:dyDescent="0.25">
      <c r="A520" s="8" t="s">
        <v>1817</v>
      </c>
      <c r="B520" s="8" t="s">
        <v>95</v>
      </c>
      <c r="C520" s="8">
        <v>30873059</v>
      </c>
      <c r="D520" s="8">
        <v>5</v>
      </c>
      <c r="E520" s="11">
        <v>43110</v>
      </c>
      <c r="F520" s="8" t="s">
        <v>58</v>
      </c>
      <c r="G520" s="11">
        <v>43110</v>
      </c>
      <c r="H520" s="8" t="s">
        <v>25</v>
      </c>
      <c r="I520" s="11">
        <v>43111</v>
      </c>
      <c r="J520" s="8" t="s">
        <v>25</v>
      </c>
      <c r="N520" s="8" t="s">
        <v>58</v>
      </c>
      <c r="O520" s="8" t="s">
        <v>59</v>
      </c>
      <c r="P520" s="8" t="s">
        <v>59</v>
      </c>
      <c r="R520" s="8">
        <v>0</v>
      </c>
      <c r="S520" s="8">
        <v>0</v>
      </c>
      <c r="T520" s="8">
        <v>1</v>
      </c>
      <c r="U520" s="8">
        <v>2</v>
      </c>
      <c r="X520" s="8">
        <v>5</v>
      </c>
      <c r="AG520" s="8" t="str">
        <f t="shared" si="33"/>
        <v/>
      </c>
      <c r="AI520" s="8" t="str">
        <f t="shared" si="34"/>
        <v/>
      </c>
      <c r="AJ520" s="8" t="str">
        <f t="shared" si="35"/>
        <v/>
      </c>
      <c r="AL520" s="8" t="str">
        <f t="shared" si="36"/>
        <v/>
      </c>
    </row>
    <row r="521" spans="1:38" x14ac:dyDescent="0.25">
      <c r="A521" s="8" t="s">
        <v>4906</v>
      </c>
      <c r="B521" s="8" t="s">
        <v>4907</v>
      </c>
      <c r="C521" s="8">
        <v>30820386</v>
      </c>
      <c r="D521" s="8">
        <v>5</v>
      </c>
      <c r="E521" s="11">
        <v>43108</v>
      </c>
      <c r="F521" s="8" t="s">
        <v>57</v>
      </c>
      <c r="G521" s="11">
        <v>43112</v>
      </c>
      <c r="H521" s="8" t="s">
        <v>145</v>
      </c>
      <c r="J521" s="8" t="s">
        <v>25</v>
      </c>
      <c r="N521" s="8" t="s">
        <v>58</v>
      </c>
      <c r="O521" s="8" t="s">
        <v>59</v>
      </c>
      <c r="P521" s="8" t="s">
        <v>59</v>
      </c>
      <c r="R521" s="8">
        <v>0</v>
      </c>
      <c r="S521" s="8">
        <v>0</v>
      </c>
      <c r="T521" s="8">
        <v>1</v>
      </c>
      <c r="U521" s="8">
        <v>2</v>
      </c>
      <c r="AG521" s="8" t="str">
        <f t="shared" si="33"/>
        <v/>
      </c>
      <c r="AI521" s="8" t="str">
        <f t="shared" si="34"/>
        <v/>
      </c>
      <c r="AJ521" s="8" t="str">
        <f t="shared" si="35"/>
        <v/>
      </c>
      <c r="AL521" s="8" t="str">
        <f t="shared" si="36"/>
        <v/>
      </c>
    </row>
    <row r="522" spans="1:38" x14ac:dyDescent="0.25">
      <c r="A522" s="8" t="s">
        <v>1818</v>
      </c>
      <c r="B522" s="8" t="s">
        <v>1819</v>
      </c>
      <c r="C522" s="8">
        <v>30841078</v>
      </c>
      <c r="D522" s="8">
        <v>5</v>
      </c>
      <c r="E522" s="11">
        <v>43109</v>
      </c>
      <c r="F522" s="8" t="s">
        <v>60</v>
      </c>
      <c r="G522" s="11">
        <v>43110</v>
      </c>
      <c r="H522" s="8" t="s">
        <v>25</v>
      </c>
      <c r="J522" s="8" t="s">
        <v>25</v>
      </c>
      <c r="L522" s="8" t="s">
        <v>1662</v>
      </c>
      <c r="N522" s="8" t="s">
        <v>58</v>
      </c>
      <c r="O522" s="8" t="s">
        <v>59</v>
      </c>
      <c r="P522" s="8" t="s">
        <v>59</v>
      </c>
      <c r="R522" s="8">
        <v>0</v>
      </c>
      <c r="S522" s="8">
        <v>0</v>
      </c>
      <c r="T522" s="8">
        <v>1</v>
      </c>
      <c r="U522" s="8">
        <v>2</v>
      </c>
      <c r="W522" s="8">
        <v>4</v>
      </c>
      <c r="AG522" s="8" t="str">
        <f t="shared" si="33"/>
        <v/>
      </c>
      <c r="AI522" s="8" t="str">
        <f t="shared" si="34"/>
        <v/>
      </c>
      <c r="AJ522" s="8" t="str">
        <f t="shared" si="35"/>
        <v/>
      </c>
      <c r="AL522" s="8" t="str">
        <f t="shared" si="36"/>
        <v/>
      </c>
    </row>
    <row r="523" spans="1:38" x14ac:dyDescent="0.25">
      <c r="A523" s="8" t="s">
        <v>6783</v>
      </c>
      <c r="B523" s="8" t="s">
        <v>6784</v>
      </c>
      <c r="C523" s="8">
        <v>30915192</v>
      </c>
      <c r="D523" s="8">
        <v>5</v>
      </c>
      <c r="E523" s="11">
        <v>43112</v>
      </c>
      <c r="F523" s="8" t="s">
        <v>57</v>
      </c>
      <c r="G523" s="11">
        <v>43115</v>
      </c>
      <c r="H523" s="8" t="s">
        <v>25</v>
      </c>
      <c r="J523" s="8" t="s">
        <v>25</v>
      </c>
      <c r="N523" s="8" t="s">
        <v>58</v>
      </c>
      <c r="O523" s="8" t="s">
        <v>59</v>
      </c>
      <c r="P523" s="8" t="s">
        <v>59</v>
      </c>
      <c r="R523" s="8">
        <v>0</v>
      </c>
      <c r="S523" s="8">
        <v>0</v>
      </c>
      <c r="T523" s="8">
        <v>1</v>
      </c>
      <c r="U523" s="8">
        <v>2</v>
      </c>
      <c r="AG523" s="8" t="str">
        <f t="shared" si="33"/>
        <v/>
      </c>
      <c r="AI523" s="8" t="str">
        <f t="shared" si="34"/>
        <v/>
      </c>
      <c r="AJ523" s="8" t="str">
        <f t="shared" si="35"/>
        <v/>
      </c>
      <c r="AL523" s="8" t="str">
        <f t="shared" si="36"/>
        <v/>
      </c>
    </row>
    <row r="524" spans="1:38" x14ac:dyDescent="0.25">
      <c r="A524" s="8" t="s">
        <v>1820</v>
      </c>
      <c r="B524" s="8" t="s">
        <v>1821</v>
      </c>
      <c r="C524" s="8">
        <v>30864441</v>
      </c>
      <c r="D524" s="8">
        <v>5</v>
      </c>
      <c r="E524" s="11">
        <v>43110</v>
      </c>
      <c r="F524" s="8" t="s">
        <v>58</v>
      </c>
      <c r="G524" s="11">
        <v>43110</v>
      </c>
      <c r="H524" s="8" t="s">
        <v>25</v>
      </c>
      <c r="I524" s="11">
        <v>43110</v>
      </c>
      <c r="J524" s="8" t="s">
        <v>25</v>
      </c>
      <c r="N524" s="8" t="s">
        <v>58</v>
      </c>
      <c r="O524" s="8" t="s">
        <v>59</v>
      </c>
      <c r="P524" s="8" t="s">
        <v>59</v>
      </c>
      <c r="R524" s="8">
        <v>0</v>
      </c>
      <c r="S524" s="8">
        <v>0</v>
      </c>
      <c r="T524" s="8">
        <v>1</v>
      </c>
      <c r="U524" s="8">
        <v>2</v>
      </c>
      <c r="X524" s="8">
        <v>5</v>
      </c>
      <c r="AG524" s="8" t="str">
        <f t="shared" si="33"/>
        <v/>
      </c>
      <c r="AI524" s="8" t="str">
        <f t="shared" si="34"/>
        <v/>
      </c>
      <c r="AJ524" s="8" t="str">
        <f t="shared" si="35"/>
        <v/>
      </c>
      <c r="AL524" s="8" t="str">
        <f t="shared" si="36"/>
        <v/>
      </c>
    </row>
    <row r="525" spans="1:38" x14ac:dyDescent="0.25">
      <c r="A525" s="8" t="s">
        <v>4908</v>
      </c>
      <c r="B525" s="8" t="s">
        <v>4909</v>
      </c>
      <c r="C525" s="8">
        <v>30819968</v>
      </c>
      <c r="D525" s="8">
        <v>5</v>
      </c>
      <c r="E525" s="11">
        <v>43108</v>
      </c>
      <c r="F525" s="8" t="s">
        <v>58</v>
      </c>
      <c r="G525" s="11">
        <v>43112</v>
      </c>
      <c r="H525" s="8" t="s">
        <v>145</v>
      </c>
      <c r="I525" s="11">
        <v>43112</v>
      </c>
      <c r="J525" s="8" t="s">
        <v>25</v>
      </c>
      <c r="N525" s="8" t="s">
        <v>58</v>
      </c>
      <c r="O525" s="8" t="s">
        <v>59</v>
      </c>
      <c r="P525" s="8" t="s">
        <v>59</v>
      </c>
      <c r="R525" s="8">
        <v>0</v>
      </c>
      <c r="S525" s="8">
        <v>0</v>
      </c>
      <c r="T525" s="8">
        <v>1</v>
      </c>
      <c r="U525" s="8">
        <v>2</v>
      </c>
      <c r="X525" s="8">
        <v>5</v>
      </c>
      <c r="AG525" s="8" t="str">
        <f t="shared" si="33"/>
        <v/>
      </c>
      <c r="AI525" s="8" t="str">
        <f t="shared" si="34"/>
        <v/>
      </c>
      <c r="AJ525" s="8" t="str">
        <f t="shared" si="35"/>
        <v/>
      </c>
      <c r="AL525" s="8" t="str">
        <f t="shared" si="36"/>
        <v/>
      </c>
    </row>
    <row r="526" spans="1:38" x14ac:dyDescent="0.25">
      <c r="A526" s="8" t="s">
        <v>4910</v>
      </c>
      <c r="B526" s="8" t="s">
        <v>4911</v>
      </c>
      <c r="C526" s="8">
        <v>30916580</v>
      </c>
      <c r="D526" s="8">
        <v>5</v>
      </c>
      <c r="E526" s="11">
        <v>43112</v>
      </c>
      <c r="F526" s="8" t="s">
        <v>57</v>
      </c>
      <c r="G526" s="11">
        <v>43112</v>
      </c>
      <c r="H526" s="8" t="s">
        <v>25</v>
      </c>
      <c r="J526" s="8" t="s">
        <v>25</v>
      </c>
      <c r="N526" s="8" t="s">
        <v>58</v>
      </c>
      <c r="O526" s="8" t="s">
        <v>59</v>
      </c>
      <c r="P526" s="8" t="s">
        <v>59</v>
      </c>
      <c r="R526" s="8">
        <v>0</v>
      </c>
      <c r="S526" s="8">
        <v>0</v>
      </c>
      <c r="T526" s="8">
        <v>1</v>
      </c>
      <c r="U526" s="8">
        <v>2</v>
      </c>
      <c r="AG526" s="8" t="str">
        <f t="shared" si="33"/>
        <v/>
      </c>
      <c r="AI526" s="8" t="str">
        <f t="shared" si="34"/>
        <v/>
      </c>
      <c r="AJ526" s="8" t="str">
        <f t="shared" si="35"/>
        <v/>
      </c>
      <c r="AL526" s="8" t="str">
        <f t="shared" si="36"/>
        <v/>
      </c>
    </row>
    <row r="527" spans="1:38" x14ac:dyDescent="0.25">
      <c r="A527" s="8" t="s">
        <v>903</v>
      </c>
      <c r="B527" s="8" t="s">
        <v>904</v>
      </c>
      <c r="C527" s="8">
        <v>30811997</v>
      </c>
      <c r="D527" s="8">
        <v>5</v>
      </c>
      <c r="E527" s="11">
        <v>43108</v>
      </c>
      <c r="F527" s="8" t="s">
        <v>58</v>
      </c>
      <c r="G527" s="11">
        <v>43109</v>
      </c>
      <c r="H527" s="8" t="s">
        <v>25</v>
      </c>
      <c r="I527" s="11">
        <v>43110</v>
      </c>
      <c r="J527" s="8" t="s">
        <v>25</v>
      </c>
      <c r="N527" s="8" t="s">
        <v>58</v>
      </c>
      <c r="O527" s="8" t="s">
        <v>59</v>
      </c>
      <c r="P527" s="8" t="s">
        <v>59</v>
      </c>
      <c r="R527" s="8">
        <v>0</v>
      </c>
      <c r="S527" s="8">
        <v>0</v>
      </c>
      <c r="T527" s="8">
        <v>1</v>
      </c>
      <c r="U527" s="8">
        <v>2</v>
      </c>
      <c r="X527" s="8">
        <v>5</v>
      </c>
      <c r="AG527" s="8" t="str">
        <f t="shared" si="33"/>
        <v/>
      </c>
      <c r="AI527" s="8" t="str">
        <f t="shared" si="34"/>
        <v/>
      </c>
      <c r="AJ527" s="8" t="str">
        <f t="shared" si="35"/>
        <v/>
      </c>
      <c r="AL527" s="8" t="str">
        <f t="shared" si="36"/>
        <v/>
      </c>
    </row>
    <row r="528" spans="1:38" x14ac:dyDescent="0.25">
      <c r="A528" s="8" t="s">
        <v>905</v>
      </c>
      <c r="B528" s="8" t="s">
        <v>906</v>
      </c>
      <c r="C528" s="8">
        <v>30844587</v>
      </c>
      <c r="D528" s="8">
        <v>5</v>
      </c>
      <c r="E528" s="11">
        <v>43109</v>
      </c>
      <c r="F528" s="8" t="s">
        <v>58</v>
      </c>
      <c r="G528" s="11">
        <v>43109</v>
      </c>
      <c r="H528" s="8" t="s">
        <v>25</v>
      </c>
      <c r="I528" s="11">
        <v>43109</v>
      </c>
      <c r="J528" s="8" t="s">
        <v>25</v>
      </c>
      <c r="N528" s="8" t="s">
        <v>58</v>
      </c>
      <c r="O528" s="8" t="s">
        <v>59</v>
      </c>
      <c r="P528" s="8" t="s">
        <v>59</v>
      </c>
      <c r="R528" s="8">
        <v>0</v>
      </c>
      <c r="S528" s="8">
        <v>0</v>
      </c>
      <c r="T528" s="8">
        <v>1</v>
      </c>
      <c r="U528" s="8">
        <v>2</v>
      </c>
      <c r="X528" s="8">
        <v>5</v>
      </c>
      <c r="AG528" s="8" t="str">
        <f t="shared" si="33"/>
        <v/>
      </c>
      <c r="AI528" s="8" t="str">
        <f t="shared" si="34"/>
        <v/>
      </c>
      <c r="AJ528" s="8" t="str">
        <f t="shared" si="35"/>
        <v/>
      </c>
      <c r="AL528" s="8" t="str">
        <f t="shared" si="36"/>
        <v/>
      </c>
    </row>
    <row r="529" spans="1:38" x14ac:dyDescent="0.25">
      <c r="A529" s="8" t="s">
        <v>240</v>
      </c>
      <c r="B529" s="8" t="s">
        <v>241</v>
      </c>
      <c r="C529" s="8">
        <v>30826143</v>
      </c>
      <c r="D529" s="8">
        <v>5</v>
      </c>
      <c r="E529" s="11">
        <v>43108</v>
      </c>
      <c r="F529" s="8" t="s">
        <v>58</v>
      </c>
      <c r="G529" s="11">
        <v>43108</v>
      </c>
      <c r="H529" s="8" t="s">
        <v>25</v>
      </c>
      <c r="I529" s="11">
        <v>43109</v>
      </c>
      <c r="J529" s="8" t="s">
        <v>25</v>
      </c>
      <c r="N529" s="8" t="s">
        <v>58</v>
      </c>
      <c r="O529" s="8" t="s">
        <v>59</v>
      </c>
      <c r="P529" s="8" t="s">
        <v>59</v>
      </c>
      <c r="R529" s="8">
        <v>0</v>
      </c>
      <c r="S529" s="8">
        <v>0</v>
      </c>
      <c r="T529" s="8">
        <v>1</v>
      </c>
      <c r="U529" s="8">
        <v>2</v>
      </c>
      <c r="X529" s="8">
        <v>5</v>
      </c>
      <c r="AG529" s="8" t="str">
        <f t="shared" si="33"/>
        <v/>
      </c>
      <c r="AI529" s="8" t="str">
        <f t="shared" si="34"/>
        <v/>
      </c>
      <c r="AJ529" s="8" t="str">
        <f t="shared" si="35"/>
        <v/>
      </c>
      <c r="AL529" s="8" t="str">
        <f t="shared" si="36"/>
        <v/>
      </c>
    </row>
    <row r="530" spans="1:38" x14ac:dyDescent="0.25">
      <c r="A530" s="8" t="s">
        <v>6785</v>
      </c>
      <c r="B530" s="8" t="s">
        <v>6786</v>
      </c>
      <c r="C530" s="8">
        <v>30862756</v>
      </c>
      <c r="D530" s="8">
        <v>5</v>
      </c>
      <c r="E530" s="11">
        <v>43110</v>
      </c>
      <c r="F530" s="8" t="s">
        <v>57</v>
      </c>
      <c r="G530" s="11">
        <v>43115</v>
      </c>
      <c r="H530" s="8" t="s">
        <v>145</v>
      </c>
      <c r="J530" s="8" t="s">
        <v>25</v>
      </c>
      <c r="N530" s="8" t="s">
        <v>58</v>
      </c>
      <c r="O530" s="8" t="s">
        <v>59</v>
      </c>
      <c r="P530" s="8" t="s">
        <v>59</v>
      </c>
      <c r="R530" s="8">
        <v>0</v>
      </c>
      <c r="S530" s="8">
        <v>0</v>
      </c>
      <c r="T530" s="8">
        <v>1</v>
      </c>
      <c r="U530" s="8">
        <v>2</v>
      </c>
      <c r="AG530" s="8" t="str">
        <f t="shared" si="33"/>
        <v/>
      </c>
      <c r="AI530" s="8" t="str">
        <f t="shared" si="34"/>
        <v/>
      </c>
      <c r="AJ530" s="8" t="str">
        <f t="shared" si="35"/>
        <v/>
      </c>
      <c r="AL530" s="8" t="str">
        <f t="shared" si="36"/>
        <v/>
      </c>
    </row>
    <row r="531" spans="1:38" x14ac:dyDescent="0.25">
      <c r="A531" s="8" t="s">
        <v>1822</v>
      </c>
      <c r="B531" s="8" t="s">
        <v>1823</v>
      </c>
      <c r="C531" s="8">
        <v>30860390</v>
      </c>
      <c r="D531" s="8">
        <v>5</v>
      </c>
      <c r="E531" s="11">
        <v>43110</v>
      </c>
      <c r="F531" s="8" t="s">
        <v>58</v>
      </c>
      <c r="G531" s="11">
        <v>43110</v>
      </c>
      <c r="H531" s="8" t="s">
        <v>25</v>
      </c>
      <c r="I531" s="11">
        <v>43110</v>
      </c>
      <c r="J531" s="8" t="s">
        <v>25</v>
      </c>
      <c r="N531" s="8" t="s">
        <v>58</v>
      </c>
      <c r="O531" s="8" t="s">
        <v>59</v>
      </c>
      <c r="P531" s="8" t="s">
        <v>59</v>
      </c>
      <c r="R531" s="8">
        <v>0</v>
      </c>
      <c r="S531" s="8">
        <v>0</v>
      </c>
      <c r="T531" s="8">
        <v>1</v>
      </c>
      <c r="U531" s="8">
        <v>2</v>
      </c>
      <c r="X531" s="8">
        <v>5</v>
      </c>
      <c r="AG531" s="8" t="str">
        <f t="shared" si="33"/>
        <v/>
      </c>
      <c r="AI531" s="8" t="str">
        <f t="shared" si="34"/>
        <v/>
      </c>
      <c r="AJ531" s="8" t="str">
        <f t="shared" si="35"/>
        <v/>
      </c>
      <c r="AL531" s="8" t="str">
        <f t="shared" si="36"/>
        <v/>
      </c>
    </row>
    <row r="532" spans="1:38" x14ac:dyDescent="0.25">
      <c r="A532" s="8" t="s">
        <v>3424</v>
      </c>
      <c r="B532" s="8" t="s">
        <v>3425</v>
      </c>
      <c r="C532" s="8">
        <v>30898943</v>
      </c>
      <c r="D532" s="8">
        <v>5</v>
      </c>
      <c r="E532" s="11">
        <v>43111</v>
      </c>
      <c r="F532" s="8" t="s">
        <v>58</v>
      </c>
      <c r="G532" s="11">
        <v>43111</v>
      </c>
      <c r="H532" s="8" t="s">
        <v>25</v>
      </c>
      <c r="I532" s="11">
        <v>43115</v>
      </c>
      <c r="J532" s="8" t="s">
        <v>25</v>
      </c>
      <c r="N532" s="8" t="s">
        <v>58</v>
      </c>
      <c r="O532" s="8" t="s">
        <v>59</v>
      </c>
      <c r="P532" s="8" t="s">
        <v>59</v>
      </c>
      <c r="R532" s="8">
        <v>0</v>
      </c>
      <c r="S532" s="8">
        <v>0</v>
      </c>
      <c r="T532" s="8">
        <v>1</v>
      </c>
      <c r="U532" s="8">
        <v>2</v>
      </c>
      <c r="X532" s="8">
        <v>5</v>
      </c>
      <c r="AG532" s="8" t="str">
        <f t="shared" si="33"/>
        <v/>
      </c>
      <c r="AI532" s="8" t="str">
        <f t="shared" si="34"/>
        <v/>
      </c>
      <c r="AJ532" s="8" t="str">
        <f t="shared" si="35"/>
        <v/>
      </c>
      <c r="AL532" s="8" t="str">
        <f t="shared" si="36"/>
        <v/>
      </c>
    </row>
    <row r="533" spans="1:38" x14ac:dyDescent="0.25">
      <c r="A533" s="8" t="s">
        <v>1824</v>
      </c>
      <c r="B533" s="8" t="s">
        <v>1825</v>
      </c>
      <c r="C533" s="8">
        <v>30833345</v>
      </c>
      <c r="D533" s="8">
        <v>5</v>
      </c>
      <c r="E533" s="11">
        <v>43109</v>
      </c>
      <c r="F533" s="8" t="s">
        <v>60</v>
      </c>
      <c r="G533" s="11">
        <v>43110</v>
      </c>
      <c r="H533" s="8" t="s">
        <v>25</v>
      </c>
      <c r="J533" s="8" t="s">
        <v>25</v>
      </c>
      <c r="L533" s="8" t="s">
        <v>4797</v>
      </c>
      <c r="N533" s="8" t="s">
        <v>58</v>
      </c>
      <c r="O533" s="8" t="s">
        <v>59</v>
      </c>
      <c r="P533" s="8" t="s">
        <v>59</v>
      </c>
      <c r="R533" s="8">
        <v>0</v>
      </c>
      <c r="S533" s="8">
        <v>0</v>
      </c>
      <c r="T533" s="8">
        <v>1</v>
      </c>
      <c r="U533" s="8">
        <v>2</v>
      </c>
      <c r="W533" s="8">
        <v>4</v>
      </c>
      <c r="AG533" s="8" t="str">
        <f t="shared" si="33"/>
        <v/>
      </c>
      <c r="AI533" s="8" t="str">
        <f t="shared" si="34"/>
        <v/>
      </c>
      <c r="AJ533" s="8" t="str">
        <f t="shared" si="35"/>
        <v/>
      </c>
      <c r="AL533" s="8" t="str">
        <f t="shared" si="36"/>
        <v/>
      </c>
    </row>
    <row r="534" spans="1:38" x14ac:dyDescent="0.25">
      <c r="A534" s="8" t="s">
        <v>1826</v>
      </c>
      <c r="B534" s="8" t="s">
        <v>1827</v>
      </c>
      <c r="C534" s="8">
        <v>30840670</v>
      </c>
      <c r="D534" s="8">
        <v>5</v>
      </c>
      <c r="E534" s="11">
        <v>43109</v>
      </c>
      <c r="F534" s="8" t="s">
        <v>58</v>
      </c>
      <c r="G534" s="11">
        <v>43110</v>
      </c>
      <c r="H534" s="8" t="s">
        <v>25</v>
      </c>
      <c r="I534" s="11">
        <v>43112</v>
      </c>
      <c r="J534" s="8" t="s">
        <v>25</v>
      </c>
      <c r="N534" s="8" t="s">
        <v>58</v>
      </c>
      <c r="O534" s="8" t="s">
        <v>59</v>
      </c>
      <c r="P534" s="8" t="s">
        <v>59</v>
      </c>
      <c r="R534" s="8">
        <v>0</v>
      </c>
      <c r="S534" s="8">
        <v>0</v>
      </c>
      <c r="T534" s="8">
        <v>1</v>
      </c>
      <c r="U534" s="8">
        <v>2</v>
      </c>
      <c r="X534" s="8">
        <v>5</v>
      </c>
      <c r="AG534" s="8" t="str">
        <f t="shared" si="33"/>
        <v/>
      </c>
      <c r="AI534" s="8" t="str">
        <f t="shared" si="34"/>
        <v/>
      </c>
      <c r="AJ534" s="8" t="str">
        <f t="shared" si="35"/>
        <v/>
      </c>
      <c r="AL534" s="8" t="str">
        <f t="shared" si="36"/>
        <v/>
      </c>
    </row>
    <row r="535" spans="1:38" x14ac:dyDescent="0.25">
      <c r="A535" s="8" t="s">
        <v>4912</v>
      </c>
      <c r="B535" s="8" t="s">
        <v>4913</v>
      </c>
      <c r="C535" s="8">
        <v>30913743</v>
      </c>
      <c r="D535" s="8">
        <v>5</v>
      </c>
      <c r="E535" s="11">
        <v>43112</v>
      </c>
      <c r="F535" s="8" t="s">
        <v>58</v>
      </c>
      <c r="G535" s="11">
        <v>43112</v>
      </c>
      <c r="H535" s="8" t="s">
        <v>25</v>
      </c>
      <c r="I535" s="11">
        <v>43112</v>
      </c>
      <c r="J535" s="8" t="s">
        <v>25</v>
      </c>
      <c r="N535" s="8" t="s">
        <v>58</v>
      </c>
      <c r="O535" s="8" t="s">
        <v>59</v>
      </c>
      <c r="P535" s="8" t="s">
        <v>59</v>
      </c>
      <c r="R535" s="8">
        <v>0</v>
      </c>
      <c r="S535" s="8">
        <v>0</v>
      </c>
      <c r="T535" s="8">
        <v>1</v>
      </c>
      <c r="U535" s="8">
        <v>2</v>
      </c>
      <c r="X535" s="8">
        <v>5</v>
      </c>
      <c r="AG535" s="8" t="str">
        <f t="shared" si="33"/>
        <v/>
      </c>
      <c r="AI535" s="8" t="str">
        <f t="shared" si="34"/>
        <v/>
      </c>
      <c r="AJ535" s="8" t="str">
        <f t="shared" si="35"/>
        <v/>
      </c>
      <c r="AL535" s="8" t="str">
        <f t="shared" si="36"/>
        <v/>
      </c>
    </row>
    <row r="536" spans="1:38" x14ac:dyDescent="0.25">
      <c r="A536" s="8" t="s">
        <v>6787</v>
      </c>
      <c r="B536" s="8" t="s">
        <v>6788</v>
      </c>
      <c r="C536" s="8">
        <v>30853417</v>
      </c>
      <c r="D536" s="8">
        <v>5</v>
      </c>
      <c r="E536" s="11">
        <v>43109</v>
      </c>
      <c r="F536" s="8" t="s">
        <v>57</v>
      </c>
      <c r="G536" s="11">
        <v>43115</v>
      </c>
      <c r="H536" s="8" t="s">
        <v>145</v>
      </c>
      <c r="J536" s="8" t="s">
        <v>25</v>
      </c>
      <c r="N536" s="8" t="s">
        <v>58</v>
      </c>
      <c r="O536" s="8" t="s">
        <v>59</v>
      </c>
      <c r="P536" s="8" t="s">
        <v>59</v>
      </c>
      <c r="R536" s="8">
        <v>0</v>
      </c>
      <c r="S536" s="8">
        <v>0</v>
      </c>
      <c r="T536" s="8">
        <v>1</v>
      </c>
      <c r="U536" s="8">
        <v>2</v>
      </c>
      <c r="AG536" s="8" t="str">
        <f t="shared" si="33"/>
        <v/>
      </c>
      <c r="AI536" s="8" t="str">
        <f t="shared" si="34"/>
        <v/>
      </c>
      <c r="AJ536" s="8" t="str">
        <f t="shared" si="35"/>
        <v/>
      </c>
      <c r="AL536" s="8" t="str">
        <f t="shared" si="36"/>
        <v/>
      </c>
    </row>
    <row r="537" spans="1:38" x14ac:dyDescent="0.25">
      <c r="A537" s="8" t="s">
        <v>242</v>
      </c>
      <c r="B537" s="8" t="s">
        <v>243</v>
      </c>
      <c r="C537" s="8">
        <v>30827797</v>
      </c>
      <c r="D537" s="8">
        <v>5</v>
      </c>
      <c r="E537" s="11">
        <v>43108</v>
      </c>
      <c r="F537" s="8" t="s">
        <v>58</v>
      </c>
      <c r="G537" s="11">
        <v>43108</v>
      </c>
      <c r="H537" s="8" t="s">
        <v>25</v>
      </c>
      <c r="I537" s="11">
        <v>43109</v>
      </c>
      <c r="J537" s="8" t="s">
        <v>25</v>
      </c>
      <c r="N537" s="8" t="s">
        <v>58</v>
      </c>
      <c r="O537" s="8" t="s">
        <v>59</v>
      </c>
      <c r="P537" s="8" t="s">
        <v>59</v>
      </c>
      <c r="R537" s="8">
        <v>0</v>
      </c>
      <c r="S537" s="8">
        <v>0</v>
      </c>
      <c r="T537" s="8">
        <v>1</v>
      </c>
      <c r="U537" s="8">
        <v>2</v>
      </c>
      <c r="X537" s="8">
        <v>5</v>
      </c>
      <c r="AG537" s="8" t="str">
        <f t="shared" si="33"/>
        <v/>
      </c>
      <c r="AI537" s="8" t="str">
        <f t="shared" si="34"/>
        <v/>
      </c>
      <c r="AJ537" s="8" t="str">
        <f t="shared" si="35"/>
        <v/>
      </c>
      <c r="AL537" s="8" t="str">
        <f t="shared" si="36"/>
        <v/>
      </c>
    </row>
    <row r="538" spans="1:38" x14ac:dyDescent="0.25">
      <c r="A538" s="8" t="s">
        <v>6789</v>
      </c>
      <c r="B538" s="8" t="s">
        <v>6790</v>
      </c>
      <c r="C538" s="8">
        <v>30872672</v>
      </c>
      <c r="D538" s="8">
        <v>5</v>
      </c>
      <c r="E538" s="11">
        <v>43110</v>
      </c>
      <c r="F538" s="8" t="s">
        <v>58</v>
      </c>
      <c r="G538" s="11">
        <v>43115</v>
      </c>
      <c r="H538" s="8" t="s">
        <v>145</v>
      </c>
      <c r="I538" s="11">
        <v>43115</v>
      </c>
      <c r="J538" s="8" t="s">
        <v>25</v>
      </c>
      <c r="N538" s="8" t="s">
        <v>58</v>
      </c>
      <c r="O538" s="8" t="s">
        <v>59</v>
      </c>
      <c r="P538" s="8" t="s">
        <v>59</v>
      </c>
      <c r="R538" s="8">
        <v>0</v>
      </c>
      <c r="S538" s="8">
        <v>0</v>
      </c>
      <c r="T538" s="8">
        <v>1</v>
      </c>
      <c r="U538" s="8">
        <v>2</v>
      </c>
      <c r="X538" s="8">
        <v>5</v>
      </c>
      <c r="AG538" s="8" t="str">
        <f t="shared" si="33"/>
        <v/>
      </c>
      <c r="AI538" s="8" t="str">
        <f t="shared" si="34"/>
        <v/>
      </c>
      <c r="AJ538" s="8" t="str">
        <f t="shared" si="35"/>
        <v/>
      </c>
      <c r="AL538" s="8" t="str">
        <f t="shared" si="36"/>
        <v/>
      </c>
    </row>
    <row r="539" spans="1:38" x14ac:dyDescent="0.25">
      <c r="A539" s="8" t="s">
        <v>6791</v>
      </c>
      <c r="B539" s="8" t="s">
        <v>6792</v>
      </c>
      <c r="C539" s="8">
        <v>30910610</v>
      </c>
      <c r="D539" s="8">
        <v>5</v>
      </c>
      <c r="E539" s="11">
        <v>43112</v>
      </c>
      <c r="F539" s="8" t="s">
        <v>57</v>
      </c>
      <c r="G539" s="11">
        <v>43115</v>
      </c>
      <c r="H539" s="8" t="s">
        <v>25</v>
      </c>
      <c r="J539" s="8" t="s">
        <v>25</v>
      </c>
      <c r="N539" s="8" t="s">
        <v>58</v>
      </c>
      <c r="O539" s="8" t="s">
        <v>59</v>
      </c>
      <c r="P539" s="8" t="s">
        <v>59</v>
      </c>
      <c r="R539" s="8">
        <v>0</v>
      </c>
      <c r="S539" s="8">
        <v>0</v>
      </c>
      <c r="T539" s="8">
        <v>1</v>
      </c>
      <c r="U539" s="8">
        <v>2</v>
      </c>
      <c r="AG539" s="8" t="str">
        <f t="shared" si="33"/>
        <v/>
      </c>
      <c r="AI539" s="8" t="str">
        <f t="shared" si="34"/>
        <v/>
      </c>
      <c r="AJ539" s="8" t="str">
        <f t="shared" si="35"/>
        <v/>
      </c>
      <c r="AL539" s="8" t="str">
        <f t="shared" si="36"/>
        <v/>
      </c>
    </row>
    <row r="540" spans="1:38" x14ac:dyDescent="0.25">
      <c r="A540" s="8" t="s">
        <v>4914</v>
      </c>
      <c r="B540" s="8" t="s">
        <v>4915</v>
      </c>
      <c r="C540" s="8">
        <v>30901659</v>
      </c>
      <c r="D540" s="8">
        <v>5</v>
      </c>
      <c r="E540" s="11">
        <v>43111</v>
      </c>
      <c r="F540" s="8" t="s">
        <v>57</v>
      </c>
      <c r="G540" s="11">
        <v>43112</v>
      </c>
      <c r="H540" s="8" t="s">
        <v>25</v>
      </c>
      <c r="J540" s="8" t="s">
        <v>25</v>
      </c>
      <c r="N540" s="8" t="s">
        <v>58</v>
      </c>
      <c r="O540" s="8" t="s">
        <v>59</v>
      </c>
      <c r="P540" s="8" t="s">
        <v>59</v>
      </c>
      <c r="R540" s="8">
        <v>0</v>
      </c>
      <c r="S540" s="8">
        <v>0</v>
      </c>
      <c r="T540" s="8">
        <v>1</v>
      </c>
      <c r="U540" s="8">
        <v>2</v>
      </c>
      <c r="AG540" s="8" t="str">
        <f t="shared" si="33"/>
        <v/>
      </c>
      <c r="AI540" s="8" t="str">
        <f t="shared" si="34"/>
        <v/>
      </c>
      <c r="AJ540" s="8" t="str">
        <f t="shared" si="35"/>
        <v/>
      </c>
      <c r="AL540" s="8" t="str">
        <f t="shared" si="36"/>
        <v/>
      </c>
    </row>
    <row r="541" spans="1:38" x14ac:dyDescent="0.25">
      <c r="A541" s="8" t="s">
        <v>3426</v>
      </c>
      <c r="B541" s="8" t="s">
        <v>3427</v>
      </c>
      <c r="C541" s="8">
        <v>30878703</v>
      </c>
      <c r="D541" s="8">
        <v>5</v>
      </c>
      <c r="E541" s="11">
        <v>43110</v>
      </c>
      <c r="F541" s="8" t="s">
        <v>57</v>
      </c>
      <c r="G541" s="11">
        <v>43111</v>
      </c>
      <c r="H541" s="8" t="s">
        <v>25</v>
      </c>
      <c r="J541" s="8" t="s">
        <v>25</v>
      </c>
      <c r="N541" s="8" t="s">
        <v>58</v>
      </c>
      <c r="O541" s="8" t="s">
        <v>59</v>
      </c>
      <c r="P541" s="8" t="s">
        <v>59</v>
      </c>
      <c r="R541" s="8">
        <v>0</v>
      </c>
      <c r="S541" s="8">
        <v>0</v>
      </c>
      <c r="T541" s="8">
        <v>1</v>
      </c>
      <c r="U541" s="8">
        <v>2</v>
      </c>
      <c r="AG541" s="8" t="str">
        <f t="shared" si="33"/>
        <v/>
      </c>
      <c r="AI541" s="8" t="str">
        <f t="shared" si="34"/>
        <v/>
      </c>
      <c r="AJ541" s="8" t="str">
        <f t="shared" si="35"/>
        <v/>
      </c>
      <c r="AL541" s="8" t="str">
        <f t="shared" si="36"/>
        <v/>
      </c>
    </row>
    <row r="542" spans="1:38" x14ac:dyDescent="0.25">
      <c r="A542" s="8" t="s">
        <v>6793</v>
      </c>
      <c r="B542" s="8" t="s">
        <v>6794</v>
      </c>
      <c r="C542" s="8">
        <v>30849740</v>
      </c>
      <c r="D542" s="8">
        <v>5</v>
      </c>
      <c r="E542" s="11">
        <v>43109</v>
      </c>
      <c r="F542" s="8" t="s">
        <v>57</v>
      </c>
      <c r="G542" s="11">
        <v>43115</v>
      </c>
      <c r="H542" s="8" t="s">
        <v>145</v>
      </c>
      <c r="J542" s="8" t="s">
        <v>25</v>
      </c>
      <c r="N542" s="8" t="s">
        <v>58</v>
      </c>
      <c r="O542" s="8" t="s">
        <v>59</v>
      </c>
      <c r="P542" s="8" t="s">
        <v>59</v>
      </c>
      <c r="R542" s="8">
        <v>0</v>
      </c>
      <c r="S542" s="8">
        <v>0</v>
      </c>
      <c r="T542" s="8">
        <v>1</v>
      </c>
      <c r="U542" s="8">
        <v>2</v>
      </c>
      <c r="AG542" s="8" t="str">
        <f t="shared" si="33"/>
        <v/>
      </c>
      <c r="AI542" s="8" t="str">
        <f t="shared" si="34"/>
        <v/>
      </c>
      <c r="AJ542" s="8" t="str">
        <f t="shared" si="35"/>
        <v/>
      </c>
      <c r="AL542" s="8" t="str">
        <f t="shared" si="36"/>
        <v/>
      </c>
    </row>
    <row r="543" spans="1:38" x14ac:dyDescent="0.25">
      <c r="A543" s="8" t="s">
        <v>6795</v>
      </c>
      <c r="B543" s="8" t="s">
        <v>6796</v>
      </c>
      <c r="C543" s="8">
        <v>30932068</v>
      </c>
      <c r="D543" s="8">
        <v>5</v>
      </c>
      <c r="E543" s="11">
        <v>43115</v>
      </c>
      <c r="F543" s="8" t="s">
        <v>58</v>
      </c>
      <c r="G543" s="11">
        <v>43115</v>
      </c>
      <c r="H543" s="8" t="s">
        <v>25</v>
      </c>
      <c r="I543" s="11">
        <v>43115</v>
      </c>
      <c r="J543" s="8" t="s">
        <v>25</v>
      </c>
      <c r="N543" s="8" t="s">
        <v>58</v>
      </c>
      <c r="O543" s="8" t="s">
        <v>59</v>
      </c>
      <c r="P543" s="8" t="s">
        <v>59</v>
      </c>
      <c r="R543" s="8">
        <v>0</v>
      </c>
      <c r="S543" s="8">
        <v>0</v>
      </c>
      <c r="T543" s="8">
        <v>1</v>
      </c>
      <c r="U543" s="8">
        <v>2</v>
      </c>
      <c r="X543" s="8">
        <v>5</v>
      </c>
      <c r="AG543" s="8" t="str">
        <f t="shared" si="33"/>
        <v/>
      </c>
      <c r="AI543" s="8" t="str">
        <f t="shared" si="34"/>
        <v/>
      </c>
      <c r="AJ543" s="8" t="str">
        <f t="shared" si="35"/>
        <v/>
      </c>
      <c r="AL543" s="8" t="str">
        <f t="shared" si="36"/>
        <v/>
      </c>
    </row>
    <row r="544" spans="1:38" x14ac:dyDescent="0.25">
      <c r="A544" s="8" t="s">
        <v>6797</v>
      </c>
      <c r="B544" s="8" t="s">
        <v>6798</v>
      </c>
      <c r="C544" s="8">
        <v>30876093</v>
      </c>
      <c r="D544" s="8">
        <v>5</v>
      </c>
      <c r="E544" s="11">
        <v>43110</v>
      </c>
      <c r="F544" s="8" t="s">
        <v>57</v>
      </c>
      <c r="G544" s="11">
        <v>43115</v>
      </c>
      <c r="H544" s="8" t="s">
        <v>145</v>
      </c>
      <c r="J544" s="8" t="s">
        <v>25</v>
      </c>
      <c r="N544" s="8" t="s">
        <v>58</v>
      </c>
      <c r="O544" s="8" t="s">
        <v>59</v>
      </c>
      <c r="P544" s="8" t="s">
        <v>59</v>
      </c>
      <c r="R544" s="8">
        <v>0</v>
      </c>
      <c r="S544" s="8">
        <v>0</v>
      </c>
      <c r="T544" s="8">
        <v>1</v>
      </c>
      <c r="U544" s="8">
        <v>2</v>
      </c>
      <c r="AG544" s="8" t="str">
        <f t="shared" si="33"/>
        <v/>
      </c>
      <c r="AI544" s="8" t="str">
        <f t="shared" si="34"/>
        <v/>
      </c>
      <c r="AJ544" s="8" t="str">
        <f t="shared" si="35"/>
        <v/>
      </c>
      <c r="AL544" s="8" t="str">
        <f t="shared" si="36"/>
        <v/>
      </c>
    </row>
    <row r="545" spans="1:38" x14ac:dyDescent="0.25">
      <c r="A545" s="8" t="s">
        <v>6799</v>
      </c>
      <c r="B545" s="8" t="s">
        <v>6800</v>
      </c>
      <c r="C545" s="8">
        <v>30847687</v>
      </c>
      <c r="D545" s="8">
        <v>5</v>
      </c>
      <c r="E545" s="11">
        <v>43109</v>
      </c>
      <c r="F545" s="8" t="s">
        <v>57</v>
      </c>
      <c r="G545" s="11">
        <v>43115</v>
      </c>
      <c r="H545" s="8" t="s">
        <v>145</v>
      </c>
      <c r="J545" s="8" t="s">
        <v>25</v>
      </c>
      <c r="N545" s="8" t="s">
        <v>58</v>
      </c>
      <c r="O545" s="8" t="s">
        <v>59</v>
      </c>
      <c r="P545" s="8" t="s">
        <v>59</v>
      </c>
      <c r="R545" s="8">
        <v>0</v>
      </c>
      <c r="S545" s="8">
        <v>0</v>
      </c>
      <c r="T545" s="8">
        <v>1</v>
      </c>
      <c r="U545" s="8">
        <v>2</v>
      </c>
      <c r="AG545" s="8" t="str">
        <f t="shared" si="33"/>
        <v/>
      </c>
      <c r="AI545" s="8" t="str">
        <f t="shared" si="34"/>
        <v/>
      </c>
      <c r="AJ545" s="8" t="str">
        <f t="shared" si="35"/>
        <v/>
      </c>
      <c r="AL545" s="8" t="str">
        <f t="shared" si="36"/>
        <v/>
      </c>
    </row>
    <row r="546" spans="1:38" x14ac:dyDescent="0.25">
      <c r="A546" s="8" t="s">
        <v>907</v>
      </c>
      <c r="B546" s="8" t="s">
        <v>908</v>
      </c>
      <c r="C546" s="8">
        <v>30842491</v>
      </c>
      <c r="D546" s="8">
        <v>5</v>
      </c>
      <c r="E546" s="11">
        <v>43109</v>
      </c>
      <c r="F546" s="8" t="s">
        <v>58</v>
      </c>
      <c r="G546" s="11">
        <v>43109</v>
      </c>
      <c r="H546" s="8" t="s">
        <v>25</v>
      </c>
      <c r="I546" s="11">
        <v>43109</v>
      </c>
      <c r="J546" s="8" t="s">
        <v>25</v>
      </c>
      <c r="N546" s="8" t="s">
        <v>58</v>
      </c>
      <c r="O546" s="8" t="s">
        <v>59</v>
      </c>
      <c r="P546" s="8" t="s">
        <v>59</v>
      </c>
      <c r="R546" s="8">
        <v>0</v>
      </c>
      <c r="S546" s="8">
        <v>0</v>
      </c>
      <c r="T546" s="8">
        <v>1</v>
      </c>
      <c r="U546" s="8">
        <v>2</v>
      </c>
      <c r="X546" s="8">
        <v>5</v>
      </c>
      <c r="AG546" s="8" t="str">
        <f t="shared" si="33"/>
        <v/>
      </c>
      <c r="AI546" s="8" t="str">
        <f t="shared" si="34"/>
        <v/>
      </c>
      <c r="AJ546" s="8" t="str">
        <f t="shared" si="35"/>
        <v/>
      </c>
      <c r="AL546" s="8" t="str">
        <f t="shared" si="36"/>
        <v/>
      </c>
    </row>
    <row r="547" spans="1:38" x14ac:dyDescent="0.25">
      <c r="A547" s="8" t="s">
        <v>6801</v>
      </c>
      <c r="B547" s="8" t="s">
        <v>6802</v>
      </c>
      <c r="C547" s="8">
        <v>30844756</v>
      </c>
      <c r="D547" s="8">
        <v>5</v>
      </c>
      <c r="E547" s="11">
        <v>43109</v>
      </c>
      <c r="F547" s="8" t="s">
        <v>57</v>
      </c>
      <c r="G547" s="11">
        <v>43115</v>
      </c>
      <c r="H547" s="8" t="s">
        <v>145</v>
      </c>
      <c r="J547" s="8" t="s">
        <v>25</v>
      </c>
      <c r="N547" s="8" t="s">
        <v>58</v>
      </c>
      <c r="O547" s="8" t="s">
        <v>59</v>
      </c>
      <c r="P547" s="8" t="s">
        <v>59</v>
      </c>
      <c r="R547" s="8">
        <v>0</v>
      </c>
      <c r="S547" s="8">
        <v>0</v>
      </c>
      <c r="T547" s="8">
        <v>1</v>
      </c>
      <c r="U547" s="8">
        <v>2</v>
      </c>
      <c r="AG547" s="8" t="str">
        <f t="shared" si="33"/>
        <v/>
      </c>
      <c r="AI547" s="8" t="str">
        <f t="shared" si="34"/>
        <v/>
      </c>
      <c r="AJ547" s="8" t="str">
        <f t="shared" si="35"/>
        <v/>
      </c>
      <c r="AL547" s="8" t="str">
        <f t="shared" si="36"/>
        <v/>
      </c>
    </row>
    <row r="548" spans="1:38" x14ac:dyDescent="0.25">
      <c r="A548" s="8" t="s">
        <v>1828</v>
      </c>
      <c r="B548" s="8" t="s">
        <v>1829</v>
      </c>
      <c r="C548" s="8">
        <v>30826268</v>
      </c>
      <c r="D548" s="8">
        <v>5</v>
      </c>
      <c r="E548" s="11">
        <v>43108</v>
      </c>
      <c r="F548" s="8" t="s">
        <v>57</v>
      </c>
      <c r="G548" s="11">
        <v>43110</v>
      </c>
      <c r="H548" s="8" t="s">
        <v>25</v>
      </c>
      <c r="J548" s="8" t="s">
        <v>25</v>
      </c>
      <c r="N548" s="8" t="s">
        <v>58</v>
      </c>
      <c r="O548" s="8" t="s">
        <v>59</v>
      </c>
      <c r="P548" s="8" t="s">
        <v>59</v>
      </c>
      <c r="R548" s="8">
        <v>0</v>
      </c>
      <c r="S548" s="8">
        <v>0</v>
      </c>
      <c r="T548" s="8">
        <v>1</v>
      </c>
      <c r="U548" s="8">
        <v>2</v>
      </c>
      <c r="AG548" s="8" t="str">
        <f t="shared" si="33"/>
        <v/>
      </c>
      <c r="AI548" s="8" t="str">
        <f t="shared" si="34"/>
        <v/>
      </c>
      <c r="AJ548" s="8" t="str">
        <f t="shared" si="35"/>
        <v/>
      </c>
      <c r="AL548" s="8" t="str">
        <f t="shared" si="36"/>
        <v/>
      </c>
    </row>
    <row r="549" spans="1:38" x14ac:dyDescent="0.25">
      <c r="A549" s="8" t="s">
        <v>6803</v>
      </c>
      <c r="B549" s="8" t="s">
        <v>6804</v>
      </c>
      <c r="C549" s="8">
        <v>30920715</v>
      </c>
      <c r="D549" s="8">
        <v>5</v>
      </c>
      <c r="E549" s="11">
        <v>43112</v>
      </c>
      <c r="F549" s="8" t="s">
        <v>57</v>
      </c>
      <c r="G549" s="11">
        <v>43115</v>
      </c>
      <c r="H549" s="8" t="s">
        <v>25</v>
      </c>
      <c r="J549" s="8" t="s">
        <v>25</v>
      </c>
      <c r="N549" s="8" t="s">
        <v>58</v>
      </c>
      <c r="O549" s="8" t="s">
        <v>59</v>
      </c>
      <c r="P549" s="8" t="s">
        <v>59</v>
      </c>
      <c r="R549" s="8">
        <v>0</v>
      </c>
      <c r="S549" s="8">
        <v>0</v>
      </c>
      <c r="T549" s="8">
        <v>1</v>
      </c>
      <c r="U549" s="8">
        <v>2</v>
      </c>
      <c r="AG549" s="8" t="str">
        <f t="shared" si="33"/>
        <v/>
      </c>
      <c r="AI549" s="8" t="str">
        <f t="shared" si="34"/>
        <v/>
      </c>
      <c r="AJ549" s="8" t="str">
        <f t="shared" si="35"/>
        <v/>
      </c>
      <c r="AL549" s="8" t="str">
        <f t="shared" si="36"/>
        <v/>
      </c>
    </row>
    <row r="550" spans="1:38" x14ac:dyDescent="0.25">
      <c r="A550" s="8" t="s">
        <v>244</v>
      </c>
      <c r="B550" s="8" t="s">
        <v>245</v>
      </c>
      <c r="C550" s="8">
        <v>30809362</v>
      </c>
      <c r="D550" s="8">
        <v>5</v>
      </c>
      <c r="E550" s="11">
        <v>43108</v>
      </c>
      <c r="F550" s="8" t="s">
        <v>60</v>
      </c>
      <c r="G550" s="11">
        <v>43108</v>
      </c>
      <c r="H550" s="8" t="s">
        <v>25</v>
      </c>
      <c r="J550" s="8" t="s">
        <v>856</v>
      </c>
      <c r="L550" s="8" t="s">
        <v>6525</v>
      </c>
      <c r="N550" s="8" t="s">
        <v>58</v>
      </c>
      <c r="O550" s="8" t="s">
        <v>59</v>
      </c>
      <c r="P550" s="8" t="s">
        <v>59</v>
      </c>
      <c r="R550" s="8">
        <v>0</v>
      </c>
      <c r="S550" s="8">
        <v>0</v>
      </c>
      <c r="T550" s="8">
        <v>1</v>
      </c>
      <c r="U550" s="8">
        <v>2</v>
      </c>
      <c r="W550" s="8">
        <v>4</v>
      </c>
      <c r="AG550" s="8" t="str">
        <f t="shared" si="33"/>
        <v/>
      </c>
      <c r="AI550" s="8" t="str">
        <f t="shared" si="34"/>
        <v/>
      </c>
      <c r="AJ550" s="8" t="str">
        <f t="shared" si="35"/>
        <v/>
      </c>
      <c r="AL550" s="8" t="str">
        <f t="shared" si="36"/>
        <v/>
      </c>
    </row>
    <row r="551" spans="1:38" x14ac:dyDescent="0.25">
      <c r="A551" s="8" t="s">
        <v>3428</v>
      </c>
      <c r="B551" s="8" t="s">
        <v>3429</v>
      </c>
      <c r="C551" s="8">
        <v>30887302</v>
      </c>
      <c r="D551" s="8">
        <v>5</v>
      </c>
      <c r="E551" s="11">
        <v>43111</v>
      </c>
      <c r="F551" s="8" t="s">
        <v>57</v>
      </c>
      <c r="G551" s="11">
        <v>43111</v>
      </c>
      <c r="H551" s="8" t="s">
        <v>25</v>
      </c>
      <c r="J551" s="8" t="s">
        <v>25</v>
      </c>
      <c r="N551" s="8" t="s">
        <v>58</v>
      </c>
      <c r="O551" s="8" t="s">
        <v>59</v>
      </c>
      <c r="P551" s="8" t="s">
        <v>59</v>
      </c>
      <c r="R551" s="8">
        <v>0</v>
      </c>
      <c r="S551" s="8">
        <v>0</v>
      </c>
      <c r="T551" s="8">
        <v>1</v>
      </c>
      <c r="U551" s="8">
        <v>2</v>
      </c>
      <c r="AG551" s="8" t="str">
        <f t="shared" si="33"/>
        <v/>
      </c>
      <c r="AI551" s="8" t="str">
        <f t="shared" si="34"/>
        <v/>
      </c>
      <c r="AJ551" s="8" t="str">
        <f t="shared" si="35"/>
        <v/>
      </c>
      <c r="AL551" s="8" t="str">
        <f t="shared" si="36"/>
        <v/>
      </c>
    </row>
    <row r="552" spans="1:38" x14ac:dyDescent="0.25">
      <c r="A552" s="8" t="s">
        <v>3430</v>
      </c>
      <c r="B552" s="8" t="s">
        <v>3431</v>
      </c>
      <c r="C552" s="8">
        <v>30884488</v>
      </c>
      <c r="D552" s="8">
        <v>5</v>
      </c>
      <c r="E552" s="11">
        <v>43111</v>
      </c>
      <c r="F552" s="8" t="s">
        <v>57</v>
      </c>
      <c r="G552" s="11">
        <v>43111</v>
      </c>
      <c r="H552" s="8" t="s">
        <v>25</v>
      </c>
      <c r="J552" s="8" t="s">
        <v>25</v>
      </c>
      <c r="N552" s="8" t="s">
        <v>58</v>
      </c>
      <c r="O552" s="8" t="s">
        <v>59</v>
      </c>
      <c r="P552" s="8" t="s">
        <v>59</v>
      </c>
      <c r="R552" s="8">
        <v>0</v>
      </c>
      <c r="S552" s="8">
        <v>0</v>
      </c>
      <c r="T552" s="8">
        <v>1</v>
      </c>
      <c r="U552" s="8">
        <v>2</v>
      </c>
      <c r="AG552" s="8" t="str">
        <f t="shared" si="33"/>
        <v/>
      </c>
      <c r="AI552" s="8" t="str">
        <f t="shared" si="34"/>
        <v/>
      </c>
      <c r="AJ552" s="8" t="str">
        <f t="shared" si="35"/>
        <v/>
      </c>
      <c r="AL552" s="8" t="str">
        <f t="shared" si="36"/>
        <v/>
      </c>
    </row>
    <row r="553" spans="1:38" x14ac:dyDescent="0.25">
      <c r="A553" s="8" t="s">
        <v>6805</v>
      </c>
      <c r="B553" s="8" t="s">
        <v>6806</v>
      </c>
      <c r="C553" s="8">
        <v>30839891</v>
      </c>
      <c r="D553" s="8">
        <v>5</v>
      </c>
      <c r="E553" s="11">
        <v>43109</v>
      </c>
      <c r="F553" s="8" t="s">
        <v>57</v>
      </c>
      <c r="G553" s="11">
        <v>43115</v>
      </c>
      <c r="H553" s="8" t="s">
        <v>145</v>
      </c>
      <c r="J553" s="8" t="s">
        <v>25</v>
      </c>
      <c r="N553" s="8" t="s">
        <v>58</v>
      </c>
      <c r="O553" s="8" t="s">
        <v>59</v>
      </c>
      <c r="P553" s="8" t="s">
        <v>59</v>
      </c>
      <c r="R553" s="8">
        <v>0</v>
      </c>
      <c r="S553" s="8">
        <v>0</v>
      </c>
      <c r="T553" s="8">
        <v>1</v>
      </c>
      <c r="U553" s="8">
        <v>2</v>
      </c>
      <c r="AG553" s="8" t="str">
        <f t="shared" si="33"/>
        <v/>
      </c>
      <c r="AI553" s="8" t="str">
        <f t="shared" si="34"/>
        <v/>
      </c>
      <c r="AJ553" s="8" t="str">
        <f t="shared" si="35"/>
        <v/>
      </c>
      <c r="AL553" s="8" t="str">
        <f t="shared" si="36"/>
        <v/>
      </c>
    </row>
    <row r="554" spans="1:38" x14ac:dyDescent="0.25">
      <c r="A554" s="8" t="s">
        <v>6807</v>
      </c>
      <c r="B554" s="8" t="s">
        <v>6808</v>
      </c>
      <c r="C554" s="8">
        <v>30935432</v>
      </c>
      <c r="D554" s="8">
        <v>5</v>
      </c>
      <c r="E554" s="11">
        <v>43115</v>
      </c>
      <c r="F554" s="8" t="s">
        <v>58</v>
      </c>
      <c r="G554" s="11">
        <v>43115</v>
      </c>
      <c r="H554" s="8" t="s">
        <v>25</v>
      </c>
      <c r="I554" s="11">
        <v>43115</v>
      </c>
      <c r="J554" s="8" t="s">
        <v>25</v>
      </c>
      <c r="N554" s="8" t="s">
        <v>58</v>
      </c>
      <c r="O554" s="8" t="s">
        <v>59</v>
      </c>
      <c r="P554" s="8" t="s">
        <v>59</v>
      </c>
      <c r="R554" s="8">
        <v>0</v>
      </c>
      <c r="S554" s="8">
        <v>0</v>
      </c>
      <c r="T554" s="8">
        <v>1</v>
      </c>
      <c r="U554" s="8">
        <v>2</v>
      </c>
      <c r="X554" s="8">
        <v>5</v>
      </c>
      <c r="AG554" s="8" t="str">
        <f t="shared" si="33"/>
        <v/>
      </c>
      <c r="AI554" s="8" t="str">
        <f t="shared" si="34"/>
        <v/>
      </c>
      <c r="AJ554" s="8" t="str">
        <f t="shared" si="35"/>
        <v/>
      </c>
      <c r="AL554" s="8" t="str">
        <f t="shared" si="36"/>
        <v/>
      </c>
    </row>
    <row r="555" spans="1:38" x14ac:dyDescent="0.25">
      <c r="A555" s="8" t="s">
        <v>1830</v>
      </c>
      <c r="B555" s="8" t="s">
        <v>1831</v>
      </c>
      <c r="C555" s="8">
        <v>30846016</v>
      </c>
      <c r="D555" s="8">
        <v>5</v>
      </c>
      <c r="E555" s="11">
        <v>43109</v>
      </c>
      <c r="F555" s="8" t="s">
        <v>58</v>
      </c>
      <c r="G555" s="11">
        <v>43110</v>
      </c>
      <c r="H555" s="8" t="s">
        <v>25</v>
      </c>
      <c r="I555" s="11">
        <v>43115</v>
      </c>
      <c r="J555" s="8" t="s">
        <v>145</v>
      </c>
      <c r="N555" s="8" t="s">
        <v>58</v>
      </c>
      <c r="O555" s="8" t="s">
        <v>59</v>
      </c>
      <c r="P555" s="8" t="s">
        <v>59</v>
      </c>
      <c r="R555" s="8">
        <v>0</v>
      </c>
      <c r="S555" s="8">
        <v>0</v>
      </c>
      <c r="T555" s="8">
        <v>1</v>
      </c>
      <c r="U555" s="8">
        <v>2</v>
      </c>
      <c r="X555" s="8">
        <v>5</v>
      </c>
      <c r="AG555" s="8" t="str">
        <f t="shared" si="33"/>
        <v/>
      </c>
      <c r="AI555" s="8" t="str">
        <f t="shared" si="34"/>
        <v/>
      </c>
      <c r="AJ555" s="8" t="str">
        <f t="shared" si="35"/>
        <v/>
      </c>
      <c r="AL555" s="8" t="str">
        <f t="shared" si="36"/>
        <v/>
      </c>
    </row>
    <row r="556" spans="1:38" x14ac:dyDescent="0.25">
      <c r="A556" s="8" t="s">
        <v>6809</v>
      </c>
      <c r="B556" s="8" t="s">
        <v>6810</v>
      </c>
      <c r="C556" s="8">
        <v>30947322</v>
      </c>
      <c r="D556" s="8">
        <v>5</v>
      </c>
      <c r="E556" s="11">
        <v>43115</v>
      </c>
      <c r="F556" s="8" t="s">
        <v>57</v>
      </c>
      <c r="G556" s="11">
        <v>43115</v>
      </c>
      <c r="H556" s="8" t="s">
        <v>25</v>
      </c>
      <c r="J556" s="8" t="s">
        <v>25</v>
      </c>
      <c r="N556" s="8" t="s">
        <v>58</v>
      </c>
      <c r="O556" s="8" t="s">
        <v>59</v>
      </c>
      <c r="P556" s="8" t="s">
        <v>59</v>
      </c>
      <c r="R556" s="8">
        <v>0</v>
      </c>
      <c r="S556" s="8">
        <v>0</v>
      </c>
      <c r="T556" s="8">
        <v>1</v>
      </c>
      <c r="U556" s="8">
        <v>2</v>
      </c>
      <c r="AG556" s="8" t="str">
        <f t="shared" si="33"/>
        <v/>
      </c>
      <c r="AI556" s="8" t="str">
        <f t="shared" si="34"/>
        <v/>
      </c>
      <c r="AJ556" s="8" t="str">
        <f t="shared" si="35"/>
        <v/>
      </c>
      <c r="AL556" s="8" t="str">
        <f t="shared" si="36"/>
        <v/>
      </c>
    </row>
    <row r="557" spans="1:38" x14ac:dyDescent="0.25">
      <c r="A557" s="8" t="s">
        <v>1832</v>
      </c>
      <c r="B557" s="8" t="s">
        <v>1833</v>
      </c>
      <c r="C557" s="8">
        <v>30840497</v>
      </c>
      <c r="D557" s="8">
        <v>5</v>
      </c>
      <c r="E557" s="11">
        <v>43109</v>
      </c>
      <c r="F557" s="8" t="s">
        <v>57</v>
      </c>
      <c r="G557" s="11">
        <v>43110</v>
      </c>
      <c r="H557" s="8" t="s">
        <v>25</v>
      </c>
      <c r="J557" s="8" t="s">
        <v>25</v>
      </c>
      <c r="N557" s="8" t="s">
        <v>58</v>
      </c>
      <c r="O557" s="8" t="s">
        <v>59</v>
      </c>
      <c r="P557" s="8" t="s">
        <v>59</v>
      </c>
      <c r="R557" s="8">
        <v>0</v>
      </c>
      <c r="S557" s="8">
        <v>0</v>
      </c>
      <c r="T557" s="8">
        <v>1</v>
      </c>
      <c r="U557" s="8">
        <v>2</v>
      </c>
      <c r="AG557" s="8" t="str">
        <f t="shared" si="33"/>
        <v/>
      </c>
      <c r="AI557" s="8" t="str">
        <f t="shared" si="34"/>
        <v/>
      </c>
      <c r="AJ557" s="8" t="str">
        <f t="shared" si="35"/>
        <v/>
      </c>
      <c r="AL557" s="8" t="str">
        <f t="shared" si="36"/>
        <v/>
      </c>
    </row>
    <row r="558" spans="1:38" x14ac:dyDescent="0.25">
      <c r="A558" s="8" t="s">
        <v>3432</v>
      </c>
      <c r="B558" s="8" t="s">
        <v>3433</v>
      </c>
      <c r="C558" s="8">
        <v>30881983</v>
      </c>
      <c r="D558" s="8">
        <v>5</v>
      </c>
      <c r="E558" s="11">
        <v>43111</v>
      </c>
      <c r="F558" s="8" t="s">
        <v>57</v>
      </c>
      <c r="G558" s="11">
        <v>43111</v>
      </c>
      <c r="H558" s="8" t="s">
        <v>25</v>
      </c>
      <c r="J558" s="8" t="s">
        <v>25</v>
      </c>
      <c r="N558" s="8" t="s">
        <v>58</v>
      </c>
      <c r="O558" s="8" t="s">
        <v>59</v>
      </c>
      <c r="P558" s="8" t="s">
        <v>59</v>
      </c>
      <c r="R558" s="8">
        <v>0</v>
      </c>
      <c r="S558" s="8">
        <v>0</v>
      </c>
      <c r="T558" s="8">
        <v>1</v>
      </c>
      <c r="U558" s="8">
        <v>2</v>
      </c>
      <c r="AG558" s="8" t="str">
        <f t="shared" si="33"/>
        <v/>
      </c>
      <c r="AI558" s="8" t="str">
        <f t="shared" si="34"/>
        <v/>
      </c>
      <c r="AJ558" s="8" t="str">
        <f t="shared" si="35"/>
        <v/>
      </c>
      <c r="AL558" s="8" t="str">
        <f t="shared" si="36"/>
        <v/>
      </c>
    </row>
    <row r="559" spans="1:38" x14ac:dyDescent="0.25">
      <c r="A559" s="8" t="s">
        <v>1834</v>
      </c>
      <c r="B559" s="8" t="s">
        <v>1835</v>
      </c>
      <c r="C559" s="8">
        <v>30875121</v>
      </c>
      <c r="D559" s="8">
        <v>5</v>
      </c>
      <c r="E559" s="11">
        <v>43110</v>
      </c>
      <c r="F559" s="8" t="s">
        <v>57</v>
      </c>
      <c r="G559" s="11">
        <v>43110</v>
      </c>
      <c r="H559" s="8" t="s">
        <v>25</v>
      </c>
      <c r="J559" s="8" t="s">
        <v>25</v>
      </c>
      <c r="N559" s="8" t="s">
        <v>58</v>
      </c>
      <c r="O559" s="8" t="s">
        <v>59</v>
      </c>
      <c r="P559" s="8" t="s">
        <v>59</v>
      </c>
      <c r="R559" s="8">
        <v>0</v>
      </c>
      <c r="S559" s="8">
        <v>0</v>
      </c>
      <c r="T559" s="8">
        <v>1</v>
      </c>
      <c r="U559" s="8">
        <v>2</v>
      </c>
      <c r="AG559" s="8" t="str">
        <f t="shared" si="33"/>
        <v/>
      </c>
      <c r="AI559" s="8" t="str">
        <f t="shared" si="34"/>
        <v/>
      </c>
      <c r="AJ559" s="8" t="str">
        <f t="shared" si="35"/>
        <v/>
      </c>
      <c r="AL559" s="8" t="str">
        <f t="shared" si="36"/>
        <v/>
      </c>
    </row>
    <row r="560" spans="1:38" x14ac:dyDescent="0.25">
      <c r="A560" s="8" t="s">
        <v>6811</v>
      </c>
      <c r="B560" s="8" t="s">
        <v>6812</v>
      </c>
      <c r="C560" s="8">
        <v>30935932</v>
      </c>
      <c r="D560" s="8">
        <v>5</v>
      </c>
      <c r="E560" s="11">
        <v>43115</v>
      </c>
      <c r="F560" s="8" t="s">
        <v>58</v>
      </c>
      <c r="G560" s="11">
        <v>43115</v>
      </c>
      <c r="H560" s="8" t="s">
        <v>25</v>
      </c>
      <c r="I560" s="11">
        <v>43115</v>
      </c>
      <c r="J560" s="8" t="s">
        <v>25</v>
      </c>
      <c r="N560" s="8" t="s">
        <v>58</v>
      </c>
      <c r="O560" s="8" t="s">
        <v>59</v>
      </c>
      <c r="P560" s="8" t="s">
        <v>59</v>
      </c>
      <c r="R560" s="8">
        <v>0</v>
      </c>
      <c r="S560" s="8">
        <v>0</v>
      </c>
      <c r="T560" s="8">
        <v>1</v>
      </c>
      <c r="U560" s="8">
        <v>2</v>
      </c>
      <c r="X560" s="8">
        <v>5</v>
      </c>
      <c r="AG560" s="8" t="str">
        <f t="shared" si="33"/>
        <v/>
      </c>
      <c r="AI560" s="8" t="str">
        <f t="shared" si="34"/>
        <v/>
      </c>
      <c r="AJ560" s="8" t="str">
        <f t="shared" si="35"/>
        <v/>
      </c>
      <c r="AL560" s="8" t="str">
        <f t="shared" si="36"/>
        <v/>
      </c>
    </row>
    <row r="561" spans="1:38" x14ac:dyDescent="0.25">
      <c r="A561" s="8" t="s">
        <v>246</v>
      </c>
      <c r="B561" s="8" t="s">
        <v>247</v>
      </c>
      <c r="C561" s="8">
        <v>30828836</v>
      </c>
      <c r="D561" s="8">
        <v>5</v>
      </c>
      <c r="E561" s="11">
        <v>43108</v>
      </c>
      <c r="F561" s="8" t="s">
        <v>58</v>
      </c>
      <c r="G561" s="11">
        <v>43108</v>
      </c>
      <c r="H561" s="8" t="s">
        <v>25</v>
      </c>
      <c r="I561" s="11">
        <v>43109</v>
      </c>
      <c r="J561" s="8" t="s">
        <v>25</v>
      </c>
      <c r="N561" s="8" t="s">
        <v>58</v>
      </c>
      <c r="O561" s="8" t="s">
        <v>59</v>
      </c>
      <c r="P561" s="8" t="s">
        <v>59</v>
      </c>
      <c r="R561" s="8">
        <v>0</v>
      </c>
      <c r="S561" s="8">
        <v>0</v>
      </c>
      <c r="T561" s="8">
        <v>1</v>
      </c>
      <c r="U561" s="8">
        <v>2</v>
      </c>
      <c r="X561" s="8">
        <v>5</v>
      </c>
      <c r="AG561" s="8" t="str">
        <f t="shared" si="33"/>
        <v/>
      </c>
      <c r="AI561" s="8" t="str">
        <f t="shared" si="34"/>
        <v/>
      </c>
      <c r="AJ561" s="8" t="str">
        <f t="shared" si="35"/>
        <v/>
      </c>
      <c r="AL561" s="8" t="str">
        <f t="shared" si="36"/>
        <v/>
      </c>
    </row>
    <row r="562" spans="1:38" x14ac:dyDescent="0.25">
      <c r="A562" s="8" t="s">
        <v>3434</v>
      </c>
      <c r="B562" s="8" t="s">
        <v>72</v>
      </c>
      <c r="C562" s="8">
        <v>30901740</v>
      </c>
      <c r="D562" s="8">
        <v>5</v>
      </c>
      <c r="E562" s="11">
        <v>43111</v>
      </c>
      <c r="F562" s="8" t="s">
        <v>58</v>
      </c>
      <c r="G562" s="11">
        <v>43111</v>
      </c>
      <c r="H562" s="8" t="s">
        <v>25</v>
      </c>
      <c r="I562" s="11">
        <v>43115</v>
      </c>
      <c r="J562" s="8" t="s">
        <v>25</v>
      </c>
      <c r="N562" s="8" t="s">
        <v>58</v>
      </c>
      <c r="O562" s="8" t="s">
        <v>59</v>
      </c>
      <c r="P562" s="8" t="s">
        <v>59</v>
      </c>
      <c r="R562" s="8">
        <v>0</v>
      </c>
      <c r="S562" s="8">
        <v>0</v>
      </c>
      <c r="T562" s="8">
        <v>1</v>
      </c>
      <c r="U562" s="8">
        <v>2</v>
      </c>
      <c r="X562" s="8">
        <v>5</v>
      </c>
      <c r="AG562" s="8" t="str">
        <f t="shared" si="33"/>
        <v/>
      </c>
      <c r="AI562" s="8" t="str">
        <f t="shared" si="34"/>
        <v/>
      </c>
      <c r="AJ562" s="8" t="str">
        <f t="shared" si="35"/>
        <v/>
      </c>
      <c r="AL562" s="8" t="str">
        <f t="shared" si="36"/>
        <v/>
      </c>
    </row>
    <row r="563" spans="1:38" x14ac:dyDescent="0.25">
      <c r="A563" s="8" t="s">
        <v>3435</v>
      </c>
      <c r="B563" s="8" t="s">
        <v>3436</v>
      </c>
      <c r="C563" s="8">
        <v>30870156</v>
      </c>
      <c r="D563" s="8">
        <v>5</v>
      </c>
      <c r="E563" s="11">
        <v>43110</v>
      </c>
      <c r="F563" s="8" t="s">
        <v>57</v>
      </c>
      <c r="G563" s="11">
        <v>43111</v>
      </c>
      <c r="H563" s="8" t="s">
        <v>25</v>
      </c>
      <c r="J563" s="8" t="s">
        <v>25</v>
      </c>
      <c r="N563" s="8" t="s">
        <v>58</v>
      </c>
      <c r="O563" s="8" t="s">
        <v>59</v>
      </c>
      <c r="P563" s="8" t="s">
        <v>59</v>
      </c>
      <c r="R563" s="8">
        <v>0</v>
      </c>
      <c r="S563" s="8">
        <v>0</v>
      </c>
      <c r="T563" s="8">
        <v>1</v>
      </c>
      <c r="U563" s="8">
        <v>2</v>
      </c>
      <c r="AG563" s="8" t="str">
        <f t="shared" si="33"/>
        <v/>
      </c>
      <c r="AI563" s="8" t="str">
        <f t="shared" si="34"/>
        <v/>
      </c>
      <c r="AJ563" s="8" t="str">
        <f t="shared" si="35"/>
        <v/>
      </c>
      <c r="AL563" s="8" t="str">
        <f t="shared" si="36"/>
        <v/>
      </c>
    </row>
    <row r="564" spans="1:38" x14ac:dyDescent="0.25">
      <c r="A564" s="8" t="s">
        <v>1836</v>
      </c>
      <c r="B564" s="8" t="s">
        <v>1837</v>
      </c>
      <c r="C564" s="8">
        <v>30864125</v>
      </c>
      <c r="D564" s="8">
        <v>5</v>
      </c>
      <c r="E564" s="11">
        <v>43110</v>
      </c>
      <c r="F564" s="8" t="s">
        <v>58</v>
      </c>
      <c r="G564" s="11">
        <v>43110</v>
      </c>
      <c r="H564" s="8" t="s">
        <v>25</v>
      </c>
      <c r="I564" s="11">
        <v>43115</v>
      </c>
      <c r="J564" s="8" t="s">
        <v>145</v>
      </c>
      <c r="N564" s="8" t="s">
        <v>58</v>
      </c>
      <c r="O564" s="8" t="s">
        <v>59</v>
      </c>
      <c r="P564" s="8" t="s">
        <v>59</v>
      </c>
      <c r="R564" s="8">
        <v>0</v>
      </c>
      <c r="S564" s="8">
        <v>0</v>
      </c>
      <c r="T564" s="8">
        <v>1</v>
      </c>
      <c r="U564" s="8">
        <v>2</v>
      </c>
      <c r="X564" s="8">
        <v>5</v>
      </c>
      <c r="AG564" s="8" t="str">
        <f t="shared" si="33"/>
        <v/>
      </c>
      <c r="AI564" s="8" t="str">
        <f t="shared" si="34"/>
        <v/>
      </c>
      <c r="AJ564" s="8" t="str">
        <f t="shared" si="35"/>
        <v/>
      </c>
      <c r="AL564" s="8" t="str">
        <f t="shared" si="36"/>
        <v/>
      </c>
    </row>
    <row r="565" spans="1:38" x14ac:dyDescent="0.25">
      <c r="A565" s="8" t="s">
        <v>3437</v>
      </c>
      <c r="B565" s="8" t="s">
        <v>3438</v>
      </c>
      <c r="C565" s="8">
        <v>30843299</v>
      </c>
      <c r="D565" s="8">
        <v>5</v>
      </c>
      <c r="E565" s="11">
        <v>43109</v>
      </c>
      <c r="F565" s="8" t="s">
        <v>58</v>
      </c>
      <c r="G565" s="11">
        <v>43111</v>
      </c>
      <c r="H565" s="8" t="s">
        <v>25</v>
      </c>
      <c r="I565" s="11">
        <v>43111</v>
      </c>
      <c r="J565" s="8" t="s">
        <v>25</v>
      </c>
      <c r="N565" s="8" t="s">
        <v>58</v>
      </c>
      <c r="O565" s="8" t="s">
        <v>59</v>
      </c>
      <c r="P565" s="8" t="s">
        <v>59</v>
      </c>
      <c r="R565" s="8">
        <v>0</v>
      </c>
      <c r="S565" s="8">
        <v>0</v>
      </c>
      <c r="T565" s="8">
        <v>1</v>
      </c>
      <c r="U565" s="8">
        <v>2</v>
      </c>
      <c r="X565" s="8">
        <v>5</v>
      </c>
      <c r="AG565" s="8" t="str">
        <f t="shared" si="33"/>
        <v/>
      </c>
      <c r="AI565" s="8" t="str">
        <f t="shared" si="34"/>
        <v/>
      </c>
      <c r="AJ565" s="8" t="str">
        <f t="shared" si="35"/>
        <v/>
      </c>
      <c r="AL565" s="8" t="str">
        <f t="shared" si="36"/>
        <v/>
      </c>
    </row>
    <row r="566" spans="1:38" x14ac:dyDescent="0.25">
      <c r="A566" s="8" t="s">
        <v>6813</v>
      </c>
      <c r="B566" s="8" t="s">
        <v>6814</v>
      </c>
      <c r="C566" s="8">
        <v>30865580</v>
      </c>
      <c r="D566" s="8">
        <v>5</v>
      </c>
      <c r="E566" s="11">
        <v>43110</v>
      </c>
      <c r="F566" s="8" t="s">
        <v>57</v>
      </c>
      <c r="G566" s="11">
        <v>43115</v>
      </c>
      <c r="H566" s="8" t="s">
        <v>145</v>
      </c>
      <c r="J566" s="8" t="s">
        <v>25</v>
      </c>
      <c r="N566" s="8" t="s">
        <v>58</v>
      </c>
      <c r="O566" s="8" t="s">
        <v>59</v>
      </c>
      <c r="P566" s="8" t="s">
        <v>59</v>
      </c>
      <c r="R566" s="8">
        <v>0</v>
      </c>
      <c r="S566" s="8">
        <v>0</v>
      </c>
      <c r="T566" s="8">
        <v>1</v>
      </c>
      <c r="U566" s="8">
        <v>2</v>
      </c>
      <c r="AG566" s="8" t="str">
        <f t="shared" si="33"/>
        <v/>
      </c>
      <c r="AI566" s="8" t="str">
        <f t="shared" si="34"/>
        <v/>
      </c>
      <c r="AJ566" s="8" t="str">
        <f t="shared" si="35"/>
        <v/>
      </c>
      <c r="AL566" s="8" t="str">
        <f t="shared" si="36"/>
        <v/>
      </c>
    </row>
    <row r="567" spans="1:38" x14ac:dyDescent="0.25">
      <c r="A567" s="8" t="s">
        <v>248</v>
      </c>
      <c r="B567" s="8" t="s">
        <v>249</v>
      </c>
      <c r="C567" s="8">
        <v>30828817</v>
      </c>
      <c r="D567" s="8">
        <v>5</v>
      </c>
      <c r="E567" s="11">
        <v>43108</v>
      </c>
      <c r="F567" s="8" t="s">
        <v>58</v>
      </c>
      <c r="G567" s="11">
        <v>43108</v>
      </c>
      <c r="H567" s="8" t="s">
        <v>25</v>
      </c>
      <c r="I567" s="11">
        <v>43108</v>
      </c>
      <c r="J567" s="8" t="s">
        <v>25</v>
      </c>
      <c r="N567" s="8" t="s">
        <v>58</v>
      </c>
      <c r="O567" s="8" t="s">
        <v>59</v>
      </c>
      <c r="P567" s="8" t="s">
        <v>59</v>
      </c>
      <c r="R567" s="8">
        <v>0</v>
      </c>
      <c r="S567" s="8">
        <v>0</v>
      </c>
      <c r="T567" s="8">
        <v>1</v>
      </c>
      <c r="U567" s="8">
        <v>2</v>
      </c>
      <c r="X567" s="8">
        <v>5</v>
      </c>
      <c r="AG567" s="8" t="str">
        <f t="shared" si="33"/>
        <v/>
      </c>
      <c r="AI567" s="8" t="str">
        <f t="shared" si="34"/>
        <v/>
      </c>
      <c r="AJ567" s="8" t="str">
        <f t="shared" si="35"/>
        <v/>
      </c>
      <c r="AL567" s="8" t="str">
        <f t="shared" si="36"/>
        <v/>
      </c>
    </row>
    <row r="568" spans="1:38" x14ac:dyDescent="0.25">
      <c r="A568" s="8" t="s">
        <v>1838</v>
      </c>
      <c r="B568" s="8" t="s">
        <v>1839</v>
      </c>
      <c r="C568" s="8">
        <v>30838949</v>
      </c>
      <c r="D568" s="8">
        <v>5</v>
      </c>
      <c r="E568" s="11">
        <v>43109</v>
      </c>
      <c r="F568" s="8" t="s">
        <v>58</v>
      </c>
      <c r="G568" s="11">
        <v>43110</v>
      </c>
      <c r="H568" s="8" t="s">
        <v>25</v>
      </c>
      <c r="I568" s="11">
        <v>43115</v>
      </c>
      <c r="J568" s="8" t="s">
        <v>145</v>
      </c>
      <c r="N568" s="8" t="s">
        <v>58</v>
      </c>
      <c r="O568" s="8" t="s">
        <v>59</v>
      </c>
      <c r="P568" s="8" t="s">
        <v>59</v>
      </c>
      <c r="R568" s="8">
        <v>0</v>
      </c>
      <c r="S568" s="8">
        <v>0</v>
      </c>
      <c r="T568" s="8">
        <v>1</v>
      </c>
      <c r="U568" s="8">
        <v>2</v>
      </c>
      <c r="X568" s="8">
        <v>5</v>
      </c>
      <c r="AG568" s="8" t="str">
        <f t="shared" si="33"/>
        <v/>
      </c>
      <c r="AI568" s="8" t="str">
        <f t="shared" si="34"/>
        <v/>
      </c>
      <c r="AJ568" s="8" t="str">
        <f t="shared" si="35"/>
        <v/>
      </c>
      <c r="AL568" s="8" t="str">
        <f t="shared" si="36"/>
        <v/>
      </c>
    </row>
    <row r="569" spans="1:38" x14ac:dyDescent="0.25">
      <c r="A569" s="8" t="s">
        <v>6815</v>
      </c>
      <c r="B569" s="8" t="s">
        <v>6816</v>
      </c>
      <c r="C569" s="8">
        <v>30933236</v>
      </c>
      <c r="D569" s="8">
        <v>5</v>
      </c>
      <c r="E569" s="11">
        <v>43115</v>
      </c>
      <c r="F569" s="8" t="s">
        <v>57</v>
      </c>
      <c r="G569" s="11">
        <v>43115</v>
      </c>
      <c r="H569" s="8" t="s">
        <v>25</v>
      </c>
      <c r="J569" s="8" t="s">
        <v>25</v>
      </c>
      <c r="N569" s="8" t="s">
        <v>58</v>
      </c>
      <c r="O569" s="8" t="s">
        <v>59</v>
      </c>
      <c r="P569" s="8" t="s">
        <v>59</v>
      </c>
      <c r="R569" s="8">
        <v>0</v>
      </c>
      <c r="S569" s="8">
        <v>0</v>
      </c>
      <c r="T569" s="8">
        <v>1</v>
      </c>
      <c r="U569" s="8">
        <v>2</v>
      </c>
      <c r="AG569" s="8" t="str">
        <f t="shared" si="33"/>
        <v/>
      </c>
      <c r="AI569" s="8" t="str">
        <f t="shared" si="34"/>
        <v/>
      </c>
      <c r="AJ569" s="8" t="str">
        <f t="shared" si="35"/>
        <v/>
      </c>
      <c r="AL569" s="8" t="str">
        <f t="shared" si="36"/>
        <v/>
      </c>
    </row>
    <row r="570" spans="1:38" x14ac:dyDescent="0.25">
      <c r="A570" s="8" t="s">
        <v>1840</v>
      </c>
      <c r="B570" s="8" t="s">
        <v>1841</v>
      </c>
      <c r="C570" s="8">
        <v>30839842</v>
      </c>
      <c r="D570" s="8">
        <v>5</v>
      </c>
      <c r="E570" s="11">
        <v>43109</v>
      </c>
      <c r="F570" s="8" t="s">
        <v>58</v>
      </c>
      <c r="G570" s="11">
        <v>43110</v>
      </c>
      <c r="H570" s="8" t="s">
        <v>25</v>
      </c>
      <c r="I570" s="11">
        <v>43115</v>
      </c>
      <c r="J570" s="8" t="s">
        <v>145</v>
      </c>
      <c r="N570" s="8" t="s">
        <v>58</v>
      </c>
      <c r="O570" s="8" t="s">
        <v>59</v>
      </c>
      <c r="P570" s="8" t="s">
        <v>59</v>
      </c>
      <c r="R570" s="8">
        <v>0</v>
      </c>
      <c r="S570" s="8">
        <v>0</v>
      </c>
      <c r="T570" s="8">
        <v>1</v>
      </c>
      <c r="U570" s="8">
        <v>2</v>
      </c>
      <c r="X570" s="8">
        <v>5</v>
      </c>
      <c r="AG570" s="8" t="str">
        <f t="shared" si="33"/>
        <v/>
      </c>
      <c r="AI570" s="8" t="str">
        <f t="shared" si="34"/>
        <v/>
      </c>
      <c r="AJ570" s="8" t="str">
        <f t="shared" si="35"/>
        <v/>
      </c>
      <c r="AL570" s="8" t="str">
        <f t="shared" si="36"/>
        <v/>
      </c>
    </row>
    <row r="571" spans="1:38" x14ac:dyDescent="0.25">
      <c r="A571" s="8" t="s">
        <v>6817</v>
      </c>
      <c r="B571" s="8" t="s">
        <v>6818</v>
      </c>
      <c r="C571" s="8">
        <v>30912361</v>
      </c>
      <c r="D571" s="8">
        <v>5</v>
      </c>
      <c r="E571" s="11">
        <v>43112</v>
      </c>
      <c r="F571" s="8" t="s">
        <v>57</v>
      </c>
      <c r="G571" s="11">
        <v>43115</v>
      </c>
      <c r="H571" s="8" t="s">
        <v>25</v>
      </c>
      <c r="J571" s="8" t="s">
        <v>25</v>
      </c>
      <c r="N571" s="8" t="s">
        <v>58</v>
      </c>
      <c r="O571" s="8" t="s">
        <v>59</v>
      </c>
      <c r="P571" s="8" t="s">
        <v>59</v>
      </c>
      <c r="R571" s="8">
        <v>0</v>
      </c>
      <c r="S571" s="8">
        <v>0</v>
      </c>
      <c r="T571" s="8">
        <v>1</v>
      </c>
      <c r="U571" s="8">
        <v>2</v>
      </c>
      <c r="AG571" s="8" t="str">
        <f t="shared" si="33"/>
        <v/>
      </c>
      <c r="AI571" s="8" t="str">
        <f t="shared" si="34"/>
        <v/>
      </c>
      <c r="AJ571" s="8" t="str">
        <f t="shared" si="35"/>
        <v/>
      </c>
      <c r="AL571" s="8" t="str">
        <f t="shared" si="36"/>
        <v/>
      </c>
    </row>
    <row r="572" spans="1:38" x14ac:dyDescent="0.25">
      <c r="A572" s="8" t="s">
        <v>4916</v>
      </c>
      <c r="B572" s="8" t="s">
        <v>4917</v>
      </c>
      <c r="C572" s="8">
        <v>30881625</v>
      </c>
      <c r="D572" s="8">
        <v>5</v>
      </c>
      <c r="E572" s="11">
        <v>43111</v>
      </c>
      <c r="F572" s="8" t="s">
        <v>57</v>
      </c>
      <c r="G572" s="11">
        <v>43112</v>
      </c>
      <c r="H572" s="8" t="s">
        <v>25</v>
      </c>
      <c r="J572" s="8" t="s">
        <v>25</v>
      </c>
      <c r="N572" s="8" t="s">
        <v>58</v>
      </c>
      <c r="O572" s="8" t="s">
        <v>59</v>
      </c>
      <c r="P572" s="8" t="s">
        <v>59</v>
      </c>
      <c r="R572" s="8">
        <v>0</v>
      </c>
      <c r="S572" s="8">
        <v>0</v>
      </c>
      <c r="T572" s="8">
        <v>1</v>
      </c>
      <c r="U572" s="8">
        <v>2</v>
      </c>
      <c r="AG572" s="8" t="str">
        <f t="shared" si="33"/>
        <v/>
      </c>
      <c r="AI572" s="8" t="str">
        <f t="shared" si="34"/>
        <v/>
      </c>
      <c r="AJ572" s="8" t="str">
        <f t="shared" si="35"/>
        <v/>
      </c>
      <c r="AL572" s="8" t="str">
        <f t="shared" si="36"/>
        <v/>
      </c>
    </row>
    <row r="573" spans="1:38" x14ac:dyDescent="0.25">
      <c r="A573" s="8" t="s">
        <v>6819</v>
      </c>
      <c r="B573" s="8" t="s">
        <v>6820</v>
      </c>
      <c r="C573" s="8">
        <v>30840763</v>
      </c>
      <c r="D573" s="8">
        <v>5</v>
      </c>
      <c r="E573" s="11">
        <v>43109</v>
      </c>
      <c r="F573" s="8" t="s">
        <v>57</v>
      </c>
      <c r="G573" s="11">
        <v>43115</v>
      </c>
      <c r="H573" s="8" t="s">
        <v>145</v>
      </c>
      <c r="J573" s="8" t="s">
        <v>25</v>
      </c>
      <c r="N573" s="8" t="s">
        <v>58</v>
      </c>
      <c r="O573" s="8" t="s">
        <v>59</v>
      </c>
      <c r="P573" s="8" t="s">
        <v>59</v>
      </c>
      <c r="R573" s="8">
        <v>0</v>
      </c>
      <c r="S573" s="8">
        <v>0</v>
      </c>
      <c r="T573" s="8">
        <v>1</v>
      </c>
      <c r="U573" s="8">
        <v>2</v>
      </c>
      <c r="AG573" s="8" t="str">
        <f t="shared" si="33"/>
        <v/>
      </c>
      <c r="AI573" s="8" t="str">
        <f t="shared" si="34"/>
        <v/>
      </c>
      <c r="AJ573" s="8" t="str">
        <f t="shared" si="35"/>
        <v/>
      </c>
      <c r="AL573" s="8" t="str">
        <f t="shared" si="36"/>
        <v/>
      </c>
    </row>
    <row r="574" spans="1:38" x14ac:dyDescent="0.25">
      <c r="A574" s="8" t="s">
        <v>1842</v>
      </c>
      <c r="B574" s="8" t="s">
        <v>1843</v>
      </c>
      <c r="C574" s="8">
        <v>30869808</v>
      </c>
      <c r="D574" s="8">
        <v>5</v>
      </c>
      <c r="E574" s="11">
        <v>43110</v>
      </c>
      <c r="F574" s="8" t="s">
        <v>58</v>
      </c>
      <c r="G574" s="11">
        <v>43110</v>
      </c>
      <c r="H574" s="8" t="s">
        <v>25</v>
      </c>
      <c r="I574" s="11">
        <v>43110</v>
      </c>
      <c r="J574" s="8" t="s">
        <v>25</v>
      </c>
      <c r="N574" s="8" t="s">
        <v>58</v>
      </c>
      <c r="O574" s="8" t="s">
        <v>59</v>
      </c>
      <c r="P574" s="8" t="s">
        <v>59</v>
      </c>
      <c r="R574" s="8">
        <v>0</v>
      </c>
      <c r="S574" s="8">
        <v>0</v>
      </c>
      <c r="T574" s="8">
        <v>1</v>
      </c>
      <c r="U574" s="8">
        <v>2</v>
      </c>
      <c r="X574" s="8">
        <v>5</v>
      </c>
      <c r="AG574" s="8" t="str">
        <f t="shared" si="33"/>
        <v/>
      </c>
      <c r="AI574" s="8" t="str">
        <f t="shared" si="34"/>
        <v/>
      </c>
      <c r="AJ574" s="8" t="str">
        <f t="shared" si="35"/>
        <v/>
      </c>
      <c r="AL574" s="8" t="str">
        <f t="shared" si="36"/>
        <v/>
      </c>
    </row>
    <row r="575" spans="1:38" x14ac:dyDescent="0.25">
      <c r="A575" s="8" t="s">
        <v>4918</v>
      </c>
      <c r="B575" s="8" t="s">
        <v>4919</v>
      </c>
      <c r="C575" s="8">
        <v>30925951</v>
      </c>
      <c r="D575" s="8">
        <v>5</v>
      </c>
      <c r="E575" s="11">
        <v>43113</v>
      </c>
      <c r="F575" s="8" t="s">
        <v>57</v>
      </c>
      <c r="G575" s="11">
        <v>43113</v>
      </c>
      <c r="H575" s="8" t="s">
        <v>25</v>
      </c>
      <c r="J575" s="8" t="s">
        <v>25</v>
      </c>
      <c r="N575" s="8" t="s">
        <v>58</v>
      </c>
      <c r="O575" s="8" t="s">
        <v>59</v>
      </c>
      <c r="P575" s="8" t="s">
        <v>59</v>
      </c>
      <c r="R575" s="8">
        <v>0</v>
      </c>
      <c r="S575" s="8">
        <v>0</v>
      </c>
      <c r="T575" s="8">
        <v>1</v>
      </c>
      <c r="U575" s="8">
        <v>2</v>
      </c>
      <c r="AG575" s="8" t="str">
        <f t="shared" si="33"/>
        <v/>
      </c>
      <c r="AI575" s="8" t="str">
        <f t="shared" si="34"/>
        <v/>
      </c>
      <c r="AJ575" s="8" t="str">
        <f t="shared" si="35"/>
        <v/>
      </c>
      <c r="AL575" s="8" t="str">
        <f t="shared" si="36"/>
        <v/>
      </c>
    </row>
    <row r="576" spans="1:38" x14ac:dyDescent="0.25">
      <c r="A576" s="8" t="s">
        <v>6821</v>
      </c>
      <c r="B576" s="8" t="s">
        <v>6822</v>
      </c>
      <c r="C576" s="8">
        <v>30936731</v>
      </c>
      <c r="D576" s="8">
        <v>4</v>
      </c>
      <c r="E576" s="11">
        <v>43115</v>
      </c>
      <c r="F576" s="8" t="s">
        <v>57</v>
      </c>
      <c r="G576" s="11">
        <v>43115</v>
      </c>
      <c r="H576" s="8" t="s">
        <v>25</v>
      </c>
      <c r="J576" s="8" t="s">
        <v>25</v>
      </c>
      <c r="N576" s="8" t="s">
        <v>58</v>
      </c>
      <c r="O576" s="8" t="s">
        <v>59</v>
      </c>
      <c r="P576" s="8" t="s">
        <v>59</v>
      </c>
      <c r="R576" s="8">
        <v>0</v>
      </c>
      <c r="S576" s="8">
        <v>0</v>
      </c>
      <c r="T576" s="8">
        <v>1</v>
      </c>
      <c r="U576" s="8">
        <v>2</v>
      </c>
      <c r="AG576" s="8" t="str">
        <f t="shared" si="33"/>
        <v/>
      </c>
      <c r="AI576" s="8" t="str">
        <f t="shared" si="34"/>
        <v/>
      </c>
      <c r="AJ576" s="8" t="str">
        <f t="shared" si="35"/>
        <v/>
      </c>
      <c r="AL576" s="8" t="str">
        <f t="shared" si="36"/>
        <v/>
      </c>
    </row>
    <row r="577" spans="1:38" x14ac:dyDescent="0.25">
      <c r="A577" s="8" t="s">
        <v>909</v>
      </c>
      <c r="B577" s="8" t="s">
        <v>910</v>
      </c>
      <c r="C577" s="8">
        <v>30845353</v>
      </c>
      <c r="D577" s="8">
        <v>5</v>
      </c>
      <c r="E577" s="11">
        <v>43109</v>
      </c>
      <c r="F577" s="8" t="s">
        <v>58</v>
      </c>
      <c r="G577" s="11">
        <v>43109</v>
      </c>
      <c r="H577" s="8" t="s">
        <v>25</v>
      </c>
      <c r="I577" s="11">
        <v>43110</v>
      </c>
      <c r="J577" s="8" t="s">
        <v>25</v>
      </c>
      <c r="N577" s="8" t="s">
        <v>58</v>
      </c>
      <c r="O577" s="8" t="s">
        <v>59</v>
      </c>
      <c r="P577" s="8" t="s">
        <v>59</v>
      </c>
      <c r="R577" s="8">
        <v>0</v>
      </c>
      <c r="S577" s="8">
        <v>0</v>
      </c>
      <c r="T577" s="8">
        <v>1</v>
      </c>
      <c r="U577" s="8">
        <v>2</v>
      </c>
      <c r="X577" s="8">
        <v>5</v>
      </c>
      <c r="AG577" s="8" t="str">
        <f t="shared" si="33"/>
        <v/>
      </c>
      <c r="AI577" s="8" t="str">
        <f t="shared" si="34"/>
        <v/>
      </c>
      <c r="AJ577" s="8" t="str">
        <f t="shared" si="35"/>
        <v/>
      </c>
      <c r="AL577" s="8" t="str">
        <f t="shared" si="36"/>
        <v/>
      </c>
    </row>
    <row r="578" spans="1:38" x14ac:dyDescent="0.25">
      <c r="A578" s="8" t="s">
        <v>3439</v>
      </c>
      <c r="B578" s="8" t="s">
        <v>3440</v>
      </c>
      <c r="C578" s="8">
        <v>30878201</v>
      </c>
      <c r="D578" s="8">
        <v>5</v>
      </c>
      <c r="E578" s="11">
        <v>43110</v>
      </c>
      <c r="F578" s="8" t="s">
        <v>57</v>
      </c>
      <c r="G578" s="11">
        <v>43111</v>
      </c>
      <c r="H578" s="8" t="s">
        <v>25</v>
      </c>
      <c r="J578" s="8" t="s">
        <v>25</v>
      </c>
      <c r="N578" s="8" t="s">
        <v>58</v>
      </c>
      <c r="O578" s="8" t="s">
        <v>59</v>
      </c>
      <c r="P578" s="8" t="s">
        <v>59</v>
      </c>
      <c r="R578" s="8">
        <v>0</v>
      </c>
      <c r="S578" s="8">
        <v>0</v>
      </c>
      <c r="T578" s="8">
        <v>1</v>
      </c>
      <c r="U578" s="8">
        <v>2</v>
      </c>
      <c r="AG578" s="8" t="str">
        <f t="shared" si="33"/>
        <v/>
      </c>
      <c r="AI578" s="8" t="str">
        <f t="shared" si="34"/>
        <v/>
      </c>
      <c r="AJ578" s="8" t="str">
        <f t="shared" si="35"/>
        <v/>
      </c>
      <c r="AL578" s="8" t="str">
        <f t="shared" si="36"/>
        <v/>
      </c>
    </row>
    <row r="579" spans="1:38" x14ac:dyDescent="0.25">
      <c r="A579" s="8" t="s">
        <v>911</v>
      </c>
      <c r="B579" s="8" t="s">
        <v>912</v>
      </c>
      <c r="C579" s="8">
        <v>30844088</v>
      </c>
      <c r="D579" s="8">
        <v>5</v>
      </c>
      <c r="E579" s="11">
        <v>43109</v>
      </c>
      <c r="F579" s="8" t="s">
        <v>58</v>
      </c>
      <c r="G579" s="11">
        <v>43109</v>
      </c>
      <c r="H579" s="8" t="s">
        <v>25</v>
      </c>
      <c r="I579" s="11">
        <v>43110</v>
      </c>
      <c r="J579" s="8" t="s">
        <v>25</v>
      </c>
      <c r="N579" s="8" t="s">
        <v>58</v>
      </c>
      <c r="O579" s="8" t="s">
        <v>59</v>
      </c>
      <c r="P579" s="8" t="s">
        <v>59</v>
      </c>
      <c r="R579" s="8">
        <v>0</v>
      </c>
      <c r="S579" s="8">
        <v>0</v>
      </c>
      <c r="T579" s="8">
        <v>1</v>
      </c>
      <c r="U579" s="8">
        <v>2</v>
      </c>
      <c r="X579" s="8">
        <v>5</v>
      </c>
      <c r="AG579" s="8" t="str">
        <f t="shared" ref="AG579:AG642" si="37">IF(AND(U579="",G579&lt;&gt;"",NOT(OR(R579,S579))),IF(NETWORKDAYS.INTL(G579,TODAY(),11)&lt;5,"En Plazo",IF(NETWORKDAYS.INTL(G579,TODAY(),11)=5,"Riesgo Incumplimiento","FALTA_02")),"")</f>
        <v/>
      </c>
      <c r="AI579" s="8" t="str">
        <f t="shared" ref="AI579:AI642" si="38">IF(AND(O579&lt;&gt;"B1",F579="Rejected"),IF(W579="","FALTA_04",""),"")</f>
        <v/>
      </c>
      <c r="AJ579" s="8" t="str">
        <f t="shared" ref="AJ579:AJ642" si="39">IF(AND(X579="",I579&lt;&gt;"",NOT(OR(R579,S579))),IF(NETWORKDAYS.INTL(G579,TODAY(),11)&lt;=1,"En Plazo",IF(OR(AND(X579="",O579&lt;&gt;"M1"),AND(O579="M1",(OR(Q579="S - S",Q579="S - T",)))),"FALTA_05","")),"")</f>
        <v/>
      </c>
      <c r="AL579" s="8" t="str">
        <f t="shared" ref="AL579:AL642" si="40">IF(AND(O579="B1",F579="Rejected"),IF(Z579="","FALTA_07",""),"")</f>
        <v/>
      </c>
    </row>
    <row r="580" spans="1:38" x14ac:dyDescent="0.25">
      <c r="A580" s="8" t="s">
        <v>913</v>
      </c>
      <c r="B580" s="8" t="s">
        <v>914</v>
      </c>
      <c r="C580" s="8">
        <v>30837937</v>
      </c>
      <c r="D580" s="8">
        <v>5</v>
      </c>
      <c r="E580" s="11">
        <v>43109</v>
      </c>
      <c r="F580" s="8" t="s">
        <v>58</v>
      </c>
      <c r="G580" s="11">
        <v>43109</v>
      </c>
      <c r="H580" s="8" t="s">
        <v>25</v>
      </c>
      <c r="I580" s="11">
        <v>43109</v>
      </c>
      <c r="J580" s="8" t="s">
        <v>25</v>
      </c>
      <c r="N580" s="8" t="s">
        <v>58</v>
      </c>
      <c r="O580" s="8" t="s">
        <v>59</v>
      </c>
      <c r="P580" s="8" t="s">
        <v>59</v>
      </c>
      <c r="R580" s="8">
        <v>0</v>
      </c>
      <c r="S580" s="8">
        <v>0</v>
      </c>
      <c r="T580" s="8">
        <v>1</v>
      </c>
      <c r="U580" s="8">
        <v>2</v>
      </c>
      <c r="X580" s="8">
        <v>5</v>
      </c>
      <c r="AG580" s="8" t="str">
        <f t="shared" si="37"/>
        <v/>
      </c>
      <c r="AI580" s="8" t="str">
        <f t="shared" si="38"/>
        <v/>
      </c>
      <c r="AJ580" s="8" t="str">
        <f t="shared" si="39"/>
        <v/>
      </c>
      <c r="AL580" s="8" t="str">
        <f t="shared" si="40"/>
        <v/>
      </c>
    </row>
    <row r="581" spans="1:38" x14ac:dyDescent="0.25">
      <c r="A581" s="8" t="s">
        <v>4920</v>
      </c>
      <c r="B581" s="8" t="s">
        <v>4921</v>
      </c>
      <c r="C581" s="8">
        <v>30883509</v>
      </c>
      <c r="D581" s="8">
        <v>5</v>
      </c>
      <c r="E581" s="11">
        <v>43111</v>
      </c>
      <c r="F581" s="8" t="s">
        <v>58</v>
      </c>
      <c r="G581" s="11">
        <v>43112</v>
      </c>
      <c r="H581" s="8" t="s">
        <v>25</v>
      </c>
      <c r="I581" s="11">
        <v>43112</v>
      </c>
      <c r="J581" s="8" t="s">
        <v>25</v>
      </c>
      <c r="N581" s="8" t="s">
        <v>58</v>
      </c>
      <c r="O581" s="8" t="s">
        <v>59</v>
      </c>
      <c r="P581" s="8" t="s">
        <v>59</v>
      </c>
      <c r="R581" s="8">
        <v>0</v>
      </c>
      <c r="S581" s="8">
        <v>0</v>
      </c>
      <c r="T581" s="8">
        <v>1</v>
      </c>
      <c r="U581" s="8">
        <v>2</v>
      </c>
      <c r="X581" s="8">
        <v>5</v>
      </c>
      <c r="AG581" s="8" t="str">
        <f t="shared" si="37"/>
        <v/>
      </c>
      <c r="AI581" s="8" t="str">
        <f t="shared" si="38"/>
        <v/>
      </c>
      <c r="AJ581" s="8" t="str">
        <f t="shared" si="39"/>
        <v/>
      </c>
      <c r="AL581" s="8" t="str">
        <f t="shared" si="40"/>
        <v/>
      </c>
    </row>
    <row r="582" spans="1:38" x14ac:dyDescent="0.25">
      <c r="A582" s="8" t="s">
        <v>6823</v>
      </c>
      <c r="B582" s="8" t="s">
        <v>6824</v>
      </c>
      <c r="C582" s="8">
        <v>30933828</v>
      </c>
      <c r="D582" s="8">
        <v>5</v>
      </c>
      <c r="E582" s="11">
        <v>43115</v>
      </c>
      <c r="F582" s="8" t="s">
        <v>57</v>
      </c>
      <c r="G582" s="11">
        <v>43115</v>
      </c>
      <c r="H582" s="8" t="s">
        <v>25</v>
      </c>
      <c r="J582" s="8" t="s">
        <v>25</v>
      </c>
      <c r="N582" s="8" t="s">
        <v>58</v>
      </c>
      <c r="O582" s="8" t="s">
        <v>59</v>
      </c>
      <c r="P582" s="8" t="s">
        <v>59</v>
      </c>
      <c r="R582" s="8">
        <v>0</v>
      </c>
      <c r="S582" s="8">
        <v>0</v>
      </c>
      <c r="T582" s="8">
        <v>1</v>
      </c>
      <c r="U582" s="8">
        <v>2</v>
      </c>
      <c r="AG582" s="8" t="str">
        <f t="shared" si="37"/>
        <v/>
      </c>
      <c r="AI582" s="8" t="str">
        <f t="shared" si="38"/>
        <v/>
      </c>
      <c r="AJ582" s="8" t="str">
        <f t="shared" si="39"/>
        <v/>
      </c>
      <c r="AL582" s="8" t="str">
        <f t="shared" si="40"/>
        <v/>
      </c>
    </row>
    <row r="583" spans="1:38" x14ac:dyDescent="0.25">
      <c r="A583" s="8" t="s">
        <v>1844</v>
      </c>
      <c r="B583" s="8" t="s">
        <v>1845</v>
      </c>
      <c r="C583" s="8">
        <v>30861302</v>
      </c>
      <c r="D583" s="8">
        <v>5</v>
      </c>
      <c r="E583" s="11">
        <v>43110</v>
      </c>
      <c r="F583" s="8" t="s">
        <v>58</v>
      </c>
      <c r="G583" s="11">
        <v>43110</v>
      </c>
      <c r="H583" s="8" t="s">
        <v>25</v>
      </c>
      <c r="I583" s="11">
        <v>43110</v>
      </c>
      <c r="J583" s="8" t="s">
        <v>25</v>
      </c>
      <c r="N583" s="8" t="s">
        <v>58</v>
      </c>
      <c r="O583" s="8" t="s">
        <v>59</v>
      </c>
      <c r="P583" s="8" t="s">
        <v>59</v>
      </c>
      <c r="R583" s="8">
        <v>0</v>
      </c>
      <c r="S583" s="8">
        <v>0</v>
      </c>
      <c r="T583" s="8">
        <v>1</v>
      </c>
      <c r="U583" s="8">
        <v>2</v>
      </c>
      <c r="X583" s="8">
        <v>5</v>
      </c>
      <c r="AG583" s="8" t="str">
        <f t="shared" si="37"/>
        <v/>
      </c>
      <c r="AI583" s="8" t="str">
        <f t="shared" si="38"/>
        <v/>
      </c>
      <c r="AJ583" s="8" t="str">
        <f t="shared" si="39"/>
        <v/>
      </c>
      <c r="AL583" s="8" t="str">
        <f t="shared" si="40"/>
        <v/>
      </c>
    </row>
    <row r="584" spans="1:38" x14ac:dyDescent="0.25">
      <c r="A584" s="8" t="s">
        <v>4922</v>
      </c>
      <c r="B584" s="8" t="s">
        <v>4923</v>
      </c>
      <c r="C584" s="8">
        <v>30888929</v>
      </c>
      <c r="D584" s="8">
        <v>5</v>
      </c>
      <c r="E584" s="11">
        <v>43111</v>
      </c>
      <c r="F584" s="8" t="s">
        <v>57</v>
      </c>
      <c r="G584" s="11">
        <v>43112</v>
      </c>
      <c r="H584" s="8" t="s">
        <v>25</v>
      </c>
      <c r="J584" s="8" t="s">
        <v>25</v>
      </c>
      <c r="N584" s="8" t="s">
        <v>58</v>
      </c>
      <c r="O584" s="8" t="s">
        <v>59</v>
      </c>
      <c r="P584" s="8" t="s">
        <v>59</v>
      </c>
      <c r="R584" s="8">
        <v>0</v>
      </c>
      <c r="S584" s="8">
        <v>0</v>
      </c>
      <c r="T584" s="8">
        <v>1</v>
      </c>
      <c r="U584" s="8">
        <v>2</v>
      </c>
      <c r="AG584" s="8" t="str">
        <f t="shared" si="37"/>
        <v/>
      </c>
      <c r="AI584" s="8" t="str">
        <f t="shared" si="38"/>
        <v/>
      </c>
      <c r="AJ584" s="8" t="str">
        <f t="shared" si="39"/>
        <v/>
      </c>
      <c r="AL584" s="8" t="str">
        <f t="shared" si="40"/>
        <v/>
      </c>
    </row>
    <row r="585" spans="1:38" x14ac:dyDescent="0.25">
      <c r="A585" s="8" t="s">
        <v>1846</v>
      </c>
      <c r="B585" s="8" t="s">
        <v>1847</v>
      </c>
      <c r="C585" s="8">
        <v>30870739</v>
      </c>
      <c r="D585" s="8">
        <v>5</v>
      </c>
      <c r="E585" s="11">
        <v>43110</v>
      </c>
      <c r="F585" s="8" t="s">
        <v>58</v>
      </c>
      <c r="G585" s="11">
        <v>43110</v>
      </c>
      <c r="H585" s="8" t="s">
        <v>25</v>
      </c>
      <c r="I585" s="11">
        <v>43112</v>
      </c>
      <c r="J585" s="8" t="s">
        <v>25</v>
      </c>
      <c r="N585" s="8" t="s">
        <v>58</v>
      </c>
      <c r="O585" s="8" t="s">
        <v>59</v>
      </c>
      <c r="P585" s="8" t="s">
        <v>59</v>
      </c>
      <c r="R585" s="8">
        <v>0</v>
      </c>
      <c r="S585" s="8">
        <v>0</v>
      </c>
      <c r="T585" s="8">
        <v>1</v>
      </c>
      <c r="U585" s="8">
        <v>2</v>
      </c>
      <c r="X585" s="8">
        <v>5</v>
      </c>
      <c r="AG585" s="8" t="str">
        <f t="shared" si="37"/>
        <v/>
      </c>
      <c r="AI585" s="8" t="str">
        <f t="shared" si="38"/>
        <v/>
      </c>
      <c r="AJ585" s="8" t="str">
        <f t="shared" si="39"/>
        <v/>
      </c>
      <c r="AL585" s="8" t="str">
        <f t="shared" si="40"/>
        <v/>
      </c>
    </row>
    <row r="586" spans="1:38" x14ac:dyDescent="0.25">
      <c r="A586" s="8" t="s">
        <v>6825</v>
      </c>
      <c r="B586" s="8" t="s">
        <v>6826</v>
      </c>
      <c r="C586" s="8">
        <v>30858357</v>
      </c>
      <c r="D586" s="8">
        <v>5</v>
      </c>
      <c r="E586" s="11">
        <v>43110</v>
      </c>
      <c r="F586" s="8" t="s">
        <v>57</v>
      </c>
      <c r="G586" s="11">
        <v>43115</v>
      </c>
      <c r="H586" s="8" t="s">
        <v>145</v>
      </c>
      <c r="J586" s="8" t="s">
        <v>25</v>
      </c>
      <c r="N586" s="8" t="s">
        <v>58</v>
      </c>
      <c r="O586" s="8" t="s">
        <v>59</v>
      </c>
      <c r="P586" s="8" t="s">
        <v>59</v>
      </c>
      <c r="R586" s="8">
        <v>0</v>
      </c>
      <c r="S586" s="8">
        <v>0</v>
      </c>
      <c r="T586" s="8">
        <v>1</v>
      </c>
      <c r="U586" s="8">
        <v>2</v>
      </c>
      <c r="AG586" s="8" t="str">
        <f t="shared" si="37"/>
        <v/>
      </c>
      <c r="AI586" s="8" t="str">
        <f t="shared" si="38"/>
        <v/>
      </c>
      <c r="AJ586" s="8" t="str">
        <f t="shared" si="39"/>
        <v/>
      </c>
      <c r="AL586" s="8" t="str">
        <f t="shared" si="40"/>
        <v/>
      </c>
    </row>
    <row r="587" spans="1:38" x14ac:dyDescent="0.25">
      <c r="A587" s="8" t="s">
        <v>4924</v>
      </c>
      <c r="B587" s="8" t="s">
        <v>4925</v>
      </c>
      <c r="C587" s="8">
        <v>30811340</v>
      </c>
      <c r="D587" s="8">
        <v>5</v>
      </c>
      <c r="E587" s="11">
        <v>43108</v>
      </c>
      <c r="F587" s="8" t="s">
        <v>57</v>
      </c>
      <c r="G587" s="11">
        <v>43112</v>
      </c>
      <c r="H587" s="8" t="s">
        <v>145</v>
      </c>
      <c r="J587" s="8" t="s">
        <v>25</v>
      </c>
      <c r="N587" s="8" t="s">
        <v>58</v>
      </c>
      <c r="O587" s="8" t="s">
        <v>59</v>
      </c>
      <c r="P587" s="8" t="s">
        <v>59</v>
      </c>
      <c r="R587" s="8">
        <v>0</v>
      </c>
      <c r="S587" s="8">
        <v>0</v>
      </c>
      <c r="T587" s="8">
        <v>1</v>
      </c>
      <c r="U587" s="8">
        <v>2</v>
      </c>
      <c r="AG587" s="8" t="str">
        <f t="shared" si="37"/>
        <v/>
      </c>
      <c r="AI587" s="8" t="str">
        <f t="shared" si="38"/>
        <v/>
      </c>
      <c r="AJ587" s="8" t="str">
        <f t="shared" si="39"/>
        <v/>
      </c>
      <c r="AL587" s="8" t="str">
        <f t="shared" si="40"/>
        <v/>
      </c>
    </row>
    <row r="588" spans="1:38" x14ac:dyDescent="0.25">
      <c r="A588" s="8" t="s">
        <v>915</v>
      </c>
      <c r="B588" s="8" t="s">
        <v>916</v>
      </c>
      <c r="C588" s="8">
        <v>30813652</v>
      </c>
      <c r="D588" s="8">
        <v>5</v>
      </c>
      <c r="E588" s="11">
        <v>43108</v>
      </c>
      <c r="F588" s="8" t="s">
        <v>58</v>
      </c>
      <c r="G588" s="11">
        <v>43109</v>
      </c>
      <c r="H588" s="8" t="s">
        <v>25</v>
      </c>
      <c r="I588" s="11">
        <v>43109</v>
      </c>
      <c r="J588" s="8" t="s">
        <v>25</v>
      </c>
      <c r="N588" s="8" t="s">
        <v>58</v>
      </c>
      <c r="O588" s="8" t="s">
        <v>59</v>
      </c>
      <c r="P588" s="8" t="s">
        <v>59</v>
      </c>
      <c r="R588" s="8">
        <v>0</v>
      </c>
      <c r="S588" s="8">
        <v>0</v>
      </c>
      <c r="T588" s="8">
        <v>1</v>
      </c>
      <c r="U588" s="8">
        <v>2</v>
      </c>
      <c r="X588" s="8">
        <v>5</v>
      </c>
      <c r="AG588" s="8" t="str">
        <f t="shared" si="37"/>
        <v/>
      </c>
      <c r="AI588" s="8" t="str">
        <f t="shared" si="38"/>
        <v/>
      </c>
      <c r="AJ588" s="8" t="str">
        <f t="shared" si="39"/>
        <v/>
      </c>
      <c r="AL588" s="8" t="str">
        <f t="shared" si="40"/>
        <v/>
      </c>
    </row>
    <row r="589" spans="1:38" x14ac:dyDescent="0.25">
      <c r="A589" s="8" t="s">
        <v>6827</v>
      </c>
      <c r="B589" s="8" t="s">
        <v>6828</v>
      </c>
      <c r="C589" s="8">
        <v>30932299</v>
      </c>
      <c r="D589" s="8">
        <v>4</v>
      </c>
      <c r="E589" s="11">
        <v>43115</v>
      </c>
      <c r="F589" s="8" t="s">
        <v>57</v>
      </c>
      <c r="G589" s="11">
        <v>43115</v>
      </c>
      <c r="H589" s="8" t="s">
        <v>25</v>
      </c>
      <c r="J589" s="8" t="s">
        <v>25</v>
      </c>
      <c r="N589" s="8" t="s">
        <v>58</v>
      </c>
      <c r="O589" s="8" t="s">
        <v>59</v>
      </c>
      <c r="P589" s="8" t="s">
        <v>59</v>
      </c>
      <c r="R589" s="8">
        <v>0</v>
      </c>
      <c r="S589" s="8">
        <v>0</v>
      </c>
      <c r="T589" s="8">
        <v>1</v>
      </c>
      <c r="U589" s="8">
        <v>2</v>
      </c>
      <c r="AG589" s="8" t="str">
        <f t="shared" si="37"/>
        <v/>
      </c>
      <c r="AI589" s="8" t="str">
        <f t="shared" si="38"/>
        <v/>
      </c>
      <c r="AJ589" s="8" t="str">
        <f t="shared" si="39"/>
        <v/>
      </c>
      <c r="AL589" s="8" t="str">
        <f t="shared" si="40"/>
        <v/>
      </c>
    </row>
    <row r="590" spans="1:38" x14ac:dyDescent="0.25">
      <c r="A590" s="8" t="s">
        <v>3441</v>
      </c>
      <c r="B590" s="8" t="s">
        <v>3442</v>
      </c>
      <c r="C590" s="8">
        <v>30867129</v>
      </c>
      <c r="D590" s="8">
        <v>5</v>
      </c>
      <c r="E590" s="11">
        <v>43110</v>
      </c>
      <c r="F590" s="8" t="s">
        <v>57</v>
      </c>
      <c r="G590" s="11">
        <v>43111</v>
      </c>
      <c r="H590" s="8" t="s">
        <v>25</v>
      </c>
      <c r="J590" s="8" t="s">
        <v>25</v>
      </c>
      <c r="N590" s="8" t="s">
        <v>58</v>
      </c>
      <c r="O590" s="8" t="s">
        <v>59</v>
      </c>
      <c r="P590" s="8" t="s">
        <v>59</v>
      </c>
      <c r="R590" s="8">
        <v>0</v>
      </c>
      <c r="S590" s="8">
        <v>0</v>
      </c>
      <c r="T590" s="8">
        <v>1</v>
      </c>
      <c r="U590" s="8">
        <v>2</v>
      </c>
      <c r="AG590" s="8" t="str">
        <f t="shared" si="37"/>
        <v/>
      </c>
      <c r="AI590" s="8" t="str">
        <f t="shared" si="38"/>
        <v/>
      </c>
      <c r="AJ590" s="8" t="str">
        <f t="shared" si="39"/>
        <v/>
      </c>
      <c r="AL590" s="8" t="str">
        <f t="shared" si="40"/>
        <v/>
      </c>
    </row>
    <row r="591" spans="1:38" x14ac:dyDescent="0.25">
      <c r="A591" s="8" t="s">
        <v>3443</v>
      </c>
      <c r="B591" s="8" t="s">
        <v>3444</v>
      </c>
      <c r="C591" s="8">
        <v>30888495</v>
      </c>
      <c r="D591" s="8">
        <v>5</v>
      </c>
      <c r="E591" s="11">
        <v>43111</v>
      </c>
      <c r="F591" s="8" t="s">
        <v>58</v>
      </c>
      <c r="G591" s="11">
        <v>43111</v>
      </c>
      <c r="H591" s="8" t="s">
        <v>25</v>
      </c>
      <c r="I591" s="11">
        <v>43111</v>
      </c>
      <c r="J591" s="8" t="s">
        <v>25</v>
      </c>
      <c r="N591" s="8" t="s">
        <v>58</v>
      </c>
      <c r="O591" s="8" t="s">
        <v>59</v>
      </c>
      <c r="P591" s="8" t="s">
        <v>59</v>
      </c>
      <c r="R591" s="8">
        <v>0</v>
      </c>
      <c r="S591" s="8">
        <v>0</v>
      </c>
      <c r="T591" s="8">
        <v>1</v>
      </c>
      <c r="U591" s="8">
        <v>2</v>
      </c>
      <c r="X591" s="8">
        <v>5</v>
      </c>
      <c r="AG591" s="8" t="str">
        <f t="shared" si="37"/>
        <v/>
      </c>
      <c r="AI591" s="8" t="str">
        <f t="shared" si="38"/>
        <v/>
      </c>
      <c r="AJ591" s="8" t="str">
        <f t="shared" si="39"/>
        <v/>
      </c>
      <c r="AL591" s="8" t="str">
        <f t="shared" si="40"/>
        <v/>
      </c>
    </row>
    <row r="592" spans="1:38" x14ac:dyDescent="0.25">
      <c r="A592" s="8" t="s">
        <v>6829</v>
      </c>
      <c r="B592" s="8" t="s">
        <v>6830</v>
      </c>
      <c r="C592" s="8">
        <v>30931503</v>
      </c>
      <c r="D592" s="8">
        <v>5</v>
      </c>
      <c r="E592" s="11">
        <v>43115</v>
      </c>
      <c r="F592" s="8" t="s">
        <v>57</v>
      </c>
      <c r="G592" s="11">
        <v>43115</v>
      </c>
      <c r="H592" s="8" t="s">
        <v>25</v>
      </c>
      <c r="J592" s="8" t="s">
        <v>25</v>
      </c>
      <c r="N592" s="8" t="s">
        <v>58</v>
      </c>
      <c r="O592" s="8" t="s">
        <v>59</v>
      </c>
      <c r="P592" s="8" t="s">
        <v>59</v>
      </c>
      <c r="R592" s="8">
        <v>0</v>
      </c>
      <c r="S592" s="8">
        <v>0</v>
      </c>
      <c r="T592" s="8">
        <v>1</v>
      </c>
      <c r="U592" s="8">
        <v>2</v>
      </c>
      <c r="AG592" s="8" t="str">
        <f t="shared" si="37"/>
        <v/>
      </c>
      <c r="AI592" s="8" t="str">
        <f t="shared" si="38"/>
        <v/>
      </c>
      <c r="AJ592" s="8" t="str">
        <f t="shared" si="39"/>
        <v/>
      </c>
      <c r="AL592" s="8" t="str">
        <f t="shared" si="40"/>
        <v/>
      </c>
    </row>
    <row r="593" spans="1:38" x14ac:dyDescent="0.25">
      <c r="A593" s="8" t="s">
        <v>250</v>
      </c>
      <c r="B593" s="8" t="s">
        <v>251</v>
      </c>
      <c r="C593" s="8">
        <v>30811759</v>
      </c>
      <c r="D593" s="8">
        <v>5</v>
      </c>
      <c r="E593" s="11">
        <v>43108</v>
      </c>
      <c r="F593" s="8" t="s">
        <v>58</v>
      </c>
      <c r="G593" s="11">
        <v>43108</v>
      </c>
      <c r="H593" s="8" t="s">
        <v>25</v>
      </c>
      <c r="I593" s="11">
        <v>43108</v>
      </c>
      <c r="J593" s="8" t="s">
        <v>25</v>
      </c>
      <c r="N593" s="8" t="s">
        <v>58</v>
      </c>
      <c r="O593" s="8" t="s">
        <v>59</v>
      </c>
      <c r="P593" s="8" t="s">
        <v>59</v>
      </c>
      <c r="R593" s="8">
        <v>0</v>
      </c>
      <c r="S593" s="8">
        <v>0</v>
      </c>
      <c r="T593" s="8">
        <v>1</v>
      </c>
      <c r="U593" s="8">
        <v>2</v>
      </c>
      <c r="X593" s="8">
        <v>5</v>
      </c>
      <c r="AG593" s="8" t="str">
        <f t="shared" si="37"/>
        <v/>
      </c>
      <c r="AI593" s="8" t="str">
        <f t="shared" si="38"/>
        <v/>
      </c>
      <c r="AJ593" s="8" t="str">
        <f t="shared" si="39"/>
        <v/>
      </c>
      <c r="AL593" s="8" t="str">
        <f t="shared" si="40"/>
        <v/>
      </c>
    </row>
    <row r="594" spans="1:38" x14ac:dyDescent="0.25">
      <c r="A594" s="8" t="s">
        <v>4926</v>
      </c>
      <c r="B594" s="8" t="s">
        <v>4927</v>
      </c>
      <c r="C594" s="8">
        <v>30806750</v>
      </c>
      <c r="D594" s="8">
        <v>5</v>
      </c>
      <c r="E594" s="11">
        <v>43108</v>
      </c>
      <c r="F594" s="8" t="s">
        <v>57</v>
      </c>
      <c r="G594" s="11">
        <v>43112</v>
      </c>
      <c r="H594" s="8" t="s">
        <v>145</v>
      </c>
      <c r="J594" s="8" t="s">
        <v>25</v>
      </c>
      <c r="N594" s="8" t="s">
        <v>58</v>
      </c>
      <c r="O594" s="8" t="s">
        <v>59</v>
      </c>
      <c r="P594" s="8" t="s">
        <v>59</v>
      </c>
      <c r="R594" s="8">
        <v>0</v>
      </c>
      <c r="S594" s="8">
        <v>0</v>
      </c>
      <c r="T594" s="8">
        <v>1</v>
      </c>
      <c r="U594" s="8">
        <v>2</v>
      </c>
      <c r="AG594" s="8" t="str">
        <f t="shared" si="37"/>
        <v/>
      </c>
      <c r="AI594" s="8" t="str">
        <f t="shared" si="38"/>
        <v/>
      </c>
      <c r="AJ594" s="8" t="str">
        <f t="shared" si="39"/>
        <v/>
      </c>
      <c r="AL594" s="8" t="str">
        <f t="shared" si="40"/>
        <v/>
      </c>
    </row>
    <row r="595" spans="1:38" x14ac:dyDescent="0.25">
      <c r="A595" s="8" t="s">
        <v>4928</v>
      </c>
      <c r="B595" s="8" t="s">
        <v>4929</v>
      </c>
      <c r="C595" s="8">
        <v>30893690</v>
      </c>
      <c r="D595" s="8">
        <v>5</v>
      </c>
      <c r="E595" s="11">
        <v>43111</v>
      </c>
      <c r="F595" s="8" t="s">
        <v>57</v>
      </c>
      <c r="G595" s="11">
        <v>43112</v>
      </c>
      <c r="H595" s="8" t="s">
        <v>25</v>
      </c>
      <c r="J595" s="8" t="s">
        <v>25</v>
      </c>
      <c r="N595" s="8" t="s">
        <v>58</v>
      </c>
      <c r="O595" s="8" t="s">
        <v>59</v>
      </c>
      <c r="P595" s="8" t="s">
        <v>59</v>
      </c>
      <c r="R595" s="8">
        <v>0</v>
      </c>
      <c r="S595" s="8">
        <v>0</v>
      </c>
      <c r="T595" s="8">
        <v>1</v>
      </c>
      <c r="U595" s="8">
        <v>2</v>
      </c>
      <c r="AG595" s="8" t="str">
        <f t="shared" si="37"/>
        <v/>
      </c>
      <c r="AI595" s="8" t="str">
        <f t="shared" si="38"/>
        <v/>
      </c>
      <c r="AJ595" s="8" t="str">
        <f t="shared" si="39"/>
        <v/>
      </c>
      <c r="AL595" s="8" t="str">
        <f t="shared" si="40"/>
        <v/>
      </c>
    </row>
    <row r="596" spans="1:38" x14ac:dyDescent="0.25">
      <c r="A596" s="8" t="s">
        <v>252</v>
      </c>
      <c r="B596" s="8" t="s">
        <v>253</v>
      </c>
      <c r="C596" s="8">
        <v>30813786</v>
      </c>
      <c r="D596" s="8">
        <v>5</v>
      </c>
      <c r="E596" s="11">
        <v>43108</v>
      </c>
      <c r="F596" s="8" t="s">
        <v>58</v>
      </c>
      <c r="G596" s="11">
        <v>43108</v>
      </c>
      <c r="H596" s="8" t="s">
        <v>25</v>
      </c>
      <c r="I596" s="11">
        <v>43109</v>
      </c>
      <c r="J596" s="8" t="s">
        <v>25</v>
      </c>
      <c r="N596" s="8" t="s">
        <v>58</v>
      </c>
      <c r="O596" s="8" t="s">
        <v>59</v>
      </c>
      <c r="P596" s="8" t="s">
        <v>59</v>
      </c>
      <c r="R596" s="8">
        <v>0</v>
      </c>
      <c r="S596" s="8">
        <v>0</v>
      </c>
      <c r="T596" s="8">
        <v>1</v>
      </c>
      <c r="U596" s="8">
        <v>2</v>
      </c>
      <c r="X596" s="8">
        <v>5</v>
      </c>
      <c r="AG596" s="8" t="str">
        <f t="shared" si="37"/>
        <v/>
      </c>
      <c r="AI596" s="8" t="str">
        <f t="shared" si="38"/>
        <v/>
      </c>
      <c r="AJ596" s="8" t="str">
        <f t="shared" si="39"/>
        <v/>
      </c>
      <c r="AL596" s="8" t="str">
        <f t="shared" si="40"/>
        <v/>
      </c>
    </row>
    <row r="597" spans="1:38" x14ac:dyDescent="0.25">
      <c r="A597" s="8" t="s">
        <v>6831</v>
      </c>
      <c r="B597" s="8" t="s">
        <v>6832</v>
      </c>
      <c r="C597" s="8">
        <v>30846709</v>
      </c>
      <c r="D597" s="8">
        <v>5</v>
      </c>
      <c r="E597" s="11">
        <v>43109</v>
      </c>
      <c r="F597" s="8" t="s">
        <v>57</v>
      </c>
      <c r="G597" s="11">
        <v>43115</v>
      </c>
      <c r="H597" s="8" t="s">
        <v>145</v>
      </c>
      <c r="J597" s="8" t="s">
        <v>25</v>
      </c>
      <c r="N597" s="8" t="s">
        <v>58</v>
      </c>
      <c r="O597" s="8" t="s">
        <v>59</v>
      </c>
      <c r="P597" s="8" t="s">
        <v>59</v>
      </c>
      <c r="R597" s="8">
        <v>0</v>
      </c>
      <c r="S597" s="8">
        <v>0</v>
      </c>
      <c r="T597" s="8">
        <v>1</v>
      </c>
      <c r="U597" s="8">
        <v>2</v>
      </c>
      <c r="AG597" s="8" t="str">
        <f t="shared" si="37"/>
        <v/>
      </c>
      <c r="AI597" s="8" t="str">
        <f t="shared" si="38"/>
        <v/>
      </c>
      <c r="AJ597" s="8" t="str">
        <f t="shared" si="39"/>
        <v/>
      </c>
      <c r="AL597" s="8" t="str">
        <f t="shared" si="40"/>
        <v/>
      </c>
    </row>
    <row r="598" spans="1:38" x14ac:dyDescent="0.25">
      <c r="A598" s="8" t="s">
        <v>4930</v>
      </c>
      <c r="B598" s="8" t="s">
        <v>4931</v>
      </c>
      <c r="C598" s="8">
        <v>30818249</v>
      </c>
      <c r="D598" s="8">
        <v>5</v>
      </c>
      <c r="E598" s="11">
        <v>43108</v>
      </c>
      <c r="F598" s="8" t="s">
        <v>57</v>
      </c>
      <c r="G598" s="11">
        <v>43112</v>
      </c>
      <c r="H598" s="8" t="s">
        <v>145</v>
      </c>
      <c r="J598" s="8" t="s">
        <v>25</v>
      </c>
      <c r="N598" s="8" t="s">
        <v>58</v>
      </c>
      <c r="O598" s="8" t="s">
        <v>59</v>
      </c>
      <c r="P598" s="8" t="s">
        <v>59</v>
      </c>
      <c r="R598" s="8">
        <v>0</v>
      </c>
      <c r="S598" s="8">
        <v>0</v>
      </c>
      <c r="T598" s="8">
        <v>1</v>
      </c>
      <c r="U598" s="8">
        <v>2</v>
      </c>
      <c r="AG598" s="8" t="str">
        <f t="shared" si="37"/>
        <v/>
      </c>
      <c r="AI598" s="8" t="str">
        <f t="shared" si="38"/>
        <v/>
      </c>
      <c r="AJ598" s="8" t="str">
        <f t="shared" si="39"/>
        <v/>
      </c>
      <c r="AL598" s="8" t="str">
        <f t="shared" si="40"/>
        <v/>
      </c>
    </row>
    <row r="599" spans="1:38" x14ac:dyDescent="0.25">
      <c r="A599" s="8" t="s">
        <v>917</v>
      </c>
      <c r="B599" s="8" t="s">
        <v>918</v>
      </c>
      <c r="C599" s="8">
        <v>30848712</v>
      </c>
      <c r="D599" s="8">
        <v>5</v>
      </c>
      <c r="E599" s="11">
        <v>43109</v>
      </c>
      <c r="F599" s="8" t="s">
        <v>58</v>
      </c>
      <c r="G599" s="11">
        <v>43109</v>
      </c>
      <c r="H599" s="8" t="s">
        <v>25</v>
      </c>
      <c r="I599" s="11">
        <v>43109</v>
      </c>
      <c r="J599" s="8" t="s">
        <v>25</v>
      </c>
      <c r="N599" s="8" t="s">
        <v>58</v>
      </c>
      <c r="O599" s="8" t="s">
        <v>59</v>
      </c>
      <c r="P599" s="8" t="s">
        <v>59</v>
      </c>
      <c r="R599" s="8">
        <v>0</v>
      </c>
      <c r="S599" s="8">
        <v>0</v>
      </c>
      <c r="T599" s="8">
        <v>1</v>
      </c>
      <c r="U599" s="8">
        <v>2</v>
      </c>
      <c r="X599" s="8">
        <v>5</v>
      </c>
      <c r="AG599" s="8" t="str">
        <f t="shared" si="37"/>
        <v/>
      </c>
      <c r="AI599" s="8" t="str">
        <f t="shared" si="38"/>
        <v/>
      </c>
      <c r="AJ599" s="8" t="str">
        <f t="shared" si="39"/>
        <v/>
      </c>
      <c r="AL599" s="8" t="str">
        <f t="shared" si="40"/>
        <v/>
      </c>
    </row>
    <row r="600" spans="1:38" x14ac:dyDescent="0.25">
      <c r="A600" s="8" t="s">
        <v>919</v>
      </c>
      <c r="B600" s="8" t="s">
        <v>920</v>
      </c>
      <c r="C600" s="8">
        <v>30822442</v>
      </c>
      <c r="D600" s="8">
        <v>5</v>
      </c>
      <c r="E600" s="11">
        <v>43108</v>
      </c>
      <c r="F600" s="8" t="s">
        <v>58</v>
      </c>
      <c r="G600" s="11">
        <v>43109</v>
      </c>
      <c r="H600" s="8" t="s">
        <v>25</v>
      </c>
      <c r="I600" s="11">
        <v>43115</v>
      </c>
      <c r="J600" s="8" t="s">
        <v>145</v>
      </c>
      <c r="N600" s="8" t="s">
        <v>58</v>
      </c>
      <c r="O600" s="8" t="s">
        <v>59</v>
      </c>
      <c r="P600" s="8" t="s">
        <v>59</v>
      </c>
      <c r="R600" s="8">
        <v>0</v>
      </c>
      <c r="S600" s="8">
        <v>0</v>
      </c>
      <c r="T600" s="8">
        <v>1</v>
      </c>
      <c r="U600" s="8">
        <v>2</v>
      </c>
      <c r="X600" s="8">
        <v>5</v>
      </c>
      <c r="AG600" s="8" t="str">
        <f t="shared" si="37"/>
        <v/>
      </c>
      <c r="AI600" s="8" t="str">
        <f t="shared" si="38"/>
        <v/>
      </c>
      <c r="AJ600" s="8" t="str">
        <f t="shared" si="39"/>
        <v/>
      </c>
      <c r="AL600" s="8" t="str">
        <f t="shared" si="40"/>
        <v/>
      </c>
    </row>
    <row r="601" spans="1:38" x14ac:dyDescent="0.25">
      <c r="A601" s="8" t="s">
        <v>1848</v>
      </c>
      <c r="B601" s="8" t="s">
        <v>1849</v>
      </c>
      <c r="C601" s="8">
        <v>30876684</v>
      </c>
      <c r="D601" s="8">
        <v>5</v>
      </c>
      <c r="E601" s="11">
        <v>43110</v>
      </c>
      <c r="F601" s="8" t="s">
        <v>58</v>
      </c>
      <c r="G601" s="11">
        <v>43110</v>
      </c>
      <c r="H601" s="8" t="s">
        <v>25</v>
      </c>
      <c r="I601" s="11">
        <v>43110</v>
      </c>
      <c r="J601" s="8" t="s">
        <v>25</v>
      </c>
      <c r="N601" s="8" t="s">
        <v>58</v>
      </c>
      <c r="O601" s="8" t="s">
        <v>59</v>
      </c>
      <c r="P601" s="8" t="s">
        <v>59</v>
      </c>
      <c r="R601" s="8">
        <v>0</v>
      </c>
      <c r="S601" s="8">
        <v>0</v>
      </c>
      <c r="T601" s="8">
        <v>1</v>
      </c>
      <c r="U601" s="8">
        <v>2</v>
      </c>
      <c r="X601" s="8">
        <v>5</v>
      </c>
      <c r="AG601" s="8" t="str">
        <f t="shared" si="37"/>
        <v/>
      </c>
      <c r="AI601" s="8" t="str">
        <f t="shared" si="38"/>
        <v/>
      </c>
      <c r="AJ601" s="8" t="str">
        <f t="shared" si="39"/>
        <v/>
      </c>
      <c r="AL601" s="8" t="str">
        <f t="shared" si="40"/>
        <v/>
      </c>
    </row>
    <row r="602" spans="1:38" x14ac:dyDescent="0.25">
      <c r="A602" s="8" t="s">
        <v>3445</v>
      </c>
      <c r="B602" s="8" t="s">
        <v>3446</v>
      </c>
      <c r="C602" s="8">
        <v>30899071</v>
      </c>
      <c r="D602" s="8">
        <v>5</v>
      </c>
      <c r="E602" s="11">
        <v>43111</v>
      </c>
      <c r="F602" s="8" t="s">
        <v>57</v>
      </c>
      <c r="G602" s="11">
        <v>43111</v>
      </c>
      <c r="H602" s="8" t="s">
        <v>25</v>
      </c>
      <c r="J602" s="8" t="s">
        <v>25</v>
      </c>
      <c r="N602" s="8" t="s">
        <v>58</v>
      </c>
      <c r="O602" s="8" t="s">
        <v>59</v>
      </c>
      <c r="P602" s="8" t="s">
        <v>59</v>
      </c>
      <c r="R602" s="8">
        <v>0</v>
      </c>
      <c r="S602" s="8">
        <v>0</v>
      </c>
      <c r="T602" s="8">
        <v>1</v>
      </c>
      <c r="U602" s="8">
        <v>2</v>
      </c>
      <c r="AG602" s="8" t="str">
        <f t="shared" si="37"/>
        <v/>
      </c>
      <c r="AI602" s="8" t="str">
        <f t="shared" si="38"/>
        <v/>
      </c>
      <c r="AJ602" s="8" t="str">
        <f t="shared" si="39"/>
        <v/>
      </c>
      <c r="AL602" s="8" t="str">
        <f t="shared" si="40"/>
        <v/>
      </c>
    </row>
    <row r="603" spans="1:38" x14ac:dyDescent="0.25">
      <c r="A603" s="8" t="s">
        <v>254</v>
      </c>
      <c r="B603" s="8" t="s">
        <v>255</v>
      </c>
      <c r="C603" s="8">
        <v>30822861</v>
      </c>
      <c r="D603" s="8">
        <v>5</v>
      </c>
      <c r="E603" s="11">
        <v>43108</v>
      </c>
      <c r="F603" s="8" t="s">
        <v>57</v>
      </c>
      <c r="G603" s="11">
        <v>43108</v>
      </c>
      <c r="H603" s="8" t="s">
        <v>25</v>
      </c>
      <c r="J603" s="8" t="s">
        <v>25</v>
      </c>
      <c r="N603" s="8" t="s">
        <v>58</v>
      </c>
      <c r="O603" s="8" t="s">
        <v>59</v>
      </c>
      <c r="P603" s="8" t="s">
        <v>59</v>
      </c>
      <c r="R603" s="8">
        <v>0</v>
      </c>
      <c r="S603" s="8">
        <v>0</v>
      </c>
      <c r="T603" s="8">
        <v>1</v>
      </c>
      <c r="U603" s="8">
        <v>2</v>
      </c>
      <c r="AG603" s="8" t="str">
        <f t="shared" si="37"/>
        <v/>
      </c>
      <c r="AI603" s="8" t="str">
        <f t="shared" si="38"/>
        <v/>
      </c>
      <c r="AJ603" s="8" t="str">
        <f t="shared" si="39"/>
        <v/>
      </c>
      <c r="AL603" s="8" t="str">
        <f t="shared" si="40"/>
        <v/>
      </c>
    </row>
    <row r="604" spans="1:38" x14ac:dyDescent="0.25">
      <c r="A604" s="8" t="s">
        <v>6833</v>
      </c>
      <c r="B604" s="8" t="s">
        <v>6834</v>
      </c>
      <c r="C604" s="8">
        <v>30930345</v>
      </c>
      <c r="D604" s="8">
        <v>5</v>
      </c>
      <c r="E604" s="11">
        <v>43115</v>
      </c>
      <c r="F604" s="8" t="s">
        <v>58</v>
      </c>
      <c r="G604" s="11">
        <v>43115</v>
      </c>
      <c r="H604" s="8" t="s">
        <v>25</v>
      </c>
      <c r="I604" s="11">
        <v>43115</v>
      </c>
      <c r="J604" s="8" t="s">
        <v>25</v>
      </c>
      <c r="N604" s="8" t="s">
        <v>58</v>
      </c>
      <c r="O604" s="8" t="s">
        <v>59</v>
      </c>
      <c r="P604" s="8" t="s">
        <v>59</v>
      </c>
      <c r="R604" s="8">
        <v>0</v>
      </c>
      <c r="S604" s="8">
        <v>0</v>
      </c>
      <c r="T604" s="8">
        <v>1</v>
      </c>
      <c r="U604" s="8">
        <v>2</v>
      </c>
      <c r="X604" s="8">
        <v>5</v>
      </c>
      <c r="AG604" s="8" t="str">
        <f t="shared" si="37"/>
        <v/>
      </c>
      <c r="AI604" s="8" t="str">
        <f t="shared" si="38"/>
        <v/>
      </c>
      <c r="AJ604" s="8" t="str">
        <f t="shared" si="39"/>
        <v/>
      </c>
      <c r="AL604" s="8" t="str">
        <f t="shared" si="40"/>
        <v/>
      </c>
    </row>
    <row r="605" spans="1:38" x14ac:dyDescent="0.25">
      <c r="A605" s="8" t="s">
        <v>6835</v>
      </c>
      <c r="B605" s="8" t="s">
        <v>6836</v>
      </c>
      <c r="C605" s="8">
        <v>30919660</v>
      </c>
      <c r="D605" s="8">
        <v>4</v>
      </c>
      <c r="E605" s="11">
        <v>43112</v>
      </c>
      <c r="F605" s="8" t="s">
        <v>57</v>
      </c>
      <c r="G605" s="11">
        <v>43115</v>
      </c>
      <c r="H605" s="8" t="s">
        <v>25</v>
      </c>
      <c r="J605" s="8" t="s">
        <v>25</v>
      </c>
      <c r="M605" s="8" t="s">
        <v>66</v>
      </c>
      <c r="N605" s="8" t="s">
        <v>58</v>
      </c>
      <c r="O605" s="8" t="s">
        <v>59</v>
      </c>
      <c r="P605" s="8" t="s">
        <v>59</v>
      </c>
      <c r="R605" s="8">
        <v>0</v>
      </c>
      <c r="S605" s="8">
        <v>0</v>
      </c>
      <c r="T605" s="8">
        <v>1</v>
      </c>
      <c r="U605" s="8">
        <v>2</v>
      </c>
      <c r="AG605" s="8" t="str">
        <f t="shared" si="37"/>
        <v/>
      </c>
      <c r="AI605" s="8" t="str">
        <f t="shared" si="38"/>
        <v/>
      </c>
      <c r="AJ605" s="8" t="str">
        <f t="shared" si="39"/>
        <v/>
      </c>
      <c r="AL605" s="8" t="str">
        <f t="shared" si="40"/>
        <v/>
      </c>
    </row>
    <row r="606" spans="1:38" x14ac:dyDescent="0.25">
      <c r="A606" s="8" t="s">
        <v>921</v>
      </c>
      <c r="B606" s="8" t="s">
        <v>922</v>
      </c>
      <c r="C606" s="8">
        <v>30836289</v>
      </c>
      <c r="D606" s="8">
        <v>4</v>
      </c>
      <c r="E606" s="11">
        <v>43109</v>
      </c>
      <c r="F606" s="8" t="s">
        <v>58</v>
      </c>
      <c r="G606" s="11">
        <v>43109</v>
      </c>
      <c r="H606" s="8" t="s">
        <v>25</v>
      </c>
      <c r="I606" s="11">
        <v>43112</v>
      </c>
      <c r="J606" s="8" t="s">
        <v>25</v>
      </c>
      <c r="N606" s="8" t="s">
        <v>58</v>
      </c>
      <c r="O606" s="8" t="s">
        <v>59</v>
      </c>
      <c r="P606" s="8" t="s">
        <v>59</v>
      </c>
      <c r="R606" s="8">
        <v>0</v>
      </c>
      <c r="S606" s="8">
        <v>0</v>
      </c>
      <c r="T606" s="8">
        <v>1</v>
      </c>
      <c r="U606" s="8">
        <v>2</v>
      </c>
      <c r="X606" s="8">
        <v>5</v>
      </c>
      <c r="AG606" s="8" t="str">
        <f t="shared" si="37"/>
        <v/>
      </c>
      <c r="AI606" s="8" t="str">
        <f t="shared" si="38"/>
        <v/>
      </c>
      <c r="AJ606" s="8" t="str">
        <f t="shared" si="39"/>
        <v/>
      </c>
      <c r="AL606" s="8" t="str">
        <f t="shared" si="40"/>
        <v/>
      </c>
    </row>
    <row r="607" spans="1:38" x14ac:dyDescent="0.25">
      <c r="A607" s="8" t="s">
        <v>1850</v>
      </c>
      <c r="B607" s="8" t="s">
        <v>1851</v>
      </c>
      <c r="C607" s="8">
        <v>30841674</v>
      </c>
      <c r="D607" s="8">
        <v>5</v>
      </c>
      <c r="E607" s="11">
        <v>43109</v>
      </c>
      <c r="F607" s="8" t="s">
        <v>58</v>
      </c>
      <c r="G607" s="11">
        <v>43110</v>
      </c>
      <c r="H607" s="8" t="s">
        <v>25</v>
      </c>
      <c r="I607" s="11">
        <v>43112</v>
      </c>
      <c r="J607" s="8" t="s">
        <v>25</v>
      </c>
      <c r="N607" s="8" t="s">
        <v>58</v>
      </c>
      <c r="O607" s="8" t="s">
        <v>59</v>
      </c>
      <c r="P607" s="8" t="s">
        <v>59</v>
      </c>
      <c r="R607" s="8">
        <v>0</v>
      </c>
      <c r="S607" s="8">
        <v>0</v>
      </c>
      <c r="T607" s="8">
        <v>1</v>
      </c>
      <c r="U607" s="8">
        <v>2</v>
      </c>
      <c r="X607" s="8">
        <v>5</v>
      </c>
      <c r="AG607" s="8" t="str">
        <f t="shared" si="37"/>
        <v/>
      </c>
      <c r="AI607" s="8" t="str">
        <f t="shared" si="38"/>
        <v/>
      </c>
      <c r="AJ607" s="8" t="str">
        <f t="shared" si="39"/>
        <v/>
      </c>
      <c r="AL607" s="8" t="str">
        <f t="shared" si="40"/>
        <v/>
      </c>
    </row>
    <row r="608" spans="1:38" x14ac:dyDescent="0.25">
      <c r="A608" s="8" t="s">
        <v>6837</v>
      </c>
      <c r="B608" s="8" t="s">
        <v>6838</v>
      </c>
      <c r="C608" s="8">
        <v>30931167</v>
      </c>
      <c r="D608" s="8">
        <v>5</v>
      </c>
      <c r="E608" s="11">
        <v>43115</v>
      </c>
      <c r="F608" s="8" t="s">
        <v>58</v>
      </c>
      <c r="G608" s="11">
        <v>43115</v>
      </c>
      <c r="H608" s="8" t="s">
        <v>25</v>
      </c>
      <c r="I608" s="11">
        <v>43115</v>
      </c>
      <c r="J608" s="8" t="s">
        <v>25</v>
      </c>
      <c r="N608" s="8" t="s">
        <v>58</v>
      </c>
      <c r="O608" s="8" t="s">
        <v>59</v>
      </c>
      <c r="P608" s="8" t="s">
        <v>59</v>
      </c>
      <c r="R608" s="8">
        <v>0</v>
      </c>
      <c r="S608" s="8">
        <v>0</v>
      </c>
      <c r="T608" s="8">
        <v>1</v>
      </c>
      <c r="U608" s="8">
        <v>2</v>
      </c>
      <c r="X608" s="8">
        <v>5</v>
      </c>
      <c r="AG608" s="8" t="str">
        <f t="shared" si="37"/>
        <v/>
      </c>
      <c r="AI608" s="8" t="str">
        <f t="shared" si="38"/>
        <v/>
      </c>
      <c r="AJ608" s="8" t="str">
        <f t="shared" si="39"/>
        <v/>
      </c>
      <c r="AL608" s="8" t="str">
        <f t="shared" si="40"/>
        <v/>
      </c>
    </row>
    <row r="609" spans="1:38" x14ac:dyDescent="0.25">
      <c r="A609" s="8" t="s">
        <v>6839</v>
      </c>
      <c r="B609" s="8" t="s">
        <v>6840</v>
      </c>
      <c r="C609" s="8">
        <v>30839716</v>
      </c>
      <c r="D609" s="8">
        <v>5</v>
      </c>
      <c r="E609" s="11">
        <v>43109</v>
      </c>
      <c r="F609" s="8" t="s">
        <v>58</v>
      </c>
      <c r="G609" s="11">
        <v>43115</v>
      </c>
      <c r="H609" s="8" t="s">
        <v>145</v>
      </c>
      <c r="I609" s="11">
        <v>43115</v>
      </c>
      <c r="J609" s="8" t="s">
        <v>25</v>
      </c>
      <c r="N609" s="8" t="s">
        <v>58</v>
      </c>
      <c r="O609" s="8" t="s">
        <v>59</v>
      </c>
      <c r="P609" s="8" t="s">
        <v>59</v>
      </c>
      <c r="R609" s="8">
        <v>0</v>
      </c>
      <c r="S609" s="8">
        <v>0</v>
      </c>
      <c r="T609" s="8">
        <v>1</v>
      </c>
      <c r="U609" s="8">
        <v>2</v>
      </c>
      <c r="X609" s="8">
        <v>5</v>
      </c>
      <c r="AG609" s="8" t="str">
        <f t="shared" si="37"/>
        <v/>
      </c>
      <c r="AI609" s="8" t="str">
        <f t="shared" si="38"/>
        <v/>
      </c>
      <c r="AJ609" s="8" t="str">
        <f t="shared" si="39"/>
        <v/>
      </c>
      <c r="AL609" s="8" t="str">
        <f t="shared" si="40"/>
        <v/>
      </c>
    </row>
    <row r="610" spans="1:38" x14ac:dyDescent="0.25">
      <c r="A610" s="8" t="s">
        <v>1852</v>
      </c>
      <c r="B610" s="8" t="s">
        <v>1853</v>
      </c>
      <c r="C610" s="8">
        <v>30838870</v>
      </c>
      <c r="D610" s="8">
        <v>5</v>
      </c>
      <c r="E610" s="11">
        <v>43109</v>
      </c>
      <c r="F610" s="8" t="s">
        <v>58</v>
      </c>
      <c r="G610" s="11">
        <v>43110</v>
      </c>
      <c r="H610" s="8" t="s">
        <v>25</v>
      </c>
      <c r="I610" s="11">
        <v>43115</v>
      </c>
      <c r="J610" s="8" t="s">
        <v>145</v>
      </c>
      <c r="N610" s="8" t="s">
        <v>58</v>
      </c>
      <c r="O610" s="8" t="s">
        <v>59</v>
      </c>
      <c r="P610" s="8" t="s">
        <v>59</v>
      </c>
      <c r="R610" s="8">
        <v>0</v>
      </c>
      <c r="S610" s="8">
        <v>0</v>
      </c>
      <c r="T610" s="8">
        <v>1</v>
      </c>
      <c r="U610" s="8">
        <v>2</v>
      </c>
      <c r="X610" s="8">
        <v>5</v>
      </c>
      <c r="AG610" s="8" t="str">
        <f t="shared" si="37"/>
        <v/>
      </c>
      <c r="AI610" s="8" t="str">
        <f t="shared" si="38"/>
        <v/>
      </c>
      <c r="AJ610" s="8" t="str">
        <f t="shared" si="39"/>
        <v/>
      </c>
      <c r="AL610" s="8" t="str">
        <f t="shared" si="40"/>
        <v/>
      </c>
    </row>
    <row r="611" spans="1:38" x14ac:dyDescent="0.25">
      <c r="A611" s="8" t="s">
        <v>923</v>
      </c>
      <c r="B611" s="8" t="s">
        <v>924</v>
      </c>
      <c r="C611" s="8">
        <v>30839372</v>
      </c>
      <c r="D611" s="8">
        <v>5</v>
      </c>
      <c r="E611" s="11">
        <v>43109</v>
      </c>
      <c r="F611" s="8" t="s">
        <v>58</v>
      </c>
      <c r="G611" s="11">
        <v>43109</v>
      </c>
      <c r="H611" s="8" t="s">
        <v>25</v>
      </c>
      <c r="I611" s="11">
        <v>43109</v>
      </c>
      <c r="J611" s="8" t="s">
        <v>25</v>
      </c>
      <c r="N611" s="8" t="s">
        <v>58</v>
      </c>
      <c r="O611" s="8" t="s">
        <v>59</v>
      </c>
      <c r="P611" s="8" t="s">
        <v>59</v>
      </c>
      <c r="R611" s="8">
        <v>0</v>
      </c>
      <c r="S611" s="8">
        <v>0</v>
      </c>
      <c r="T611" s="8">
        <v>1</v>
      </c>
      <c r="U611" s="8">
        <v>2</v>
      </c>
      <c r="X611" s="8">
        <v>5</v>
      </c>
      <c r="AG611" s="8" t="str">
        <f t="shared" si="37"/>
        <v/>
      </c>
      <c r="AI611" s="8" t="str">
        <f t="shared" si="38"/>
        <v/>
      </c>
      <c r="AJ611" s="8" t="str">
        <f t="shared" si="39"/>
        <v/>
      </c>
      <c r="AL611" s="8" t="str">
        <f t="shared" si="40"/>
        <v/>
      </c>
    </row>
    <row r="612" spans="1:38" x14ac:dyDescent="0.25">
      <c r="A612" s="8" t="s">
        <v>1854</v>
      </c>
      <c r="B612" s="8" t="s">
        <v>1855</v>
      </c>
      <c r="C612" s="8">
        <v>30862053</v>
      </c>
      <c r="D612" s="8">
        <v>5</v>
      </c>
      <c r="E612" s="11">
        <v>43110</v>
      </c>
      <c r="F612" s="8" t="s">
        <v>58</v>
      </c>
      <c r="G612" s="11">
        <v>43110</v>
      </c>
      <c r="H612" s="8" t="s">
        <v>25</v>
      </c>
      <c r="I612" s="11">
        <v>43110</v>
      </c>
      <c r="J612" s="8" t="s">
        <v>25</v>
      </c>
      <c r="N612" s="8" t="s">
        <v>58</v>
      </c>
      <c r="O612" s="8" t="s">
        <v>59</v>
      </c>
      <c r="P612" s="8" t="s">
        <v>59</v>
      </c>
      <c r="R612" s="8">
        <v>0</v>
      </c>
      <c r="S612" s="8">
        <v>0</v>
      </c>
      <c r="T612" s="8">
        <v>1</v>
      </c>
      <c r="U612" s="8">
        <v>2</v>
      </c>
      <c r="X612" s="8">
        <v>5</v>
      </c>
      <c r="AG612" s="8" t="str">
        <f t="shared" si="37"/>
        <v/>
      </c>
      <c r="AI612" s="8" t="str">
        <f t="shared" si="38"/>
        <v/>
      </c>
      <c r="AJ612" s="8" t="str">
        <f t="shared" si="39"/>
        <v/>
      </c>
      <c r="AL612" s="8" t="str">
        <f t="shared" si="40"/>
        <v/>
      </c>
    </row>
    <row r="613" spans="1:38" x14ac:dyDescent="0.25">
      <c r="A613" s="8" t="s">
        <v>1856</v>
      </c>
      <c r="B613" s="8" t="s">
        <v>1857</v>
      </c>
      <c r="C613" s="8">
        <v>30825496</v>
      </c>
      <c r="D613" s="8">
        <v>5</v>
      </c>
      <c r="E613" s="11">
        <v>43108</v>
      </c>
      <c r="F613" s="8" t="s">
        <v>58</v>
      </c>
      <c r="G613" s="11">
        <v>43110</v>
      </c>
      <c r="H613" s="8" t="s">
        <v>25</v>
      </c>
      <c r="I613" s="11">
        <v>43115</v>
      </c>
      <c r="J613" s="8" t="s">
        <v>145</v>
      </c>
      <c r="N613" s="8" t="s">
        <v>58</v>
      </c>
      <c r="O613" s="8" t="s">
        <v>59</v>
      </c>
      <c r="P613" s="8" t="s">
        <v>59</v>
      </c>
      <c r="R613" s="8">
        <v>0</v>
      </c>
      <c r="S613" s="8">
        <v>0</v>
      </c>
      <c r="T613" s="8">
        <v>1</v>
      </c>
      <c r="U613" s="8">
        <v>2</v>
      </c>
      <c r="X613" s="8">
        <v>5</v>
      </c>
      <c r="AG613" s="8" t="str">
        <f t="shared" si="37"/>
        <v/>
      </c>
      <c r="AI613" s="8" t="str">
        <f t="shared" si="38"/>
        <v/>
      </c>
      <c r="AJ613" s="8" t="str">
        <f t="shared" si="39"/>
        <v/>
      </c>
      <c r="AL613" s="8" t="str">
        <f t="shared" si="40"/>
        <v/>
      </c>
    </row>
    <row r="614" spans="1:38" x14ac:dyDescent="0.25">
      <c r="A614" s="8" t="s">
        <v>6841</v>
      </c>
      <c r="B614" s="8" t="s">
        <v>6842</v>
      </c>
      <c r="C614" s="8">
        <v>30937645</v>
      </c>
      <c r="D614" s="8">
        <v>5</v>
      </c>
      <c r="E614" s="11">
        <v>43115</v>
      </c>
      <c r="F614" s="8" t="s">
        <v>58</v>
      </c>
      <c r="G614" s="11">
        <v>43115</v>
      </c>
      <c r="H614" s="8" t="s">
        <v>25</v>
      </c>
      <c r="I614" s="11">
        <v>43115</v>
      </c>
      <c r="J614" s="8" t="s">
        <v>25</v>
      </c>
      <c r="N614" s="8" t="s">
        <v>58</v>
      </c>
      <c r="O614" s="8" t="s">
        <v>59</v>
      </c>
      <c r="P614" s="8" t="s">
        <v>59</v>
      </c>
      <c r="R614" s="8">
        <v>0</v>
      </c>
      <c r="S614" s="8">
        <v>0</v>
      </c>
      <c r="T614" s="8">
        <v>1</v>
      </c>
      <c r="U614" s="8">
        <v>2</v>
      </c>
      <c r="X614" s="8">
        <v>5</v>
      </c>
      <c r="AG614" s="8" t="str">
        <f t="shared" si="37"/>
        <v/>
      </c>
      <c r="AI614" s="8" t="str">
        <f t="shared" si="38"/>
        <v/>
      </c>
      <c r="AJ614" s="8" t="str">
        <f t="shared" si="39"/>
        <v/>
      </c>
      <c r="AL614" s="8" t="str">
        <f t="shared" si="40"/>
        <v/>
      </c>
    </row>
    <row r="615" spans="1:38" x14ac:dyDescent="0.25">
      <c r="A615" s="8" t="s">
        <v>925</v>
      </c>
      <c r="B615" s="8" t="s">
        <v>926</v>
      </c>
      <c r="C615" s="8">
        <v>30838462</v>
      </c>
      <c r="D615" s="8">
        <v>4</v>
      </c>
      <c r="E615" s="11">
        <v>43109</v>
      </c>
      <c r="F615" s="8" t="s">
        <v>57</v>
      </c>
      <c r="G615" s="11">
        <v>43109</v>
      </c>
      <c r="H615" s="8" t="s">
        <v>25</v>
      </c>
      <c r="J615" s="8" t="s">
        <v>25</v>
      </c>
      <c r="N615" s="8" t="s">
        <v>58</v>
      </c>
      <c r="O615" s="8" t="s">
        <v>59</v>
      </c>
      <c r="P615" s="8" t="s">
        <v>59</v>
      </c>
      <c r="R615" s="8">
        <v>0</v>
      </c>
      <c r="S615" s="8">
        <v>0</v>
      </c>
      <c r="T615" s="8">
        <v>1</v>
      </c>
      <c r="U615" s="8">
        <v>2</v>
      </c>
      <c r="AG615" s="8" t="str">
        <f t="shared" si="37"/>
        <v/>
      </c>
      <c r="AI615" s="8" t="str">
        <f t="shared" si="38"/>
        <v/>
      </c>
      <c r="AJ615" s="8" t="str">
        <f t="shared" si="39"/>
        <v/>
      </c>
      <c r="AL615" s="8" t="str">
        <f t="shared" si="40"/>
        <v/>
      </c>
    </row>
    <row r="616" spans="1:38" x14ac:dyDescent="0.25">
      <c r="A616" s="8" t="s">
        <v>1858</v>
      </c>
      <c r="B616" s="8" t="s">
        <v>1859</v>
      </c>
      <c r="C616" s="8">
        <v>30855057</v>
      </c>
      <c r="D616" s="8">
        <v>5</v>
      </c>
      <c r="E616" s="11">
        <v>43109</v>
      </c>
      <c r="F616" s="8" t="s">
        <v>58</v>
      </c>
      <c r="G616" s="11">
        <v>43110</v>
      </c>
      <c r="H616" s="8" t="s">
        <v>25</v>
      </c>
      <c r="I616" s="11">
        <v>43110</v>
      </c>
      <c r="J616" s="8" t="s">
        <v>25</v>
      </c>
      <c r="N616" s="8" t="s">
        <v>58</v>
      </c>
      <c r="O616" s="8" t="s">
        <v>59</v>
      </c>
      <c r="P616" s="8" t="s">
        <v>59</v>
      </c>
      <c r="R616" s="8">
        <v>0</v>
      </c>
      <c r="S616" s="8">
        <v>0</v>
      </c>
      <c r="T616" s="8">
        <v>1</v>
      </c>
      <c r="U616" s="8">
        <v>2</v>
      </c>
      <c r="X616" s="8">
        <v>5</v>
      </c>
      <c r="AG616" s="8" t="str">
        <f t="shared" si="37"/>
        <v/>
      </c>
      <c r="AI616" s="8" t="str">
        <f t="shared" si="38"/>
        <v/>
      </c>
      <c r="AJ616" s="8" t="str">
        <f t="shared" si="39"/>
        <v/>
      </c>
      <c r="AL616" s="8" t="str">
        <f t="shared" si="40"/>
        <v/>
      </c>
    </row>
    <row r="617" spans="1:38" x14ac:dyDescent="0.25">
      <c r="A617" s="8" t="s">
        <v>256</v>
      </c>
      <c r="B617" s="8" t="s">
        <v>257</v>
      </c>
      <c r="C617" s="8">
        <v>30813674</v>
      </c>
      <c r="D617" s="8">
        <v>5</v>
      </c>
      <c r="E617" s="11">
        <v>43108</v>
      </c>
      <c r="F617" s="8" t="s">
        <v>58</v>
      </c>
      <c r="G617" s="11">
        <v>43108</v>
      </c>
      <c r="H617" s="8" t="s">
        <v>25</v>
      </c>
      <c r="I617" s="11">
        <v>43108</v>
      </c>
      <c r="J617" s="8" t="s">
        <v>25</v>
      </c>
      <c r="N617" s="8" t="s">
        <v>58</v>
      </c>
      <c r="O617" s="8" t="s">
        <v>59</v>
      </c>
      <c r="P617" s="8" t="s">
        <v>59</v>
      </c>
      <c r="R617" s="8">
        <v>0</v>
      </c>
      <c r="S617" s="8">
        <v>0</v>
      </c>
      <c r="T617" s="8">
        <v>1</v>
      </c>
      <c r="U617" s="8">
        <v>2</v>
      </c>
      <c r="X617" s="8">
        <v>5</v>
      </c>
      <c r="AG617" s="8" t="str">
        <f t="shared" si="37"/>
        <v/>
      </c>
      <c r="AI617" s="8" t="str">
        <f t="shared" si="38"/>
        <v/>
      </c>
      <c r="AJ617" s="8" t="str">
        <f t="shared" si="39"/>
        <v/>
      </c>
      <c r="AL617" s="8" t="str">
        <f t="shared" si="40"/>
        <v/>
      </c>
    </row>
    <row r="618" spans="1:38" x14ac:dyDescent="0.25">
      <c r="A618" s="8" t="s">
        <v>927</v>
      </c>
      <c r="B618" s="8" t="s">
        <v>928</v>
      </c>
      <c r="C618" s="8">
        <v>30842115</v>
      </c>
      <c r="D618" s="8">
        <v>5</v>
      </c>
      <c r="E618" s="11">
        <v>43109</v>
      </c>
      <c r="F618" s="8" t="s">
        <v>58</v>
      </c>
      <c r="G618" s="11">
        <v>43109</v>
      </c>
      <c r="H618" s="8" t="s">
        <v>25</v>
      </c>
      <c r="I618" s="11">
        <v>43109</v>
      </c>
      <c r="J618" s="8" t="s">
        <v>25</v>
      </c>
      <c r="N618" s="8" t="s">
        <v>58</v>
      </c>
      <c r="O618" s="8" t="s">
        <v>59</v>
      </c>
      <c r="P618" s="8" t="s">
        <v>59</v>
      </c>
      <c r="R618" s="8">
        <v>0</v>
      </c>
      <c r="S618" s="8">
        <v>0</v>
      </c>
      <c r="T618" s="8">
        <v>1</v>
      </c>
      <c r="U618" s="8">
        <v>2</v>
      </c>
      <c r="X618" s="8">
        <v>5</v>
      </c>
      <c r="AG618" s="8" t="str">
        <f t="shared" si="37"/>
        <v/>
      </c>
      <c r="AI618" s="8" t="str">
        <f t="shared" si="38"/>
        <v/>
      </c>
      <c r="AJ618" s="8" t="str">
        <f t="shared" si="39"/>
        <v/>
      </c>
      <c r="AL618" s="8" t="str">
        <f t="shared" si="40"/>
        <v/>
      </c>
    </row>
    <row r="619" spans="1:38" x14ac:dyDescent="0.25">
      <c r="A619" s="8" t="s">
        <v>929</v>
      </c>
      <c r="B619" s="8" t="s">
        <v>930</v>
      </c>
      <c r="C619" s="8">
        <v>30845368</v>
      </c>
      <c r="D619" s="8">
        <v>5</v>
      </c>
      <c r="E619" s="11">
        <v>43109</v>
      </c>
      <c r="F619" s="8" t="s">
        <v>58</v>
      </c>
      <c r="G619" s="11">
        <v>43109</v>
      </c>
      <c r="H619" s="8" t="s">
        <v>25</v>
      </c>
      <c r="I619" s="11">
        <v>43115</v>
      </c>
      <c r="J619" s="8" t="s">
        <v>145</v>
      </c>
      <c r="N619" s="8" t="s">
        <v>58</v>
      </c>
      <c r="O619" s="8" t="s">
        <v>59</v>
      </c>
      <c r="P619" s="8" t="s">
        <v>59</v>
      </c>
      <c r="R619" s="8">
        <v>0</v>
      </c>
      <c r="S619" s="8">
        <v>0</v>
      </c>
      <c r="T619" s="8">
        <v>1</v>
      </c>
      <c r="U619" s="8">
        <v>2</v>
      </c>
      <c r="X619" s="8">
        <v>5</v>
      </c>
      <c r="AG619" s="8" t="str">
        <f t="shared" si="37"/>
        <v/>
      </c>
      <c r="AI619" s="8" t="str">
        <f t="shared" si="38"/>
        <v/>
      </c>
      <c r="AJ619" s="8" t="str">
        <f t="shared" si="39"/>
        <v/>
      </c>
      <c r="AL619" s="8" t="str">
        <f t="shared" si="40"/>
        <v/>
      </c>
    </row>
    <row r="620" spans="1:38" x14ac:dyDescent="0.25">
      <c r="A620" s="8" t="s">
        <v>3447</v>
      </c>
      <c r="B620" s="8" t="s">
        <v>3448</v>
      </c>
      <c r="C620" s="8">
        <v>30898565</v>
      </c>
      <c r="D620" s="8">
        <v>5</v>
      </c>
      <c r="E620" s="11">
        <v>43111</v>
      </c>
      <c r="F620" s="8" t="s">
        <v>58</v>
      </c>
      <c r="G620" s="11">
        <v>43111</v>
      </c>
      <c r="H620" s="8" t="s">
        <v>25</v>
      </c>
      <c r="I620" s="11">
        <v>43111</v>
      </c>
      <c r="J620" s="8" t="s">
        <v>25</v>
      </c>
      <c r="N620" s="8" t="s">
        <v>58</v>
      </c>
      <c r="O620" s="8" t="s">
        <v>59</v>
      </c>
      <c r="P620" s="8" t="s">
        <v>59</v>
      </c>
      <c r="R620" s="8">
        <v>0</v>
      </c>
      <c r="S620" s="8">
        <v>0</v>
      </c>
      <c r="T620" s="8">
        <v>1</v>
      </c>
      <c r="U620" s="8">
        <v>2</v>
      </c>
      <c r="X620" s="8">
        <v>5</v>
      </c>
      <c r="AG620" s="8" t="str">
        <f t="shared" si="37"/>
        <v/>
      </c>
      <c r="AI620" s="8" t="str">
        <f t="shared" si="38"/>
        <v/>
      </c>
      <c r="AJ620" s="8" t="str">
        <f t="shared" si="39"/>
        <v/>
      </c>
      <c r="AL620" s="8" t="str">
        <f t="shared" si="40"/>
        <v/>
      </c>
    </row>
    <row r="621" spans="1:38" x14ac:dyDescent="0.25">
      <c r="A621" s="8" t="s">
        <v>4932</v>
      </c>
      <c r="B621" s="8" t="s">
        <v>4933</v>
      </c>
      <c r="C621" s="8">
        <v>30875033</v>
      </c>
      <c r="D621" s="8">
        <v>5</v>
      </c>
      <c r="E621" s="11">
        <v>43110</v>
      </c>
      <c r="F621" s="8" t="s">
        <v>57</v>
      </c>
      <c r="G621" s="11">
        <v>43112</v>
      </c>
      <c r="H621" s="8" t="s">
        <v>25</v>
      </c>
      <c r="J621" s="8" t="s">
        <v>25</v>
      </c>
      <c r="N621" s="8" t="s">
        <v>58</v>
      </c>
      <c r="O621" s="8" t="s">
        <v>59</v>
      </c>
      <c r="P621" s="8" t="s">
        <v>59</v>
      </c>
      <c r="R621" s="8">
        <v>0</v>
      </c>
      <c r="S621" s="8">
        <v>0</v>
      </c>
      <c r="T621" s="8">
        <v>1</v>
      </c>
      <c r="U621" s="8">
        <v>2</v>
      </c>
      <c r="AG621" s="8" t="str">
        <f t="shared" si="37"/>
        <v/>
      </c>
      <c r="AI621" s="8" t="str">
        <f t="shared" si="38"/>
        <v/>
      </c>
      <c r="AJ621" s="8" t="str">
        <f t="shared" si="39"/>
        <v/>
      </c>
      <c r="AL621" s="8" t="str">
        <f t="shared" si="40"/>
        <v/>
      </c>
    </row>
    <row r="622" spans="1:38" x14ac:dyDescent="0.25">
      <c r="A622" s="8" t="s">
        <v>931</v>
      </c>
      <c r="B622" s="8" t="s">
        <v>932</v>
      </c>
      <c r="C622" s="8">
        <v>30840637</v>
      </c>
      <c r="D622" s="8">
        <v>5</v>
      </c>
      <c r="E622" s="11">
        <v>43109</v>
      </c>
      <c r="F622" s="8" t="s">
        <v>58</v>
      </c>
      <c r="G622" s="11">
        <v>43109</v>
      </c>
      <c r="H622" s="8" t="s">
        <v>25</v>
      </c>
      <c r="I622" s="11">
        <v>43109</v>
      </c>
      <c r="J622" s="8" t="s">
        <v>25</v>
      </c>
      <c r="N622" s="8" t="s">
        <v>58</v>
      </c>
      <c r="O622" s="8" t="s">
        <v>59</v>
      </c>
      <c r="P622" s="8" t="s">
        <v>59</v>
      </c>
      <c r="R622" s="8">
        <v>0</v>
      </c>
      <c r="S622" s="8">
        <v>0</v>
      </c>
      <c r="T622" s="8">
        <v>1</v>
      </c>
      <c r="U622" s="8">
        <v>2</v>
      </c>
      <c r="X622" s="8">
        <v>5</v>
      </c>
      <c r="AG622" s="8" t="str">
        <f t="shared" si="37"/>
        <v/>
      </c>
      <c r="AI622" s="8" t="str">
        <f t="shared" si="38"/>
        <v/>
      </c>
      <c r="AJ622" s="8" t="str">
        <f t="shared" si="39"/>
        <v/>
      </c>
      <c r="AL622" s="8" t="str">
        <f t="shared" si="40"/>
        <v/>
      </c>
    </row>
    <row r="623" spans="1:38" x14ac:dyDescent="0.25">
      <c r="A623" s="8" t="s">
        <v>4934</v>
      </c>
      <c r="B623" s="8" t="s">
        <v>4935</v>
      </c>
      <c r="C623" s="8">
        <v>30882975</v>
      </c>
      <c r="D623" s="8">
        <v>5</v>
      </c>
      <c r="E623" s="11">
        <v>43111</v>
      </c>
      <c r="F623" s="8" t="s">
        <v>57</v>
      </c>
      <c r="G623" s="11">
        <v>43112</v>
      </c>
      <c r="H623" s="8" t="s">
        <v>25</v>
      </c>
      <c r="J623" s="8" t="s">
        <v>25</v>
      </c>
      <c r="N623" s="8" t="s">
        <v>58</v>
      </c>
      <c r="O623" s="8" t="s">
        <v>59</v>
      </c>
      <c r="P623" s="8" t="s">
        <v>59</v>
      </c>
      <c r="R623" s="8">
        <v>0</v>
      </c>
      <c r="S623" s="8">
        <v>0</v>
      </c>
      <c r="T623" s="8">
        <v>1</v>
      </c>
      <c r="U623" s="8">
        <v>2</v>
      </c>
      <c r="AG623" s="8" t="str">
        <f t="shared" si="37"/>
        <v/>
      </c>
      <c r="AI623" s="8" t="str">
        <f t="shared" si="38"/>
        <v/>
      </c>
      <c r="AJ623" s="8" t="str">
        <f t="shared" si="39"/>
        <v/>
      </c>
      <c r="AL623" s="8" t="str">
        <f t="shared" si="40"/>
        <v/>
      </c>
    </row>
    <row r="624" spans="1:38" x14ac:dyDescent="0.25">
      <c r="A624" s="8" t="s">
        <v>4936</v>
      </c>
      <c r="B624" s="8" t="s">
        <v>4937</v>
      </c>
      <c r="C624" s="8">
        <v>30864675</v>
      </c>
      <c r="D624" s="8">
        <v>5</v>
      </c>
      <c r="E624" s="11">
        <v>43110</v>
      </c>
      <c r="F624" s="8" t="s">
        <v>58</v>
      </c>
      <c r="G624" s="11">
        <v>43112</v>
      </c>
      <c r="H624" s="8" t="s">
        <v>25</v>
      </c>
      <c r="I624" s="11">
        <v>43112</v>
      </c>
      <c r="J624" s="8" t="s">
        <v>25</v>
      </c>
      <c r="N624" s="8" t="s">
        <v>58</v>
      </c>
      <c r="O624" s="8" t="s">
        <v>59</v>
      </c>
      <c r="P624" s="8" t="s">
        <v>59</v>
      </c>
      <c r="R624" s="8">
        <v>0</v>
      </c>
      <c r="S624" s="8">
        <v>0</v>
      </c>
      <c r="T624" s="8">
        <v>1</v>
      </c>
      <c r="U624" s="8">
        <v>2</v>
      </c>
      <c r="X624" s="8">
        <v>5</v>
      </c>
      <c r="AG624" s="8" t="str">
        <f t="shared" si="37"/>
        <v/>
      </c>
      <c r="AI624" s="8" t="str">
        <f t="shared" si="38"/>
        <v/>
      </c>
      <c r="AJ624" s="8" t="str">
        <f t="shared" si="39"/>
        <v/>
      </c>
      <c r="AL624" s="8" t="str">
        <f t="shared" si="40"/>
        <v/>
      </c>
    </row>
    <row r="625" spans="1:38" x14ac:dyDescent="0.25">
      <c r="A625" s="8" t="s">
        <v>3449</v>
      </c>
      <c r="B625" s="8" t="s">
        <v>3450</v>
      </c>
      <c r="C625" s="8">
        <v>30890975</v>
      </c>
      <c r="D625" s="8">
        <v>5</v>
      </c>
      <c r="E625" s="11">
        <v>43111</v>
      </c>
      <c r="F625" s="8" t="s">
        <v>57</v>
      </c>
      <c r="G625" s="11">
        <v>43111</v>
      </c>
      <c r="H625" s="8" t="s">
        <v>25</v>
      </c>
      <c r="J625" s="8" t="s">
        <v>25</v>
      </c>
      <c r="N625" s="8" t="s">
        <v>58</v>
      </c>
      <c r="O625" s="8" t="s">
        <v>59</v>
      </c>
      <c r="P625" s="8" t="s">
        <v>59</v>
      </c>
      <c r="R625" s="8">
        <v>0</v>
      </c>
      <c r="S625" s="8">
        <v>0</v>
      </c>
      <c r="T625" s="8">
        <v>1</v>
      </c>
      <c r="U625" s="8">
        <v>2</v>
      </c>
      <c r="AG625" s="8" t="str">
        <f t="shared" si="37"/>
        <v/>
      </c>
      <c r="AI625" s="8" t="str">
        <f t="shared" si="38"/>
        <v/>
      </c>
      <c r="AJ625" s="8" t="str">
        <f t="shared" si="39"/>
        <v/>
      </c>
      <c r="AL625" s="8" t="str">
        <f t="shared" si="40"/>
        <v/>
      </c>
    </row>
    <row r="626" spans="1:38" x14ac:dyDescent="0.25">
      <c r="A626" s="8" t="s">
        <v>4938</v>
      </c>
      <c r="B626" s="8" t="s">
        <v>4939</v>
      </c>
      <c r="C626" s="8">
        <v>30918797</v>
      </c>
      <c r="D626" s="8">
        <v>5</v>
      </c>
      <c r="E626" s="11">
        <v>43112</v>
      </c>
      <c r="F626" s="8" t="s">
        <v>58</v>
      </c>
      <c r="G626" s="11">
        <v>43112</v>
      </c>
      <c r="H626" s="8" t="s">
        <v>25</v>
      </c>
      <c r="I626" s="11">
        <v>43112</v>
      </c>
      <c r="J626" s="8" t="s">
        <v>25</v>
      </c>
      <c r="N626" s="8" t="s">
        <v>58</v>
      </c>
      <c r="O626" s="8" t="s">
        <v>59</v>
      </c>
      <c r="P626" s="8" t="s">
        <v>59</v>
      </c>
      <c r="R626" s="8">
        <v>0</v>
      </c>
      <c r="S626" s="8">
        <v>0</v>
      </c>
      <c r="T626" s="8">
        <v>1</v>
      </c>
      <c r="U626" s="8">
        <v>2</v>
      </c>
      <c r="X626" s="8">
        <v>5</v>
      </c>
      <c r="AG626" s="8" t="str">
        <f t="shared" si="37"/>
        <v/>
      </c>
      <c r="AI626" s="8" t="str">
        <f t="shared" si="38"/>
        <v/>
      </c>
      <c r="AJ626" s="8" t="str">
        <f t="shared" si="39"/>
        <v/>
      </c>
      <c r="AL626" s="8" t="str">
        <f t="shared" si="40"/>
        <v/>
      </c>
    </row>
    <row r="627" spans="1:38" x14ac:dyDescent="0.25">
      <c r="A627" s="8" t="s">
        <v>1860</v>
      </c>
      <c r="B627" s="8" t="s">
        <v>1861</v>
      </c>
      <c r="C627" s="8">
        <v>30836241</v>
      </c>
      <c r="D627" s="8">
        <v>5</v>
      </c>
      <c r="E627" s="11">
        <v>43109</v>
      </c>
      <c r="F627" s="8" t="s">
        <v>57</v>
      </c>
      <c r="G627" s="11">
        <v>43110</v>
      </c>
      <c r="H627" s="8" t="s">
        <v>25</v>
      </c>
      <c r="J627" s="8" t="s">
        <v>25</v>
      </c>
      <c r="N627" s="8" t="s">
        <v>58</v>
      </c>
      <c r="O627" s="8" t="s">
        <v>59</v>
      </c>
      <c r="P627" s="8" t="s">
        <v>59</v>
      </c>
      <c r="R627" s="8">
        <v>0</v>
      </c>
      <c r="S627" s="8">
        <v>0</v>
      </c>
      <c r="T627" s="8">
        <v>1</v>
      </c>
      <c r="U627" s="8">
        <v>2</v>
      </c>
      <c r="AG627" s="8" t="str">
        <f t="shared" si="37"/>
        <v/>
      </c>
      <c r="AI627" s="8" t="str">
        <f t="shared" si="38"/>
        <v/>
      </c>
      <c r="AJ627" s="8" t="str">
        <f t="shared" si="39"/>
        <v/>
      </c>
      <c r="AL627" s="8" t="str">
        <f t="shared" si="40"/>
        <v/>
      </c>
    </row>
    <row r="628" spans="1:38" x14ac:dyDescent="0.25">
      <c r="A628" s="8" t="s">
        <v>4940</v>
      </c>
      <c r="B628" s="8" t="s">
        <v>4941</v>
      </c>
      <c r="C628" s="8">
        <v>30906928</v>
      </c>
      <c r="D628" s="8">
        <v>5</v>
      </c>
      <c r="E628" s="11">
        <v>43112</v>
      </c>
      <c r="F628" s="8" t="s">
        <v>58</v>
      </c>
      <c r="G628" s="11">
        <v>43112</v>
      </c>
      <c r="H628" s="8" t="s">
        <v>25</v>
      </c>
      <c r="I628" s="11">
        <v>43115</v>
      </c>
      <c r="J628" s="8" t="s">
        <v>25</v>
      </c>
      <c r="N628" s="8" t="s">
        <v>58</v>
      </c>
      <c r="O628" s="8" t="s">
        <v>59</v>
      </c>
      <c r="P628" s="8" t="s">
        <v>59</v>
      </c>
      <c r="R628" s="8">
        <v>0</v>
      </c>
      <c r="S628" s="8">
        <v>0</v>
      </c>
      <c r="T628" s="8">
        <v>1</v>
      </c>
      <c r="U628" s="8">
        <v>2</v>
      </c>
      <c r="X628" s="8">
        <v>5</v>
      </c>
      <c r="AG628" s="8" t="str">
        <f t="shared" si="37"/>
        <v/>
      </c>
      <c r="AI628" s="8" t="str">
        <f t="shared" si="38"/>
        <v/>
      </c>
      <c r="AJ628" s="8" t="str">
        <f t="shared" si="39"/>
        <v/>
      </c>
      <c r="AL628" s="8" t="str">
        <f t="shared" si="40"/>
        <v/>
      </c>
    </row>
    <row r="629" spans="1:38" x14ac:dyDescent="0.25">
      <c r="A629" s="8" t="s">
        <v>4942</v>
      </c>
      <c r="B629" s="8" t="s">
        <v>4943</v>
      </c>
      <c r="C629" s="8">
        <v>30921700</v>
      </c>
      <c r="D629" s="8">
        <v>5</v>
      </c>
      <c r="E629" s="11">
        <v>43112</v>
      </c>
      <c r="F629" s="8" t="s">
        <v>57</v>
      </c>
      <c r="G629" s="11">
        <v>43112</v>
      </c>
      <c r="H629" s="8" t="s">
        <v>25</v>
      </c>
      <c r="J629" s="8" t="s">
        <v>25</v>
      </c>
      <c r="N629" s="8" t="s">
        <v>58</v>
      </c>
      <c r="O629" s="8" t="s">
        <v>59</v>
      </c>
      <c r="P629" s="8" t="s">
        <v>59</v>
      </c>
      <c r="R629" s="8">
        <v>0</v>
      </c>
      <c r="S629" s="8">
        <v>0</v>
      </c>
      <c r="T629" s="8">
        <v>1</v>
      </c>
      <c r="U629" s="8">
        <v>2</v>
      </c>
      <c r="AG629" s="8" t="str">
        <f t="shared" si="37"/>
        <v/>
      </c>
      <c r="AI629" s="8" t="str">
        <f t="shared" si="38"/>
        <v/>
      </c>
      <c r="AJ629" s="8" t="str">
        <f t="shared" si="39"/>
        <v/>
      </c>
      <c r="AL629" s="8" t="str">
        <f t="shared" si="40"/>
        <v/>
      </c>
    </row>
    <row r="630" spans="1:38" x14ac:dyDescent="0.25">
      <c r="A630" s="8" t="s">
        <v>6843</v>
      </c>
      <c r="B630" s="8" t="s">
        <v>6844</v>
      </c>
      <c r="C630" s="8">
        <v>30901789</v>
      </c>
      <c r="D630" s="8">
        <v>5</v>
      </c>
      <c r="E630" s="11">
        <v>43111</v>
      </c>
      <c r="F630" s="8" t="s">
        <v>57</v>
      </c>
      <c r="G630" s="11">
        <v>43115</v>
      </c>
      <c r="H630" s="8" t="s">
        <v>25</v>
      </c>
      <c r="J630" s="8" t="s">
        <v>25</v>
      </c>
      <c r="N630" s="8" t="s">
        <v>58</v>
      </c>
      <c r="O630" s="8" t="s">
        <v>59</v>
      </c>
      <c r="P630" s="8" t="s">
        <v>59</v>
      </c>
      <c r="R630" s="8">
        <v>0</v>
      </c>
      <c r="S630" s="8">
        <v>0</v>
      </c>
      <c r="T630" s="8">
        <v>1</v>
      </c>
      <c r="U630" s="8">
        <v>2</v>
      </c>
      <c r="AG630" s="8" t="str">
        <f t="shared" si="37"/>
        <v/>
      </c>
      <c r="AI630" s="8" t="str">
        <f t="shared" si="38"/>
        <v/>
      </c>
      <c r="AJ630" s="8" t="str">
        <f t="shared" si="39"/>
        <v/>
      </c>
      <c r="AL630" s="8" t="str">
        <f t="shared" si="40"/>
        <v/>
      </c>
    </row>
    <row r="631" spans="1:38" x14ac:dyDescent="0.25">
      <c r="A631" s="8" t="s">
        <v>3451</v>
      </c>
      <c r="B631" s="8" t="s">
        <v>3452</v>
      </c>
      <c r="C631" s="8">
        <v>30869615</v>
      </c>
      <c r="D631" s="8">
        <v>5</v>
      </c>
      <c r="E631" s="11">
        <v>43110</v>
      </c>
      <c r="F631" s="8" t="s">
        <v>57</v>
      </c>
      <c r="G631" s="11">
        <v>43111</v>
      </c>
      <c r="H631" s="8" t="s">
        <v>25</v>
      </c>
      <c r="J631" s="8" t="s">
        <v>25</v>
      </c>
      <c r="N631" s="8" t="s">
        <v>58</v>
      </c>
      <c r="O631" s="8" t="s">
        <v>59</v>
      </c>
      <c r="P631" s="8" t="s">
        <v>59</v>
      </c>
      <c r="R631" s="8">
        <v>0</v>
      </c>
      <c r="S631" s="8">
        <v>0</v>
      </c>
      <c r="T631" s="8">
        <v>1</v>
      </c>
      <c r="U631" s="8">
        <v>2</v>
      </c>
      <c r="AG631" s="8" t="str">
        <f t="shared" si="37"/>
        <v/>
      </c>
      <c r="AI631" s="8" t="str">
        <f t="shared" si="38"/>
        <v/>
      </c>
      <c r="AJ631" s="8" t="str">
        <f t="shared" si="39"/>
        <v/>
      </c>
      <c r="AL631" s="8" t="str">
        <f t="shared" si="40"/>
        <v/>
      </c>
    </row>
    <row r="632" spans="1:38" x14ac:dyDescent="0.25">
      <c r="A632" s="8" t="s">
        <v>933</v>
      </c>
      <c r="B632" s="8" t="s">
        <v>934</v>
      </c>
      <c r="C632" s="8">
        <v>30846494</v>
      </c>
      <c r="D632" s="8">
        <v>5</v>
      </c>
      <c r="E632" s="11">
        <v>43109</v>
      </c>
      <c r="F632" s="8" t="s">
        <v>58</v>
      </c>
      <c r="G632" s="11">
        <v>43109</v>
      </c>
      <c r="H632" s="8" t="s">
        <v>25</v>
      </c>
      <c r="I632" s="11">
        <v>43109</v>
      </c>
      <c r="J632" s="8" t="s">
        <v>25</v>
      </c>
      <c r="N632" s="8" t="s">
        <v>58</v>
      </c>
      <c r="O632" s="8" t="s">
        <v>59</v>
      </c>
      <c r="P632" s="8" t="s">
        <v>59</v>
      </c>
      <c r="R632" s="8">
        <v>0</v>
      </c>
      <c r="S632" s="8">
        <v>0</v>
      </c>
      <c r="T632" s="8">
        <v>1</v>
      </c>
      <c r="U632" s="8">
        <v>2</v>
      </c>
      <c r="X632" s="8">
        <v>5</v>
      </c>
      <c r="AG632" s="8" t="str">
        <f t="shared" si="37"/>
        <v/>
      </c>
      <c r="AI632" s="8" t="str">
        <f t="shared" si="38"/>
        <v/>
      </c>
      <c r="AJ632" s="8" t="str">
        <f t="shared" si="39"/>
        <v/>
      </c>
      <c r="AL632" s="8" t="str">
        <f t="shared" si="40"/>
        <v/>
      </c>
    </row>
    <row r="633" spans="1:38" x14ac:dyDescent="0.25">
      <c r="A633" s="8" t="s">
        <v>6845</v>
      </c>
      <c r="B633" s="8" t="s">
        <v>6846</v>
      </c>
      <c r="C633" s="8">
        <v>30868674</v>
      </c>
      <c r="D633" s="8">
        <v>5</v>
      </c>
      <c r="E633" s="11">
        <v>43110</v>
      </c>
      <c r="F633" s="8" t="s">
        <v>57</v>
      </c>
      <c r="G633" s="11">
        <v>43115</v>
      </c>
      <c r="H633" s="8" t="s">
        <v>145</v>
      </c>
      <c r="J633" s="8" t="s">
        <v>25</v>
      </c>
      <c r="N633" s="8" t="s">
        <v>58</v>
      </c>
      <c r="O633" s="8" t="s">
        <v>59</v>
      </c>
      <c r="P633" s="8" t="s">
        <v>59</v>
      </c>
      <c r="R633" s="8">
        <v>0</v>
      </c>
      <c r="S633" s="8">
        <v>0</v>
      </c>
      <c r="T633" s="8">
        <v>1</v>
      </c>
      <c r="U633" s="8">
        <v>2</v>
      </c>
      <c r="AG633" s="8" t="str">
        <f t="shared" si="37"/>
        <v/>
      </c>
      <c r="AI633" s="8" t="str">
        <f t="shared" si="38"/>
        <v/>
      </c>
      <c r="AJ633" s="8" t="str">
        <f t="shared" si="39"/>
        <v/>
      </c>
      <c r="AL633" s="8" t="str">
        <f t="shared" si="40"/>
        <v/>
      </c>
    </row>
    <row r="634" spans="1:38" x14ac:dyDescent="0.25">
      <c r="A634" s="8" t="s">
        <v>1862</v>
      </c>
      <c r="B634" s="8" t="s">
        <v>1863</v>
      </c>
      <c r="C634" s="8">
        <v>30833859</v>
      </c>
      <c r="D634" s="8">
        <v>5</v>
      </c>
      <c r="E634" s="11">
        <v>43109</v>
      </c>
      <c r="F634" s="8" t="s">
        <v>57</v>
      </c>
      <c r="G634" s="11">
        <v>43110</v>
      </c>
      <c r="H634" s="8" t="s">
        <v>25</v>
      </c>
      <c r="J634" s="8" t="s">
        <v>25</v>
      </c>
      <c r="N634" s="8" t="s">
        <v>58</v>
      </c>
      <c r="O634" s="8" t="s">
        <v>59</v>
      </c>
      <c r="P634" s="8" t="s">
        <v>59</v>
      </c>
      <c r="R634" s="8">
        <v>0</v>
      </c>
      <c r="S634" s="8">
        <v>0</v>
      </c>
      <c r="T634" s="8">
        <v>1</v>
      </c>
      <c r="U634" s="8">
        <v>2</v>
      </c>
      <c r="AG634" s="8" t="str">
        <f t="shared" si="37"/>
        <v/>
      </c>
      <c r="AI634" s="8" t="str">
        <f t="shared" si="38"/>
        <v/>
      </c>
      <c r="AJ634" s="8" t="str">
        <f t="shared" si="39"/>
        <v/>
      </c>
      <c r="AL634" s="8" t="str">
        <f t="shared" si="40"/>
        <v/>
      </c>
    </row>
    <row r="635" spans="1:38" x14ac:dyDescent="0.25">
      <c r="A635" s="8" t="s">
        <v>1864</v>
      </c>
      <c r="B635" s="8" t="s">
        <v>1865</v>
      </c>
      <c r="C635" s="8">
        <v>30870755</v>
      </c>
      <c r="D635" s="8">
        <v>5</v>
      </c>
      <c r="E635" s="11">
        <v>43110</v>
      </c>
      <c r="F635" s="8" t="s">
        <v>58</v>
      </c>
      <c r="G635" s="11">
        <v>43110</v>
      </c>
      <c r="H635" s="8" t="s">
        <v>25</v>
      </c>
      <c r="I635" s="11">
        <v>43110</v>
      </c>
      <c r="J635" s="8" t="s">
        <v>25</v>
      </c>
      <c r="N635" s="8" t="s">
        <v>58</v>
      </c>
      <c r="O635" s="8" t="s">
        <v>59</v>
      </c>
      <c r="P635" s="8" t="s">
        <v>59</v>
      </c>
      <c r="R635" s="8">
        <v>0</v>
      </c>
      <c r="S635" s="8">
        <v>0</v>
      </c>
      <c r="T635" s="8">
        <v>1</v>
      </c>
      <c r="U635" s="8">
        <v>2</v>
      </c>
      <c r="X635" s="8">
        <v>5</v>
      </c>
      <c r="AG635" s="8" t="str">
        <f t="shared" si="37"/>
        <v/>
      </c>
      <c r="AI635" s="8" t="str">
        <f t="shared" si="38"/>
        <v/>
      </c>
      <c r="AJ635" s="8" t="str">
        <f t="shared" si="39"/>
        <v/>
      </c>
      <c r="AL635" s="8" t="str">
        <f t="shared" si="40"/>
        <v/>
      </c>
    </row>
    <row r="636" spans="1:38" x14ac:dyDescent="0.25">
      <c r="A636" s="8" t="s">
        <v>258</v>
      </c>
      <c r="B636" s="8" t="s">
        <v>259</v>
      </c>
      <c r="C636" s="8">
        <v>30809766</v>
      </c>
      <c r="D636" s="8">
        <v>5</v>
      </c>
      <c r="E636" s="11">
        <v>43108</v>
      </c>
      <c r="F636" s="8" t="s">
        <v>58</v>
      </c>
      <c r="G636" s="11">
        <v>43108</v>
      </c>
      <c r="H636" s="8" t="s">
        <v>25</v>
      </c>
      <c r="I636" s="11">
        <v>43108</v>
      </c>
      <c r="J636" s="8" t="s">
        <v>25</v>
      </c>
      <c r="N636" s="8" t="s">
        <v>58</v>
      </c>
      <c r="O636" s="8" t="s">
        <v>59</v>
      </c>
      <c r="P636" s="8" t="s">
        <v>59</v>
      </c>
      <c r="R636" s="8">
        <v>0</v>
      </c>
      <c r="S636" s="8">
        <v>0</v>
      </c>
      <c r="T636" s="8">
        <v>1</v>
      </c>
      <c r="U636" s="8">
        <v>2</v>
      </c>
      <c r="X636" s="8">
        <v>5</v>
      </c>
      <c r="AG636" s="8" t="str">
        <f t="shared" si="37"/>
        <v/>
      </c>
      <c r="AI636" s="8" t="str">
        <f t="shared" si="38"/>
        <v/>
      </c>
      <c r="AJ636" s="8" t="str">
        <f t="shared" si="39"/>
        <v/>
      </c>
      <c r="AL636" s="8" t="str">
        <f t="shared" si="40"/>
        <v/>
      </c>
    </row>
    <row r="637" spans="1:38" x14ac:dyDescent="0.25">
      <c r="A637" s="8" t="s">
        <v>6847</v>
      </c>
      <c r="B637" s="8" t="s">
        <v>6848</v>
      </c>
      <c r="C637" s="8">
        <v>30846018</v>
      </c>
      <c r="D637" s="8">
        <v>5</v>
      </c>
      <c r="E637" s="11">
        <v>43109</v>
      </c>
      <c r="F637" s="8" t="s">
        <v>57</v>
      </c>
      <c r="G637" s="11">
        <v>43115</v>
      </c>
      <c r="H637" s="8" t="s">
        <v>145</v>
      </c>
      <c r="J637" s="8" t="s">
        <v>25</v>
      </c>
      <c r="N637" s="8" t="s">
        <v>58</v>
      </c>
      <c r="O637" s="8" t="s">
        <v>59</v>
      </c>
      <c r="P637" s="8" t="s">
        <v>59</v>
      </c>
      <c r="R637" s="8">
        <v>0</v>
      </c>
      <c r="S637" s="8">
        <v>0</v>
      </c>
      <c r="T637" s="8">
        <v>1</v>
      </c>
      <c r="U637" s="8">
        <v>2</v>
      </c>
      <c r="AG637" s="8" t="str">
        <f t="shared" si="37"/>
        <v/>
      </c>
      <c r="AI637" s="8" t="str">
        <f t="shared" si="38"/>
        <v/>
      </c>
      <c r="AJ637" s="8" t="str">
        <f t="shared" si="39"/>
        <v/>
      </c>
      <c r="AL637" s="8" t="str">
        <f t="shared" si="40"/>
        <v/>
      </c>
    </row>
    <row r="638" spans="1:38" x14ac:dyDescent="0.25">
      <c r="A638" s="8" t="s">
        <v>260</v>
      </c>
      <c r="B638" s="8" t="s">
        <v>261</v>
      </c>
      <c r="C638" s="8">
        <v>30820045</v>
      </c>
      <c r="D638" s="8">
        <v>5</v>
      </c>
      <c r="E638" s="11">
        <v>43108</v>
      </c>
      <c r="F638" s="8" t="s">
        <v>58</v>
      </c>
      <c r="G638" s="11">
        <v>43108</v>
      </c>
      <c r="H638" s="8" t="s">
        <v>25</v>
      </c>
      <c r="I638" s="11">
        <v>43110</v>
      </c>
      <c r="J638" s="8" t="s">
        <v>25</v>
      </c>
      <c r="N638" s="8" t="s">
        <v>58</v>
      </c>
      <c r="O638" s="8" t="s">
        <v>59</v>
      </c>
      <c r="P638" s="8" t="s">
        <v>59</v>
      </c>
      <c r="R638" s="8">
        <v>0</v>
      </c>
      <c r="S638" s="8">
        <v>0</v>
      </c>
      <c r="T638" s="8">
        <v>1</v>
      </c>
      <c r="U638" s="8">
        <v>2</v>
      </c>
      <c r="X638" s="8">
        <v>5</v>
      </c>
      <c r="AG638" s="8" t="str">
        <f t="shared" si="37"/>
        <v/>
      </c>
      <c r="AI638" s="8" t="str">
        <f t="shared" si="38"/>
        <v/>
      </c>
      <c r="AJ638" s="8" t="str">
        <f t="shared" si="39"/>
        <v/>
      </c>
      <c r="AL638" s="8" t="str">
        <f t="shared" si="40"/>
        <v/>
      </c>
    </row>
    <row r="639" spans="1:38" x14ac:dyDescent="0.25">
      <c r="A639" s="8" t="s">
        <v>935</v>
      </c>
      <c r="B639" s="8" t="s">
        <v>936</v>
      </c>
      <c r="C639" s="8">
        <v>30837127</v>
      </c>
      <c r="D639" s="8">
        <v>5</v>
      </c>
      <c r="E639" s="11">
        <v>43109</v>
      </c>
      <c r="F639" s="8" t="s">
        <v>57</v>
      </c>
      <c r="G639" s="11">
        <v>43109</v>
      </c>
      <c r="H639" s="8" t="s">
        <v>25</v>
      </c>
      <c r="J639" s="8" t="s">
        <v>25</v>
      </c>
      <c r="N639" s="8" t="s">
        <v>58</v>
      </c>
      <c r="O639" s="8" t="s">
        <v>59</v>
      </c>
      <c r="P639" s="8" t="s">
        <v>59</v>
      </c>
      <c r="R639" s="8">
        <v>0</v>
      </c>
      <c r="S639" s="8">
        <v>0</v>
      </c>
      <c r="T639" s="8">
        <v>1</v>
      </c>
      <c r="U639" s="8">
        <v>2</v>
      </c>
      <c r="AG639" s="8" t="str">
        <f t="shared" si="37"/>
        <v/>
      </c>
      <c r="AI639" s="8" t="str">
        <f t="shared" si="38"/>
        <v/>
      </c>
      <c r="AJ639" s="8" t="str">
        <f t="shared" si="39"/>
        <v/>
      </c>
      <c r="AL639" s="8" t="str">
        <f t="shared" si="40"/>
        <v/>
      </c>
    </row>
    <row r="640" spans="1:38" x14ac:dyDescent="0.25">
      <c r="A640" s="8" t="s">
        <v>6849</v>
      </c>
      <c r="B640" s="8" t="s">
        <v>6850</v>
      </c>
      <c r="C640" s="8">
        <v>30860120</v>
      </c>
      <c r="D640" s="8">
        <v>5</v>
      </c>
      <c r="E640" s="11">
        <v>43110</v>
      </c>
      <c r="F640" s="8" t="s">
        <v>57</v>
      </c>
      <c r="G640" s="11">
        <v>43115</v>
      </c>
      <c r="H640" s="8" t="s">
        <v>145</v>
      </c>
      <c r="J640" s="8" t="s">
        <v>25</v>
      </c>
      <c r="N640" s="8" t="s">
        <v>58</v>
      </c>
      <c r="O640" s="8" t="s">
        <v>59</v>
      </c>
      <c r="P640" s="8" t="s">
        <v>59</v>
      </c>
      <c r="R640" s="8">
        <v>0</v>
      </c>
      <c r="S640" s="8">
        <v>0</v>
      </c>
      <c r="T640" s="8">
        <v>1</v>
      </c>
      <c r="U640" s="8">
        <v>2</v>
      </c>
      <c r="AG640" s="8" t="str">
        <f t="shared" si="37"/>
        <v/>
      </c>
      <c r="AI640" s="8" t="str">
        <f t="shared" si="38"/>
        <v/>
      </c>
      <c r="AJ640" s="8" t="str">
        <f t="shared" si="39"/>
        <v/>
      </c>
      <c r="AL640" s="8" t="str">
        <f t="shared" si="40"/>
        <v/>
      </c>
    </row>
    <row r="641" spans="1:38" x14ac:dyDescent="0.25">
      <c r="A641" s="8" t="s">
        <v>4944</v>
      </c>
      <c r="B641" s="8" t="s">
        <v>4945</v>
      </c>
      <c r="C641" s="8">
        <v>30822503</v>
      </c>
      <c r="D641" s="8">
        <v>5</v>
      </c>
      <c r="E641" s="11">
        <v>43108</v>
      </c>
      <c r="F641" s="8" t="s">
        <v>57</v>
      </c>
      <c r="G641" s="11">
        <v>43112</v>
      </c>
      <c r="H641" s="8" t="s">
        <v>145</v>
      </c>
      <c r="J641" s="8" t="s">
        <v>25</v>
      </c>
      <c r="N641" s="8" t="s">
        <v>58</v>
      </c>
      <c r="O641" s="8" t="s">
        <v>59</v>
      </c>
      <c r="P641" s="8" t="s">
        <v>59</v>
      </c>
      <c r="R641" s="8">
        <v>0</v>
      </c>
      <c r="S641" s="8">
        <v>0</v>
      </c>
      <c r="T641" s="8">
        <v>1</v>
      </c>
      <c r="U641" s="8">
        <v>2</v>
      </c>
      <c r="AG641" s="8" t="str">
        <f t="shared" si="37"/>
        <v/>
      </c>
      <c r="AI641" s="8" t="str">
        <f t="shared" si="38"/>
        <v/>
      </c>
      <c r="AJ641" s="8" t="str">
        <f t="shared" si="39"/>
        <v/>
      </c>
      <c r="AL641" s="8" t="str">
        <f t="shared" si="40"/>
        <v/>
      </c>
    </row>
    <row r="642" spans="1:38" x14ac:dyDescent="0.25">
      <c r="A642" s="8" t="s">
        <v>4946</v>
      </c>
      <c r="B642" s="8" t="s">
        <v>4947</v>
      </c>
      <c r="C642" s="8">
        <v>30837491</v>
      </c>
      <c r="D642" s="8">
        <v>5</v>
      </c>
      <c r="E642" s="11">
        <v>43109</v>
      </c>
      <c r="F642" s="8" t="s">
        <v>57</v>
      </c>
      <c r="G642" s="11">
        <v>43115</v>
      </c>
      <c r="H642" s="8" t="s">
        <v>145</v>
      </c>
      <c r="J642" s="8" t="s">
        <v>25</v>
      </c>
      <c r="N642" s="8" t="s">
        <v>58</v>
      </c>
      <c r="O642" s="8" t="s">
        <v>59</v>
      </c>
      <c r="P642" s="8" t="s">
        <v>59</v>
      </c>
      <c r="R642" s="8">
        <v>0</v>
      </c>
      <c r="S642" s="8">
        <v>0</v>
      </c>
      <c r="T642" s="8">
        <v>1</v>
      </c>
      <c r="U642" s="8">
        <v>2</v>
      </c>
      <c r="AG642" s="8" t="str">
        <f t="shared" si="37"/>
        <v/>
      </c>
      <c r="AI642" s="8" t="str">
        <f t="shared" si="38"/>
        <v/>
      </c>
      <c r="AJ642" s="8" t="str">
        <f t="shared" si="39"/>
        <v/>
      </c>
      <c r="AL642" s="8" t="str">
        <f t="shared" si="40"/>
        <v/>
      </c>
    </row>
    <row r="643" spans="1:38" x14ac:dyDescent="0.25">
      <c r="A643" s="8" t="s">
        <v>4948</v>
      </c>
      <c r="B643" s="8" t="s">
        <v>4949</v>
      </c>
      <c r="C643" s="8">
        <v>30828547</v>
      </c>
      <c r="D643" s="8">
        <v>5</v>
      </c>
      <c r="E643" s="11">
        <v>43108</v>
      </c>
      <c r="F643" s="8" t="s">
        <v>57</v>
      </c>
      <c r="G643" s="11">
        <v>43112</v>
      </c>
      <c r="H643" s="8" t="s">
        <v>145</v>
      </c>
      <c r="J643" s="8" t="s">
        <v>25</v>
      </c>
      <c r="N643" s="8" t="s">
        <v>58</v>
      </c>
      <c r="O643" s="8" t="s">
        <v>59</v>
      </c>
      <c r="P643" s="8" t="s">
        <v>59</v>
      </c>
      <c r="R643" s="8">
        <v>0</v>
      </c>
      <c r="S643" s="8">
        <v>0</v>
      </c>
      <c r="T643" s="8">
        <v>1</v>
      </c>
      <c r="U643" s="8">
        <v>2</v>
      </c>
      <c r="AG643" s="8" t="str">
        <f t="shared" ref="AG643:AG706" si="41">IF(AND(U643="",G643&lt;&gt;"",NOT(OR(R643,S643))),IF(NETWORKDAYS.INTL(G643,TODAY(),11)&lt;5,"En Plazo",IF(NETWORKDAYS.INTL(G643,TODAY(),11)=5,"Riesgo Incumplimiento","FALTA_02")),"")</f>
        <v/>
      </c>
      <c r="AI643" s="8" t="str">
        <f t="shared" ref="AI643:AI706" si="42">IF(AND(O643&lt;&gt;"B1",F643="Rejected"),IF(W643="","FALTA_04",""),"")</f>
        <v/>
      </c>
      <c r="AJ643" s="8" t="str">
        <f t="shared" ref="AJ643:AJ706" si="43">IF(AND(X643="",I643&lt;&gt;"",NOT(OR(R643,S643))),IF(NETWORKDAYS.INTL(G643,TODAY(),11)&lt;=1,"En Plazo",IF(OR(AND(X643="",O643&lt;&gt;"M1"),AND(O643="M1",(OR(Q643="S - S",Q643="S - T",)))),"FALTA_05","")),"")</f>
        <v/>
      </c>
      <c r="AL643" s="8" t="str">
        <f t="shared" ref="AL643:AL706" si="44">IF(AND(O643="B1",F643="Rejected"),IF(Z643="","FALTA_07",""),"")</f>
        <v/>
      </c>
    </row>
    <row r="644" spans="1:38" x14ac:dyDescent="0.25">
      <c r="A644" s="8" t="s">
        <v>6851</v>
      </c>
      <c r="B644" s="8" t="s">
        <v>6852</v>
      </c>
      <c r="C644" s="8">
        <v>30943465</v>
      </c>
      <c r="D644" s="8">
        <v>5</v>
      </c>
      <c r="E644" s="11">
        <v>43115</v>
      </c>
      <c r="F644" s="8" t="s">
        <v>58</v>
      </c>
      <c r="G644" s="11">
        <v>43115</v>
      </c>
      <c r="H644" s="8" t="s">
        <v>25</v>
      </c>
      <c r="I644" s="11">
        <v>43115</v>
      </c>
      <c r="J644" s="8" t="s">
        <v>25</v>
      </c>
      <c r="N644" s="8" t="s">
        <v>58</v>
      </c>
      <c r="O644" s="8" t="s">
        <v>59</v>
      </c>
      <c r="P644" s="8" t="s">
        <v>59</v>
      </c>
      <c r="R644" s="8">
        <v>0</v>
      </c>
      <c r="S644" s="8">
        <v>0</v>
      </c>
      <c r="T644" s="8">
        <v>1</v>
      </c>
      <c r="U644" s="8">
        <v>2</v>
      </c>
      <c r="X644" s="8">
        <v>5</v>
      </c>
      <c r="AG644" s="8" t="str">
        <f t="shared" si="41"/>
        <v/>
      </c>
      <c r="AI644" s="8" t="str">
        <f t="shared" si="42"/>
        <v/>
      </c>
      <c r="AJ644" s="8" t="str">
        <f t="shared" si="43"/>
        <v/>
      </c>
      <c r="AL644" s="8" t="str">
        <f t="shared" si="44"/>
        <v/>
      </c>
    </row>
    <row r="645" spans="1:38" x14ac:dyDescent="0.25">
      <c r="A645" s="8" t="s">
        <v>4950</v>
      </c>
      <c r="B645" s="8" t="s">
        <v>4951</v>
      </c>
      <c r="C645" s="8">
        <v>30913292</v>
      </c>
      <c r="D645" s="8">
        <v>5</v>
      </c>
      <c r="E645" s="11">
        <v>43112</v>
      </c>
      <c r="F645" s="8" t="s">
        <v>57</v>
      </c>
      <c r="G645" s="11">
        <v>43112</v>
      </c>
      <c r="H645" s="8" t="s">
        <v>25</v>
      </c>
      <c r="J645" s="8" t="s">
        <v>25</v>
      </c>
      <c r="N645" s="8" t="s">
        <v>58</v>
      </c>
      <c r="O645" s="8" t="s">
        <v>59</v>
      </c>
      <c r="P645" s="8" t="s">
        <v>59</v>
      </c>
      <c r="R645" s="8">
        <v>0</v>
      </c>
      <c r="S645" s="8">
        <v>0</v>
      </c>
      <c r="T645" s="8">
        <v>1</v>
      </c>
      <c r="U645" s="8">
        <v>2</v>
      </c>
      <c r="AG645" s="8" t="str">
        <f t="shared" si="41"/>
        <v/>
      </c>
      <c r="AI645" s="8" t="str">
        <f t="shared" si="42"/>
        <v/>
      </c>
      <c r="AJ645" s="8" t="str">
        <f t="shared" si="43"/>
        <v/>
      </c>
      <c r="AL645" s="8" t="str">
        <f t="shared" si="44"/>
        <v/>
      </c>
    </row>
    <row r="646" spans="1:38" x14ac:dyDescent="0.25">
      <c r="A646" s="8" t="s">
        <v>4952</v>
      </c>
      <c r="B646" s="8" t="s">
        <v>4953</v>
      </c>
      <c r="C646" s="8">
        <v>30882625</v>
      </c>
      <c r="D646" s="8">
        <v>5</v>
      </c>
      <c r="E646" s="11">
        <v>43111</v>
      </c>
      <c r="F646" s="8" t="s">
        <v>57</v>
      </c>
      <c r="G646" s="11">
        <v>43112</v>
      </c>
      <c r="H646" s="8" t="s">
        <v>25</v>
      </c>
      <c r="J646" s="8" t="s">
        <v>25</v>
      </c>
      <c r="N646" s="8" t="s">
        <v>58</v>
      </c>
      <c r="O646" s="8" t="s">
        <v>59</v>
      </c>
      <c r="P646" s="8" t="s">
        <v>59</v>
      </c>
      <c r="R646" s="8">
        <v>0</v>
      </c>
      <c r="S646" s="8">
        <v>0</v>
      </c>
      <c r="T646" s="8">
        <v>1</v>
      </c>
      <c r="U646" s="8">
        <v>2</v>
      </c>
      <c r="AG646" s="8" t="str">
        <f t="shared" si="41"/>
        <v/>
      </c>
      <c r="AI646" s="8" t="str">
        <f t="shared" si="42"/>
        <v/>
      </c>
      <c r="AJ646" s="8" t="str">
        <f t="shared" si="43"/>
        <v/>
      </c>
      <c r="AL646" s="8" t="str">
        <f t="shared" si="44"/>
        <v/>
      </c>
    </row>
    <row r="647" spans="1:38" x14ac:dyDescent="0.25">
      <c r="A647" s="8" t="s">
        <v>4954</v>
      </c>
      <c r="B647" s="8" t="s">
        <v>4955</v>
      </c>
      <c r="C647" s="8">
        <v>30833845</v>
      </c>
      <c r="D647" s="8">
        <v>5</v>
      </c>
      <c r="E647" s="11">
        <v>43109</v>
      </c>
      <c r="F647" s="8" t="s">
        <v>57</v>
      </c>
      <c r="G647" s="11">
        <v>43115</v>
      </c>
      <c r="H647" s="8" t="s">
        <v>145</v>
      </c>
      <c r="J647" s="8" t="s">
        <v>25</v>
      </c>
      <c r="N647" s="8" t="s">
        <v>58</v>
      </c>
      <c r="O647" s="8" t="s">
        <v>59</v>
      </c>
      <c r="P647" s="8" t="s">
        <v>59</v>
      </c>
      <c r="R647" s="8">
        <v>0</v>
      </c>
      <c r="S647" s="8">
        <v>0</v>
      </c>
      <c r="T647" s="8">
        <v>1</v>
      </c>
      <c r="U647" s="8">
        <v>2</v>
      </c>
      <c r="AG647" s="8" t="str">
        <f t="shared" si="41"/>
        <v/>
      </c>
      <c r="AI647" s="8" t="str">
        <f t="shared" si="42"/>
        <v/>
      </c>
      <c r="AJ647" s="8" t="str">
        <f t="shared" si="43"/>
        <v/>
      </c>
      <c r="AL647" s="8" t="str">
        <f t="shared" si="44"/>
        <v/>
      </c>
    </row>
    <row r="648" spans="1:38" x14ac:dyDescent="0.25">
      <c r="A648" s="8" t="s">
        <v>1866</v>
      </c>
      <c r="B648" s="8" t="s">
        <v>1867</v>
      </c>
      <c r="C648" s="8">
        <v>30811946</v>
      </c>
      <c r="D648" s="8">
        <v>5</v>
      </c>
      <c r="E648" s="11">
        <v>43108</v>
      </c>
      <c r="F648" s="8" t="s">
        <v>58</v>
      </c>
      <c r="G648" s="11">
        <v>43110</v>
      </c>
      <c r="H648" s="8" t="s">
        <v>25</v>
      </c>
      <c r="I648" s="11">
        <v>43115</v>
      </c>
      <c r="J648" s="8" t="s">
        <v>145</v>
      </c>
      <c r="N648" s="8" t="s">
        <v>58</v>
      </c>
      <c r="O648" s="8" t="s">
        <v>59</v>
      </c>
      <c r="P648" s="8" t="s">
        <v>59</v>
      </c>
      <c r="R648" s="8">
        <v>0</v>
      </c>
      <c r="S648" s="8">
        <v>0</v>
      </c>
      <c r="T648" s="8">
        <v>1</v>
      </c>
      <c r="U648" s="8">
        <v>2</v>
      </c>
      <c r="X648" s="8">
        <v>5</v>
      </c>
      <c r="AG648" s="8" t="str">
        <f t="shared" si="41"/>
        <v/>
      </c>
      <c r="AI648" s="8" t="str">
        <f t="shared" si="42"/>
        <v/>
      </c>
      <c r="AJ648" s="8" t="str">
        <f t="shared" si="43"/>
        <v/>
      </c>
      <c r="AL648" s="8" t="str">
        <f t="shared" si="44"/>
        <v/>
      </c>
    </row>
    <row r="649" spans="1:38" x14ac:dyDescent="0.25">
      <c r="A649" s="8" t="s">
        <v>4956</v>
      </c>
      <c r="B649" s="8" t="s">
        <v>4957</v>
      </c>
      <c r="C649" s="8">
        <v>30837246</v>
      </c>
      <c r="D649" s="8">
        <v>5</v>
      </c>
      <c r="E649" s="11">
        <v>43109</v>
      </c>
      <c r="F649" s="8" t="s">
        <v>57</v>
      </c>
      <c r="G649" s="11">
        <v>43115</v>
      </c>
      <c r="H649" s="8" t="s">
        <v>145</v>
      </c>
      <c r="J649" s="8" t="s">
        <v>25</v>
      </c>
      <c r="N649" s="8" t="s">
        <v>58</v>
      </c>
      <c r="O649" s="8" t="s">
        <v>59</v>
      </c>
      <c r="P649" s="8" t="s">
        <v>59</v>
      </c>
      <c r="R649" s="8">
        <v>0</v>
      </c>
      <c r="S649" s="8">
        <v>0</v>
      </c>
      <c r="T649" s="8">
        <v>1</v>
      </c>
      <c r="U649" s="8">
        <v>2</v>
      </c>
      <c r="AG649" s="8" t="str">
        <f t="shared" si="41"/>
        <v/>
      </c>
      <c r="AI649" s="8" t="str">
        <f t="shared" si="42"/>
        <v/>
      </c>
      <c r="AJ649" s="8" t="str">
        <f t="shared" si="43"/>
        <v/>
      </c>
      <c r="AL649" s="8" t="str">
        <f t="shared" si="44"/>
        <v/>
      </c>
    </row>
    <row r="650" spans="1:38" x14ac:dyDescent="0.25">
      <c r="A650" s="8" t="s">
        <v>4958</v>
      </c>
      <c r="B650" s="8" t="s">
        <v>4959</v>
      </c>
      <c r="C650" s="8">
        <v>30820586</v>
      </c>
      <c r="D650" s="8">
        <v>5</v>
      </c>
      <c r="E650" s="11">
        <v>43108</v>
      </c>
      <c r="F650" s="8" t="s">
        <v>57</v>
      </c>
      <c r="G650" s="11">
        <v>43112</v>
      </c>
      <c r="H650" s="8" t="s">
        <v>145</v>
      </c>
      <c r="J650" s="8" t="s">
        <v>25</v>
      </c>
      <c r="N650" s="8" t="s">
        <v>58</v>
      </c>
      <c r="O650" s="8" t="s">
        <v>59</v>
      </c>
      <c r="P650" s="8" t="s">
        <v>59</v>
      </c>
      <c r="R650" s="8">
        <v>0</v>
      </c>
      <c r="S650" s="8">
        <v>0</v>
      </c>
      <c r="T650" s="8">
        <v>1</v>
      </c>
      <c r="U650" s="8">
        <v>2</v>
      </c>
      <c r="AG650" s="8" t="str">
        <f t="shared" si="41"/>
        <v/>
      </c>
      <c r="AI650" s="8" t="str">
        <f t="shared" si="42"/>
        <v/>
      </c>
      <c r="AJ650" s="8" t="str">
        <f t="shared" si="43"/>
        <v/>
      </c>
      <c r="AL650" s="8" t="str">
        <f t="shared" si="44"/>
        <v/>
      </c>
    </row>
    <row r="651" spans="1:38" x14ac:dyDescent="0.25">
      <c r="A651" s="8" t="s">
        <v>6853</v>
      </c>
      <c r="B651" s="8" t="s">
        <v>6854</v>
      </c>
      <c r="C651" s="8">
        <v>30866788</v>
      </c>
      <c r="D651" s="8">
        <v>5</v>
      </c>
      <c r="E651" s="11">
        <v>43110</v>
      </c>
      <c r="F651" s="8" t="s">
        <v>57</v>
      </c>
      <c r="G651" s="11">
        <v>43115</v>
      </c>
      <c r="H651" s="8" t="s">
        <v>145</v>
      </c>
      <c r="J651" s="8" t="s">
        <v>25</v>
      </c>
      <c r="N651" s="8" t="s">
        <v>58</v>
      </c>
      <c r="O651" s="8" t="s">
        <v>59</v>
      </c>
      <c r="P651" s="8" t="s">
        <v>59</v>
      </c>
      <c r="R651" s="8">
        <v>0</v>
      </c>
      <c r="S651" s="8">
        <v>0</v>
      </c>
      <c r="T651" s="8">
        <v>1</v>
      </c>
      <c r="U651" s="8">
        <v>2</v>
      </c>
      <c r="AG651" s="8" t="str">
        <f t="shared" si="41"/>
        <v/>
      </c>
      <c r="AI651" s="8" t="str">
        <f t="shared" si="42"/>
        <v/>
      </c>
      <c r="AJ651" s="8" t="str">
        <f t="shared" si="43"/>
        <v/>
      </c>
      <c r="AL651" s="8" t="str">
        <f t="shared" si="44"/>
        <v/>
      </c>
    </row>
    <row r="652" spans="1:38" x14ac:dyDescent="0.25">
      <c r="A652" s="8" t="s">
        <v>937</v>
      </c>
      <c r="B652" s="8" t="s">
        <v>938</v>
      </c>
      <c r="C652" s="8">
        <v>30809834</v>
      </c>
      <c r="D652" s="8">
        <v>5</v>
      </c>
      <c r="E652" s="11">
        <v>43108</v>
      </c>
      <c r="F652" s="8" t="s">
        <v>58</v>
      </c>
      <c r="G652" s="11">
        <v>43109</v>
      </c>
      <c r="H652" s="8" t="s">
        <v>25</v>
      </c>
      <c r="I652" s="11">
        <v>43110</v>
      </c>
      <c r="J652" s="8" t="s">
        <v>25</v>
      </c>
      <c r="N652" s="8" t="s">
        <v>58</v>
      </c>
      <c r="O652" s="8" t="s">
        <v>59</v>
      </c>
      <c r="P652" s="8" t="s">
        <v>59</v>
      </c>
      <c r="R652" s="8">
        <v>0</v>
      </c>
      <c r="S652" s="8">
        <v>0</v>
      </c>
      <c r="T652" s="8">
        <v>1</v>
      </c>
      <c r="U652" s="8">
        <v>2</v>
      </c>
      <c r="X652" s="8">
        <v>5</v>
      </c>
      <c r="AG652" s="8" t="str">
        <f t="shared" si="41"/>
        <v/>
      </c>
      <c r="AI652" s="8" t="str">
        <f t="shared" si="42"/>
        <v/>
      </c>
      <c r="AJ652" s="8" t="str">
        <f t="shared" si="43"/>
        <v/>
      </c>
      <c r="AL652" s="8" t="str">
        <f t="shared" si="44"/>
        <v/>
      </c>
    </row>
    <row r="653" spans="1:38" x14ac:dyDescent="0.25">
      <c r="A653" s="8" t="s">
        <v>1868</v>
      </c>
      <c r="B653" s="8" t="s">
        <v>1869</v>
      </c>
      <c r="C653" s="8">
        <v>30865724</v>
      </c>
      <c r="D653" s="8">
        <v>5</v>
      </c>
      <c r="E653" s="11">
        <v>43110</v>
      </c>
      <c r="F653" s="8" t="s">
        <v>58</v>
      </c>
      <c r="G653" s="11">
        <v>43110</v>
      </c>
      <c r="H653" s="8" t="s">
        <v>25</v>
      </c>
      <c r="I653" s="11">
        <v>43112</v>
      </c>
      <c r="J653" s="8" t="s">
        <v>25</v>
      </c>
      <c r="N653" s="8" t="s">
        <v>58</v>
      </c>
      <c r="O653" s="8" t="s">
        <v>59</v>
      </c>
      <c r="P653" s="8" t="s">
        <v>59</v>
      </c>
      <c r="R653" s="8">
        <v>0</v>
      </c>
      <c r="S653" s="8">
        <v>0</v>
      </c>
      <c r="T653" s="8">
        <v>1</v>
      </c>
      <c r="U653" s="8">
        <v>2</v>
      </c>
      <c r="X653" s="8">
        <v>5</v>
      </c>
      <c r="AG653" s="8" t="str">
        <f t="shared" si="41"/>
        <v/>
      </c>
      <c r="AI653" s="8" t="str">
        <f t="shared" si="42"/>
        <v/>
      </c>
      <c r="AJ653" s="8" t="str">
        <f t="shared" si="43"/>
        <v/>
      </c>
      <c r="AL653" s="8" t="str">
        <f t="shared" si="44"/>
        <v/>
      </c>
    </row>
    <row r="654" spans="1:38" x14ac:dyDescent="0.25">
      <c r="A654" s="8" t="s">
        <v>3453</v>
      </c>
      <c r="B654" s="8" t="s">
        <v>3454</v>
      </c>
      <c r="C654" s="8">
        <v>30885060</v>
      </c>
      <c r="D654" s="8">
        <v>5</v>
      </c>
      <c r="E654" s="11">
        <v>43111</v>
      </c>
      <c r="F654" s="8" t="s">
        <v>57</v>
      </c>
      <c r="G654" s="11">
        <v>43111</v>
      </c>
      <c r="H654" s="8" t="s">
        <v>25</v>
      </c>
      <c r="J654" s="8" t="s">
        <v>25</v>
      </c>
      <c r="N654" s="8" t="s">
        <v>58</v>
      </c>
      <c r="O654" s="8" t="s">
        <v>59</v>
      </c>
      <c r="P654" s="8" t="s">
        <v>59</v>
      </c>
      <c r="R654" s="8">
        <v>0</v>
      </c>
      <c r="S654" s="8">
        <v>0</v>
      </c>
      <c r="T654" s="8">
        <v>1</v>
      </c>
      <c r="U654" s="8">
        <v>2</v>
      </c>
      <c r="AG654" s="8" t="str">
        <f t="shared" si="41"/>
        <v/>
      </c>
      <c r="AI654" s="8" t="str">
        <f t="shared" si="42"/>
        <v/>
      </c>
      <c r="AJ654" s="8" t="str">
        <f t="shared" si="43"/>
        <v/>
      </c>
      <c r="AL654" s="8" t="str">
        <f t="shared" si="44"/>
        <v/>
      </c>
    </row>
    <row r="655" spans="1:38" x14ac:dyDescent="0.25">
      <c r="A655" s="8" t="s">
        <v>1870</v>
      </c>
      <c r="B655" s="8" t="s">
        <v>1871</v>
      </c>
      <c r="C655" s="8">
        <v>30824601</v>
      </c>
      <c r="D655" s="8">
        <v>4</v>
      </c>
      <c r="E655" s="11">
        <v>43108</v>
      </c>
      <c r="F655" s="8" t="s">
        <v>60</v>
      </c>
      <c r="G655" s="11">
        <v>43110</v>
      </c>
      <c r="H655" s="8" t="s">
        <v>25</v>
      </c>
      <c r="J655" s="8" t="s">
        <v>145</v>
      </c>
      <c r="L655" s="8" t="s">
        <v>6525</v>
      </c>
      <c r="N655" s="8" t="s">
        <v>58</v>
      </c>
      <c r="O655" s="8" t="s">
        <v>59</v>
      </c>
      <c r="P655" s="8" t="s">
        <v>59</v>
      </c>
      <c r="R655" s="8">
        <v>0</v>
      </c>
      <c r="S655" s="8">
        <v>0</v>
      </c>
      <c r="T655" s="8">
        <v>1</v>
      </c>
      <c r="U655" s="8">
        <v>2</v>
      </c>
      <c r="W655" s="8">
        <v>4</v>
      </c>
      <c r="AG655" s="8" t="str">
        <f t="shared" si="41"/>
        <v/>
      </c>
      <c r="AI655" s="8" t="str">
        <f t="shared" si="42"/>
        <v/>
      </c>
      <c r="AJ655" s="8" t="str">
        <f t="shared" si="43"/>
        <v/>
      </c>
      <c r="AL655" s="8" t="str">
        <f t="shared" si="44"/>
        <v/>
      </c>
    </row>
    <row r="656" spans="1:38" x14ac:dyDescent="0.25">
      <c r="A656" s="8" t="s">
        <v>6855</v>
      </c>
      <c r="B656" s="8" t="s">
        <v>6856</v>
      </c>
      <c r="C656" s="8">
        <v>30930289</v>
      </c>
      <c r="D656" s="8">
        <v>5</v>
      </c>
      <c r="E656" s="11">
        <v>43115</v>
      </c>
      <c r="F656" s="8" t="s">
        <v>57</v>
      </c>
      <c r="G656" s="11">
        <v>43115</v>
      </c>
      <c r="H656" s="8" t="s">
        <v>25</v>
      </c>
      <c r="J656" s="8" t="s">
        <v>25</v>
      </c>
      <c r="N656" s="8" t="s">
        <v>58</v>
      </c>
      <c r="O656" s="8" t="s">
        <v>59</v>
      </c>
      <c r="P656" s="8" t="s">
        <v>59</v>
      </c>
      <c r="R656" s="8">
        <v>0</v>
      </c>
      <c r="S656" s="8">
        <v>0</v>
      </c>
      <c r="T656" s="8">
        <v>1</v>
      </c>
      <c r="U656" s="8">
        <v>2</v>
      </c>
      <c r="AG656" s="8" t="str">
        <f t="shared" si="41"/>
        <v/>
      </c>
      <c r="AI656" s="8" t="str">
        <f t="shared" si="42"/>
        <v/>
      </c>
      <c r="AJ656" s="8" t="str">
        <f t="shared" si="43"/>
        <v/>
      </c>
      <c r="AL656" s="8" t="str">
        <f t="shared" si="44"/>
        <v/>
      </c>
    </row>
    <row r="657" spans="1:38" x14ac:dyDescent="0.25">
      <c r="A657" s="8" t="s">
        <v>939</v>
      </c>
      <c r="B657" s="8" t="s">
        <v>940</v>
      </c>
      <c r="C657" s="8">
        <v>30845606</v>
      </c>
      <c r="D657" s="8">
        <v>5</v>
      </c>
      <c r="E657" s="11">
        <v>43109</v>
      </c>
      <c r="F657" s="8" t="s">
        <v>58</v>
      </c>
      <c r="G657" s="11">
        <v>43109</v>
      </c>
      <c r="H657" s="8" t="s">
        <v>25</v>
      </c>
      <c r="I657" s="11">
        <v>43112</v>
      </c>
      <c r="J657" s="8" t="s">
        <v>25</v>
      </c>
      <c r="N657" s="8" t="s">
        <v>58</v>
      </c>
      <c r="O657" s="8" t="s">
        <v>59</v>
      </c>
      <c r="P657" s="8" t="s">
        <v>59</v>
      </c>
      <c r="R657" s="8">
        <v>0</v>
      </c>
      <c r="S657" s="8">
        <v>0</v>
      </c>
      <c r="T657" s="8">
        <v>1</v>
      </c>
      <c r="U657" s="8">
        <v>2</v>
      </c>
      <c r="X657" s="8">
        <v>5</v>
      </c>
      <c r="AG657" s="8" t="str">
        <f t="shared" si="41"/>
        <v/>
      </c>
      <c r="AI657" s="8" t="str">
        <f t="shared" si="42"/>
        <v/>
      </c>
      <c r="AJ657" s="8" t="str">
        <f t="shared" si="43"/>
        <v/>
      </c>
      <c r="AL657" s="8" t="str">
        <f t="shared" si="44"/>
        <v/>
      </c>
    </row>
    <row r="658" spans="1:38" x14ac:dyDescent="0.25">
      <c r="A658" s="8" t="s">
        <v>4960</v>
      </c>
      <c r="B658" s="8" t="s">
        <v>4961</v>
      </c>
      <c r="C658" s="8">
        <v>30914790</v>
      </c>
      <c r="D658" s="8">
        <v>5</v>
      </c>
      <c r="E658" s="11">
        <v>43112</v>
      </c>
      <c r="F658" s="8" t="s">
        <v>57</v>
      </c>
      <c r="G658" s="11">
        <v>43112</v>
      </c>
      <c r="H658" s="8" t="s">
        <v>25</v>
      </c>
      <c r="J658" s="8" t="s">
        <v>25</v>
      </c>
      <c r="N658" s="8" t="s">
        <v>58</v>
      </c>
      <c r="O658" s="8" t="s">
        <v>59</v>
      </c>
      <c r="P658" s="8" t="s">
        <v>59</v>
      </c>
      <c r="R658" s="8">
        <v>0</v>
      </c>
      <c r="S658" s="8">
        <v>0</v>
      </c>
      <c r="T658" s="8">
        <v>1</v>
      </c>
      <c r="U658" s="8">
        <v>2</v>
      </c>
      <c r="AG658" s="8" t="str">
        <f t="shared" si="41"/>
        <v/>
      </c>
      <c r="AI658" s="8" t="str">
        <f t="shared" si="42"/>
        <v/>
      </c>
      <c r="AJ658" s="8" t="str">
        <f t="shared" si="43"/>
        <v/>
      </c>
      <c r="AL658" s="8" t="str">
        <f t="shared" si="44"/>
        <v/>
      </c>
    </row>
    <row r="659" spans="1:38" x14ac:dyDescent="0.25">
      <c r="A659" s="8" t="s">
        <v>6857</v>
      </c>
      <c r="B659" s="8" t="s">
        <v>6858</v>
      </c>
      <c r="C659" s="8">
        <v>30935759</v>
      </c>
      <c r="D659" s="8">
        <v>5</v>
      </c>
      <c r="E659" s="11">
        <v>43115</v>
      </c>
      <c r="F659" s="8" t="s">
        <v>57</v>
      </c>
      <c r="G659" s="11">
        <v>43115</v>
      </c>
      <c r="H659" s="8" t="s">
        <v>25</v>
      </c>
      <c r="J659" s="8" t="s">
        <v>25</v>
      </c>
      <c r="N659" s="8" t="s">
        <v>58</v>
      </c>
      <c r="O659" s="8" t="s">
        <v>59</v>
      </c>
      <c r="P659" s="8" t="s">
        <v>59</v>
      </c>
      <c r="R659" s="8">
        <v>0</v>
      </c>
      <c r="S659" s="8">
        <v>0</v>
      </c>
      <c r="T659" s="8">
        <v>1</v>
      </c>
      <c r="U659" s="8">
        <v>2</v>
      </c>
      <c r="AG659" s="8" t="str">
        <f t="shared" si="41"/>
        <v/>
      </c>
      <c r="AI659" s="8" t="str">
        <f t="shared" si="42"/>
        <v/>
      </c>
      <c r="AJ659" s="8" t="str">
        <f t="shared" si="43"/>
        <v/>
      </c>
      <c r="AL659" s="8" t="str">
        <f t="shared" si="44"/>
        <v/>
      </c>
    </row>
    <row r="660" spans="1:38" x14ac:dyDescent="0.25">
      <c r="A660" s="8" t="s">
        <v>262</v>
      </c>
      <c r="B660" s="8" t="s">
        <v>263</v>
      </c>
      <c r="C660" s="8">
        <v>30822852</v>
      </c>
      <c r="D660" s="8">
        <v>4</v>
      </c>
      <c r="E660" s="11">
        <v>43108</v>
      </c>
      <c r="F660" s="8" t="s">
        <v>62</v>
      </c>
      <c r="G660" s="11">
        <v>43115</v>
      </c>
      <c r="H660" s="8" t="s">
        <v>856</v>
      </c>
      <c r="J660" s="8" t="s">
        <v>25</v>
      </c>
      <c r="M660" s="8" t="s">
        <v>66</v>
      </c>
      <c r="N660" s="8" t="s">
        <v>63</v>
      </c>
      <c r="O660" s="8" t="s">
        <v>59</v>
      </c>
      <c r="P660" s="8" t="s">
        <v>59</v>
      </c>
      <c r="R660" s="8">
        <v>0</v>
      </c>
      <c r="S660" s="8">
        <v>0</v>
      </c>
      <c r="T660" s="8">
        <v>1</v>
      </c>
      <c r="U660" s="8">
        <v>2</v>
      </c>
      <c r="AG660" s="8" t="str">
        <f t="shared" si="41"/>
        <v/>
      </c>
      <c r="AI660" s="8" t="str">
        <f t="shared" si="42"/>
        <v/>
      </c>
      <c r="AJ660" s="8" t="str">
        <f t="shared" si="43"/>
        <v/>
      </c>
      <c r="AL660" s="8" t="str">
        <f t="shared" si="44"/>
        <v/>
      </c>
    </row>
    <row r="661" spans="1:38" x14ac:dyDescent="0.25">
      <c r="A661" s="8" t="s">
        <v>941</v>
      </c>
      <c r="B661" s="8" t="s">
        <v>942</v>
      </c>
      <c r="C661" s="8">
        <v>30846210</v>
      </c>
      <c r="D661" s="8">
        <v>5</v>
      </c>
      <c r="E661" s="11">
        <v>43109</v>
      </c>
      <c r="F661" s="8" t="s">
        <v>58</v>
      </c>
      <c r="G661" s="11">
        <v>43109</v>
      </c>
      <c r="H661" s="8" t="s">
        <v>25</v>
      </c>
      <c r="I661" s="11">
        <v>43112</v>
      </c>
      <c r="J661" s="8" t="s">
        <v>25</v>
      </c>
      <c r="N661" s="8" t="s">
        <v>58</v>
      </c>
      <c r="O661" s="8" t="s">
        <v>59</v>
      </c>
      <c r="P661" s="8" t="s">
        <v>59</v>
      </c>
      <c r="R661" s="8">
        <v>0</v>
      </c>
      <c r="S661" s="8">
        <v>0</v>
      </c>
      <c r="T661" s="8">
        <v>1</v>
      </c>
      <c r="U661" s="8">
        <v>2</v>
      </c>
      <c r="X661" s="8">
        <v>5</v>
      </c>
      <c r="AG661" s="8" t="str">
        <f t="shared" si="41"/>
        <v/>
      </c>
      <c r="AI661" s="8" t="str">
        <f t="shared" si="42"/>
        <v/>
      </c>
      <c r="AJ661" s="8" t="str">
        <f t="shared" si="43"/>
        <v/>
      </c>
      <c r="AL661" s="8" t="str">
        <f t="shared" si="44"/>
        <v/>
      </c>
    </row>
    <row r="662" spans="1:38" x14ac:dyDescent="0.25">
      <c r="A662" s="8" t="s">
        <v>6859</v>
      </c>
      <c r="B662" s="8" t="s">
        <v>6860</v>
      </c>
      <c r="C662" s="8">
        <v>30896508</v>
      </c>
      <c r="D662" s="8">
        <v>5</v>
      </c>
      <c r="E662" s="11">
        <v>43111</v>
      </c>
      <c r="F662" s="8" t="s">
        <v>57</v>
      </c>
      <c r="G662" s="11">
        <v>43115</v>
      </c>
      <c r="H662" s="8" t="s">
        <v>25</v>
      </c>
      <c r="J662" s="8" t="s">
        <v>25</v>
      </c>
      <c r="N662" s="8" t="s">
        <v>58</v>
      </c>
      <c r="O662" s="8" t="s">
        <v>59</v>
      </c>
      <c r="P662" s="8" t="s">
        <v>59</v>
      </c>
      <c r="R662" s="8">
        <v>0</v>
      </c>
      <c r="S662" s="8">
        <v>0</v>
      </c>
      <c r="T662" s="8">
        <v>1</v>
      </c>
      <c r="U662" s="8">
        <v>2</v>
      </c>
      <c r="AG662" s="8" t="str">
        <f t="shared" si="41"/>
        <v/>
      </c>
      <c r="AI662" s="8" t="str">
        <f t="shared" si="42"/>
        <v/>
      </c>
      <c r="AJ662" s="8" t="str">
        <f t="shared" si="43"/>
        <v/>
      </c>
      <c r="AL662" s="8" t="str">
        <f t="shared" si="44"/>
        <v/>
      </c>
    </row>
    <row r="663" spans="1:38" x14ac:dyDescent="0.25">
      <c r="A663" s="8" t="s">
        <v>4962</v>
      </c>
      <c r="B663" s="8" t="s">
        <v>4963</v>
      </c>
      <c r="C663" s="8">
        <v>30916223</v>
      </c>
      <c r="D663" s="8">
        <v>5</v>
      </c>
      <c r="E663" s="11">
        <v>43112</v>
      </c>
      <c r="F663" s="8" t="s">
        <v>58</v>
      </c>
      <c r="G663" s="11">
        <v>43112</v>
      </c>
      <c r="H663" s="8" t="s">
        <v>25</v>
      </c>
      <c r="I663" s="11">
        <v>43112</v>
      </c>
      <c r="J663" s="8" t="s">
        <v>25</v>
      </c>
      <c r="N663" s="8" t="s">
        <v>58</v>
      </c>
      <c r="O663" s="8" t="s">
        <v>59</v>
      </c>
      <c r="P663" s="8" t="s">
        <v>59</v>
      </c>
      <c r="R663" s="8">
        <v>0</v>
      </c>
      <c r="S663" s="8">
        <v>0</v>
      </c>
      <c r="T663" s="8">
        <v>1</v>
      </c>
      <c r="U663" s="8">
        <v>2</v>
      </c>
      <c r="X663" s="8">
        <v>5</v>
      </c>
      <c r="AG663" s="8" t="str">
        <f t="shared" si="41"/>
        <v/>
      </c>
      <c r="AI663" s="8" t="str">
        <f t="shared" si="42"/>
        <v/>
      </c>
      <c r="AJ663" s="8" t="str">
        <f t="shared" si="43"/>
        <v/>
      </c>
      <c r="AL663" s="8" t="str">
        <f t="shared" si="44"/>
        <v/>
      </c>
    </row>
    <row r="664" spans="1:38" x14ac:dyDescent="0.25">
      <c r="A664" s="8" t="s">
        <v>943</v>
      </c>
      <c r="B664" s="8" t="s">
        <v>81</v>
      </c>
      <c r="C664" s="8">
        <v>30853556</v>
      </c>
      <c r="D664" s="8">
        <v>5</v>
      </c>
      <c r="E664" s="11">
        <v>43109</v>
      </c>
      <c r="F664" s="8" t="s">
        <v>57</v>
      </c>
      <c r="G664" s="11">
        <v>43109</v>
      </c>
      <c r="H664" s="8" t="s">
        <v>25</v>
      </c>
      <c r="J664" s="8" t="s">
        <v>145</v>
      </c>
      <c r="N664" s="8" t="s">
        <v>58</v>
      </c>
      <c r="O664" s="8" t="s">
        <v>59</v>
      </c>
      <c r="P664" s="8" t="s">
        <v>59</v>
      </c>
      <c r="R664" s="8">
        <v>0</v>
      </c>
      <c r="S664" s="8">
        <v>0</v>
      </c>
      <c r="T664" s="8">
        <v>1</v>
      </c>
      <c r="U664" s="8">
        <v>2</v>
      </c>
      <c r="AG664" s="8" t="str">
        <f t="shared" si="41"/>
        <v/>
      </c>
      <c r="AI664" s="8" t="str">
        <f t="shared" si="42"/>
        <v/>
      </c>
      <c r="AJ664" s="8" t="str">
        <f t="shared" si="43"/>
        <v/>
      </c>
      <c r="AL664" s="8" t="str">
        <f t="shared" si="44"/>
        <v/>
      </c>
    </row>
    <row r="665" spans="1:38" x14ac:dyDescent="0.25">
      <c r="A665" s="8" t="s">
        <v>1872</v>
      </c>
      <c r="B665" s="8" t="s">
        <v>1873</v>
      </c>
      <c r="C665" s="8">
        <v>30841464</v>
      </c>
      <c r="D665" s="8">
        <v>5</v>
      </c>
      <c r="E665" s="11">
        <v>43109</v>
      </c>
      <c r="F665" s="8" t="s">
        <v>58</v>
      </c>
      <c r="G665" s="11">
        <v>43110</v>
      </c>
      <c r="H665" s="8" t="s">
        <v>25</v>
      </c>
      <c r="I665" s="11">
        <v>43110</v>
      </c>
      <c r="J665" s="8" t="s">
        <v>25</v>
      </c>
      <c r="N665" s="8" t="s">
        <v>58</v>
      </c>
      <c r="O665" s="8" t="s">
        <v>59</v>
      </c>
      <c r="P665" s="8" t="s">
        <v>59</v>
      </c>
      <c r="R665" s="8">
        <v>0</v>
      </c>
      <c r="S665" s="8">
        <v>0</v>
      </c>
      <c r="T665" s="8">
        <v>1</v>
      </c>
      <c r="U665" s="8">
        <v>2</v>
      </c>
      <c r="X665" s="8">
        <v>5</v>
      </c>
      <c r="AG665" s="8" t="str">
        <f t="shared" si="41"/>
        <v/>
      </c>
      <c r="AI665" s="8" t="str">
        <f t="shared" si="42"/>
        <v/>
      </c>
      <c r="AJ665" s="8" t="str">
        <f t="shared" si="43"/>
        <v/>
      </c>
      <c r="AL665" s="8" t="str">
        <f t="shared" si="44"/>
        <v/>
      </c>
    </row>
    <row r="666" spans="1:38" x14ac:dyDescent="0.25">
      <c r="A666" s="8" t="s">
        <v>3455</v>
      </c>
      <c r="B666" s="8" t="s">
        <v>3456</v>
      </c>
      <c r="C666" s="8">
        <v>30889680</v>
      </c>
      <c r="D666" s="8">
        <v>5</v>
      </c>
      <c r="E666" s="11">
        <v>43111</v>
      </c>
      <c r="F666" s="8" t="s">
        <v>57</v>
      </c>
      <c r="G666" s="11">
        <v>43111</v>
      </c>
      <c r="H666" s="8" t="s">
        <v>25</v>
      </c>
      <c r="J666" s="8" t="s">
        <v>25</v>
      </c>
      <c r="N666" s="8" t="s">
        <v>58</v>
      </c>
      <c r="O666" s="8" t="s">
        <v>59</v>
      </c>
      <c r="P666" s="8" t="s">
        <v>59</v>
      </c>
      <c r="R666" s="8">
        <v>0</v>
      </c>
      <c r="S666" s="8">
        <v>0</v>
      </c>
      <c r="T666" s="8">
        <v>1</v>
      </c>
      <c r="U666" s="8">
        <v>2</v>
      </c>
      <c r="AG666" s="8" t="str">
        <f t="shared" si="41"/>
        <v/>
      </c>
      <c r="AI666" s="8" t="str">
        <f t="shared" si="42"/>
        <v/>
      </c>
      <c r="AJ666" s="8" t="str">
        <f t="shared" si="43"/>
        <v/>
      </c>
      <c r="AL666" s="8" t="str">
        <f t="shared" si="44"/>
        <v/>
      </c>
    </row>
    <row r="667" spans="1:38" x14ac:dyDescent="0.25">
      <c r="A667" s="8" t="s">
        <v>4964</v>
      </c>
      <c r="B667" s="8" t="s">
        <v>4965</v>
      </c>
      <c r="C667" s="8">
        <v>30829326</v>
      </c>
      <c r="D667" s="8">
        <v>5</v>
      </c>
      <c r="E667" s="11">
        <v>43108</v>
      </c>
      <c r="F667" s="8" t="s">
        <v>57</v>
      </c>
      <c r="G667" s="11">
        <v>43112</v>
      </c>
      <c r="H667" s="8" t="s">
        <v>145</v>
      </c>
      <c r="J667" s="8" t="s">
        <v>25</v>
      </c>
      <c r="N667" s="8" t="s">
        <v>58</v>
      </c>
      <c r="O667" s="8" t="s">
        <v>59</v>
      </c>
      <c r="P667" s="8" t="s">
        <v>59</v>
      </c>
      <c r="R667" s="8">
        <v>0</v>
      </c>
      <c r="S667" s="8">
        <v>0</v>
      </c>
      <c r="T667" s="8">
        <v>1</v>
      </c>
      <c r="U667" s="8">
        <v>2</v>
      </c>
      <c r="AG667" s="8" t="str">
        <f t="shared" si="41"/>
        <v/>
      </c>
      <c r="AI667" s="8" t="str">
        <f t="shared" si="42"/>
        <v/>
      </c>
      <c r="AJ667" s="8" t="str">
        <f t="shared" si="43"/>
        <v/>
      </c>
      <c r="AL667" s="8" t="str">
        <f t="shared" si="44"/>
        <v/>
      </c>
    </row>
    <row r="668" spans="1:38" x14ac:dyDescent="0.25">
      <c r="A668" s="8" t="s">
        <v>944</v>
      </c>
      <c r="B668" s="8" t="s">
        <v>945</v>
      </c>
      <c r="C668" s="8">
        <v>30818384</v>
      </c>
      <c r="D668" s="8">
        <v>5</v>
      </c>
      <c r="E668" s="11">
        <v>43108</v>
      </c>
      <c r="F668" s="8" t="s">
        <v>58</v>
      </c>
      <c r="G668" s="11">
        <v>43109</v>
      </c>
      <c r="H668" s="8" t="s">
        <v>25</v>
      </c>
      <c r="I668" s="11">
        <v>43111</v>
      </c>
      <c r="J668" s="8" t="s">
        <v>25</v>
      </c>
      <c r="N668" s="8" t="s">
        <v>58</v>
      </c>
      <c r="O668" s="8" t="s">
        <v>59</v>
      </c>
      <c r="P668" s="8" t="s">
        <v>59</v>
      </c>
      <c r="R668" s="8">
        <v>0</v>
      </c>
      <c r="S668" s="8">
        <v>0</v>
      </c>
      <c r="T668" s="8">
        <v>1</v>
      </c>
      <c r="U668" s="8">
        <v>2</v>
      </c>
      <c r="X668" s="8">
        <v>5</v>
      </c>
      <c r="AG668" s="8" t="str">
        <f t="shared" si="41"/>
        <v/>
      </c>
      <c r="AI668" s="8" t="str">
        <f t="shared" si="42"/>
        <v/>
      </c>
      <c r="AJ668" s="8" t="str">
        <f t="shared" si="43"/>
        <v/>
      </c>
      <c r="AL668" s="8" t="str">
        <f t="shared" si="44"/>
        <v/>
      </c>
    </row>
    <row r="669" spans="1:38" x14ac:dyDescent="0.25">
      <c r="A669" s="8" t="s">
        <v>6861</v>
      </c>
      <c r="B669" s="8" t="s">
        <v>6862</v>
      </c>
      <c r="C669" s="8">
        <v>30935633</v>
      </c>
      <c r="D669" s="8">
        <v>5</v>
      </c>
      <c r="E669" s="11">
        <v>43115</v>
      </c>
      <c r="F669" s="8" t="s">
        <v>57</v>
      </c>
      <c r="G669" s="11">
        <v>43115</v>
      </c>
      <c r="H669" s="8" t="s">
        <v>25</v>
      </c>
      <c r="J669" s="8" t="s">
        <v>25</v>
      </c>
      <c r="N669" s="8" t="s">
        <v>58</v>
      </c>
      <c r="O669" s="8" t="s">
        <v>59</v>
      </c>
      <c r="P669" s="8" t="s">
        <v>59</v>
      </c>
      <c r="R669" s="8">
        <v>0</v>
      </c>
      <c r="S669" s="8">
        <v>0</v>
      </c>
      <c r="T669" s="8">
        <v>1</v>
      </c>
      <c r="U669" s="8">
        <v>2</v>
      </c>
      <c r="AG669" s="8" t="str">
        <f t="shared" si="41"/>
        <v/>
      </c>
      <c r="AI669" s="8" t="str">
        <f t="shared" si="42"/>
        <v/>
      </c>
      <c r="AJ669" s="8" t="str">
        <f t="shared" si="43"/>
        <v/>
      </c>
      <c r="AL669" s="8" t="str">
        <f t="shared" si="44"/>
        <v/>
      </c>
    </row>
    <row r="670" spans="1:38" x14ac:dyDescent="0.25">
      <c r="A670" s="8" t="s">
        <v>6863</v>
      </c>
      <c r="B670" s="8" t="s">
        <v>6864</v>
      </c>
      <c r="C670" s="8">
        <v>30841465</v>
      </c>
      <c r="D670" s="8">
        <v>5</v>
      </c>
      <c r="E670" s="11">
        <v>43109</v>
      </c>
      <c r="F670" s="8" t="s">
        <v>57</v>
      </c>
      <c r="G670" s="11">
        <v>43115</v>
      </c>
      <c r="H670" s="8" t="s">
        <v>145</v>
      </c>
      <c r="J670" s="8" t="s">
        <v>25</v>
      </c>
      <c r="N670" s="8" t="s">
        <v>58</v>
      </c>
      <c r="O670" s="8" t="s">
        <v>59</v>
      </c>
      <c r="P670" s="8" t="s">
        <v>59</v>
      </c>
      <c r="R670" s="8">
        <v>0</v>
      </c>
      <c r="S670" s="8">
        <v>0</v>
      </c>
      <c r="T670" s="8">
        <v>1</v>
      </c>
      <c r="U670" s="8">
        <v>2</v>
      </c>
      <c r="AG670" s="8" t="str">
        <f t="shared" si="41"/>
        <v/>
      </c>
      <c r="AI670" s="8" t="str">
        <f t="shared" si="42"/>
        <v/>
      </c>
      <c r="AJ670" s="8" t="str">
        <f t="shared" si="43"/>
        <v/>
      </c>
      <c r="AL670" s="8" t="str">
        <f t="shared" si="44"/>
        <v/>
      </c>
    </row>
    <row r="671" spans="1:38" x14ac:dyDescent="0.25">
      <c r="A671" s="8" t="s">
        <v>4966</v>
      </c>
      <c r="B671" s="8" t="s">
        <v>4967</v>
      </c>
      <c r="C671" s="8">
        <v>30812573</v>
      </c>
      <c r="D671" s="8">
        <v>5</v>
      </c>
      <c r="E671" s="11">
        <v>43108</v>
      </c>
      <c r="F671" s="8" t="s">
        <v>58</v>
      </c>
      <c r="G671" s="11">
        <v>43112</v>
      </c>
      <c r="H671" s="8" t="s">
        <v>145</v>
      </c>
      <c r="I671" s="11">
        <v>43115</v>
      </c>
      <c r="J671" s="8" t="s">
        <v>25</v>
      </c>
      <c r="N671" s="8" t="s">
        <v>58</v>
      </c>
      <c r="O671" s="8" t="s">
        <v>59</v>
      </c>
      <c r="P671" s="8" t="s">
        <v>59</v>
      </c>
      <c r="R671" s="8">
        <v>0</v>
      </c>
      <c r="S671" s="8">
        <v>0</v>
      </c>
      <c r="T671" s="8">
        <v>1</v>
      </c>
      <c r="U671" s="8">
        <v>2</v>
      </c>
      <c r="X671" s="8">
        <v>5</v>
      </c>
      <c r="AG671" s="8" t="str">
        <f t="shared" si="41"/>
        <v/>
      </c>
      <c r="AI671" s="8" t="str">
        <f t="shared" si="42"/>
        <v/>
      </c>
      <c r="AJ671" s="8" t="str">
        <f t="shared" si="43"/>
        <v/>
      </c>
      <c r="AL671" s="8" t="str">
        <f t="shared" si="44"/>
        <v/>
      </c>
    </row>
    <row r="672" spans="1:38" x14ac:dyDescent="0.25">
      <c r="A672" s="8" t="s">
        <v>4968</v>
      </c>
      <c r="B672" s="8" t="s">
        <v>4969</v>
      </c>
      <c r="C672" s="8">
        <v>30828299</v>
      </c>
      <c r="D672" s="8">
        <v>5</v>
      </c>
      <c r="E672" s="11">
        <v>43108</v>
      </c>
      <c r="F672" s="8" t="s">
        <v>57</v>
      </c>
      <c r="G672" s="11">
        <v>43112</v>
      </c>
      <c r="H672" s="8" t="s">
        <v>145</v>
      </c>
      <c r="J672" s="8" t="s">
        <v>25</v>
      </c>
      <c r="N672" s="8" t="s">
        <v>58</v>
      </c>
      <c r="O672" s="8" t="s">
        <v>59</v>
      </c>
      <c r="P672" s="8" t="s">
        <v>59</v>
      </c>
      <c r="R672" s="8">
        <v>0</v>
      </c>
      <c r="S672" s="8">
        <v>0</v>
      </c>
      <c r="T672" s="8">
        <v>1</v>
      </c>
      <c r="U672" s="8">
        <v>2</v>
      </c>
      <c r="AG672" s="8" t="str">
        <f t="shared" si="41"/>
        <v/>
      </c>
      <c r="AI672" s="8" t="str">
        <f t="shared" si="42"/>
        <v/>
      </c>
      <c r="AJ672" s="8" t="str">
        <f t="shared" si="43"/>
        <v/>
      </c>
      <c r="AL672" s="8" t="str">
        <f t="shared" si="44"/>
        <v/>
      </c>
    </row>
    <row r="673" spans="1:38" x14ac:dyDescent="0.25">
      <c r="A673" s="8" t="s">
        <v>3457</v>
      </c>
      <c r="B673" s="8" t="s">
        <v>3458</v>
      </c>
      <c r="C673" s="8">
        <v>30862609</v>
      </c>
      <c r="D673" s="8">
        <v>5</v>
      </c>
      <c r="E673" s="11">
        <v>43110</v>
      </c>
      <c r="F673" s="8" t="s">
        <v>58</v>
      </c>
      <c r="G673" s="11">
        <v>43111</v>
      </c>
      <c r="H673" s="8" t="s">
        <v>25</v>
      </c>
      <c r="I673" s="11">
        <v>43111</v>
      </c>
      <c r="J673" s="8" t="s">
        <v>25</v>
      </c>
      <c r="N673" s="8" t="s">
        <v>58</v>
      </c>
      <c r="O673" s="8" t="s">
        <v>59</v>
      </c>
      <c r="P673" s="8" t="s">
        <v>59</v>
      </c>
      <c r="R673" s="8">
        <v>0</v>
      </c>
      <c r="S673" s="8">
        <v>0</v>
      </c>
      <c r="T673" s="8">
        <v>1</v>
      </c>
      <c r="U673" s="8">
        <v>2</v>
      </c>
      <c r="X673" s="8">
        <v>5</v>
      </c>
      <c r="AG673" s="8" t="str">
        <f t="shared" si="41"/>
        <v/>
      </c>
      <c r="AI673" s="8" t="str">
        <f t="shared" si="42"/>
        <v/>
      </c>
      <c r="AJ673" s="8" t="str">
        <f t="shared" si="43"/>
        <v/>
      </c>
      <c r="AL673" s="8" t="str">
        <f t="shared" si="44"/>
        <v/>
      </c>
    </row>
    <row r="674" spans="1:38" x14ac:dyDescent="0.25">
      <c r="A674" s="8" t="s">
        <v>1874</v>
      </c>
      <c r="B674" s="8" t="s">
        <v>1875</v>
      </c>
      <c r="C674" s="8">
        <v>30810734</v>
      </c>
      <c r="D674" s="8">
        <v>5</v>
      </c>
      <c r="E674" s="11">
        <v>43108</v>
      </c>
      <c r="F674" s="8" t="s">
        <v>58</v>
      </c>
      <c r="G674" s="11">
        <v>43110</v>
      </c>
      <c r="H674" s="8" t="s">
        <v>25</v>
      </c>
      <c r="I674" s="11">
        <v>43111</v>
      </c>
      <c r="J674" s="8" t="s">
        <v>25</v>
      </c>
      <c r="N674" s="8" t="s">
        <v>58</v>
      </c>
      <c r="O674" s="8" t="s">
        <v>59</v>
      </c>
      <c r="P674" s="8" t="s">
        <v>59</v>
      </c>
      <c r="R674" s="8">
        <v>0</v>
      </c>
      <c r="S674" s="8">
        <v>0</v>
      </c>
      <c r="T674" s="8">
        <v>1</v>
      </c>
      <c r="U674" s="8">
        <v>2</v>
      </c>
      <c r="X674" s="8">
        <v>5</v>
      </c>
      <c r="AG674" s="8" t="str">
        <f t="shared" si="41"/>
        <v/>
      </c>
      <c r="AI674" s="8" t="str">
        <f t="shared" si="42"/>
        <v/>
      </c>
      <c r="AJ674" s="8" t="str">
        <f t="shared" si="43"/>
        <v/>
      </c>
      <c r="AL674" s="8" t="str">
        <f t="shared" si="44"/>
        <v/>
      </c>
    </row>
    <row r="675" spans="1:38" x14ac:dyDescent="0.25">
      <c r="A675" s="8" t="s">
        <v>946</v>
      </c>
      <c r="B675" s="8" t="s">
        <v>947</v>
      </c>
      <c r="C675" s="8">
        <v>30845753</v>
      </c>
      <c r="D675" s="8">
        <v>5</v>
      </c>
      <c r="E675" s="11">
        <v>43109</v>
      </c>
      <c r="F675" s="8" t="s">
        <v>58</v>
      </c>
      <c r="G675" s="11">
        <v>43109</v>
      </c>
      <c r="H675" s="8" t="s">
        <v>25</v>
      </c>
      <c r="I675" s="11">
        <v>43111</v>
      </c>
      <c r="J675" s="8" t="s">
        <v>25</v>
      </c>
      <c r="N675" s="8" t="s">
        <v>58</v>
      </c>
      <c r="O675" s="8" t="s">
        <v>59</v>
      </c>
      <c r="P675" s="8" t="s">
        <v>59</v>
      </c>
      <c r="R675" s="8">
        <v>0</v>
      </c>
      <c r="S675" s="8">
        <v>0</v>
      </c>
      <c r="T675" s="8">
        <v>1</v>
      </c>
      <c r="U675" s="8">
        <v>2</v>
      </c>
      <c r="X675" s="8">
        <v>5</v>
      </c>
      <c r="AG675" s="8" t="str">
        <f t="shared" si="41"/>
        <v/>
      </c>
      <c r="AI675" s="8" t="str">
        <f t="shared" si="42"/>
        <v/>
      </c>
      <c r="AJ675" s="8" t="str">
        <f t="shared" si="43"/>
        <v/>
      </c>
      <c r="AL675" s="8" t="str">
        <f t="shared" si="44"/>
        <v/>
      </c>
    </row>
    <row r="676" spans="1:38" x14ac:dyDescent="0.25">
      <c r="A676" s="8" t="s">
        <v>4970</v>
      </c>
      <c r="B676" s="8" t="s">
        <v>4971</v>
      </c>
      <c r="C676" s="8">
        <v>30826468</v>
      </c>
      <c r="D676" s="8">
        <v>5</v>
      </c>
      <c r="E676" s="11">
        <v>43108</v>
      </c>
      <c r="F676" s="8" t="s">
        <v>57</v>
      </c>
      <c r="G676" s="11">
        <v>43112</v>
      </c>
      <c r="H676" s="8" t="s">
        <v>145</v>
      </c>
      <c r="J676" s="8" t="s">
        <v>25</v>
      </c>
      <c r="N676" s="8" t="s">
        <v>58</v>
      </c>
      <c r="O676" s="8" t="s">
        <v>59</v>
      </c>
      <c r="P676" s="8" t="s">
        <v>59</v>
      </c>
      <c r="R676" s="8">
        <v>0</v>
      </c>
      <c r="S676" s="8">
        <v>0</v>
      </c>
      <c r="T676" s="8">
        <v>1</v>
      </c>
      <c r="U676" s="8">
        <v>2</v>
      </c>
      <c r="AG676" s="8" t="str">
        <f t="shared" si="41"/>
        <v/>
      </c>
      <c r="AI676" s="8" t="str">
        <f t="shared" si="42"/>
        <v/>
      </c>
      <c r="AJ676" s="8" t="str">
        <f t="shared" si="43"/>
        <v/>
      </c>
      <c r="AL676" s="8" t="str">
        <f t="shared" si="44"/>
        <v/>
      </c>
    </row>
    <row r="677" spans="1:38" x14ac:dyDescent="0.25">
      <c r="A677" s="8" t="s">
        <v>948</v>
      </c>
      <c r="B677" s="8" t="s">
        <v>949</v>
      </c>
      <c r="C677" s="8">
        <v>30830901</v>
      </c>
      <c r="D677" s="8">
        <v>5</v>
      </c>
      <c r="E677" s="11">
        <v>43109</v>
      </c>
      <c r="F677" s="8" t="s">
        <v>57</v>
      </c>
      <c r="G677" s="11">
        <v>43109</v>
      </c>
      <c r="H677" s="8" t="s">
        <v>25</v>
      </c>
      <c r="J677" s="8" t="s">
        <v>25</v>
      </c>
      <c r="N677" s="8" t="s">
        <v>58</v>
      </c>
      <c r="O677" s="8" t="s">
        <v>59</v>
      </c>
      <c r="P677" s="8" t="s">
        <v>59</v>
      </c>
      <c r="R677" s="8">
        <v>0</v>
      </c>
      <c r="S677" s="8">
        <v>0</v>
      </c>
      <c r="T677" s="8">
        <v>1</v>
      </c>
      <c r="U677" s="8">
        <v>2</v>
      </c>
      <c r="AG677" s="8" t="str">
        <f t="shared" si="41"/>
        <v/>
      </c>
      <c r="AI677" s="8" t="str">
        <f t="shared" si="42"/>
        <v/>
      </c>
      <c r="AJ677" s="8" t="str">
        <f t="shared" si="43"/>
        <v/>
      </c>
      <c r="AL677" s="8" t="str">
        <f t="shared" si="44"/>
        <v/>
      </c>
    </row>
    <row r="678" spans="1:38" x14ac:dyDescent="0.25">
      <c r="A678" s="8" t="s">
        <v>950</v>
      </c>
      <c r="B678" s="8" t="s">
        <v>951</v>
      </c>
      <c r="C678" s="8">
        <v>30840928</v>
      </c>
      <c r="D678" s="8">
        <v>5</v>
      </c>
      <c r="E678" s="11">
        <v>43109</v>
      </c>
      <c r="F678" s="8" t="s">
        <v>58</v>
      </c>
      <c r="G678" s="11">
        <v>43109</v>
      </c>
      <c r="H678" s="8" t="s">
        <v>25</v>
      </c>
      <c r="I678" s="11">
        <v>43115</v>
      </c>
      <c r="J678" s="8" t="s">
        <v>145</v>
      </c>
      <c r="N678" s="8" t="s">
        <v>58</v>
      </c>
      <c r="O678" s="8" t="s">
        <v>59</v>
      </c>
      <c r="P678" s="8" t="s">
        <v>59</v>
      </c>
      <c r="R678" s="8">
        <v>0</v>
      </c>
      <c r="S678" s="8">
        <v>0</v>
      </c>
      <c r="T678" s="8">
        <v>1</v>
      </c>
      <c r="U678" s="8">
        <v>2</v>
      </c>
      <c r="X678" s="8">
        <v>5</v>
      </c>
      <c r="AG678" s="8" t="str">
        <f t="shared" si="41"/>
        <v/>
      </c>
      <c r="AI678" s="8" t="str">
        <f t="shared" si="42"/>
        <v/>
      </c>
      <c r="AJ678" s="8" t="str">
        <f t="shared" si="43"/>
        <v/>
      </c>
      <c r="AL678" s="8" t="str">
        <f t="shared" si="44"/>
        <v/>
      </c>
    </row>
    <row r="679" spans="1:38" x14ac:dyDescent="0.25">
      <c r="A679" s="8" t="s">
        <v>1876</v>
      </c>
      <c r="B679" s="8" t="s">
        <v>96</v>
      </c>
      <c r="C679" s="8">
        <v>30874861</v>
      </c>
      <c r="D679" s="8">
        <v>5</v>
      </c>
      <c r="E679" s="11">
        <v>43110</v>
      </c>
      <c r="F679" s="8" t="s">
        <v>58</v>
      </c>
      <c r="G679" s="11">
        <v>43110</v>
      </c>
      <c r="H679" s="8" t="s">
        <v>25</v>
      </c>
      <c r="I679" s="11">
        <v>43115</v>
      </c>
      <c r="J679" s="8" t="s">
        <v>145</v>
      </c>
      <c r="N679" s="8" t="s">
        <v>58</v>
      </c>
      <c r="O679" s="8" t="s">
        <v>59</v>
      </c>
      <c r="P679" s="8" t="s">
        <v>59</v>
      </c>
      <c r="R679" s="8">
        <v>0</v>
      </c>
      <c r="S679" s="8">
        <v>0</v>
      </c>
      <c r="T679" s="8">
        <v>1</v>
      </c>
      <c r="U679" s="8">
        <v>2</v>
      </c>
      <c r="X679" s="8">
        <v>5</v>
      </c>
      <c r="AG679" s="8" t="str">
        <f t="shared" si="41"/>
        <v/>
      </c>
      <c r="AI679" s="8" t="str">
        <f t="shared" si="42"/>
        <v/>
      </c>
      <c r="AJ679" s="8" t="str">
        <f t="shared" si="43"/>
        <v/>
      </c>
      <c r="AL679" s="8" t="str">
        <f t="shared" si="44"/>
        <v/>
      </c>
    </row>
    <row r="680" spans="1:38" x14ac:dyDescent="0.25">
      <c r="A680" s="8" t="s">
        <v>1877</v>
      </c>
      <c r="B680" s="8" t="s">
        <v>97</v>
      </c>
      <c r="C680" s="8">
        <v>30867934</v>
      </c>
      <c r="D680" s="8">
        <v>5</v>
      </c>
      <c r="E680" s="11">
        <v>43110</v>
      </c>
      <c r="F680" s="8" t="s">
        <v>57</v>
      </c>
      <c r="G680" s="11">
        <v>43110</v>
      </c>
      <c r="H680" s="8" t="s">
        <v>25</v>
      </c>
      <c r="J680" s="8" t="s">
        <v>25</v>
      </c>
      <c r="N680" s="8" t="s">
        <v>58</v>
      </c>
      <c r="O680" s="8" t="s">
        <v>59</v>
      </c>
      <c r="P680" s="8" t="s">
        <v>59</v>
      </c>
      <c r="R680" s="8">
        <v>0</v>
      </c>
      <c r="S680" s="8">
        <v>0</v>
      </c>
      <c r="T680" s="8">
        <v>1</v>
      </c>
      <c r="U680" s="8">
        <v>2</v>
      </c>
      <c r="AG680" s="8" t="str">
        <f t="shared" si="41"/>
        <v/>
      </c>
      <c r="AI680" s="8" t="str">
        <f t="shared" si="42"/>
        <v/>
      </c>
      <c r="AJ680" s="8" t="str">
        <f t="shared" si="43"/>
        <v/>
      </c>
      <c r="AL680" s="8" t="str">
        <f t="shared" si="44"/>
        <v/>
      </c>
    </row>
    <row r="681" spans="1:38" x14ac:dyDescent="0.25">
      <c r="A681" s="8" t="s">
        <v>6865</v>
      </c>
      <c r="B681" s="8" t="s">
        <v>6866</v>
      </c>
      <c r="C681" s="8">
        <v>30895714</v>
      </c>
      <c r="D681" s="8">
        <v>5</v>
      </c>
      <c r="E681" s="11">
        <v>43111</v>
      </c>
      <c r="F681" s="8" t="s">
        <v>58</v>
      </c>
      <c r="G681" s="11">
        <v>43115</v>
      </c>
      <c r="H681" s="8" t="s">
        <v>25</v>
      </c>
      <c r="I681" s="11">
        <v>43115</v>
      </c>
      <c r="J681" s="8" t="s">
        <v>25</v>
      </c>
      <c r="N681" s="8" t="s">
        <v>58</v>
      </c>
      <c r="O681" s="8" t="s">
        <v>59</v>
      </c>
      <c r="P681" s="8" t="s">
        <v>59</v>
      </c>
      <c r="R681" s="8">
        <v>0</v>
      </c>
      <c r="S681" s="8">
        <v>0</v>
      </c>
      <c r="T681" s="8">
        <v>1</v>
      </c>
      <c r="U681" s="8">
        <v>2</v>
      </c>
      <c r="X681" s="8">
        <v>5</v>
      </c>
      <c r="AG681" s="8" t="str">
        <f t="shared" si="41"/>
        <v/>
      </c>
      <c r="AI681" s="8" t="str">
        <f t="shared" si="42"/>
        <v/>
      </c>
      <c r="AJ681" s="8" t="str">
        <f t="shared" si="43"/>
        <v/>
      </c>
      <c r="AL681" s="8" t="str">
        <f t="shared" si="44"/>
        <v/>
      </c>
    </row>
    <row r="682" spans="1:38" x14ac:dyDescent="0.25">
      <c r="A682" s="8" t="s">
        <v>6867</v>
      </c>
      <c r="B682" s="8" t="s">
        <v>6868</v>
      </c>
      <c r="C682" s="8">
        <v>30896908</v>
      </c>
      <c r="D682" s="8">
        <v>5</v>
      </c>
      <c r="E682" s="11">
        <v>43111</v>
      </c>
      <c r="F682" s="8" t="s">
        <v>57</v>
      </c>
      <c r="G682" s="11">
        <v>43115</v>
      </c>
      <c r="H682" s="8" t="s">
        <v>25</v>
      </c>
      <c r="J682" s="8" t="s">
        <v>25</v>
      </c>
      <c r="N682" s="8" t="s">
        <v>58</v>
      </c>
      <c r="O682" s="8" t="s">
        <v>59</v>
      </c>
      <c r="P682" s="8" t="s">
        <v>59</v>
      </c>
      <c r="R682" s="8">
        <v>0</v>
      </c>
      <c r="S682" s="8">
        <v>0</v>
      </c>
      <c r="T682" s="8">
        <v>1</v>
      </c>
      <c r="U682" s="8">
        <v>2</v>
      </c>
      <c r="AG682" s="8" t="str">
        <f t="shared" si="41"/>
        <v/>
      </c>
      <c r="AI682" s="8" t="str">
        <f t="shared" si="42"/>
        <v/>
      </c>
      <c r="AJ682" s="8" t="str">
        <f t="shared" si="43"/>
        <v/>
      </c>
      <c r="AL682" s="8" t="str">
        <f t="shared" si="44"/>
        <v/>
      </c>
    </row>
    <row r="683" spans="1:38" x14ac:dyDescent="0.25">
      <c r="A683" s="8" t="s">
        <v>6869</v>
      </c>
      <c r="B683" s="8" t="s">
        <v>6870</v>
      </c>
      <c r="C683" s="8">
        <v>30861276</v>
      </c>
      <c r="D683" s="8">
        <v>5</v>
      </c>
      <c r="E683" s="11">
        <v>43110</v>
      </c>
      <c r="F683" s="8" t="s">
        <v>57</v>
      </c>
      <c r="G683" s="11">
        <v>43115</v>
      </c>
      <c r="H683" s="8" t="s">
        <v>145</v>
      </c>
      <c r="J683" s="8" t="s">
        <v>25</v>
      </c>
      <c r="N683" s="8" t="s">
        <v>58</v>
      </c>
      <c r="O683" s="8" t="s">
        <v>59</v>
      </c>
      <c r="P683" s="8" t="s">
        <v>59</v>
      </c>
      <c r="R683" s="8">
        <v>0</v>
      </c>
      <c r="S683" s="8">
        <v>0</v>
      </c>
      <c r="T683" s="8">
        <v>1</v>
      </c>
      <c r="U683" s="8">
        <v>2</v>
      </c>
      <c r="AG683" s="8" t="str">
        <f t="shared" si="41"/>
        <v/>
      </c>
      <c r="AI683" s="8" t="str">
        <f t="shared" si="42"/>
        <v/>
      </c>
      <c r="AJ683" s="8" t="str">
        <f t="shared" si="43"/>
        <v/>
      </c>
      <c r="AL683" s="8" t="str">
        <f t="shared" si="44"/>
        <v/>
      </c>
    </row>
    <row r="684" spans="1:38" x14ac:dyDescent="0.25">
      <c r="A684" s="8" t="s">
        <v>4972</v>
      </c>
      <c r="B684" s="8" t="s">
        <v>4973</v>
      </c>
      <c r="C684" s="8">
        <v>30913340</v>
      </c>
      <c r="D684" s="8">
        <v>5</v>
      </c>
      <c r="E684" s="11">
        <v>43112</v>
      </c>
      <c r="F684" s="8" t="s">
        <v>57</v>
      </c>
      <c r="G684" s="11">
        <v>43112</v>
      </c>
      <c r="H684" s="8" t="s">
        <v>25</v>
      </c>
      <c r="J684" s="8" t="s">
        <v>25</v>
      </c>
      <c r="N684" s="8" t="s">
        <v>58</v>
      </c>
      <c r="O684" s="8" t="s">
        <v>59</v>
      </c>
      <c r="P684" s="8" t="s">
        <v>59</v>
      </c>
      <c r="R684" s="8">
        <v>0</v>
      </c>
      <c r="S684" s="8">
        <v>0</v>
      </c>
      <c r="T684" s="8">
        <v>1</v>
      </c>
      <c r="U684" s="8">
        <v>2</v>
      </c>
      <c r="AG684" s="8" t="str">
        <f t="shared" si="41"/>
        <v/>
      </c>
      <c r="AI684" s="8" t="str">
        <f t="shared" si="42"/>
        <v/>
      </c>
      <c r="AJ684" s="8" t="str">
        <f t="shared" si="43"/>
        <v/>
      </c>
      <c r="AL684" s="8" t="str">
        <f t="shared" si="44"/>
        <v/>
      </c>
    </row>
    <row r="685" spans="1:38" x14ac:dyDescent="0.25">
      <c r="A685" s="8" t="s">
        <v>3459</v>
      </c>
      <c r="B685" s="8" t="s">
        <v>3460</v>
      </c>
      <c r="C685" s="8">
        <v>30865198</v>
      </c>
      <c r="D685" s="8">
        <v>5</v>
      </c>
      <c r="E685" s="11">
        <v>43110</v>
      </c>
      <c r="F685" s="8" t="s">
        <v>58</v>
      </c>
      <c r="G685" s="11">
        <v>43111</v>
      </c>
      <c r="H685" s="8" t="s">
        <v>25</v>
      </c>
      <c r="I685" s="11">
        <v>43111</v>
      </c>
      <c r="J685" s="8" t="s">
        <v>25</v>
      </c>
      <c r="N685" s="8" t="s">
        <v>58</v>
      </c>
      <c r="O685" s="8" t="s">
        <v>59</v>
      </c>
      <c r="P685" s="8" t="s">
        <v>59</v>
      </c>
      <c r="R685" s="8">
        <v>0</v>
      </c>
      <c r="S685" s="8">
        <v>0</v>
      </c>
      <c r="T685" s="8">
        <v>1</v>
      </c>
      <c r="U685" s="8">
        <v>2</v>
      </c>
      <c r="X685" s="8">
        <v>5</v>
      </c>
      <c r="AG685" s="8" t="str">
        <f t="shared" si="41"/>
        <v/>
      </c>
      <c r="AI685" s="8" t="str">
        <f t="shared" si="42"/>
        <v/>
      </c>
      <c r="AJ685" s="8" t="str">
        <f t="shared" si="43"/>
        <v/>
      </c>
      <c r="AL685" s="8" t="str">
        <f t="shared" si="44"/>
        <v/>
      </c>
    </row>
    <row r="686" spans="1:38" x14ac:dyDescent="0.25">
      <c r="A686" s="8" t="s">
        <v>952</v>
      </c>
      <c r="B686" s="8" t="s">
        <v>953</v>
      </c>
      <c r="C686" s="8">
        <v>30853691</v>
      </c>
      <c r="D686" s="8">
        <v>5</v>
      </c>
      <c r="E686" s="11">
        <v>43109</v>
      </c>
      <c r="F686" s="8" t="s">
        <v>58</v>
      </c>
      <c r="G686" s="11">
        <v>43109</v>
      </c>
      <c r="H686" s="8" t="s">
        <v>25</v>
      </c>
      <c r="I686" s="11">
        <v>43109</v>
      </c>
      <c r="J686" s="8" t="s">
        <v>25</v>
      </c>
      <c r="N686" s="8" t="s">
        <v>58</v>
      </c>
      <c r="O686" s="8" t="s">
        <v>59</v>
      </c>
      <c r="P686" s="8" t="s">
        <v>59</v>
      </c>
      <c r="R686" s="8">
        <v>0</v>
      </c>
      <c r="S686" s="8">
        <v>0</v>
      </c>
      <c r="T686" s="8">
        <v>1</v>
      </c>
      <c r="U686" s="8">
        <v>2</v>
      </c>
      <c r="X686" s="8">
        <v>5</v>
      </c>
      <c r="AG686" s="8" t="str">
        <f t="shared" si="41"/>
        <v/>
      </c>
      <c r="AI686" s="8" t="str">
        <f t="shared" si="42"/>
        <v/>
      </c>
      <c r="AJ686" s="8" t="str">
        <f t="shared" si="43"/>
        <v/>
      </c>
      <c r="AL686" s="8" t="str">
        <f t="shared" si="44"/>
        <v/>
      </c>
    </row>
    <row r="687" spans="1:38" x14ac:dyDescent="0.25">
      <c r="A687" s="8" t="s">
        <v>4974</v>
      </c>
      <c r="B687" s="8" t="s">
        <v>4975</v>
      </c>
      <c r="C687" s="8">
        <v>30811533</v>
      </c>
      <c r="D687" s="8">
        <v>5</v>
      </c>
      <c r="E687" s="11">
        <v>43108</v>
      </c>
      <c r="F687" s="8" t="s">
        <v>57</v>
      </c>
      <c r="G687" s="11">
        <v>43112</v>
      </c>
      <c r="H687" s="8" t="s">
        <v>145</v>
      </c>
      <c r="J687" s="8" t="s">
        <v>25</v>
      </c>
      <c r="N687" s="8" t="s">
        <v>58</v>
      </c>
      <c r="O687" s="8" t="s">
        <v>59</v>
      </c>
      <c r="P687" s="8" t="s">
        <v>59</v>
      </c>
      <c r="R687" s="8">
        <v>0</v>
      </c>
      <c r="S687" s="8">
        <v>0</v>
      </c>
      <c r="T687" s="8">
        <v>1</v>
      </c>
      <c r="U687" s="8">
        <v>2</v>
      </c>
      <c r="AG687" s="8" t="str">
        <f t="shared" si="41"/>
        <v/>
      </c>
      <c r="AI687" s="8" t="str">
        <f t="shared" si="42"/>
        <v/>
      </c>
      <c r="AJ687" s="8" t="str">
        <f t="shared" si="43"/>
        <v/>
      </c>
      <c r="AL687" s="8" t="str">
        <f t="shared" si="44"/>
        <v/>
      </c>
    </row>
    <row r="688" spans="1:38" x14ac:dyDescent="0.25">
      <c r="A688" s="8" t="s">
        <v>3461</v>
      </c>
      <c r="B688" s="8" t="s">
        <v>98</v>
      </c>
      <c r="C688" s="8">
        <v>30893539</v>
      </c>
      <c r="D688" s="8">
        <v>5</v>
      </c>
      <c r="E688" s="11">
        <v>43111</v>
      </c>
      <c r="F688" s="8" t="s">
        <v>57</v>
      </c>
      <c r="G688" s="11">
        <v>43111</v>
      </c>
      <c r="H688" s="8" t="s">
        <v>25</v>
      </c>
      <c r="J688" s="8" t="s">
        <v>25</v>
      </c>
      <c r="N688" s="8" t="s">
        <v>58</v>
      </c>
      <c r="O688" s="8" t="s">
        <v>59</v>
      </c>
      <c r="P688" s="8" t="s">
        <v>59</v>
      </c>
      <c r="R688" s="8">
        <v>0</v>
      </c>
      <c r="S688" s="8">
        <v>0</v>
      </c>
      <c r="T688" s="8">
        <v>1</v>
      </c>
      <c r="U688" s="8">
        <v>2</v>
      </c>
      <c r="AG688" s="8" t="str">
        <f t="shared" si="41"/>
        <v/>
      </c>
      <c r="AI688" s="8" t="str">
        <f t="shared" si="42"/>
        <v/>
      </c>
      <c r="AJ688" s="8" t="str">
        <f t="shared" si="43"/>
        <v/>
      </c>
      <c r="AL688" s="8" t="str">
        <f t="shared" si="44"/>
        <v/>
      </c>
    </row>
    <row r="689" spans="1:38" x14ac:dyDescent="0.25">
      <c r="A689" s="8" t="s">
        <v>954</v>
      </c>
      <c r="B689" s="8" t="s">
        <v>955</v>
      </c>
      <c r="C689" s="8">
        <v>30839235</v>
      </c>
      <c r="D689" s="8">
        <v>4</v>
      </c>
      <c r="E689" s="11">
        <v>43109</v>
      </c>
      <c r="F689" s="8" t="s">
        <v>57</v>
      </c>
      <c r="G689" s="11">
        <v>43109</v>
      </c>
      <c r="H689" s="8" t="s">
        <v>25</v>
      </c>
      <c r="J689" s="8" t="s">
        <v>25</v>
      </c>
      <c r="N689" s="8" t="s">
        <v>58</v>
      </c>
      <c r="O689" s="8" t="s">
        <v>59</v>
      </c>
      <c r="P689" s="8" t="s">
        <v>59</v>
      </c>
      <c r="R689" s="8">
        <v>0</v>
      </c>
      <c r="S689" s="8">
        <v>0</v>
      </c>
      <c r="T689" s="8">
        <v>1</v>
      </c>
      <c r="U689" s="8">
        <v>2</v>
      </c>
      <c r="AG689" s="8" t="str">
        <f t="shared" si="41"/>
        <v/>
      </c>
      <c r="AI689" s="8" t="str">
        <f t="shared" si="42"/>
        <v/>
      </c>
      <c r="AJ689" s="8" t="str">
        <f t="shared" si="43"/>
        <v/>
      </c>
      <c r="AL689" s="8" t="str">
        <f t="shared" si="44"/>
        <v/>
      </c>
    </row>
    <row r="690" spans="1:38" x14ac:dyDescent="0.25">
      <c r="A690" s="8" t="s">
        <v>956</v>
      </c>
      <c r="B690" s="8" t="s">
        <v>957</v>
      </c>
      <c r="C690" s="8">
        <v>30839265</v>
      </c>
      <c r="D690" s="8">
        <v>4</v>
      </c>
      <c r="E690" s="11">
        <v>43109</v>
      </c>
      <c r="F690" s="8" t="s">
        <v>57</v>
      </c>
      <c r="G690" s="11">
        <v>43109</v>
      </c>
      <c r="H690" s="8" t="s">
        <v>25</v>
      </c>
      <c r="J690" s="8" t="s">
        <v>145</v>
      </c>
      <c r="N690" s="8" t="s">
        <v>58</v>
      </c>
      <c r="O690" s="8" t="s">
        <v>59</v>
      </c>
      <c r="P690" s="8" t="s">
        <v>59</v>
      </c>
      <c r="R690" s="8">
        <v>0</v>
      </c>
      <c r="S690" s="8">
        <v>0</v>
      </c>
      <c r="T690" s="8">
        <v>1</v>
      </c>
      <c r="U690" s="8">
        <v>2</v>
      </c>
      <c r="AG690" s="8" t="str">
        <f t="shared" si="41"/>
        <v/>
      </c>
      <c r="AI690" s="8" t="str">
        <f t="shared" si="42"/>
        <v/>
      </c>
      <c r="AJ690" s="8" t="str">
        <f t="shared" si="43"/>
        <v/>
      </c>
      <c r="AL690" s="8" t="str">
        <f t="shared" si="44"/>
        <v/>
      </c>
    </row>
    <row r="691" spans="1:38" x14ac:dyDescent="0.25">
      <c r="A691" s="8" t="s">
        <v>3462</v>
      </c>
      <c r="B691" s="8" t="s">
        <v>3463</v>
      </c>
      <c r="C691" s="8">
        <v>30883374</v>
      </c>
      <c r="D691" s="8">
        <v>5</v>
      </c>
      <c r="E691" s="11">
        <v>43111</v>
      </c>
      <c r="F691" s="8" t="s">
        <v>58</v>
      </c>
      <c r="G691" s="11">
        <v>43111</v>
      </c>
      <c r="H691" s="8" t="s">
        <v>25</v>
      </c>
      <c r="I691" s="11">
        <v>43111</v>
      </c>
      <c r="J691" s="8" t="s">
        <v>25</v>
      </c>
      <c r="N691" s="8" t="s">
        <v>58</v>
      </c>
      <c r="O691" s="8" t="s">
        <v>59</v>
      </c>
      <c r="P691" s="8" t="s">
        <v>59</v>
      </c>
      <c r="R691" s="8">
        <v>0</v>
      </c>
      <c r="S691" s="8">
        <v>0</v>
      </c>
      <c r="T691" s="8">
        <v>1</v>
      </c>
      <c r="U691" s="8">
        <v>2</v>
      </c>
      <c r="X691" s="8">
        <v>5</v>
      </c>
      <c r="AG691" s="8" t="str">
        <f t="shared" si="41"/>
        <v/>
      </c>
      <c r="AI691" s="8" t="str">
        <f t="shared" si="42"/>
        <v/>
      </c>
      <c r="AJ691" s="8" t="str">
        <f t="shared" si="43"/>
        <v/>
      </c>
      <c r="AL691" s="8" t="str">
        <f t="shared" si="44"/>
        <v/>
      </c>
    </row>
    <row r="692" spans="1:38" x14ac:dyDescent="0.25">
      <c r="A692" s="8" t="s">
        <v>4976</v>
      </c>
      <c r="B692" s="8" t="s">
        <v>4977</v>
      </c>
      <c r="C692" s="8">
        <v>30910216</v>
      </c>
      <c r="D692" s="8">
        <v>4</v>
      </c>
      <c r="E692" s="11">
        <v>43112</v>
      </c>
      <c r="F692" s="8" t="s">
        <v>58</v>
      </c>
      <c r="G692" s="11">
        <v>43112</v>
      </c>
      <c r="H692" s="8" t="s">
        <v>25</v>
      </c>
      <c r="I692" s="11">
        <v>43115</v>
      </c>
      <c r="J692" s="8" t="s">
        <v>25</v>
      </c>
      <c r="N692" s="8" t="s">
        <v>58</v>
      </c>
      <c r="O692" s="8" t="s">
        <v>59</v>
      </c>
      <c r="P692" s="8" t="s">
        <v>59</v>
      </c>
      <c r="R692" s="8">
        <v>0</v>
      </c>
      <c r="S692" s="8">
        <v>0</v>
      </c>
      <c r="T692" s="8">
        <v>1</v>
      </c>
      <c r="U692" s="8">
        <v>2</v>
      </c>
      <c r="X692" s="8">
        <v>5</v>
      </c>
      <c r="AG692" s="8" t="str">
        <f t="shared" si="41"/>
        <v/>
      </c>
      <c r="AI692" s="8" t="str">
        <f t="shared" si="42"/>
        <v/>
      </c>
      <c r="AJ692" s="8" t="str">
        <f t="shared" si="43"/>
        <v/>
      </c>
      <c r="AL692" s="8" t="str">
        <f t="shared" si="44"/>
        <v/>
      </c>
    </row>
    <row r="693" spans="1:38" x14ac:dyDescent="0.25">
      <c r="A693" s="8" t="s">
        <v>6871</v>
      </c>
      <c r="B693" s="8" t="s">
        <v>6872</v>
      </c>
      <c r="C693" s="8">
        <v>30898409</v>
      </c>
      <c r="D693" s="8">
        <v>5</v>
      </c>
      <c r="E693" s="11">
        <v>43111</v>
      </c>
      <c r="F693" s="8" t="s">
        <v>57</v>
      </c>
      <c r="G693" s="11">
        <v>43115</v>
      </c>
      <c r="H693" s="8" t="s">
        <v>25</v>
      </c>
      <c r="J693" s="8" t="s">
        <v>25</v>
      </c>
      <c r="N693" s="8" t="s">
        <v>58</v>
      </c>
      <c r="O693" s="8" t="s">
        <v>59</v>
      </c>
      <c r="P693" s="8" t="s">
        <v>59</v>
      </c>
      <c r="R693" s="8">
        <v>0</v>
      </c>
      <c r="S693" s="8">
        <v>0</v>
      </c>
      <c r="T693" s="8">
        <v>1</v>
      </c>
      <c r="U693" s="8">
        <v>2</v>
      </c>
      <c r="AG693" s="8" t="str">
        <f t="shared" si="41"/>
        <v/>
      </c>
      <c r="AI693" s="8" t="str">
        <f t="shared" si="42"/>
        <v/>
      </c>
      <c r="AJ693" s="8" t="str">
        <f t="shared" si="43"/>
        <v/>
      </c>
      <c r="AL693" s="8" t="str">
        <f t="shared" si="44"/>
        <v/>
      </c>
    </row>
    <row r="694" spans="1:38" x14ac:dyDescent="0.25">
      <c r="A694" s="8" t="s">
        <v>958</v>
      </c>
      <c r="B694" s="8" t="s">
        <v>959</v>
      </c>
      <c r="C694" s="8">
        <v>30832441</v>
      </c>
      <c r="D694" s="8">
        <v>5</v>
      </c>
      <c r="E694" s="11">
        <v>43109</v>
      </c>
      <c r="F694" s="8" t="s">
        <v>57</v>
      </c>
      <c r="G694" s="11">
        <v>43109</v>
      </c>
      <c r="H694" s="8" t="s">
        <v>25</v>
      </c>
      <c r="J694" s="8" t="s">
        <v>25</v>
      </c>
      <c r="N694" s="8" t="s">
        <v>58</v>
      </c>
      <c r="O694" s="8" t="s">
        <v>59</v>
      </c>
      <c r="P694" s="8" t="s">
        <v>59</v>
      </c>
      <c r="R694" s="8">
        <v>0</v>
      </c>
      <c r="S694" s="8">
        <v>0</v>
      </c>
      <c r="T694" s="8">
        <v>1</v>
      </c>
      <c r="U694" s="8">
        <v>2</v>
      </c>
      <c r="AG694" s="8" t="str">
        <f t="shared" si="41"/>
        <v/>
      </c>
      <c r="AI694" s="8" t="str">
        <f t="shared" si="42"/>
        <v/>
      </c>
      <c r="AJ694" s="8" t="str">
        <f t="shared" si="43"/>
        <v/>
      </c>
      <c r="AL694" s="8" t="str">
        <f t="shared" si="44"/>
        <v/>
      </c>
    </row>
    <row r="695" spans="1:38" x14ac:dyDescent="0.25">
      <c r="A695" s="8" t="s">
        <v>6873</v>
      </c>
      <c r="B695" s="8" t="s">
        <v>6874</v>
      </c>
      <c r="C695" s="8">
        <v>30941568</v>
      </c>
      <c r="D695" s="8">
        <v>5</v>
      </c>
      <c r="E695" s="11">
        <v>43115</v>
      </c>
      <c r="F695" s="8" t="s">
        <v>58</v>
      </c>
      <c r="G695" s="11">
        <v>43115</v>
      </c>
      <c r="H695" s="8" t="s">
        <v>25</v>
      </c>
      <c r="I695" s="11">
        <v>43115</v>
      </c>
      <c r="J695" s="8" t="s">
        <v>25</v>
      </c>
      <c r="N695" s="8" t="s">
        <v>58</v>
      </c>
      <c r="O695" s="8" t="s">
        <v>59</v>
      </c>
      <c r="P695" s="8" t="s">
        <v>59</v>
      </c>
      <c r="R695" s="8">
        <v>0</v>
      </c>
      <c r="S695" s="8">
        <v>0</v>
      </c>
      <c r="T695" s="8">
        <v>1</v>
      </c>
      <c r="U695" s="8">
        <v>2</v>
      </c>
      <c r="X695" s="8">
        <v>5</v>
      </c>
      <c r="AG695" s="8" t="str">
        <f t="shared" si="41"/>
        <v/>
      </c>
      <c r="AI695" s="8" t="str">
        <f t="shared" si="42"/>
        <v/>
      </c>
      <c r="AJ695" s="8" t="str">
        <f t="shared" si="43"/>
        <v/>
      </c>
      <c r="AL695" s="8" t="str">
        <f t="shared" si="44"/>
        <v/>
      </c>
    </row>
    <row r="696" spans="1:38" x14ac:dyDescent="0.25">
      <c r="A696" s="8" t="s">
        <v>1878</v>
      </c>
      <c r="B696" s="8" t="s">
        <v>1879</v>
      </c>
      <c r="C696" s="8">
        <v>30874947</v>
      </c>
      <c r="D696" s="8">
        <v>5</v>
      </c>
      <c r="E696" s="11">
        <v>43110</v>
      </c>
      <c r="F696" s="8" t="s">
        <v>57</v>
      </c>
      <c r="G696" s="11">
        <v>43110</v>
      </c>
      <c r="H696" s="8" t="s">
        <v>25</v>
      </c>
      <c r="J696" s="8" t="s">
        <v>25</v>
      </c>
      <c r="N696" s="8" t="s">
        <v>58</v>
      </c>
      <c r="O696" s="8" t="s">
        <v>59</v>
      </c>
      <c r="P696" s="8" t="s">
        <v>59</v>
      </c>
      <c r="R696" s="8">
        <v>0</v>
      </c>
      <c r="S696" s="8">
        <v>0</v>
      </c>
      <c r="T696" s="8">
        <v>1</v>
      </c>
      <c r="U696" s="8">
        <v>2</v>
      </c>
      <c r="AG696" s="8" t="str">
        <f t="shared" si="41"/>
        <v/>
      </c>
      <c r="AI696" s="8" t="str">
        <f t="shared" si="42"/>
        <v/>
      </c>
      <c r="AJ696" s="8" t="str">
        <f t="shared" si="43"/>
        <v/>
      </c>
      <c r="AL696" s="8" t="str">
        <f t="shared" si="44"/>
        <v/>
      </c>
    </row>
    <row r="697" spans="1:38" x14ac:dyDescent="0.25">
      <c r="A697" s="8" t="s">
        <v>3464</v>
      </c>
      <c r="B697" s="8" t="s">
        <v>3465</v>
      </c>
      <c r="C697" s="8">
        <v>30870056</v>
      </c>
      <c r="D697" s="8">
        <v>5</v>
      </c>
      <c r="E697" s="11">
        <v>43110</v>
      </c>
      <c r="F697" s="8" t="s">
        <v>58</v>
      </c>
      <c r="G697" s="11">
        <v>43111</v>
      </c>
      <c r="H697" s="8" t="s">
        <v>25</v>
      </c>
      <c r="I697" s="11">
        <v>43111</v>
      </c>
      <c r="J697" s="8" t="s">
        <v>25</v>
      </c>
      <c r="N697" s="8" t="s">
        <v>58</v>
      </c>
      <c r="O697" s="8" t="s">
        <v>59</v>
      </c>
      <c r="P697" s="8" t="s">
        <v>59</v>
      </c>
      <c r="R697" s="8">
        <v>0</v>
      </c>
      <c r="S697" s="8">
        <v>0</v>
      </c>
      <c r="T697" s="8">
        <v>1</v>
      </c>
      <c r="U697" s="8">
        <v>2</v>
      </c>
      <c r="X697" s="8">
        <v>5</v>
      </c>
      <c r="AG697" s="8" t="str">
        <f t="shared" si="41"/>
        <v/>
      </c>
      <c r="AI697" s="8" t="str">
        <f t="shared" si="42"/>
        <v/>
      </c>
      <c r="AJ697" s="8" t="str">
        <f t="shared" si="43"/>
        <v/>
      </c>
      <c r="AL697" s="8" t="str">
        <f t="shared" si="44"/>
        <v/>
      </c>
    </row>
    <row r="698" spans="1:38" x14ac:dyDescent="0.25">
      <c r="A698" s="8" t="s">
        <v>6875</v>
      </c>
      <c r="B698" s="8" t="s">
        <v>6876</v>
      </c>
      <c r="C698" s="8">
        <v>30930878</v>
      </c>
      <c r="D698" s="8">
        <v>4</v>
      </c>
      <c r="E698" s="11">
        <v>43115</v>
      </c>
      <c r="F698" s="8" t="s">
        <v>57</v>
      </c>
      <c r="G698" s="11">
        <v>43115</v>
      </c>
      <c r="H698" s="8" t="s">
        <v>25</v>
      </c>
      <c r="J698" s="8" t="s">
        <v>25</v>
      </c>
      <c r="N698" s="8" t="s">
        <v>58</v>
      </c>
      <c r="O698" s="8" t="s">
        <v>59</v>
      </c>
      <c r="P698" s="8" t="s">
        <v>59</v>
      </c>
      <c r="R698" s="8">
        <v>0</v>
      </c>
      <c r="S698" s="8">
        <v>0</v>
      </c>
      <c r="T698" s="8">
        <v>1</v>
      </c>
      <c r="U698" s="8">
        <v>2</v>
      </c>
      <c r="AG698" s="8" t="str">
        <f t="shared" si="41"/>
        <v/>
      </c>
      <c r="AI698" s="8" t="str">
        <f t="shared" si="42"/>
        <v/>
      </c>
      <c r="AJ698" s="8" t="str">
        <f t="shared" si="43"/>
        <v/>
      </c>
      <c r="AL698" s="8" t="str">
        <f t="shared" si="44"/>
        <v/>
      </c>
    </row>
    <row r="699" spans="1:38" x14ac:dyDescent="0.25">
      <c r="A699" s="8" t="s">
        <v>6877</v>
      </c>
      <c r="B699" s="8" t="s">
        <v>6878</v>
      </c>
      <c r="C699" s="8">
        <v>30944796</v>
      </c>
      <c r="D699" s="8">
        <v>5</v>
      </c>
      <c r="E699" s="11">
        <v>43115</v>
      </c>
      <c r="F699" s="8" t="s">
        <v>57</v>
      </c>
      <c r="G699" s="11">
        <v>43115</v>
      </c>
      <c r="H699" s="8" t="s">
        <v>25</v>
      </c>
      <c r="J699" s="8" t="s">
        <v>25</v>
      </c>
      <c r="N699" s="8" t="s">
        <v>58</v>
      </c>
      <c r="O699" s="8" t="s">
        <v>59</v>
      </c>
      <c r="P699" s="8" t="s">
        <v>59</v>
      </c>
      <c r="R699" s="8">
        <v>0</v>
      </c>
      <c r="S699" s="8">
        <v>0</v>
      </c>
      <c r="T699" s="8">
        <v>1</v>
      </c>
      <c r="U699" s="8">
        <v>2</v>
      </c>
      <c r="AG699" s="8" t="str">
        <f t="shared" si="41"/>
        <v/>
      </c>
      <c r="AI699" s="8" t="str">
        <f t="shared" si="42"/>
        <v/>
      </c>
      <c r="AJ699" s="8" t="str">
        <f t="shared" si="43"/>
        <v/>
      </c>
      <c r="AL699" s="8" t="str">
        <f t="shared" si="44"/>
        <v/>
      </c>
    </row>
    <row r="700" spans="1:38" x14ac:dyDescent="0.25">
      <c r="A700" s="8" t="s">
        <v>3466</v>
      </c>
      <c r="B700" s="8" t="s">
        <v>3467</v>
      </c>
      <c r="C700" s="8">
        <v>30863208</v>
      </c>
      <c r="D700" s="8">
        <v>5</v>
      </c>
      <c r="E700" s="11">
        <v>43110</v>
      </c>
      <c r="F700" s="8" t="s">
        <v>58</v>
      </c>
      <c r="G700" s="11">
        <v>43111</v>
      </c>
      <c r="H700" s="8" t="s">
        <v>25</v>
      </c>
      <c r="I700" s="11">
        <v>43111</v>
      </c>
      <c r="J700" s="8" t="s">
        <v>25</v>
      </c>
      <c r="N700" s="8" t="s">
        <v>58</v>
      </c>
      <c r="O700" s="8" t="s">
        <v>59</v>
      </c>
      <c r="P700" s="8" t="s">
        <v>59</v>
      </c>
      <c r="R700" s="8">
        <v>0</v>
      </c>
      <c r="S700" s="8">
        <v>0</v>
      </c>
      <c r="T700" s="8">
        <v>1</v>
      </c>
      <c r="U700" s="8">
        <v>2</v>
      </c>
      <c r="X700" s="8">
        <v>5</v>
      </c>
      <c r="AG700" s="8" t="str">
        <f t="shared" si="41"/>
        <v/>
      </c>
      <c r="AI700" s="8" t="str">
        <f t="shared" si="42"/>
        <v/>
      </c>
      <c r="AJ700" s="8" t="str">
        <f t="shared" si="43"/>
        <v/>
      </c>
      <c r="AL700" s="8" t="str">
        <f t="shared" si="44"/>
        <v/>
      </c>
    </row>
    <row r="701" spans="1:38" x14ac:dyDescent="0.25">
      <c r="A701" s="8" t="s">
        <v>4978</v>
      </c>
      <c r="B701" s="8" t="s">
        <v>4979</v>
      </c>
      <c r="C701" s="8">
        <v>30917286</v>
      </c>
      <c r="D701" s="8">
        <v>5</v>
      </c>
      <c r="E701" s="11">
        <v>43112</v>
      </c>
      <c r="F701" s="8" t="s">
        <v>58</v>
      </c>
      <c r="G701" s="11">
        <v>43112</v>
      </c>
      <c r="H701" s="8" t="s">
        <v>25</v>
      </c>
      <c r="I701" s="11">
        <v>43113</v>
      </c>
      <c r="J701" s="8" t="s">
        <v>25</v>
      </c>
      <c r="N701" s="8" t="s">
        <v>58</v>
      </c>
      <c r="O701" s="8" t="s">
        <v>59</v>
      </c>
      <c r="P701" s="8" t="s">
        <v>59</v>
      </c>
      <c r="R701" s="8">
        <v>0</v>
      </c>
      <c r="S701" s="8">
        <v>0</v>
      </c>
      <c r="T701" s="8">
        <v>1</v>
      </c>
      <c r="U701" s="8">
        <v>2</v>
      </c>
      <c r="X701" s="8">
        <v>5</v>
      </c>
      <c r="AG701" s="8" t="str">
        <f t="shared" si="41"/>
        <v/>
      </c>
      <c r="AI701" s="8" t="str">
        <f t="shared" si="42"/>
        <v/>
      </c>
      <c r="AJ701" s="8" t="str">
        <f t="shared" si="43"/>
        <v/>
      </c>
      <c r="AL701" s="8" t="str">
        <f t="shared" si="44"/>
        <v/>
      </c>
    </row>
    <row r="702" spans="1:38" x14ac:dyDescent="0.25">
      <c r="A702" s="8" t="s">
        <v>6879</v>
      </c>
      <c r="B702" s="8" t="s">
        <v>6880</v>
      </c>
      <c r="C702" s="8">
        <v>30937240</v>
      </c>
      <c r="D702" s="8">
        <v>5</v>
      </c>
      <c r="E702" s="11">
        <v>43115</v>
      </c>
      <c r="F702" s="8" t="s">
        <v>57</v>
      </c>
      <c r="G702" s="11">
        <v>43115</v>
      </c>
      <c r="H702" s="8" t="s">
        <v>25</v>
      </c>
      <c r="J702" s="8" t="s">
        <v>25</v>
      </c>
      <c r="N702" s="8" t="s">
        <v>58</v>
      </c>
      <c r="O702" s="8" t="s">
        <v>59</v>
      </c>
      <c r="P702" s="8" t="s">
        <v>59</v>
      </c>
      <c r="R702" s="8">
        <v>0</v>
      </c>
      <c r="S702" s="8">
        <v>0</v>
      </c>
      <c r="T702" s="8">
        <v>1</v>
      </c>
      <c r="U702" s="8">
        <v>2</v>
      </c>
      <c r="AG702" s="8" t="str">
        <f t="shared" si="41"/>
        <v/>
      </c>
      <c r="AI702" s="8" t="str">
        <f t="shared" si="42"/>
        <v/>
      </c>
      <c r="AJ702" s="8" t="str">
        <f t="shared" si="43"/>
        <v/>
      </c>
      <c r="AL702" s="8" t="str">
        <f t="shared" si="44"/>
        <v/>
      </c>
    </row>
    <row r="703" spans="1:38" x14ac:dyDescent="0.25">
      <c r="A703" s="8" t="s">
        <v>1880</v>
      </c>
      <c r="B703" s="8" t="s">
        <v>1881</v>
      </c>
      <c r="C703" s="8">
        <v>30874342</v>
      </c>
      <c r="D703" s="8">
        <v>5</v>
      </c>
      <c r="E703" s="11">
        <v>43110</v>
      </c>
      <c r="F703" s="8" t="s">
        <v>60</v>
      </c>
      <c r="G703" s="11">
        <v>43110</v>
      </c>
      <c r="H703" s="8" t="s">
        <v>25</v>
      </c>
      <c r="J703" s="8" t="s">
        <v>145</v>
      </c>
      <c r="L703" s="8" t="s">
        <v>6525</v>
      </c>
      <c r="N703" s="8" t="s">
        <v>58</v>
      </c>
      <c r="O703" s="8" t="s">
        <v>59</v>
      </c>
      <c r="P703" s="8" t="s">
        <v>59</v>
      </c>
      <c r="R703" s="8">
        <v>0</v>
      </c>
      <c r="S703" s="8">
        <v>0</v>
      </c>
      <c r="T703" s="8">
        <v>1</v>
      </c>
      <c r="U703" s="8">
        <v>2</v>
      </c>
      <c r="W703" s="8">
        <v>4</v>
      </c>
      <c r="AG703" s="8" t="str">
        <f t="shared" si="41"/>
        <v/>
      </c>
      <c r="AI703" s="8" t="str">
        <f t="shared" si="42"/>
        <v/>
      </c>
      <c r="AJ703" s="8" t="str">
        <f t="shared" si="43"/>
        <v/>
      </c>
      <c r="AL703" s="8" t="str">
        <f t="shared" si="44"/>
        <v/>
      </c>
    </row>
    <row r="704" spans="1:38" x14ac:dyDescent="0.25">
      <c r="A704" s="8" t="s">
        <v>960</v>
      </c>
      <c r="B704" s="8" t="s">
        <v>961</v>
      </c>
      <c r="C704" s="8">
        <v>30838920</v>
      </c>
      <c r="D704" s="8">
        <v>5</v>
      </c>
      <c r="E704" s="11">
        <v>43109</v>
      </c>
      <c r="F704" s="8" t="s">
        <v>58</v>
      </c>
      <c r="G704" s="11">
        <v>43109</v>
      </c>
      <c r="H704" s="8" t="s">
        <v>25</v>
      </c>
      <c r="I704" s="11">
        <v>43109</v>
      </c>
      <c r="J704" s="8" t="s">
        <v>25</v>
      </c>
      <c r="N704" s="8" t="s">
        <v>58</v>
      </c>
      <c r="O704" s="8" t="s">
        <v>59</v>
      </c>
      <c r="P704" s="8" t="s">
        <v>59</v>
      </c>
      <c r="R704" s="8">
        <v>0</v>
      </c>
      <c r="S704" s="8">
        <v>0</v>
      </c>
      <c r="T704" s="8">
        <v>1</v>
      </c>
      <c r="U704" s="8">
        <v>2</v>
      </c>
      <c r="X704" s="8">
        <v>5</v>
      </c>
      <c r="AG704" s="8" t="str">
        <f t="shared" si="41"/>
        <v/>
      </c>
      <c r="AI704" s="8" t="str">
        <f t="shared" si="42"/>
        <v/>
      </c>
      <c r="AJ704" s="8" t="str">
        <f t="shared" si="43"/>
        <v/>
      </c>
      <c r="AL704" s="8" t="str">
        <f t="shared" si="44"/>
        <v/>
      </c>
    </row>
    <row r="705" spans="1:38" x14ac:dyDescent="0.25">
      <c r="A705" s="8" t="s">
        <v>3468</v>
      </c>
      <c r="B705" s="8" t="s">
        <v>3469</v>
      </c>
      <c r="C705" s="8">
        <v>30899070</v>
      </c>
      <c r="D705" s="8">
        <v>5</v>
      </c>
      <c r="E705" s="11">
        <v>43111</v>
      </c>
      <c r="F705" s="8" t="s">
        <v>57</v>
      </c>
      <c r="G705" s="11">
        <v>43111</v>
      </c>
      <c r="H705" s="8" t="s">
        <v>25</v>
      </c>
      <c r="J705" s="8" t="s">
        <v>25</v>
      </c>
      <c r="N705" s="8" t="s">
        <v>58</v>
      </c>
      <c r="O705" s="8" t="s">
        <v>59</v>
      </c>
      <c r="P705" s="8" t="s">
        <v>59</v>
      </c>
      <c r="R705" s="8">
        <v>0</v>
      </c>
      <c r="S705" s="8">
        <v>0</v>
      </c>
      <c r="T705" s="8">
        <v>1</v>
      </c>
      <c r="U705" s="8">
        <v>2</v>
      </c>
      <c r="AG705" s="8" t="str">
        <f t="shared" si="41"/>
        <v/>
      </c>
      <c r="AI705" s="8" t="str">
        <f t="shared" si="42"/>
        <v/>
      </c>
      <c r="AJ705" s="8" t="str">
        <f t="shared" si="43"/>
        <v/>
      </c>
      <c r="AL705" s="8" t="str">
        <f t="shared" si="44"/>
        <v/>
      </c>
    </row>
    <row r="706" spans="1:38" x14ac:dyDescent="0.25">
      <c r="A706" s="8" t="s">
        <v>3470</v>
      </c>
      <c r="B706" s="8" t="s">
        <v>3471</v>
      </c>
      <c r="C706" s="8">
        <v>30890652</v>
      </c>
      <c r="D706" s="8">
        <v>5</v>
      </c>
      <c r="E706" s="11">
        <v>43111</v>
      </c>
      <c r="F706" s="8" t="s">
        <v>58</v>
      </c>
      <c r="G706" s="11">
        <v>43111</v>
      </c>
      <c r="H706" s="8" t="s">
        <v>25</v>
      </c>
      <c r="I706" s="11">
        <v>43111</v>
      </c>
      <c r="J706" s="8" t="s">
        <v>25</v>
      </c>
      <c r="N706" s="8" t="s">
        <v>58</v>
      </c>
      <c r="O706" s="8" t="s">
        <v>59</v>
      </c>
      <c r="P706" s="8" t="s">
        <v>59</v>
      </c>
      <c r="R706" s="8">
        <v>0</v>
      </c>
      <c r="S706" s="8">
        <v>0</v>
      </c>
      <c r="T706" s="8">
        <v>1</v>
      </c>
      <c r="U706" s="8">
        <v>2</v>
      </c>
      <c r="X706" s="8">
        <v>5</v>
      </c>
      <c r="AG706" s="8" t="str">
        <f t="shared" si="41"/>
        <v/>
      </c>
      <c r="AI706" s="8" t="str">
        <f t="shared" si="42"/>
        <v/>
      </c>
      <c r="AJ706" s="8" t="str">
        <f t="shared" si="43"/>
        <v/>
      </c>
      <c r="AL706" s="8" t="str">
        <f t="shared" si="44"/>
        <v/>
      </c>
    </row>
    <row r="707" spans="1:38" x14ac:dyDescent="0.25">
      <c r="A707" s="8" t="s">
        <v>1882</v>
      </c>
      <c r="B707" s="8" t="s">
        <v>1883</v>
      </c>
      <c r="C707" s="8">
        <v>30867629</v>
      </c>
      <c r="D707" s="8">
        <v>5</v>
      </c>
      <c r="E707" s="11">
        <v>43110</v>
      </c>
      <c r="F707" s="8" t="s">
        <v>58</v>
      </c>
      <c r="G707" s="11">
        <v>43110</v>
      </c>
      <c r="H707" s="8" t="s">
        <v>25</v>
      </c>
      <c r="I707" s="11">
        <v>43110</v>
      </c>
      <c r="J707" s="8" t="s">
        <v>25</v>
      </c>
      <c r="N707" s="8" t="s">
        <v>58</v>
      </c>
      <c r="O707" s="8" t="s">
        <v>59</v>
      </c>
      <c r="P707" s="8" t="s">
        <v>59</v>
      </c>
      <c r="R707" s="8">
        <v>0</v>
      </c>
      <c r="S707" s="8">
        <v>0</v>
      </c>
      <c r="T707" s="8">
        <v>1</v>
      </c>
      <c r="U707" s="8">
        <v>2</v>
      </c>
      <c r="X707" s="8">
        <v>5</v>
      </c>
      <c r="AG707" s="8" t="str">
        <f t="shared" ref="AG707:AG770" si="45">IF(AND(U707="",G707&lt;&gt;"",NOT(OR(R707,S707))),IF(NETWORKDAYS.INTL(G707,TODAY(),11)&lt;5,"En Plazo",IF(NETWORKDAYS.INTL(G707,TODAY(),11)=5,"Riesgo Incumplimiento","FALTA_02")),"")</f>
        <v/>
      </c>
      <c r="AI707" s="8" t="str">
        <f t="shared" ref="AI707:AI770" si="46">IF(AND(O707&lt;&gt;"B1",F707="Rejected"),IF(W707="","FALTA_04",""),"")</f>
        <v/>
      </c>
      <c r="AJ707" s="8" t="str">
        <f t="shared" ref="AJ707:AJ770" si="47">IF(AND(X707="",I707&lt;&gt;"",NOT(OR(R707,S707))),IF(NETWORKDAYS.INTL(G707,TODAY(),11)&lt;=1,"En Plazo",IF(OR(AND(X707="",O707&lt;&gt;"M1"),AND(O707="M1",(OR(Q707="S - S",Q707="S - T",)))),"FALTA_05","")),"")</f>
        <v/>
      </c>
      <c r="AL707" s="8" t="str">
        <f t="shared" ref="AL707:AL770" si="48">IF(AND(O707="B1",F707="Rejected"),IF(Z707="","FALTA_07",""),"")</f>
        <v/>
      </c>
    </row>
    <row r="708" spans="1:38" x14ac:dyDescent="0.25">
      <c r="A708" s="8" t="s">
        <v>6881</v>
      </c>
      <c r="B708" s="8" t="s">
        <v>6882</v>
      </c>
      <c r="C708" s="8">
        <v>30870383</v>
      </c>
      <c r="D708" s="8">
        <v>5</v>
      </c>
      <c r="E708" s="11">
        <v>43110</v>
      </c>
      <c r="F708" s="8" t="s">
        <v>57</v>
      </c>
      <c r="G708" s="11">
        <v>43115</v>
      </c>
      <c r="H708" s="8" t="s">
        <v>145</v>
      </c>
      <c r="J708" s="8" t="s">
        <v>25</v>
      </c>
      <c r="N708" s="8" t="s">
        <v>58</v>
      </c>
      <c r="O708" s="8" t="s">
        <v>59</v>
      </c>
      <c r="P708" s="8" t="s">
        <v>59</v>
      </c>
      <c r="R708" s="8">
        <v>0</v>
      </c>
      <c r="S708" s="8">
        <v>0</v>
      </c>
      <c r="T708" s="8">
        <v>1</v>
      </c>
      <c r="U708" s="8">
        <v>2</v>
      </c>
      <c r="AG708" s="8" t="str">
        <f t="shared" si="45"/>
        <v/>
      </c>
      <c r="AI708" s="8" t="str">
        <f t="shared" si="46"/>
        <v/>
      </c>
      <c r="AJ708" s="8" t="str">
        <f t="shared" si="47"/>
        <v/>
      </c>
      <c r="AL708" s="8" t="str">
        <f t="shared" si="48"/>
        <v/>
      </c>
    </row>
    <row r="709" spans="1:38" x14ac:dyDescent="0.25">
      <c r="A709" s="8" t="s">
        <v>3472</v>
      </c>
      <c r="B709" s="8" t="s">
        <v>3473</v>
      </c>
      <c r="C709" s="8">
        <v>30862714</v>
      </c>
      <c r="D709" s="8">
        <v>5</v>
      </c>
      <c r="E709" s="11">
        <v>43110</v>
      </c>
      <c r="F709" s="8" t="s">
        <v>58</v>
      </c>
      <c r="G709" s="11">
        <v>43111</v>
      </c>
      <c r="H709" s="8" t="s">
        <v>25</v>
      </c>
      <c r="I709" s="11">
        <v>43111</v>
      </c>
      <c r="J709" s="8" t="s">
        <v>25</v>
      </c>
      <c r="N709" s="8" t="s">
        <v>58</v>
      </c>
      <c r="O709" s="8" t="s">
        <v>59</v>
      </c>
      <c r="P709" s="8" t="s">
        <v>59</v>
      </c>
      <c r="R709" s="8">
        <v>0</v>
      </c>
      <c r="S709" s="8">
        <v>0</v>
      </c>
      <c r="T709" s="8">
        <v>1</v>
      </c>
      <c r="U709" s="8">
        <v>2</v>
      </c>
      <c r="X709" s="8">
        <v>5</v>
      </c>
      <c r="AG709" s="8" t="str">
        <f t="shared" si="45"/>
        <v/>
      </c>
      <c r="AI709" s="8" t="str">
        <f t="shared" si="46"/>
        <v/>
      </c>
      <c r="AJ709" s="8" t="str">
        <f t="shared" si="47"/>
        <v/>
      </c>
      <c r="AL709" s="8" t="str">
        <f t="shared" si="48"/>
        <v/>
      </c>
    </row>
    <row r="710" spans="1:38" x14ac:dyDescent="0.25">
      <c r="A710" s="8" t="s">
        <v>962</v>
      </c>
      <c r="B710" s="8" t="s">
        <v>963</v>
      </c>
      <c r="C710" s="8">
        <v>30844142</v>
      </c>
      <c r="D710" s="8">
        <v>5</v>
      </c>
      <c r="E710" s="11">
        <v>43109</v>
      </c>
      <c r="F710" s="8" t="s">
        <v>58</v>
      </c>
      <c r="G710" s="11">
        <v>43109</v>
      </c>
      <c r="H710" s="8" t="s">
        <v>25</v>
      </c>
      <c r="I710" s="11">
        <v>43112</v>
      </c>
      <c r="J710" s="8" t="s">
        <v>25</v>
      </c>
      <c r="N710" s="8" t="s">
        <v>58</v>
      </c>
      <c r="O710" s="8" t="s">
        <v>59</v>
      </c>
      <c r="P710" s="8" t="s">
        <v>59</v>
      </c>
      <c r="R710" s="8">
        <v>0</v>
      </c>
      <c r="S710" s="8">
        <v>0</v>
      </c>
      <c r="T710" s="8">
        <v>1</v>
      </c>
      <c r="U710" s="8">
        <v>2</v>
      </c>
      <c r="X710" s="8">
        <v>5</v>
      </c>
      <c r="AG710" s="8" t="str">
        <f t="shared" si="45"/>
        <v/>
      </c>
      <c r="AI710" s="8" t="str">
        <f t="shared" si="46"/>
        <v/>
      </c>
      <c r="AJ710" s="8" t="str">
        <f t="shared" si="47"/>
        <v/>
      </c>
      <c r="AL710" s="8" t="str">
        <f t="shared" si="48"/>
        <v/>
      </c>
    </row>
    <row r="711" spans="1:38" x14ac:dyDescent="0.25">
      <c r="A711" s="8" t="s">
        <v>1884</v>
      </c>
      <c r="B711" s="8" t="s">
        <v>1885</v>
      </c>
      <c r="C711" s="8">
        <v>30870761</v>
      </c>
      <c r="D711" s="8">
        <v>4</v>
      </c>
      <c r="E711" s="11">
        <v>43110</v>
      </c>
      <c r="F711" s="8" t="s">
        <v>57</v>
      </c>
      <c r="G711" s="11">
        <v>43110</v>
      </c>
      <c r="H711" s="8" t="s">
        <v>25</v>
      </c>
      <c r="J711" s="8" t="s">
        <v>25</v>
      </c>
      <c r="N711" s="8" t="s">
        <v>58</v>
      </c>
      <c r="O711" s="8" t="s">
        <v>59</v>
      </c>
      <c r="P711" s="8" t="s">
        <v>59</v>
      </c>
      <c r="R711" s="8">
        <v>0</v>
      </c>
      <c r="S711" s="8">
        <v>0</v>
      </c>
      <c r="T711" s="8">
        <v>1</v>
      </c>
      <c r="U711" s="8">
        <v>2</v>
      </c>
      <c r="AG711" s="8" t="str">
        <f t="shared" si="45"/>
        <v/>
      </c>
      <c r="AI711" s="8" t="str">
        <f t="shared" si="46"/>
        <v/>
      </c>
      <c r="AJ711" s="8" t="str">
        <f t="shared" si="47"/>
        <v/>
      </c>
      <c r="AL711" s="8" t="str">
        <f t="shared" si="48"/>
        <v/>
      </c>
    </row>
    <row r="712" spans="1:38" x14ac:dyDescent="0.25">
      <c r="A712" s="8" t="s">
        <v>964</v>
      </c>
      <c r="B712" s="8" t="s">
        <v>965</v>
      </c>
      <c r="C712" s="8">
        <v>30840217</v>
      </c>
      <c r="D712" s="8">
        <v>5</v>
      </c>
      <c r="E712" s="11">
        <v>43109</v>
      </c>
      <c r="F712" s="8" t="s">
        <v>58</v>
      </c>
      <c r="G712" s="11">
        <v>43109</v>
      </c>
      <c r="H712" s="8" t="s">
        <v>25</v>
      </c>
      <c r="I712" s="11">
        <v>43109</v>
      </c>
      <c r="J712" s="8" t="s">
        <v>25</v>
      </c>
      <c r="N712" s="8" t="s">
        <v>58</v>
      </c>
      <c r="O712" s="8" t="s">
        <v>59</v>
      </c>
      <c r="P712" s="8" t="s">
        <v>59</v>
      </c>
      <c r="R712" s="8">
        <v>0</v>
      </c>
      <c r="S712" s="8">
        <v>0</v>
      </c>
      <c r="T712" s="8">
        <v>1</v>
      </c>
      <c r="U712" s="8">
        <v>2</v>
      </c>
      <c r="X712" s="8">
        <v>5</v>
      </c>
      <c r="AG712" s="8" t="str">
        <f t="shared" si="45"/>
        <v/>
      </c>
      <c r="AI712" s="8" t="str">
        <f t="shared" si="46"/>
        <v/>
      </c>
      <c r="AJ712" s="8" t="str">
        <f t="shared" si="47"/>
        <v/>
      </c>
      <c r="AL712" s="8" t="str">
        <f t="shared" si="48"/>
        <v/>
      </c>
    </row>
    <row r="713" spans="1:38" x14ac:dyDescent="0.25">
      <c r="A713" s="8" t="s">
        <v>6883</v>
      </c>
      <c r="B713" s="8" t="s">
        <v>6884</v>
      </c>
      <c r="C713" s="8">
        <v>30940543</v>
      </c>
      <c r="D713" s="8">
        <v>5</v>
      </c>
      <c r="E713" s="11">
        <v>43115</v>
      </c>
      <c r="F713" s="8" t="s">
        <v>57</v>
      </c>
      <c r="G713" s="11">
        <v>43115</v>
      </c>
      <c r="H713" s="8" t="s">
        <v>25</v>
      </c>
      <c r="J713" s="8" t="s">
        <v>25</v>
      </c>
      <c r="N713" s="8" t="s">
        <v>58</v>
      </c>
      <c r="O713" s="8" t="s">
        <v>59</v>
      </c>
      <c r="P713" s="8" t="s">
        <v>59</v>
      </c>
      <c r="R713" s="8">
        <v>0</v>
      </c>
      <c r="S713" s="8">
        <v>0</v>
      </c>
      <c r="T713" s="8">
        <v>1</v>
      </c>
      <c r="U713" s="8">
        <v>2</v>
      </c>
      <c r="AG713" s="8" t="str">
        <f t="shared" si="45"/>
        <v/>
      </c>
      <c r="AI713" s="8" t="str">
        <f t="shared" si="46"/>
        <v/>
      </c>
      <c r="AJ713" s="8" t="str">
        <f t="shared" si="47"/>
        <v/>
      </c>
      <c r="AL713" s="8" t="str">
        <f t="shared" si="48"/>
        <v/>
      </c>
    </row>
    <row r="714" spans="1:38" x14ac:dyDescent="0.25">
      <c r="A714" s="8" t="s">
        <v>3474</v>
      </c>
      <c r="B714" s="8" t="s">
        <v>3475</v>
      </c>
      <c r="C714" s="8">
        <v>30859854</v>
      </c>
      <c r="D714" s="8">
        <v>5</v>
      </c>
      <c r="E714" s="11">
        <v>43110</v>
      </c>
      <c r="F714" s="8" t="s">
        <v>57</v>
      </c>
      <c r="G714" s="11">
        <v>43111</v>
      </c>
      <c r="H714" s="8" t="s">
        <v>25</v>
      </c>
      <c r="J714" s="8" t="s">
        <v>25</v>
      </c>
      <c r="N714" s="8" t="s">
        <v>58</v>
      </c>
      <c r="O714" s="8" t="s">
        <v>59</v>
      </c>
      <c r="P714" s="8" t="s">
        <v>59</v>
      </c>
      <c r="R714" s="8">
        <v>0</v>
      </c>
      <c r="S714" s="8">
        <v>0</v>
      </c>
      <c r="T714" s="8">
        <v>1</v>
      </c>
      <c r="U714" s="8">
        <v>2</v>
      </c>
      <c r="AG714" s="8" t="str">
        <f t="shared" si="45"/>
        <v/>
      </c>
      <c r="AI714" s="8" t="str">
        <f t="shared" si="46"/>
        <v/>
      </c>
      <c r="AJ714" s="8" t="str">
        <f t="shared" si="47"/>
        <v/>
      </c>
      <c r="AL714" s="8" t="str">
        <f t="shared" si="48"/>
        <v/>
      </c>
    </row>
    <row r="715" spans="1:38" x14ac:dyDescent="0.25">
      <c r="A715" s="8" t="s">
        <v>1886</v>
      </c>
      <c r="B715" s="8" t="s">
        <v>1887</v>
      </c>
      <c r="C715" s="8">
        <v>30862102</v>
      </c>
      <c r="D715" s="8">
        <v>5</v>
      </c>
      <c r="E715" s="11">
        <v>43110</v>
      </c>
      <c r="F715" s="8" t="s">
        <v>58</v>
      </c>
      <c r="G715" s="11">
        <v>43110</v>
      </c>
      <c r="H715" s="8" t="s">
        <v>25</v>
      </c>
      <c r="I715" s="11">
        <v>43115</v>
      </c>
      <c r="J715" s="8" t="s">
        <v>145</v>
      </c>
      <c r="N715" s="8" t="s">
        <v>58</v>
      </c>
      <c r="O715" s="8" t="s">
        <v>59</v>
      </c>
      <c r="P715" s="8" t="s">
        <v>59</v>
      </c>
      <c r="R715" s="8">
        <v>0</v>
      </c>
      <c r="S715" s="8">
        <v>0</v>
      </c>
      <c r="T715" s="8">
        <v>1</v>
      </c>
      <c r="U715" s="8">
        <v>2</v>
      </c>
      <c r="X715" s="8">
        <v>5</v>
      </c>
      <c r="AG715" s="8" t="str">
        <f t="shared" si="45"/>
        <v/>
      </c>
      <c r="AI715" s="8" t="str">
        <f t="shared" si="46"/>
        <v/>
      </c>
      <c r="AJ715" s="8" t="str">
        <f t="shared" si="47"/>
        <v/>
      </c>
      <c r="AL715" s="8" t="str">
        <f t="shared" si="48"/>
        <v/>
      </c>
    </row>
    <row r="716" spans="1:38" x14ac:dyDescent="0.25">
      <c r="A716" s="8" t="s">
        <v>966</v>
      </c>
      <c r="B716" s="8" t="s">
        <v>967</v>
      </c>
      <c r="C716" s="8">
        <v>30853633</v>
      </c>
      <c r="D716" s="8">
        <v>5</v>
      </c>
      <c r="E716" s="11">
        <v>43109</v>
      </c>
      <c r="F716" s="8" t="s">
        <v>58</v>
      </c>
      <c r="G716" s="11">
        <v>43109</v>
      </c>
      <c r="H716" s="8" t="s">
        <v>25</v>
      </c>
      <c r="I716" s="11">
        <v>43109</v>
      </c>
      <c r="J716" s="8" t="s">
        <v>25</v>
      </c>
      <c r="N716" s="8" t="s">
        <v>58</v>
      </c>
      <c r="O716" s="8" t="s">
        <v>59</v>
      </c>
      <c r="P716" s="8" t="s">
        <v>59</v>
      </c>
      <c r="R716" s="8">
        <v>0</v>
      </c>
      <c r="S716" s="8">
        <v>0</v>
      </c>
      <c r="T716" s="8">
        <v>1</v>
      </c>
      <c r="U716" s="8">
        <v>2</v>
      </c>
      <c r="X716" s="8">
        <v>5</v>
      </c>
      <c r="AG716" s="8" t="str">
        <f t="shared" si="45"/>
        <v/>
      </c>
      <c r="AI716" s="8" t="str">
        <f t="shared" si="46"/>
        <v/>
      </c>
      <c r="AJ716" s="8" t="str">
        <f t="shared" si="47"/>
        <v/>
      </c>
      <c r="AL716" s="8" t="str">
        <f t="shared" si="48"/>
        <v/>
      </c>
    </row>
    <row r="717" spans="1:38" x14ac:dyDescent="0.25">
      <c r="A717" s="8" t="s">
        <v>1888</v>
      </c>
      <c r="B717" s="8" t="s">
        <v>1889</v>
      </c>
      <c r="C717" s="8">
        <v>30856673</v>
      </c>
      <c r="D717" s="8">
        <v>5</v>
      </c>
      <c r="E717" s="11">
        <v>43110</v>
      </c>
      <c r="F717" s="8" t="s">
        <v>57</v>
      </c>
      <c r="G717" s="11">
        <v>43110</v>
      </c>
      <c r="H717" s="8" t="s">
        <v>25</v>
      </c>
      <c r="J717" s="8" t="s">
        <v>25</v>
      </c>
      <c r="N717" s="8" t="s">
        <v>58</v>
      </c>
      <c r="O717" s="8" t="s">
        <v>59</v>
      </c>
      <c r="P717" s="8" t="s">
        <v>59</v>
      </c>
      <c r="R717" s="8">
        <v>0</v>
      </c>
      <c r="S717" s="8">
        <v>0</v>
      </c>
      <c r="T717" s="8">
        <v>1</v>
      </c>
      <c r="U717" s="8">
        <v>2</v>
      </c>
      <c r="AG717" s="8" t="str">
        <f t="shared" si="45"/>
        <v/>
      </c>
      <c r="AI717" s="8" t="str">
        <f t="shared" si="46"/>
        <v/>
      </c>
      <c r="AJ717" s="8" t="str">
        <f t="shared" si="47"/>
        <v/>
      </c>
      <c r="AL717" s="8" t="str">
        <f t="shared" si="48"/>
        <v/>
      </c>
    </row>
    <row r="718" spans="1:38" x14ac:dyDescent="0.25">
      <c r="A718" s="8" t="s">
        <v>1890</v>
      </c>
      <c r="B718" s="8" t="s">
        <v>1891</v>
      </c>
      <c r="C718" s="8">
        <v>30861860</v>
      </c>
      <c r="D718" s="8">
        <v>5</v>
      </c>
      <c r="E718" s="11">
        <v>43110</v>
      </c>
      <c r="F718" s="8" t="s">
        <v>57</v>
      </c>
      <c r="G718" s="11">
        <v>43110</v>
      </c>
      <c r="H718" s="8" t="s">
        <v>25</v>
      </c>
      <c r="J718" s="8" t="s">
        <v>25</v>
      </c>
      <c r="N718" s="8" t="s">
        <v>58</v>
      </c>
      <c r="O718" s="8" t="s">
        <v>59</v>
      </c>
      <c r="P718" s="8" t="s">
        <v>59</v>
      </c>
      <c r="R718" s="8">
        <v>0</v>
      </c>
      <c r="S718" s="8">
        <v>0</v>
      </c>
      <c r="T718" s="8">
        <v>1</v>
      </c>
      <c r="U718" s="8">
        <v>2</v>
      </c>
      <c r="AG718" s="8" t="str">
        <f t="shared" si="45"/>
        <v/>
      </c>
      <c r="AI718" s="8" t="str">
        <f t="shared" si="46"/>
        <v/>
      </c>
      <c r="AJ718" s="8" t="str">
        <f t="shared" si="47"/>
        <v/>
      </c>
      <c r="AL718" s="8" t="str">
        <f t="shared" si="48"/>
        <v/>
      </c>
    </row>
    <row r="719" spans="1:38" x14ac:dyDescent="0.25">
      <c r="A719" s="8" t="s">
        <v>264</v>
      </c>
      <c r="B719" s="8" t="s">
        <v>265</v>
      </c>
      <c r="C719" s="8">
        <v>30829066</v>
      </c>
      <c r="D719" s="8">
        <v>5</v>
      </c>
      <c r="E719" s="11">
        <v>43108</v>
      </c>
      <c r="F719" s="8" t="s">
        <v>58</v>
      </c>
      <c r="G719" s="11">
        <v>43108</v>
      </c>
      <c r="H719" s="8" t="s">
        <v>25</v>
      </c>
      <c r="I719" s="11">
        <v>43108</v>
      </c>
      <c r="J719" s="8" t="s">
        <v>25</v>
      </c>
      <c r="N719" s="8" t="s">
        <v>58</v>
      </c>
      <c r="O719" s="8" t="s">
        <v>59</v>
      </c>
      <c r="P719" s="8" t="s">
        <v>59</v>
      </c>
      <c r="R719" s="8">
        <v>0</v>
      </c>
      <c r="S719" s="8">
        <v>0</v>
      </c>
      <c r="T719" s="8">
        <v>1</v>
      </c>
      <c r="U719" s="8">
        <v>2</v>
      </c>
      <c r="X719" s="8">
        <v>5</v>
      </c>
      <c r="AG719" s="8" t="str">
        <f t="shared" si="45"/>
        <v/>
      </c>
      <c r="AI719" s="8" t="str">
        <f t="shared" si="46"/>
        <v/>
      </c>
      <c r="AJ719" s="8" t="str">
        <f t="shared" si="47"/>
        <v/>
      </c>
      <c r="AL719" s="8" t="str">
        <f t="shared" si="48"/>
        <v/>
      </c>
    </row>
    <row r="720" spans="1:38" x14ac:dyDescent="0.25">
      <c r="A720" s="8" t="s">
        <v>3476</v>
      </c>
      <c r="B720" s="8" t="s">
        <v>3477</v>
      </c>
      <c r="C720" s="8">
        <v>30901936</v>
      </c>
      <c r="D720" s="8">
        <v>5</v>
      </c>
      <c r="E720" s="11">
        <v>43111</v>
      </c>
      <c r="F720" s="8" t="s">
        <v>58</v>
      </c>
      <c r="G720" s="11">
        <v>43111</v>
      </c>
      <c r="H720" s="8" t="s">
        <v>25</v>
      </c>
      <c r="I720" s="11">
        <v>43112</v>
      </c>
      <c r="J720" s="8" t="s">
        <v>25</v>
      </c>
      <c r="N720" s="8" t="s">
        <v>58</v>
      </c>
      <c r="O720" s="8" t="s">
        <v>59</v>
      </c>
      <c r="P720" s="8" t="s">
        <v>59</v>
      </c>
      <c r="R720" s="8">
        <v>0</v>
      </c>
      <c r="S720" s="8">
        <v>0</v>
      </c>
      <c r="T720" s="8">
        <v>1</v>
      </c>
      <c r="U720" s="8">
        <v>2</v>
      </c>
      <c r="X720" s="8">
        <v>5</v>
      </c>
      <c r="AG720" s="8" t="str">
        <f t="shared" si="45"/>
        <v/>
      </c>
      <c r="AI720" s="8" t="str">
        <f t="shared" si="46"/>
        <v/>
      </c>
      <c r="AJ720" s="8" t="str">
        <f t="shared" si="47"/>
        <v/>
      </c>
      <c r="AL720" s="8" t="str">
        <f t="shared" si="48"/>
        <v/>
      </c>
    </row>
    <row r="721" spans="1:38" x14ac:dyDescent="0.25">
      <c r="A721" s="8" t="s">
        <v>1892</v>
      </c>
      <c r="B721" s="8" t="s">
        <v>1893</v>
      </c>
      <c r="C721" s="8">
        <v>30866223</v>
      </c>
      <c r="D721" s="8">
        <v>5</v>
      </c>
      <c r="E721" s="11">
        <v>43110</v>
      </c>
      <c r="F721" s="8" t="s">
        <v>58</v>
      </c>
      <c r="G721" s="11">
        <v>43110</v>
      </c>
      <c r="H721" s="8" t="s">
        <v>25</v>
      </c>
      <c r="I721" s="11">
        <v>43111</v>
      </c>
      <c r="J721" s="8" t="s">
        <v>25</v>
      </c>
      <c r="N721" s="8" t="s">
        <v>58</v>
      </c>
      <c r="O721" s="8" t="s">
        <v>59</v>
      </c>
      <c r="P721" s="8" t="s">
        <v>59</v>
      </c>
      <c r="R721" s="8">
        <v>0</v>
      </c>
      <c r="S721" s="8">
        <v>0</v>
      </c>
      <c r="T721" s="8">
        <v>1</v>
      </c>
      <c r="U721" s="8">
        <v>2</v>
      </c>
      <c r="X721" s="8">
        <v>5</v>
      </c>
      <c r="AG721" s="8" t="str">
        <f t="shared" si="45"/>
        <v/>
      </c>
      <c r="AI721" s="8" t="str">
        <f t="shared" si="46"/>
        <v/>
      </c>
      <c r="AJ721" s="8" t="str">
        <f t="shared" si="47"/>
        <v/>
      </c>
      <c r="AL721" s="8" t="str">
        <f t="shared" si="48"/>
        <v/>
      </c>
    </row>
    <row r="722" spans="1:38" x14ac:dyDescent="0.25">
      <c r="A722" s="8" t="s">
        <v>1894</v>
      </c>
      <c r="B722" s="8" t="s">
        <v>1895</v>
      </c>
      <c r="C722" s="8">
        <v>30863877</v>
      </c>
      <c r="D722" s="8">
        <v>5</v>
      </c>
      <c r="E722" s="11">
        <v>43110</v>
      </c>
      <c r="F722" s="8" t="s">
        <v>58</v>
      </c>
      <c r="G722" s="11">
        <v>43110</v>
      </c>
      <c r="H722" s="8" t="s">
        <v>25</v>
      </c>
      <c r="I722" s="11">
        <v>43111</v>
      </c>
      <c r="J722" s="8" t="s">
        <v>25</v>
      </c>
      <c r="N722" s="8" t="s">
        <v>58</v>
      </c>
      <c r="O722" s="8" t="s">
        <v>59</v>
      </c>
      <c r="P722" s="8" t="s">
        <v>59</v>
      </c>
      <c r="R722" s="8">
        <v>0</v>
      </c>
      <c r="S722" s="8">
        <v>0</v>
      </c>
      <c r="T722" s="8">
        <v>1</v>
      </c>
      <c r="U722" s="8">
        <v>2</v>
      </c>
      <c r="X722" s="8">
        <v>5</v>
      </c>
      <c r="AG722" s="8" t="str">
        <f t="shared" si="45"/>
        <v/>
      </c>
      <c r="AI722" s="8" t="str">
        <f t="shared" si="46"/>
        <v/>
      </c>
      <c r="AJ722" s="8" t="str">
        <f t="shared" si="47"/>
        <v/>
      </c>
      <c r="AL722" s="8" t="str">
        <f t="shared" si="48"/>
        <v/>
      </c>
    </row>
    <row r="723" spans="1:38" x14ac:dyDescent="0.25">
      <c r="A723" s="8" t="s">
        <v>1896</v>
      </c>
      <c r="B723" s="8" t="s">
        <v>1897</v>
      </c>
      <c r="C723" s="8">
        <v>30828214</v>
      </c>
      <c r="D723" s="8">
        <v>5</v>
      </c>
      <c r="E723" s="11">
        <v>43108</v>
      </c>
      <c r="F723" s="8" t="s">
        <v>58</v>
      </c>
      <c r="G723" s="11">
        <v>43110</v>
      </c>
      <c r="H723" s="8" t="s">
        <v>25</v>
      </c>
      <c r="I723" s="11">
        <v>43112</v>
      </c>
      <c r="J723" s="8" t="s">
        <v>25</v>
      </c>
      <c r="N723" s="8" t="s">
        <v>58</v>
      </c>
      <c r="O723" s="8" t="s">
        <v>59</v>
      </c>
      <c r="P723" s="8" t="s">
        <v>59</v>
      </c>
      <c r="R723" s="8">
        <v>0</v>
      </c>
      <c r="S723" s="8">
        <v>0</v>
      </c>
      <c r="T723" s="8">
        <v>1</v>
      </c>
      <c r="U723" s="8">
        <v>2</v>
      </c>
      <c r="X723" s="8">
        <v>5</v>
      </c>
      <c r="AG723" s="8" t="str">
        <f t="shared" si="45"/>
        <v/>
      </c>
      <c r="AI723" s="8" t="str">
        <f t="shared" si="46"/>
        <v/>
      </c>
      <c r="AJ723" s="8" t="str">
        <f t="shared" si="47"/>
        <v/>
      </c>
      <c r="AL723" s="8" t="str">
        <f t="shared" si="48"/>
        <v/>
      </c>
    </row>
    <row r="724" spans="1:38" x14ac:dyDescent="0.25">
      <c r="A724" s="8" t="s">
        <v>6885</v>
      </c>
      <c r="B724" s="8" t="s">
        <v>6886</v>
      </c>
      <c r="C724" s="8">
        <v>30932122</v>
      </c>
      <c r="D724" s="8">
        <v>5</v>
      </c>
      <c r="E724" s="11">
        <v>43115</v>
      </c>
      <c r="F724" s="8" t="s">
        <v>57</v>
      </c>
      <c r="G724" s="11">
        <v>43115</v>
      </c>
      <c r="H724" s="8" t="s">
        <v>25</v>
      </c>
      <c r="J724" s="8" t="s">
        <v>25</v>
      </c>
      <c r="N724" s="8" t="s">
        <v>58</v>
      </c>
      <c r="O724" s="8" t="s">
        <v>59</v>
      </c>
      <c r="P724" s="8" t="s">
        <v>59</v>
      </c>
      <c r="R724" s="8">
        <v>0</v>
      </c>
      <c r="S724" s="8">
        <v>0</v>
      </c>
      <c r="T724" s="8">
        <v>1</v>
      </c>
      <c r="U724" s="8">
        <v>2</v>
      </c>
      <c r="AG724" s="8" t="str">
        <f t="shared" si="45"/>
        <v/>
      </c>
      <c r="AI724" s="8" t="str">
        <f t="shared" si="46"/>
        <v/>
      </c>
      <c r="AJ724" s="8" t="str">
        <f t="shared" si="47"/>
        <v/>
      </c>
      <c r="AL724" s="8" t="str">
        <f t="shared" si="48"/>
        <v/>
      </c>
    </row>
    <row r="725" spans="1:38" x14ac:dyDescent="0.25">
      <c r="A725" s="8" t="s">
        <v>3478</v>
      </c>
      <c r="B725" s="8" t="s">
        <v>3479</v>
      </c>
      <c r="C725" s="8">
        <v>30887421</v>
      </c>
      <c r="D725" s="8">
        <v>5</v>
      </c>
      <c r="E725" s="11">
        <v>43111</v>
      </c>
      <c r="F725" s="8" t="s">
        <v>58</v>
      </c>
      <c r="G725" s="11">
        <v>43111</v>
      </c>
      <c r="H725" s="8" t="s">
        <v>25</v>
      </c>
      <c r="I725" s="11">
        <v>43111</v>
      </c>
      <c r="J725" s="8" t="s">
        <v>25</v>
      </c>
      <c r="N725" s="8" t="s">
        <v>58</v>
      </c>
      <c r="O725" s="8" t="s">
        <v>59</v>
      </c>
      <c r="P725" s="8" t="s">
        <v>59</v>
      </c>
      <c r="R725" s="8">
        <v>0</v>
      </c>
      <c r="S725" s="8">
        <v>0</v>
      </c>
      <c r="T725" s="8">
        <v>1</v>
      </c>
      <c r="U725" s="8">
        <v>2</v>
      </c>
      <c r="X725" s="8">
        <v>5</v>
      </c>
      <c r="AG725" s="8" t="str">
        <f t="shared" si="45"/>
        <v/>
      </c>
      <c r="AI725" s="8" t="str">
        <f t="shared" si="46"/>
        <v/>
      </c>
      <c r="AJ725" s="8" t="str">
        <f t="shared" si="47"/>
        <v/>
      </c>
      <c r="AL725" s="8" t="str">
        <f t="shared" si="48"/>
        <v/>
      </c>
    </row>
    <row r="726" spans="1:38" x14ac:dyDescent="0.25">
      <c r="A726" s="8" t="s">
        <v>3480</v>
      </c>
      <c r="B726" s="8" t="s">
        <v>3481</v>
      </c>
      <c r="C726" s="8">
        <v>30889879</v>
      </c>
      <c r="D726" s="8">
        <v>5</v>
      </c>
      <c r="E726" s="11">
        <v>43111</v>
      </c>
      <c r="F726" s="8" t="s">
        <v>58</v>
      </c>
      <c r="G726" s="11">
        <v>43111</v>
      </c>
      <c r="H726" s="8" t="s">
        <v>25</v>
      </c>
      <c r="I726" s="11">
        <v>43112</v>
      </c>
      <c r="J726" s="8" t="s">
        <v>25</v>
      </c>
      <c r="N726" s="8" t="s">
        <v>58</v>
      </c>
      <c r="O726" s="8" t="s">
        <v>59</v>
      </c>
      <c r="P726" s="8" t="s">
        <v>59</v>
      </c>
      <c r="R726" s="8">
        <v>0</v>
      </c>
      <c r="S726" s="8">
        <v>0</v>
      </c>
      <c r="T726" s="8">
        <v>1</v>
      </c>
      <c r="U726" s="8">
        <v>2</v>
      </c>
      <c r="X726" s="8">
        <v>5</v>
      </c>
      <c r="AG726" s="8" t="str">
        <f t="shared" si="45"/>
        <v/>
      </c>
      <c r="AI726" s="8" t="str">
        <f t="shared" si="46"/>
        <v/>
      </c>
      <c r="AJ726" s="8" t="str">
        <f t="shared" si="47"/>
        <v/>
      </c>
      <c r="AL726" s="8" t="str">
        <f t="shared" si="48"/>
        <v/>
      </c>
    </row>
    <row r="727" spans="1:38" x14ac:dyDescent="0.25">
      <c r="A727" s="8" t="s">
        <v>3482</v>
      </c>
      <c r="B727" s="8" t="s">
        <v>3483</v>
      </c>
      <c r="C727" s="8">
        <v>30899117</v>
      </c>
      <c r="D727" s="8">
        <v>5</v>
      </c>
      <c r="E727" s="11">
        <v>43111</v>
      </c>
      <c r="F727" s="8" t="s">
        <v>57</v>
      </c>
      <c r="G727" s="11">
        <v>43111</v>
      </c>
      <c r="H727" s="8" t="s">
        <v>25</v>
      </c>
      <c r="J727" s="8" t="s">
        <v>25</v>
      </c>
      <c r="N727" s="8" t="s">
        <v>58</v>
      </c>
      <c r="O727" s="8" t="s">
        <v>59</v>
      </c>
      <c r="P727" s="8" t="s">
        <v>59</v>
      </c>
      <c r="R727" s="8">
        <v>0</v>
      </c>
      <c r="S727" s="8">
        <v>0</v>
      </c>
      <c r="T727" s="8">
        <v>1</v>
      </c>
      <c r="U727" s="8">
        <v>2</v>
      </c>
      <c r="AG727" s="8" t="str">
        <f t="shared" si="45"/>
        <v/>
      </c>
      <c r="AI727" s="8" t="str">
        <f t="shared" si="46"/>
        <v/>
      </c>
      <c r="AJ727" s="8" t="str">
        <f t="shared" si="47"/>
        <v/>
      </c>
      <c r="AL727" s="8" t="str">
        <f t="shared" si="48"/>
        <v/>
      </c>
    </row>
    <row r="728" spans="1:38" x14ac:dyDescent="0.25">
      <c r="A728" s="8" t="s">
        <v>3484</v>
      </c>
      <c r="B728" s="8" t="s">
        <v>3485</v>
      </c>
      <c r="C728" s="8">
        <v>30891787</v>
      </c>
      <c r="D728" s="8">
        <v>5</v>
      </c>
      <c r="E728" s="11">
        <v>43111</v>
      </c>
      <c r="F728" s="8" t="s">
        <v>58</v>
      </c>
      <c r="G728" s="11">
        <v>43111</v>
      </c>
      <c r="H728" s="8" t="s">
        <v>25</v>
      </c>
      <c r="I728" s="11">
        <v>43112</v>
      </c>
      <c r="J728" s="8" t="s">
        <v>25</v>
      </c>
      <c r="N728" s="8" t="s">
        <v>58</v>
      </c>
      <c r="O728" s="8" t="s">
        <v>59</v>
      </c>
      <c r="P728" s="8" t="s">
        <v>59</v>
      </c>
      <c r="R728" s="8">
        <v>0</v>
      </c>
      <c r="S728" s="8">
        <v>0</v>
      </c>
      <c r="T728" s="8">
        <v>1</v>
      </c>
      <c r="U728" s="8">
        <v>2</v>
      </c>
      <c r="X728" s="8">
        <v>5</v>
      </c>
      <c r="AG728" s="8" t="str">
        <f t="shared" si="45"/>
        <v/>
      </c>
      <c r="AI728" s="8" t="str">
        <f t="shared" si="46"/>
        <v/>
      </c>
      <c r="AJ728" s="8" t="str">
        <f t="shared" si="47"/>
        <v/>
      </c>
      <c r="AL728" s="8" t="str">
        <f t="shared" si="48"/>
        <v/>
      </c>
    </row>
    <row r="729" spans="1:38" x14ac:dyDescent="0.25">
      <c r="A729" s="8" t="s">
        <v>3486</v>
      </c>
      <c r="B729" s="8" t="s">
        <v>3487</v>
      </c>
      <c r="C729" s="8">
        <v>30895320</v>
      </c>
      <c r="D729" s="8">
        <v>5</v>
      </c>
      <c r="E729" s="11">
        <v>43111</v>
      </c>
      <c r="F729" s="8" t="s">
        <v>58</v>
      </c>
      <c r="G729" s="11">
        <v>43111</v>
      </c>
      <c r="H729" s="8" t="s">
        <v>25</v>
      </c>
      <c r="I729" s="11">
        <v>43111</v>
      </c>
      <c r="J729" s="8" t="s">
        <v>25</v>
      </c>
      <c r="N729" s="8" t="s">
        <v>58</v>
      </c>
      <c r="O729" s="8" t="s">
        <v>59</v>
      </c>
      <c r="P729" s="8" t="s">
        <v>59</v>
      </c>
      <c r="R729" s="8">
        <v>0</v>
      </c>
      <c r="S729" s="8">
        <v>0</v>
      </c>
      <c r="T729" s="8">
        <v>1</v>
      </c>
      <c r="U729" s="8">
        <v>2</v>
      </c>
      <c r="X729" s="8">
        <v>5</v>
      </c>
      <c r="AG729" s="8" t="str">
        <f t="shared" si="45"/>
        <v/>
      </c>
      <c r="AI729" s="8" t="str">
        <f t="shared" si="46"/>
        <v/>
      </c>
      <c r="AJ729" s="8" t="str">
        <f t="shared" si="47"/>
        <v/>
      </c>
      <c r="AL729" s="8" t="str">
        <f t="shared" si="48"/>
        <v/>
      </c>
    </row>
    <row r="730" spans="1:38" x14ac:dyDescent="0.25">
      <c r="A730" s="8" t="s">
        <v>1898</v>
      </c>
      <c r="B730" s="8" t="s">
        <v>1899</v>
      </c>
      <c r="C730" s="8">
        <v>30870567</v>
      </c>
      <c r="D730" s="8">
        <v>5</v>
      </c>
      <c r="E730" s="11">
        <v>43110</v>
      </c>
      <c r="F730" s="8" t="s">
        <v>58</v>
      </c>
      <c r="G730" s="11">
        <v>43110</v>
      </c>
      <c r="H730" s="8" t="s">
        <v>25</v>
      </c>
      <c r="I730" s="11">
        <v>43110</v>
      </c>
      <c r="J730" s="8" t="s">
        <v>25</v>
      </c>
      <c r="N730" s="8" t="s">
        <v>58</v>
      </c>
      <c r="O730" s="8" t="s">
        <v>59</v>
      </c>
      <c r="P730" s="8" t="s">
        <v>59</v>
      </c>
      <c r="R730" s="8">
        <v>0</v>
      </c>
      <c r="S730" s="8">
        <v>0</v>
      </c>
      <c r="T730" s="8">
        <v>1</v>
      </c>
      <c r="U730" s="8">
        <v>2</v>
      </c>
      <c r="X730" s="8">
        <v>5</v>
      </c>
      <c r="AG730" s="8" t="str">
        <f t="shared" si="45"/>
        <v/>
      </c>
      <c r="AI730" s="8" t="str">
        <f t="shared" si="46"/>
        <v/>
      </c>
      <c r="AJ730" s="8" t="str">
        <f t="shared" si="47"/>
        <v/>
      </c>
      <c r="AL730" s="8" t="str">
        <f t="shared" si="48"/>
        <v/>
      </c>
    </row>
    <row r="731" spans="1:38" x14ac:dyDescent="0.25">
      <c r="A731" s="8" t="s">
        <v>6887</v>
      </c>
      <c r="B731" s="8" t="s">
        <v>6888</v>
      </c>
      <c r="C731" s="8">
        <v>30940331</v>
      </c>
      <c r="D731" s="8">
        <v>5</v>
      </c>
      <c r="E731" s="11">
        <v>43115</v>
      </c>
      <c r="F731" s="8" t="s">
        <v>57</v>
      </c>
      <c r="G731" s="11">
        <v>43115</v>
      </c>
      <c r="H731" s="8" t="s">
        <v>25</v>
      </c>
      <c r="J731" s="8" t="s">
        <v>25</v>
      </c>
      <c r="N731" s="8" t="s">
        <v>58</v>
      </c>
      <c r="O731" s="8" t="s">
        <v>59</v>
      </c>
      <c r="P731" s="8" t="s">
        <v>59</v>
      </c>
      <c r="R731" s="8">
        <v>0</v>
      </c>
      <c r="S731" s="8">
        <v>0</v>
      </c>
      <c r="T731" s="8">
        <v>1</v>
      </c>
      <c r="U731" s="8">
        <v>2</v>
      </c>
      <c r="AG731" s="8" t="str">
        <f t="shared" si="45"/>
        <v/>
      </c>
      <c r="AI731" s="8" t="str">
        <f t="shared" si="46"/>
        <v/>
      </c>
      <c r="AJ731" s="8" t="str">
        <f t="shared" si="47"/>
        <v/>
      </c>
      <c r="AL731" s="8" t="str">
        <f t="shared" si="48"/>
        <v/>
      </c>
    </row>
    <row r="732" spans="1:38" x14ac:dyDescent="0.25">
      <c r="A732" s="8" t="s">
        <v>4980</v>
      </c>
      <c r="B732" s="8" t="s">
        <v>4981</v>
      </c>
      <c r="C732" s="8">
        <v>30903760</v>
      </c>
      <c r="D732" s="8">
        <v>5</v>
      </c>
      <c r="E732" s="11">
        <v>43111</v>
      </c>
      <c r="F732" s="8" t="s">
        <v>58</v>
      </c>
      <c r="G732" s="11">
        <v>43112</v>
      </c>
      <c r="H732" s="8" t="s">
        <v>25</v>
      </c>
      <c r="I732" s="11">
        <v>43112</v>
      </c>
      <c r="J732" s="8" t="s">
        <v>25</v>
      </c>
      <c r="N732" s="8" t="s">
        <v>58</v>
      </c>
      <c r="O732" s="8" t="s">
        <v>59</v>
      </c>
      <c r="P732" s="8" t="s">
        <v>59</v>
      </c>
      <c r="R732" s="8">
        <v>0</v>
      </c>
      <c r="S732" s="8">
        <v>0</v>
      </c>
      <c r="T732" s="8">
        <v>1</v>
      </c>
      <c r="U732" s="8">
        <v>2</v>
      </c>
      <c r="X732" s="8">
        <v>5</v>
      </c>
      <c r="AG732" s="8" t="str">
        <f t="shared" si="45"/>
        <v/>
      </c>
      <c r="AI732" s="8" t="str">
        <f t="shared" si="46"/>
        <v/>
      </c>
      <c r="AJ732" s="8" t="str">
        <f t="shared" si="47"/>
        <v/>
      </c>
      <c r="AL732" s="8" t="str">
        <f t="shared" si="48"/>
        <v/>
      </c>
    </row>
    <row r="733" spans="1:38" x14ac:dyDescent="0.25">
      <c r="A733" s="8" t="s">
        <v>968</v>
      </c>
      <c r="B733" s="8" t="s">
        <v>969</v>
      </c>
      <c r="C733" s="8">
        <v>30830899</v>
      </c>
      <c r="D733" s="8">
        <v>4</v>
      </c>
      <c r="E733" s="11">
        <v>43109</v>
      </c>
      <c r="F733" s="8" t="s">
        <v>57</v>
      </c>
      <c r="G733" s="11">
        <v>43109</v>
      </c>
      <c r="H733" s="8" t="s">
        <v>25</v>
      </c>
      <c r="J733" s="8" t="s">
        <v>25</v>
      </c>
      <c r="N733" s="8" t="s">
        <v>58</v>
      </c>
      <c r="O733" s="8" t="s">
        <v>59</v>
      </c>
      <c r="P733" s="8" t="s">
        <v>59</v>
      </c>
      <c r="R733" s="8">
        <v>0</v>
      </c>
      <c r="S733" s="8">
        <v>0</v>
      </c>
      <c r="T733" s="8">
        <v>1</v>
      </c>
      <c r="U733" s="8">
        <v>2</v>
      </c>
      <c r="AG733" s="8" t="str">
        <f t="shared" si="45"/>
        <v/>
      </c>
      <c r="AI733" s="8" t="str">
        <f t="shared" si="46"/>
        <v/>
      </c>
      <c r="AJ733" s="8" t="str">
        <f t="shared" si="47"/>
        <v/>
      </c>
      <c r="AL733" s="8" t="str">
        <f t="shared" si="48"/>
        <v/>
      </c>
    </row>
    <row r="734" spans="1:38" x14ac:dyDescent="0.25">
      <c r="A734" s="8" t="s">
        <v>4982</v>
      </c>
      <c r="B734" s="8" t="s">
        <v>4983</v>
      </c>
      <c r="C734" s="8">
        <v>30922458</v>
      </c>
      <c r="D734" s="8">
        <v>5</v>
      </c>
      <c r="E734" s="11">
        <v>43112</v>
      </c>
      <c r="F734" s="8" t="s">
        <v>57</v>
      </c>
      <c r="G734" s="11">
        <v>43112</v>
      </c>
      <c r="H734" s="8" t="s">
        <v>25</v>
      </c>
      <c r="J734" s="8" t="s">
        <v>25</v>
      </c>
      <c r="N734" s="8" t="s">
        <v>58</v>
      </c>
      <c r="O734" s="8" t="s">
        <v>59</v>
      </c>
      <c r="P734" s="8" t="s">
        <v>59</v>
      </c>
      <c r="R734" s="8">
        <v>0</v>
      </c>
      <c r="S734" s="8">
        <v>0</v>
      </c>
      <c r="T734" s="8">
        <v>1</v>
      </c>
      <c r="U734" s="8">
        <v>2</v>
      </c>
      <c r="AG734" s="8" t="str">
        <f t="shared" si="45"/>
        <v/>
      </c>
      <c r="AI734" s="8" t="str">
        <f t="shared" si="46"/>
        <v/>
      </c>
      <c r="AJ734" s="8" t="str">
        <f t="shared" si="47"/>
        <v/>
      </c>
      <c r="AL734" s="8" t="str">
        <f t="shared" si="48"/>
        <v/>
      </c>
    </row>
    <row r="735" spans="1:38" x14ac:dyDescent="0.25">
      <c r="A735" s="8" t="s">
        <v>970</v>
      </c>
      <c r="B735" s="8" t="s">
        <v>971</v>
      </c>
      <c r="C735" s="8">
        <v>30851636</v>
      </c>
      <c r="D735" s="8">
        <v>5</v>
      </c>
      <c r="E735" s="11">
        <v>43109</v>
      </c>
      <c r="F735" s="8" t="s">
        <v>57</v>
      </c>
      <c r="G735" s="11">
        <v>43109</v>
      </c>
      <c r="H735" s="8" t="s">
        <v>25</v>
      </c>
      <c r="J735" s="8" t="s">
        <v>25</v>
      </c>
      <c r="N735" s="8" t="s">
        <v>58</v>
      </c>
      <c r="O735" s="8" t="s">
        <v>59</v>
      </c>
      <c r="P735" s="8" t="s">
        <v>59</v>
      </c>
      <c r="R735" s="8">
        <v>0</v>
      </c>
      <c r="S735" s="8">
        <v>0</v>
      </c>
      <c r="T735" s="8">
        <v>1</v>
      </c>
      <c r="U735" s="8">
        <v>2</v>
      </c>
      <c r="AG735" s="8" t="str">
        <f t="shared" si="45"/>
        <v/>
      </c>
      <c r="AI735" s="8" t="str">
        <f t="shared" si="46"/>
        <v/>
      </c>
      <c r="AJ735" s="8" t="str">
        <f t="shared" si="47"/>
        <v/>
      </c>
      <c r="AL735" s="8" t="str">
        <f t="shared" si="48"/>
        <v/>
      </c>
    </row>
    <row r="736" spans="1:38" x14ac:dyDescent="0.25">
      <c r="A736" s="8" t="s">
        <v>972</v>
      </c>
      <c r="B736" s="8" t="s">
        <v>973</v>
      </c>
      <c r="C736" s="8">
        <v>30840486</v>
      </c>
      <c r="D736" s="8">
        <v>5</v>
      </c>
      <c r="E736" s="11">
        <v>43109</v>
      </c>
      <c r="F736" s="8" t="s">
        <v>58</v>
      </c>
      <c r="G736" s="11">
        <v>43109</v>
      </c>
      <c r="H736" s="8" t="s">
        <v>25</v>
      </c>
      <c r="I736" s="11">
        <v>43109</v>
      </c>
      <c r="J736" s="8" t="s">
        <v>25</v>
      </c>
      <c r="N736" s="8" t="s">
        <v>58</v>
      </c>
      <c r="O736" s="8" t="s">
        <v>59</v>
      </c>
      <c r="P736" s="8" t="s">
        <v>59</v>
      </c>
      <c r="R736" s="8">
        <v>0</v>
      </c>
      <c r="S736" s="8">
        <v>0</v>
      </c>
      <c r="T736" s="8">
        <v>1</v>
      </c>
      <c r="U736" s="8">
        <v>2</v>
      </c>
      <c r="X736" s="8">
        <v>5</v>
      </c>
      <c r="AG736" s="8" t="str">
        <f t="shared" si="45"/>
        <v/>
      </c>
      <c r="AI736" s="8" t="str">
        <f t="shared" si="46"/>
        <v/>
      </c>
      <c r="AJ736" s="8" t="str">
        <f t="shared" si="47"/>
        <v/>
      </c>
      <c r="AL736" s="8" t="str">
        <f t="shared" si="48"/>
        <v/>
      </c>
    </row>
    <row r="737" spans="1:38" x14ac:dyDescent="0.25">
      <c r="A737" s="8" t="s">
        <v>974</v>
      </c>
      <c r="B737" s="8" t="s">
        <v>975</v>
      </c>
      <c r="C737" s="8">
        <v>30827108</v>
      </c>
      <c r="D737" s="8">
        <v>4</v>
      </c>
      <c r="E737" s="11">
        <v>43108</v>
      </c>
      <c r="F737" s="8" t="s">
        <v>58</v>
      </c>
      <c r="G737" s="11">
        <v>43109</v>
      </c>
      <c r="H737" s="8" t="s">
        <v>25</v>
      </c>
      <c r="I737" s="11">
        <v>43110</v>
      </c>
      <c r="J737" s="8" t="s">
        <v>25</v>
      </c>
      <c r="N737" s="8" t="s">
        <v>58</v>
      </c>
      <c r="O737" s="8" t="s">
        <v>59</v>
      </c>
      <c r="P737" s="8" t="s">
        <v>59</v>
      </c>
      <c r="R737" s="8">
        <v>0</v>
      </c>
      <c r="S737" s="8">
        <v>0</v>
      </c>
      <c r="T737" s="8">
        <v>1</v>
      </c>
      <c r="U737" s="8">
        <v>2</v>
      </c>
      <c r="X737" s="8">
        <v>5</v>
      </c>
      <c r="AG737" s="8" t="str">
        <f t="shared" si="45"/>
        <v/>
      </c>
      <c r="AI737" s="8" t="str">
        <f t="shared" si="46"/>
        <v/>
      </c>
      <c r="AJ737" s="8" t="str">
        <f t="shared" si="47"/>
        <v/>
      </c>
      <c r="AL737" s="8" t="str">
        <f t="shared" si="48"/>
        <v/>
      </c>
    </row>
    <row r="738" spans="1:38" x14ac:dyDescent="0.25">
      <c r="A738" s="8" t="s">
        <v>6889</v>
      </c>
      <c r="B738" s="8" t="s">
        <v>6890</v>
      </c>
      <c r="C738" s="8">
        <v>30945258</v>
      </c>
      <c r="D738" s="8">
        <v>5</v>
      </c>
      <c r="E738" s="11">
        <v>43115</v>
      </c>
      <c r="F738" s="8" t="s">
        <v>57</v>
      </c>
      <c r="G738" s="11">
        <v>43115</v>
      </c>
      <c r="H738" s="8" t="s">
        <v>25</v>
      </c>
      <c r="J738" s="8" t="s">
        <v>25</v>
      </c>
      <c r="N738" s="8" t="s">
        <v>58</v>
      </c>
      <c r="O738" s="8" t="s">
        <v>59</v>
      </c>
      <c r="P738" s="8" t="s">
        <v>59</v>
      </c>
      <c r="R738" s="8">
        <v>0</v>
      </c>
      <c r="S738" s="8">
        <v>0</v>
      </c>
      <c r="T738" s="8">
        <v>1</v>
      </c>
      <c r="U738" s="8">
        <v>2</v>
      </c>
      <c r="AG738" s="8" t="str">
        <f t="shared" si="45"/>
        <v/>
      </c>
      <c r="AI738" s="8" t="str">
        <f t="shared" si="46"/>
        <v/>
      </c>
      <c r="AJ738" s="8" t="str">
        <f t="shared" si="47"/>
        <v/>
      </c>
      <c r="AL738" s="8" t="str">
        <f t="shared" si="48"/>
        <v/>
      </c>
    </row>
    <row r="739" spans="1:38" x14ac:dyDescent="0.25">
      <c r="A739" s="8" t="s">
        <v>6891</v>
      </c>
      <c r="B739" s="8" t="s">
        <v>6892</v>
      </c>
      <c r="C739" s="8">
        <v>30928856</v>
      </c>
      <c r="D739" s="8">
        <v>5</v>
      </c>
      <c r="E739" s="11">
        <v>43114</v>
      </c>
      <c r="F739" s="8" t="s">
        <v>58</v>
      </c>
      <c r="G739" s="11">
        <v>43115</v>
      </c>
      <c r="H739" s="8" t="s">
        <v>25</v>
      </c>
      <c r="I739" s="11">
        <v>43115</v>
      </c>
      <c r="J739" s="8" t="s">
        <v>25</v>
      </c>
      <c r="N739" s="8" t="s">
        <v>58</v>
      </c>
      <c r="O739" s="8" t="s">
        <v>59</v>
      </c>
      <c r="P739" s="8" t="s">
        <v>59</v>
      </c>
      <c r="R739" s="8">
        <v>0</v>
      </c>
      <c r="S739" s="8">
        <v>0</v>
      </c>
      <c r="T739" s="8">
        <v>1</v>
      </c>
      <c r="U739" s="8">
        <v>2</v>
      </c>
      <c r="X739" s="8">
        <v>5</v>
      </c>
      <c r="AG739" s="8" t="str">
        <f t="shared" si="45"/>
        <v/>
      </c>
      <c r="AI739" s="8" t="str">
        <f t="shared" si="46"/>
        <v/>
      </c>
      <c r="AJ739" s="8" t="str">
        <f t="shared" si="47"/>
        <v/>
      </c>
      <c r="AL739" s="8" t="str">
        <f t="shared" si="48"/>
        <v/>
      </c>
    </row>
    <row r="740" spans="1:38" x14ac:dyDescent="0.25">
      <c r="A740" s="8" t="s">
        <v>3488</v>
      </c>
      <c r="B740" s="8" t="s">
        <v>3489</v>
      </c>
      <c r="C740" s="8">
        <v>30862288</v>
      </c>
      <c r="D740" s="8">
        <v>5</v>
      </c>
      <c r="E740" s="11">
        <v>43110</v>
      </c>
      <c r="F740" s="8" t="s">
        <v>58</v>
      </c>
      <c r="G740" s="11">
        <v>43111</v>
      </c>
      <c r="H740" s="8" t="s">
        <v>25</v>
      </c>
      <c r="I740" s="11">
        <v>43111</v>
      </c>
      <c r="J740" s="8" t="s">
        <v>25</v>
      </c>
      <c r="N740" s="8" t="s">
        <v>58</v>
      </c>
      <c r="O740" s="8" t="s">
        <v>59</v>
      </c>
      <c r="P740" s="8" t="s">
        <v>59</v>
      </c>
      <c r="R740" s="8">
        <v>0</v>
      </c>
      <c r="S740" s="8">
        <v>0</v>
      </c>
      <c r="T740" s="8">
        <v>1</v>
      </c>
      <c r="U740" s="8">
        <v>2</v>
      </c>
      <c r="X740" s="8">
        <v>5</v>
      </c>
      <c r="AG740" s="8" t="str">
        <f t="shared" si="45"/>
        <v/>
      </c>
      <c r="AI740" s="8" t="str">
        <f t="shared" si="46"/>
        <v/>
      </c>
      <c r="AJ740" s="8" t="str">
        <f t="shared" si="47"/>
        <v/>
      </c>
      <c r="AL740" s="8" t="str">
        <f t="shared" si="48"/>
        <v/>
      </c>
    </row>
    <row r="741" spans="1:38" x14ac:dyDescent="0.25">
      <c r="A741" s="8" t="s">
        <v>4984</v>
      </c>
      <c r="B741" s="8" t="s">
        <v>4985</v>
      </c>
      <c r="C741" s="8">
        <v>30925624</v>
      </c>
      <c r="D741" s="8">
        <v>5</v>
      </c>
      <c r="E741" s="11">
        <v>43112</v>
      </c>
      <c r="F741" s="8" t="s">
        <v>58</v>
      </c>
      <c r="G741" s="11">
        <v>43113</v>
      </c>
      <c r="H741" s="8" t="s">
        <v>25</v>
      </c>
      <c r="I741" s="11">
        <v>43115</v>
      </c>
      <c r="J741" s="8" t="s">
        <v>25</v>
      </c>
      <c r="N741" s="8" t="s">
        <v>58</v>
      </c>
      <c r="O741" s="8" t="s">
        <v>59</v>
      </c>
      <c r="P741" s="8" t="s">
        <v>59</v>
      </c>
      <c r="R741" s="8">
        <v>0</v>
      </c>
      <c r="S741" s="8">
        <v>0</v>
      </c>
      <c r="T741" s="8">
        <v>1</v>
      </c>
      <c r="U741" s="8">
        <v>2</v>
      </c>
      <c r="X741" s="8">
        <v>5</v>
      </c>
      <c r="AG741" s="8" t="str">
        <f t="shared" si="45"/>
        <v/>
      </c>
      <c r="AI741" s="8" t="str">
        <f t="shared" si="46"/>
        <v/>
      </c>
      <c r="AJ741" s="8" t="str">
        <f t="shared" si="47"/>
        <v/>
      </c>
      <c r="AL741" s="8" t="str">
        <f t="shared" si="48"/>
        <v/>
      </c>
    </row>
    <row r="742" spans="1:38" x14ac:dyDescent="0.25">
      <c r="A742" s="8" t="s">
        <v>6893</v>
      </c>
      <c r="B742" s="8" t="s">
        <v>6894</v>
      </c>
      <c r="C742" s="8">
        <v>30946854</v>
      </c>
      <c r="D742" s="8">
        <v>5</v>
      </c>
      <c r="E742" s="11">
        <v>43115</v>
      </c>
      <c r="F742" s="8" t="s">
        <v>57</v>
      </c>
      <c r="G742" s="11">
        <v>43115</v>
      </c>
      <c r="H742" s="8" t="s">
        <v>25</v>
      </c>
      <c r="J742" s="8" t="s">
        <v>25</v>
      </c>
      <c r="N742" s="8" t="s">
        <v>58</v>
      </c>
      <c r="O742" s="8" t="s">
        <v>59</v>
      </c>
      <c r="P742" s="8" t="s">
        <v>59</v>
      </c>
      <c r="R742" s="8">
        <v>0</v>
      </c>
      <c r="S742" s="8">
        <v>0</v>
      </c>
      <c r="T742" s="8">
        <v>1</v>
      </c>
      <c r="U742" s="8">
        <v>2</v>
      </c>
      <c r="AG742" s="8" t="str">
        <f t="shared" si="45"/>
        <v/>
      </c>
      <c r="AI742" s="8" t="str">
        <f t="shared" si="46"/>
        <v/>
      </c>
      <c r="AJ742" s="8" t="str">
        <f t="shared" si="47"/>
        <v/>
      </c>
      <c r="AL742" s="8" t="str">
        <f t="shared" si="48"/>
        <v/>
      </c>
    </row>
    <row r="743" spans="1:38" x14ac:dyDescent="0.25">
      <c r="A743" s="8" t="s">
        <v>266</v>
      </c>
      <c r="B743" s="8" t="s">
        <v>267</v>
      </c>
      <c r="C743" s="8">
        <v>30825180</v>
      </c>
      <c r="D743" s="8">
        <v>5</v>
      </c>
      <c r="E743" s="11">
        <v>43108</v>
      </c>
      <c r="F743" s="8" t="s">
        <v>60</v>
      </c>
      <c r="G743" s="11">
        <v>43108</v>
      </c>
      <c r="H743" s="8" t="s">
        <v>25</v>
      </c>
      <c r="J743" s="8" t="s">
        <v>145</v>
      </c>
      <c r="L743" s="8" t="s">
        <v>4797</v>
      </c>
      <c r="N743" s="8" t="s">
        <v>58</v>
      </c>
      <c r="O743" s="8" t="s">
        <v>59</v>
      </c>
      <c r="P743" s="8" t="s">
        <v>59</v>
      </c>
      <c r="R743" s="8">
        <v>0</v>
      </c>
      <c r="S743" s="8">
        <v>0</v>
      </c>
      <c r="T743" s="8">
        <v>1</v>
      </c>
      <c r="U743" s="8">
        <v>2</v>
      </c>
      <c r="W743" s="8">
        <v>4</v>
      </c>
      <c r="AG743" s="8" t="str">
        <f t="shared" si="45"/>
        <v/>
      </c>
      <c r="AI743" s="8" t="str">
        <f t="shared" si="46"/>
        <v/>
      </c>
      <c r="AJ743" s="8" t="str">
        <f t="shared" si="47"/>
        <v/>
      </c>
      <c r="AL743" s="8" t="str">
        <f t="shared" si="48"/>
        <v/>
      </c>
    </row>
    <row r="744" spans="1:38" x14ac:dyDescent="0.25">
      <c r="A744" s="8" t="s">
        <v>976</v>
      </c>
      <c r="B744" s="8" t="s">
        <v>977</v>
      </c>
      <c r="C744" s="8">
        <v>30822524</v>
      </c>
      <c r="D744" s="8">
        <v>5</v>
      </c>
      <c r="E744" s="11">
        <v>43108</v>
      </c>
      <c r="F744" s="8" t="s">
        <v>58</v>
      </c>
      <c r="G744" s="11">
        <v>43109</v>
      </c>
      <c r="H744" s="8" t="s">
        <v>25</v>
      </c>
      <c r="I744" s="11">
        <v>43110</v>
      </c>
      <c r="J744" s="8" t="s">
        <v>25</v>
      </c>
      <c r="N744" s="8" t="s">
        <v>58</v>
      </c>
      <c r="O744" s="8" t="s">
        <v>59</v>
      </c>
      <c r="P744" s="8" t="s">
        <v>59</v>
      </c>
      <c r="R744" s="8">
        <v>0</v>
      </c>
      <c r="S744" s="8">
        <v>0</v>
      </c>
      <c r="T744" s="8">
        <v>1</v>
      </c>
      <c r="U744" s="8">
        <v>2</v>
      </c>
      <c r="X744" s="8">
        <v>5</v>
      </c>
      <c r="AG744" s="8" t="str">
        <f t="shared" si="45"/>
        <v/>
      </c>
      <c r="AI744" s="8" t="str">
        <f t="shared" si="46"/>
        <v/>
      </c>
      <c r="AJ744" s="8" t="str">
        <f t="shared" si="47"/>
        <v/>
      </c>
      <c r="AL744" s="8" t="str">
        <f t="shared" si="48"/>
        <v/>
      </c>
    </row>
    <row r="745" spans="1:38" x14ac:dyDescent="0.25">
      <c r="A745" s="8" t="s">
        <v>978</v>
      </c>
      <c r="B745" s="8" t="s">
        <v>979</v>
      </c>
      <c r="C745" s="8">
        <v>30848972</v>
      </c>
      <c r="D745" s="8">
        <v>5</v>
      </c>
      <c r="E745" s="11">
        <v>43109</v>
      </c>
      <c r="F745" s="8" t="s">
        <v>57</v>
      </c>
      <c r="G745" s="11">
        <v>43109</v>
      </c>
      <c r="H745" s="8" t="s">
        <v>25</v>
      </c>
      <c r="J745" s="8" t="s">
        <v>25</v>
      </c>
      <c r="N745" s="8" t="s">
        <v>58</v>
      </c>
      <c r="O745" s="8" t="s">
        <v>59</v>
      </c>
      <c r="P745" s="8" t="s">
        <v>59</v>
      </c>
      <c r="R745" s="8">
        <v>0</v>
      </c>
      <c r="S745" s="8">
        <v>0</v>
      </c>
      <c r="T745" s="8">
        <v>1</v>
      </c>
      <c r="U745" s="8">
        <v>2</v>
      </c>
      <c r="AG745" s="8" t="str">
        <f t="shared" si="45"/>
        <v/>
      </c>
      <c r="AI745" s="8" t="str">
        <f t="shared" si="46"/>
        <v/>
      </c>
      <c r="AJ745" s="8" t="str">
        <f t="shared" si="47"/>
        <v/>
      </c>
      <c r="AL745" s="8" t="str">
        <f t="shared" si="48"/>
        <v/>
      </c>
    </row>
    <row r="746" spans="1:38" x14ac:dyDescent="0.25">
      <c r="A746" s="8" t="s">
        <v>980</v>
      </c>
      <c r="B746" s="8" t="s">
        <v>981</v>
      </c>
      <c r="C746" s="8">
        <v>30849249</v>
      </c>
      <c r="D746" s="8">
        <v>5</v>
      </c>
      <c r="E746" s="11">
        <v>43109</v>
      </c>
      <c r="F746" s="8" t="s">
        <v>58</v>
      </c>
      <c r="G746" s="11">
        <v>43109</v>
      </c>
      <c r="H746" s="8" t="s">
        <v>25</v>
      </c>
      <c r="I746" s="11">
        <v>43109</v>
      </c>
      <c r="J746" s="8" t="s">
        <v>25</v>
      </c>
      <c r="N746" s="8" t="s">
        <v>58</v>
      </c>
      <c r="O746" s="8" t="s">
        <v>59</v>
      </c>
      <c r="P746" s="8" t="s">
        <v>59</v>
      </c>
      <c r="R746" s="8">
        <v>0</v>
      </c>
      <c r="S746" s="8">
        <v>0</v>
      </c>
      <c r="T746" s="8">
        <v>1</v>
      </c>
      <c r="U746" s="8">
        <v>2</v>
      </c>
      <c r="X746" s="8">
        <v>5</v>
      </c>
      <c r="AG746" s="8" t="str">
        <f t="shared" si="45"/>
        <v/>
      </c>
      <c r="AI746" s="8" t="str">
        <f t="shared" si="46"/>
        <v/>
      </c>
      <c r="AJ746" s="8" t="str">
        <f t="shared" si="47"/>
        <v/>
      </c>
      <c r="AL746" s="8" t="str">
        <f t="shared" si="48"/>
        <v/>
      </c>
    </row>
    <row r="747" spans="1:38" x14ac:dyDescent="0.25">
      <c r="A747" s="8" t="s">
        <v>3490</v>
      </c>
      <c r="B747" s="8" t="s">
        <v>3491</v>
      </c>
      <c r="C747" s="8">
        <v>30895363</v>
      </c>
      <c r="D747" s="8">
        <v>5</v>
      </c>
      <c r="E747" s="11">
        <v>43111</v>
      </c>
      <c r="F747" s="8" t="s">
        <v>58</v>
      </c>
      <c r="G747" s="11">
        <v>43111</v>
      </c>
      <c r="H747" s="8" t="s">
        <v>25</v>
      </c>
      <c r="I747" s="11">
        <v>43111</v>
      </c>
      <c r="J747" s="8" t="s">
        <v>25</v>
      </c>
      <c r="N747" s="8" t="s">
        <v>58</v>
      </c>
      <c r="O747" s="8" t="s">
        <v>59</v>
      </c>
      <c r="P747" s="8" t="s">
        <v>59</v>
      </c>
      <c r="R747" s="8">
        <v>0</v>
      </c>
      <c r="S747" s="8">
        <v>0</v>
      </c>
      <c r="T747" s="8">
        <v>1</v>
      </c>
      <c r="U747" s="8">
        <v>2</v>
      </c>
      <c r="X747" s="8">
        <v>5</v>
      </c>
      <c r="AG747" s="8" t="str">
        <f t="shared" si="45"/>
        <v/>
      </c>
      <c r="AI747" s="8" t="str">
        <f t="shared" si="46"/>
        <v/>
      </c>
      <c r="AJ747" s="8" t="str">
        <f t="shared" si="47"/>
        <v/>
      </c>
      <c r="AL747" s="8" t="str">
        <f t="shared" si="48"/>
        <v/>
      </c>
    </row>
    <row r="748" spans="1:38" x14ac:dyDescent="0.25">
      <c r="A748" s="8" t="s">
        <v>1900</v>
      </c>
      <c r="B748" s="8" t="s">
        <v>1901</v>
      </c>
      <c r="C748" s="8">
        <v>30863721</v>
      </c>
      <c r="D748" s="8">
        <v>5</v>
      </c>
      <c r="E748" s="11">
        <v>43110</v>
      </c>
      <c r="F748" s="8" t="s">
        <v>58</v>
      </c>
      <c r="G748" s="11">
        <v>43110</v>
      </c>
      <c r="H748" s="8" t="s">
        <v>25</v>
      </c>
      <c r="I748" s="11">
        <v>43115</v>
      </c>
      <c r="J748" s="8" t="s">
        <v>145</v>
      </c>
      <c r="N748" s="8" t="s">
        <v>58</v>
      </c>
      <c r="O748" s="8" t="s">
        <v>59</v>
      </c>
      <c r="P748" s="8" t="s">
        <v>59</v>
      </c>
      <c r="R748" s="8">
        <v>0</v>
      </c>
      <c r="S748" s="8">
        <v>0</v>
      </c>
      <c r="T748" s="8">
        <v>1</v>
      </c>
      <c r="U748" s="8">
        <v>2</v>
      </c>
      <c r="X748" s="8">
        <v>5</v>
      </c>
      <c r="AG748" s="8" t="str">
        <f t="shared" si="45"/>
        <v/>
      </c>
      <c r="AI748" s="8" t="str">
        <f t="shared" si="46"/>
        <v/>
      </c>
      <c r="AJ748" s="8" t="str">
        <f t="shared" si="47"/>
        <v/>
      </c>
      <c r="AL748" s="8" t="str">
        <f t="shared" si="48"/>
        <v/>
      </c>
    </row>
    <row r="749" spans="1:38" x14ac:dyDescent="0.25">
      <c r="A749" s="8" t="s">
        <v>6895</v>
      </c>
      <c r="B749" s="8" t="s">
        <v>6896</v>
      </c>
      <c r="C749" s="8">
        <v>30916383</v>
      </c>
      <c r="D749" s="8">
        <v>5</v>
      </c>
      <c r="E749" s="11">
        <v>43112</v>
      </c>
      <c r="F749" s="8" t="s">
        <v>57</v>
      </c>
      <c r="G749" s="11">
        <v>43115</v>
      </c>
      <c r="H749" s="8" t="s">
        <v>25</v>
      </c>
      <c r="J749" s="8" t="s">
        <v>25</v>
      </c>
      <c r="N749" s="8" t="s">
        <v>58</v>
      </c>
      <c r="O749" s="8" t="s">
        <v>59</v>
      </c>
      <c r="P749" s="8" t="s">
        <v>59</v>
      </c>
      <c r="R749" s="8">
        <v>0</v>
      </c>
      <c r="S749" s="8">
        <v>0</v>
      </c>
      <c r="T749" s="8">
        <v>1</v>
      </c>
      <c r="U749" s="8">
        <v>2</v>
      </c>
      <c r="AG749" s="8" t="str">
        <f t="shared" si="45"/>
        <v/>
      </c>
      <c r="AI749" s="8" t="str">
        <f t="shared" si="46"/>
        <v/>
      </c>
      <c r="AJ749" s="8" t="str">
        <f t="shared" si="47"/>
        <v/>
      </c>
      <c r="AL749" s="8" t="str">
        <f t="shared" si="48"/>
        <v/>
      </c>
    </row>
    <row r="750" spans="1:38" x14ac:dyDescent="0.25">
      <c r="A750" s="8" t="s">
        <v>1902</v>
      </c>
      <c r="B750" s="8" t="s">
        <v>1903</v>
      </c>
      <c r="C750" s="8">
        <v>30873038</v>
      </c>
      <c r="D750" s="8">
        <v>5</v>
      </c>
      <c r="E750" s="11">
        <v>43110</v>
      </c>
      <c r="F750" s="8" t="s">
        <v>57</v>
      </c>
      <c r="G750" s="11">
        <v>43110</v>
      </c>
      <c r="H750" s="8" t="s">
        <v>25</v>
      </c>
      <c r="J750" s="8" t="s">
        <v>25</v>
      </c>
      <c r="N750" s="8" t="s">
        <v>58</v>
      </c>
      <c r="O750" s="8" t="s">
        <v>59</v>
      </c>
      <c r="P750" s="8" t="s">
        <v>59</v>
      </c>
      <c r="R750" s="8">
        <v>0</v>
      </c>
      <c r="S750" s="8">
        <v>0</v>
      </c>
      <c r="T750" s="8">
        <v>1</v>
      </c>
      <c r="U750" s="8">
        <v>2</v>
      </c>
      <c r="AG750" s="8" t="str">
        <f t="shared" si="45"/>
        <v/>
      </c>
      <c r="AI750" s="8" t="str">
        <f t="shared" si="46"/>
        <v/>
      </c>
      <c r="AJ750" s="8" t="str">
        <f t="shared" si="47"/>
        <v/>
      </c>
      <c r="AL750" s="8" t="str">
        <f t="shared" si="48"/>
        <v/>
      </c>
    </row>
    <row r="751" spans="1:38" x14ac:dyDescent="0.25">
      <c r="A751" s="8" t="s">
        <v>982</v>
      </c>
      <c r="B751" s="8" t="s">
        <v>983</v>
      </c>
      <c r="C751" s="8">
        <v>30853686</v>
      </c>
      <c r="D751" s="8">
        <v>5</v>
      </c>
      <c r="E751" s="11">
        <v>43109</v>
      </c>
      <c r="F751" s="8" t="s">
        <v>58</v>
      </c>
      <c r="G751" s="11">
        <v>43109</v>
      </c>
      <c r="H751" s="8" t="s">
        <v>25</v>
      </c>
      <c r="I751" s="11">
        <v>43115</v>
      </c>
      <c r="J751" s="8" t="s">
        <v>145</v>
      </c>
      <c r="N751" s="8" t="s">
        <v>58</v>
      </c>
      <c r="O751" s="8" t="s">
        <v>59</v>
      </c>
      <c r="P751" s="8" t="s">
        <v>59</v>
      </c>
      <c r="R751" s="8">
        <v>0</v>
      </c>
      <c r="S751" s="8">
        <v>0</v>
      </c>
      <c r="T751" s="8">
        <v>1</v>
      </c>
      <c r="U751" s="8">
        <v>2</v>
      </c>
      <c r="X751" s="8">
        <v>5</v>
      </c>
      <c r="AG751" s="8" t="str">
        <f t="shared" si="45"/>
        <v/>
      </c>
      <c r="AI751" s="8" t="str">
        <f t="shared" si="46"/>
        <v/>
      </c>
      <c r="AJ751" s="8" t="str">
        <f t="shared" si="47"/>
        <v/>
      </c>
      <c r="AL751" s="8" t="str">
        <f t="shared" si="48"/>
        <v/>
      </c>
    </row>
    <row r="752" spans="1:38" x14ac:dyDescent="0.25">
      <c r="A752" s="8" t="s">
        <v>1904</v>
      </c>
      <c r="B752" s="8" t="s">
        <v>1905</v>
      </c>
      <c r="C752" s="8">
        <v>30840734</v>
      </c>
      <c r="D752" s="8">
        <v>5</v>
      </c>
      <c r="E752" s="11">
        <v>43109</v>
      </c>
      <c r="F752" s="8" t="s">
        <v>57</v>
      </c>
      <c r="G752" s="11">
        <v>43110</v>
      </c>
      <c r="H752" s="8" t="s">
        <v>25</v>
      </c>
      <c r="J752" s="8" t="s">
        <v>25</v>
      </c>
      <c r="N752" s="8" t="s">
        <v>58</v>
      </c>
      <c r="O752" s="8" t="s">
        <v>59</v>
      </c>
      <c r="P752" s="8" t="s">
        <v>59</v>
      </c>
      <c r="R752" s="8">
        <v>0</v>
      </c>
      <c r="S752" s="8">
        <v>0</v>
      </c>
      <c r="T752" s="8">
        <v>1</v>
      </c>
      <c r="U752" s="8">
        <v>2</v>
      </c>
      <c r="AG752" s="8" t="str">
        <f t="shared" si="45"/>
        <v/>
      </c>
      <c r="AI752" s="8" t="str">
        <f t="shared" si="46"/>
        <v/>
      </c>
      <c r="AJ752" s="8" t="str">
        <f t="shared" si="47"/>
        <v/>
      </c>
      <c r="AL752" s="8" t="str">
        <f t="shared" si="48"/>
        <v/>
      </c>
    </row>
    <row r="753" spans="1:38" x14ac:dyDescent="0.25">
      <c r="A753" s="8" t="s">
        <v>984</v>
      </c>
      <c r="B753" s="8" t="s">
        <v>985</v>
      </c>
      <c r="C753" s="8">
        <v>30847254</v>
      </c>
      <c r="D753" s="8">
        <v>5</v>
      </c>
      <c r="E753" s="11">
        <v>43109</v>
      </c>
      <c r="F753" s="8" t="s">
        <v>57</v>
      </c>
      <c r="G753" s="11">
        <v>43109</v>
      </c>
      <c r="H753" s="8" t="s">
        <v>25</v>
      </c>
      <c r="J753" s="8" t="s">
        <v>25</v>
      </c>
      <c r="N753" s="8" t="s">
        <v>58</v>
      </c>
      <c r="O753" s="8" t="s">
        <v>59</v>
      </c>
      <c r="P753" s="8" t="s">
        <v>59</v>
      </c>
      <c r="R753" s="8">
        <v>0</v>
      </c>
      <c r="S753" s="8">
        <v>0</v>
      </c>
      <c r="T753" s="8">
        <v>1</v>
      </c>
      <c r="U753" s="8">
        <v>2</v>
      </c>
      <c r="AG753" s="8" t="str">
        <f t="shared" si="45"/>
        <v/>
      </c>
      <c r="AI753" s="8" t="str">
        <f t="shared" si="46"/>
        <v/>
      </c>
      <c r="AJ753" s="8" t="str">
        <f t="shared" si="47"/>
        <v/>
      </c>
      <c r="AL753" s="8" t="str">
        <f t="shared" si="48"/>
        <v/>
      </c>
    </row>
    <row r="754" spans="1:38" x14ac:dyDescent="0.25">
      <c r="A754" s="8" t="s">
        <v>1906</v>
      </c>
      <c r="B754" s="8" t="s">
        <v>1907</v>
      </c>
      <c r="C754" s="8">
        <v>30874528</v>
      </c>
      <c r="D754" s="8">
        <v>5</v>
      </c>
      <c r="E754" s="11">
        <v>43110</v>
      </c>
      <c r="F754" s="8" t="s">
        <v>58</v>
      </c>
      <c r="G754" s="11">
        <v>43110</v>
      </c>
      <c r="H754" s="8" t="s">
        <v>25</v>
      </c>
      <c r="I754" s="11">
        <v>43111</v>
      </c>
      <c r="J754" s="8" t="s">
        <v>25</v>
      </c>
      <c r="N754" s="8" t="s">
        <v>58</v>
      </c>
      <c r="O754" s="8" t="s">
        <v>59</v>
      </c>
      <c r="P754" s="8" t="s">
        <v>59</v>
      </c>
      <c r="R754" s="8">
        <v>0</v>
      </c>
      <c r="S754" s="8">
        <v>0</v>
      </c>
      <c r="T754" s="8">
        <v>1</v>
      </c>
      <c r="U754" s="8">
        <v>2</v>
      </c>
      <c r="X754" s="8">
        <v>5</v>
      </c>
      <c r="AG754" s="8" t="str">
        <f t="shared" si="45"/>
        <v/>
      </c>
      <c r="AI754" s="8" t="str">
        <f t="shared" si="46"/>
        <v/>
      </c>
      <c r="AJ754" s="8" t="str">
        <f t="shared" si="47"/>
        <v/>
      </c>
      <c r="AL754" s="8" t="str">
        <f t="shared" si="48"/>
        <v/>
      </c>
    </row>
    <row r="755" spans="1:38" x14ac:dyDescent="0.25">
      <c r="A755" s="8" t="s">
        <v>986</v>
      </c>
      <c r="B755" s="8" t="s">
        <v>987</v>
      </c>
      <c r="C755" s="8">
        <v>30841466</v>
      </c>
      <c r="D755" s="8">
        <v>4</v>
      </c>
      <c r="E755" s="11">
        <v>43109</v>
      </c>
      <c r="F755" s="8" t="s">
        <v>57</v>
      </c>
      <c r="G755" s="11">
        <v>43109</v>
      </c>
      <c r="H755" s="8" t="s">
        <v>25</v>
      </c>
      <c r="J755" s="8" t="s">
        <v>25</v>
      </c>
      <c r="N755" s="8" t="s">
        <v>58</v>
      </c>
      <c r="O755" s="8" t="s">
        <v>59</v>
      </c>
      <c r="P755" s="8" t="s">
        <v>59</v>
      </c>
      <c r="R755" s="8">
        <v>0</v>
      </c>
      <c r="S755" s="8">
        <v>0</v>
      </c>
      <c r="T755" s="8">
        <v>1</v>
      </c>
      <c r="U755" s="8">
        <v>2</v>
      </c>
      <c r="AG755" s="8" t="str">
        <f t="shared" si="45"/>
        <v/>
      </c>
      <c r="AI755" s="8" t="str">
        <f t="shared" si="46"/>
        <v/>
      </c>
      <c r="AJ755" s="8" t="str">
        <f t="shared" si="47"/>
        <v/>
      </c>
      <c r="AL755" s="8" t="str">
        <f t="shared" si="48"/>
        <v/>
      </c>
    </row>
    <row r="756" spans="1:38" x14ac:dyDescent="0.25">
      <c r="A756" s="8" t="s">
        <v>1908</v>
      </c>
      <c r="B756" s="8" t="s">
        <v>1909</v>
      </c>
      <c r="C756" s="8">
        <v>30842165</v>
      </c>
      <c r="D756" s="8">
        <v>4</v>
      </c>
      <c r="E756" s="11">
        <v>43109</v>
      </c>
      <c r="F756" s="8" t="s">
        <v>57</v>
      </c>
      <c r="G756" s="11">
        <v>43110</v>
      </c>
      <c r="H756" s="8" t="s">
        <v>25</v>
      </c>
      <c r="J756" s="8" t="s">
        <v>25</v>
      </c>
      <c r="N756" s="8" t="s">
        <v>58</v>
      </c>
      <c r="O756" s="8" t="s">
        <v>59</v>
      </c>
      <c r="P756" s="8" t="s">
        <v>59</v>
      </c>
      <c r="R756" s="8">
        <v>0</v>
      </c>
      <c r="S756" s="8">
        <v>0</v>
      </c>
      <c r="T756" s="8">
        <v>1</v>
      </c>
      <c r="U756" s="8">
        <v>2</v>
      </c>
      <c r="AG756" s="8" t="str">
        <f t="shared" si="45"/>
        <v/>
      </c>
      <c r="AI756" s="8" t="str">
        <f t="shared" si="46"/>
        <v/>
      </c>
      <c r="AJ756" s="8" t="str">
        <f t="shared" si="47"/>
        <v/>
      </c>
      <c r="AL756" s="8" t="str">
        <f t="shared" si="48"/>
        <v/>
      </c>
    </row>
    <row r="757" spans="1:38" x14ac:dyDescent="0.25">
      <c r="A757" s="8" t="s">
        <v>1910</v>
      </c>
      <c r="B757" s="8" t="s">
        <v>1911</v>
      </c>
      <c r="C757" s="8">
        <v>30871285</v>
      </c>
      <c r="D757" s="8">
        <v>5</v>
      </c>
      <c r="E757" s="11">
        <v>43110</v>
      </c>
      <c r="F757" s="8" t="s">
        <v>58</v>
      </c>
      <c r="G757" s="11">
        <v>43110</v>
      </c>
      <c r="H757" s="8" t="s">
        <v>25</v>
      </c>
      <c r="I757" s="11">
        <v>43115</v>
      </c>
      <c r="J757" s="8" t="s">
        <v>145</v>
      </c>
      <c r="N757" s="8" t="s">
        <v>58</v>
      </c>
      <c r="O757" s="8" t="s">
        <v>59</v>
      </c>
      <c r="P757" s="8" t="s">
        <v>59</v>
      </c>
      <c r="R757" s="8">
        <v>0</v>
      </c>
      <c r="S757" s="8">
        <v>0</v>
      </c>
      <c r="T757" s="8">
        <v>1</v>
      </c>
      <c r="U757" s="8">
        <v>2</v>
      </c>
      <c r="X757" s="8">
        <v>5</v>
      </c>
      <c r="AG757" s="8" t="str">
        <f t="shared" si="45"/>
        <v/>
      </c>
      <c r="AI757" s="8" t="str">
        <f t="shared" si="46"/>
        <v/>
      </c>
      <c r="AJ757" s="8" t="str">
        <f t="shared" si="47"/>
        <v/>
      </c>
      <c r="AL757" s="8" t="str">
        <f t="shared" si="48"/>
        <v/>
      </c>
    </row>
    <row r="758" spans="1:38" x14ac:dyDescent="0.25">
      <c r="A758" s="8" t="s">
        <v>4986</v>
      </c>
      <c r="B758" s="8" t="s">
        <v>4987</v>
      </c>
      <c r="C758" s="8">
        <v>30898557</v>
      </c>
      <c r="D758" s="8">
        <v>5</v>
      </c>
      <c r="E758" s="11">
        <v>43111</v>
      </c>
      <c r="F758" s="8" t="s">
        <v>57</v>
      </c>
      <c r="G758" s="11">
        <v>43112</v>
      </c>
      <c r="H758" s="8" t="s">
        <v>25</v>
      </c>
      <c r="J758" s="8" t="s">
        <v>25</v>
      </c>
      <c r="N758" s="8" t="s">
        <v>58</v>
      </c>
      <c r="O758" s="8" t="s">
        <v>59</v>
      </c>
      <c r="P758" s="8" t="s">
        <v>59</v>
      </c>
      <c r="R758" s="8">
        <v>0</v>
      </c>
      <c r="S758" s="8">
        <v>0</v>
      </c>
      <c r="T758" s="8">
        <v>1</v>
      </c>
      <c r="U758" s="8">
        <v>2</v>
      </c>
      <c r="AG758" s="8" t="str">
        <f t="shared" si="45"/>
        <v/>
      </c>
      <c r="AI758" s="8" t="str">
        <f t="shared" si="46"/>
        <v/>
      </c>
      <c r="AJ758" s="8" t="str">
        <f t="shared" si="47"/>
        <v/>
      </c>
      <c r="AL758" s="8" t="str">
        <f t="shared" si="48"/>
        <v/>
      </c>
    </row>
    <row r="759" spans="1:38" x14ac:dyDescent="0.25">
      <c r="A759" s="8" t="s">
        <v>268</v>
      </c>
      <c r="B759" s="8" t="s">
        <v>269</v>
      </c>
      <c r="C759" s="8">
        <v>30822707</v>
      </c>
      <c r="D759" s="8">
        <v>5</v>
      </c>
      <c r="E759" s="11">
        <v>43108</v>
      </c>
      <c r="F759" s="8" t="s">
        <v>58</v>
      </c>
      <c r="G759" s="11">
        <v>43108</v>
      </c>
      <c r="H759" s="8" t="s">
        <v>25</v>
      </c>
      <c r="I759" s="11">
        <v>43108</v>
      </c>
      <c r="J759" s="8" t="s">
        <v>25</v>
      </c>
      <c r="N759" s="8" t="s">
        <v>58</v>
      </c>
      <c r="O759" s="8" t="s">
        <v>59</v>
      </c>
      <c r="P759" s="8" t="s">
        <v>59</v>
      </c>
      <c r="R759" s="8">
        <v>0</v>
      </c>
      <c r="S759" s="8">
        <v>0</v>
      </c>
      <c r="T759" s="8">
        <v>1</v>
      </c>
      <c r="U759" s="8">
        <v>2</v>
      </c>
      <c r="X759" s="8">
        <v>5</v>
      </c>
      <c r="AG759" s="8" t="str">
        <f t="shared" si="45"/>
        <v/>
      </c>
      <c r="AI759" s="8" t="str">
        <f t="shared" si="46"/>
        <v/>
      </c>
      <c r="AJ759" s="8" t="str">
        <f t="shared" si="47"/>
        <v/>
      </c>
      <c r="AL759" s="8" t="str">
        <f t="shared" si="48"/>
        <v/>
      </c>
    </row>
    <row r="760" spans="1:38" x14ac:dyDescent="0.25">
      <c r="A760" s="8" t="s">
        <v>988</v>
      </c>
      <c r="B760" s="8" t="s">
        <v>989</v>
      </c>
      <c r="C760" s="8">
        <v>30841863</v>
      </c>
      <c r="D760" s="8">
        <v>5</v>
      </c>
      <c r="E760" s="11">
        <v>43109</v>
      </c>
      <c r="F760" s="8" t="s">
        <v>58</v>
      </c>
      <c r="G760" s="11">
        <v>43109</v>
      </c>
      <c r="H760" s="8" t="s">
        <v>25</v>
      </c>
      <c r="I760" s="11">
        <v>43109</v>
      </c>
      <c r="J760" s="8" t="s">
        <v>25</v>
      </c>
      <c r="N760" s="8" t="s">
        <v>58</v>
      </c>
      <c r="O760" s="8" t="s">
        <v>59</v>
      </c>
      <c r="P760" s="8" t="s">
        <v>59</v>
      </c>
      <c r="R760" s="8">
        <v>0</v>
      </c>
      <c r="S760" s="8">
        <v>0</v>
      </c>
      <c r="T760" s="8">
        <v>1</v>
      </c>
      <c r="U760" s="8">
        <v>2</v>
      </c>
      <c r="X760" s="8">
        <v>5</v>
      </c>
      <c r="AG760" s="8" t="str">
        <f t="shared" si="45"/>
        <v/>
      </c>
      <c r="AI760" s="8" t="str">
        <f t="shared" si="46"/>
        <v/>
      </c>
      <c r="AJ760" s="8" t="str">
        <f t="shared" si="47"/>
        <v/>
      </c>
      <c r="AL760" s="8" t="str">
        <f t="shared" si="48"/>
        <v/>
      </c>
    </row>
    <row r="761" spans="1:38" x14ac:dyDescent="0.25">
      <c r="A761" s="8" t="s">
        <v>1912</v>
      </c>
      <c r="B761" s="8" t="s">
        <v>1913</v>
      </c>
      <c r="C761" s="8">
        <v>30873840</v>
      </c>
      <c r="D761" s="8">
        <v>5</v>
      </c>
      <c r="E761" s="11">
        <v>43110</v>
      </c>
      <c r="F761" s="8" t="s">
        <v>58</v>
      </c>
      <c r="G761" s="11">
        <v>43110</v>
      </c>
      <c r="H761" s="8" t="s">
        <v>25</v>
      </c>
      <c r="I761" s="11">
        <v>43110</v>
      </c>
      <c r="J761" s="8" t="s">
        <v>25</v>
      </c>
      <c r="N761" s="8" t="s">
        <v>58</v>
      </c>
      <c r="O761" s="8" t="s">
        <v>59</v>
      </c>
      <c r="P761" s="8" t="s">
        <v>59</v>
      </c>
      <c r="R761" s="8">
        <v>0</v>
      </c>
      <c r="S761" s="8">
        <v>0</v>
      </c>
      <c r="T761" s="8">
        <v>1</v>
      </c>
      <c r="U761" s="8">
        <v>2</v>
      </c>
      <c r="X761" s="8">
        <v>5</v>
      </c>
      <c r="AG761" s="8" t="str">
        <f t="shared" si="45"/>
        <v/>
      </c>
      <c r="AI761" s="8" t="str">
        <f t="shared" si="46"/>
        <v/>
      </c>
      <c r="AJ761" s="8" t="str">
        <f t="shared" si="47"/>
        <v/>
      </c>
      <c r="AL761" s="8" t="str">
        <f t="shared" si="48"/>
        <v/>
      </c>
    </row>
    <row r="762" spans="1:38" x14ac:dyDescent="0.25">
      <c r="A762" s="8" t="s">
        <v>1914</v>
      </c>
      <c r="B762" s="8" t="s">
        <v>1915</v>
      </c>
      <c r="C762" s="8">
        <v>30873638</v>
      </c>
      <c r="D762" s="8">
        <v>5</v>
      </c>
      <c r="E762" s="11">
        <v>43110</v>
      </c>
      <c r="F762" s="8" t="s">
        <v>57</v>
      </c>
      <c r="G762" s="11">
        <v>43110</v>
      </c>
      <c r="H762" s="8" t="s">
        <v>25</v>
      </c>
      <c r="J762" s="8" t="s">
        <v>25</v>
      </c>
      <c r="N762" s="8" t="s">
        <v>58</v>
      </c>
      <c r="O762" s="8" t="s">
        <v>59</v>
      </c>
      <c r="P762" s="8" t="s">
        <v>59</v>
      </c>
      <c r="R762" s="8">
        <v>0</v>
      </c>
      <c r="S762" s="8">
        <v>0</v>
      </c>
      <c r="T762" s="8">
        <v>1</v>
      </c>
      <c r="U762" s="8">
        <v>2</v>
      </c>
      <c r="AG762" s="8" t="str">
        <f t="shared" si="45"/>
        <v/>
      </c>
      <c r="AI762" s="8" t="str">
        <f t="shared" si="46"/>
        <v/>
      </c>
      <c r="AJ762" s="8" t="str">
        <f t="shared" si="47"/>
        <v/>
      </c>
      <c r="AL762" s="8" t="str">
        <f t="shared" si="48"/>
        <v/>
      </c>
    </row>
    <row r="763" spans="1:38" x14ac:dyDescent="0.25">
      <c r="A763" s="8" t="s">
        <v>270</v>
      </c>
      <c r="B763" s="8" t="s">
        <v>271</v>
      </c>
      <c r="C763" s="8">
        <v>30815542</v>
      </c>
      <c r="D763" s="8">
        <v>5</v>
      </c>
      <c r="E763" s="11">
        <v>43108</v>
      </c>
      <c r="F763" s="8" t="s">
        <v>58</v>
      </c>
      <c r="G763" s="11">
        <v>43108</v>
      </c>
      <c r="H763" s="8" t="s">
        <v>25</v>
      </c>
      <c r="I763" s="11">
        <v>43115</v>
      </c>
      <c r="J763" s="8" t="s">
        <v>856</v>
      </c>
      <c r="N763" s="8" t="s">
        <v>58</v>
      </c>
      <c r="O763" s="8" t="s">
        <v>59</v>
      </c>
      <c r="P763" s="8" t="s">
        <v>59</v>
      </c>
      <c r="R763" s="8">
        <v>0</v>
      </c>
      <c r="S763" s="8">
        <v>0</v>
      </c>
      <c r="T763" s="8">
        <v>1</v>
      </c>
      <c r="U763" s="8">
        <v>2</v>
      </c>
      <c r="X763" s="8">
        <v>5</v>
      </c>
      <c r="AG763" s="8" t="str">
        <f t="shared" si="45"/>
        <v/>
      </c>
      <c r="AI763" s="8" t="str">
        <f t="shared" si="46"/>
        <v/>
      </c>
      <c r="AJ763" s="8" t="str">
        <f t="shared" si="47"/>
        <v/>
      </c>
      <c r="AL763" s="8" t="str">
        <f t="shared" si="48"/>
        <v/>
      </c>
    </row>
    <row r="764" spans="1:38" x14ac:dyDescent="0.25">
      <c r="A764" s="8" t="s">
        <v>3492</v>
      </c>
      <c r="B764" s="8" t="s">
        <v>3493</v>
      </c>
      <c r="C764" s="8">
        <v>30900133</v>
      </c>
      <c r="D764" s="8">
        <v>5</v>
      </c>
      <c r="E764" s="11">
        <v>43111</v>
      </c>
      <c r="F764" s="8" t="s">
        <v>57</v>
      </c>
      <c r="G764" s="11">
        <v>43111</v>
      </c>
      <c r="H764" s="8" t="s">
        <v>25</v>
      </c>
      <c r="J764" s="8" t="s">
        <v>25</v>
      </c>
      <c r="N764" s="8" t="s">
        <v>58</v>
      </c>
      <c r="O764" s="8" t="s">
        <v>59</v>
      </c>
      <c r="P764" s="8" t="s">
        <v>59</v>
      </c>
      <c r="R764" s="8">
        <v>0</v>
      </c>
      <c r="S764" s="8">
        <v>0</v>
      </c>
      <c r="T764" s="8">
        <v>1</v>
      </c>
      <c r="U764" s="8">
        <v>2</v>
      </c>
      <c r="AG764" s="8" t="str">
        <f t="shared" si="45"/>
        <v/>
      </c>
      <c r="AI764" s="8" t="str">
        <f t="shared" si="46"/>
        <v/>
      </c>
      <c r="AJ764" s="8" t="str">
        <f t="shared" si="47"/>
        <v/>
      </c>
      <c r="AL764" s="8" t="str">
        <f t="shared" si="48"/>
        <v/>
      </c>
    </row>
    <row r="765" spans="1:38" x14ac:dyDescent="0.25">
      <c r="A765" s="8" t="s">
        <v>4988</v>
      </c>
      <c r="B765" s="8" t="s">
        <v>4989</v>
      </c>
      <c r="C765" s="8">
        <v>30913970</v>
      </c>
      <c r="D765" s="8">
        <v>5</v>
      </c>
      <c r="E765" s="11">
        <v>43112</v>
      </c>
      <c r="F765" s="8" t="s">
        <v>58</v>
      </c>
      <c r="G765" s="11">
        <v>43112</v>
      </c>
      <c r="H765" s="8" t="s">
        <v>25</v>
      </c>
      <c r="I765" s="11">
        <v>43112</v>
      </c>
      <c r="J765" s="8" t="s">
        <v>25</v>
      </c>
      <c r="N765" s="8" t="s">
        <v>58</v>
      </c>
      <c r="O765" s="8" t="s">
        <v>59</v>
      </c>
      <c r="P765" s="8" t="s">
        <v>59</v>
      </c>
      <c r="R765" s="8">
        <v>0</v>
      </c>
      <c r="S765" s="8">
        <v>0</v>
      </c>
      <c r="T765" s="8">
        <v>1</v>
      </c>
      <c r="U765" s="8">
        <v>2</v>
      </c>
      <c r="X765" s="8">
        <v>5</v>
      </c>
      <c r="AG765" s="8" t="str">
        <f t="shared" si="45"/>
        <v/>
      </c>
      <c r="AI765" s="8" t="str">
        <f t="shared" si="46"/>
        <v/>
      </c>
      <c r="AJ765" s="8" t="str">
        <f t="shared" si="47"/>
        <v/>
      </c>
      <c r="AL765" s="8" t="str">
        <f t="shared" si="48"/>
        <v/>
      </c>
    </row>
    <row r="766" spans="1:38" x14ac:dyDescent="0.25">
      <c r="A766" s="8" t="s">
        <v>990</v>
      </c>
      <c r="B766" s="8" t="s">
        <v>991</v>
      </c>
      <c r="C766" s="8">
        <v>30838621</v>
      </c>
      <c r="D766" s="8">
        <v>5</v>
      </c>
      <c r="E766" s="11">
        <v>43109</v>
      </c>
      <c r="F766" s="8" t="s">
        <v>58</v>
      </c>
      <c r="G766" s="11">
        <v>43109</v>
      </c>
      <c r="H766" s="8" t="s">
        <v>25</v>
      </c>
      <c r="I766" s="11">
        <v>43111</v>
      </c>
      <c r="J766" s="8" t="s">
        <v>25</v>
      </c>
      <c r="N766" s="8" t="s">
        <v>58</v>
      </c>
      <c r="O766" s="8" t="s">
        <v>59</v>
      </c>
      <c r="P766" s="8" t="s">
        <v>59</v>
      </c>
      <c r="R766" s="8">
        <v>0</v>
      </c>
      <c r="S766" s="8">
        <v>0</v>
      </c>
      <c r="T766" s="8">
        <v>1</v>
      </c>
      <c r="U766" s="8">
        <v>2</v>
      </c>
      <c r="X766" s="8">
        <v>5</v>
      </c>
      <c r="AG766" s="8" t="str">
        <f t="shared" si="45"/>
        <v/>
      </c>
      <c r="AI766" s="8" t="str">
        <f t="shared" si="46"/>
        <v/>
      </c>
      <c r="AJ766" s="8" t="str">
        <f t="shared" si="47"/>
        <v/>
      </c>
      <c r="AL766" s="8" t="str">
        <f t="shared" si="48"/>
        <v/>
      </c>
    </row>
    <row r="767" spans="1:38" x14ac:dyDescent="0.25">
      <c r="A767" s="8" t="s">
        <v>992</v>
      </c>
      <c r="B767" s="8" t="s">
        <v>993</v>
      </c>
      <c r="C767" s="8">
        <v>30832405</v>
      </c>
      <c r="D767" s="8">
        <v>4</v>
      </c>
      <c r="E767" s="11">
        <v>43109</v>
      </c>
      <c r="F767" s="8" t="s">
        <v>57</v>
      </c>
      <c r="G767" s="11">
        <v>43109</v>
      </c>
      <c r="H767" s="8" t="s">
        <v>25</v>
      </c>
      <c r="J767" s="8" t="s">
        <v>25</v>
      </c>
      <c r="N767" s="8" t="s">
        <v>58</v>
      </c>
      <c r="O767" s="8" t="s">
        <v>59</v>
      </c>
      <c r="P767" s="8" t="s">
        <v>59</v>
      </c>
      <c r="R767" s="8">
        <v>0</v>
      </c>
      <c r="S767" s="8">
        <v>0</v>
      </c>
      <c r="T767" s="8">
        <v>1</v>
      </c>
      <c r="U767" s="8">
        <v>2</v>
      </c>
      <c r="AG767" s="8" t="str">
        <f t="shared" si="45"/>
        <v/>
      </c>
      <c r="AI767" s="8" t="str">
        <f t="shared" si="46"/>
        <v/>
      </c>
      <c r="AJ767" s="8" t="str">
        <f t="shared" si="47"/>
        <v/>
      </c>
      <c r="AL767" s="8" t="str">
        <f t="shared" si="48"/>
        <v/>
      </c>
    </row>
    <row r="768" spans="1:38" x14ac:dyDescent="0.25">
      <c r="A768" s="8" t="s">
        <v>3494</v>
      </c>
      <c r="B768" s="8" t="s">
        <v>3495</v>
      </c>
      <c r="C768" s="8">
        <v>30853553</v>
      </c>
      <c r="D768" s="8">
        <v>5</v>
      </c>
      <c r="E768" s="11">
        <v>43109</v>
      </c>
      <c r="F768" s="8" t="s">
        <v>58</v>
      </c>
      <c r="G768" s="11">
        <v>43111</v>
      </c>
      <c r="H768" s="8" t="s">
        <v>25</v>
      </c>
      <c r="I768" s="11">
        <v>43111</v>
      </c>
      <c r="J768" s="8" t="s">
        <v>25</v>
      </c>
      <c r="N768" s="8" t="s">
        <v>58</v>
      </c>
      <c r="O768" s="8" t="s">
        <v>59</v>
      </c>
      <c r="P768" s="8" t="s">
        <v>59</v>
      </c>
      <c r="R768" s="8">
        <v>0</v>
      </c>
      <c r="S768" s="8">
        <v>0</v>
      </c>
      <c r="T768" s="8">
        <v>1</v>
      </c>
      <c r="U768" s="8">
        <v>2</v>
      </c>
      <c r="X768" s="8">
        <v>5</v>
      </c>
      <c r="AG768" s="8" t="str">
        <f t="shared" si="45"/>
        <v/>
      </c>
      <c r="AI768" s="8" t="str">
        <f t="shared" si="46"/>
        <v/>
      </c>
      <c r="AJ768" s="8" t="str">
        <f t="shared" si="47"/>
        <v/>
      </c>
      <c r="AL768" s="8" t="str">
        <f t="shared" si="48"/>
        <v/>
      </c>
    </row>
    <row r="769" spans="1:38" x14ac:dyDescent="0.25">
      <c r="A769" s="8" t="s">
        <v>4990</v>
      </c>
      <c r="B769" s="8" t="s">
        <v>4991</v>
      </c>
      <c r="C769" s="8">
        <v>30903291</v>
      </c>
      <c r="D769" s="8">
        <v>5</v>
      </c>
      <c r="E769" s="11">
        <v>43111</v>
      </c>
      <c r="F769" s="8" t="s">
        <v>58</v>
      </c>
      <c r="G769" s="11">
        <v>43112</v>
      </c>
      <c r="H769" s="8" t="s">
        <v>25</v>
      </c>
      <c r="I769" s="11">
        <v>43112</v>
      </c>
      <c r="J769" s="8" t="s">
        <v>25</v>
      </c>
      <c r="N769" s="8" t="s">
        <v>58</v>
      </c>
      <c r="O769" s="8" t="s">
        <v>59</v>
      </c>
      <c r="P769" s="8" t="s">
        <v>59</v>
      </c>
      <c r="R769" s="8">
        <v>0</v>
      </c>
      <c r="S769" s="8">
        <v>0</v>
      </c>
      <c r="T769" s="8">
        <v>1</v>
      </c>
      <c r="U769" s="8">
        <v>2</v>
      </c>
      <c r="X769" s="8">
        <v>5</v>
      </c>
      <c r="AG769" s="8" t="str">
        <f t="shared" si="45"/>
        <v/>
      </c>
      <c r="AI769" s="8" t="str">
        <f t="shared" si="46"/>
        <v/>
      </c>
      <c r="AJ769" s="8" t="str">
        <f t="shared" si="47"/>
        <v/>
      </c>
      <c r="AL769" s="8" t="str">
        <f t="shared" si="48"/>
        <v/>
      </c>
    </row>
    <row r="770" spans="1:38" x14ac:dyDescent="0.25">
      <c r="A770" s="8" t="s">
        <v>3496</v>
      </c>
      <c r="B770" s="8" t="s">
        <v>3497</v>
      </c>
      <c r="C770" s="8">
        <v>30867322</v>
      </c>
      <c r="D770" s="8">
        <v>5</v>
      </c>
      <c r="E770" s="11">
        <v>43110</v>
      </c>
      <c r="F770" s="8" t="s">
        <v>57</v>
      </c>
      <c r="G770" s="11">
        <v>43111</v>
      </c>
      <c r="H770" s="8" t="s">
        <v>25</v>
      </c>
      <c r="J770" s="8" t="s">
        <v>25</v>
      </c>
      <c r="N770" s="8" t="s">
        <v>58</v>
      </c>
      <c r="O770" s="8" t="s">
        <v>59</v>
      </c>
      <c r="P770" s="8" t="s">
        <v>59</v>
      </c>
      <c r="R770" s="8">
        <v>0</v>
      </c>
      <c r="S770" s="8">
        <v>0</v>
      </c>
      <c r="T770" s="8">
        <v>1</v>
      </c>
      <c r="U770" s="8">
        <v>2</v>
      </c>
      <c r="AG770" s="8" t="str">
        <f t="shared" si="45"/>
        <v/>
      </c>
      <c r="AI770" s="8" t="str">
        <f t="shared" si="46"/>
        <v/>
      </c>
      <c r="AJ770" s="8" t="str">
        <f t="shared" si="47"/>
        <v/>
      </c>
      <c r="AL770" s="8" t="str">
        <f t="shared" si="48"/>
        <v/>
      </c>
    </row>
    <row r="771" spans="1:38" x14ac:dyDescent="0.25">
      <c r="A771" s="8" t="s">
        <v>994</v>
      </c>
      <c r="B771" s="8" t="s">
        <v>995</v>
      </c>
      <c r="C771" s="8">
        <v>30850750</v>
      </c>
      <c r="D771" s="8">
        <v>5</v>
      </c>
      <c r="E771" s="11">
        <v>43109</v>
      </c>
      <c r="F771" s="8" t="s">
        <v>58</v>
      </c>
      <c r="G771" s="11">
        <v>43109</v>
      </c>
      <c r="H771" s="8" t="s">
        <v>25</v>
      </c>
      <c r="I771" s="11">
        <v>43109</v>
      </c>
      <c r="J771" s="8" t="s">
        <v>25</v>
      </c>
      <c r="N771" s="8" t="s">
        <v>58</v>
      </c>
      <c r="O771" s="8" t="s">
        <v>59</v>
      </c>
      <c r="P771" s="8" t="s">
        <v>59</v>
      </c>
      <c r="R771" s="8">
        <v>0</v>
      </c>
      <c r="S771" s="8">
        <v>0</v>
      </c>
      <c r="T771" s="8">
        <v>1</v>
      </c>
      <c r="U771" s="8">
        <v>2</v>
      </c>
      <c r="X771" s="8">
        <v>5</v>
      </c>
      <c r="AG771" s="8" t="str">
        <f t="shared" ref="AG771:AG834" si="49">IF(AND(U771="",G771&lt;&gt;"",NOT(OR(R771,S771))),IF(NETWORKDAYS.INTL(G771,TODAY(),11)&lt;5,"En Plazo",IF(NETWORKDAYS.INTL(G771,TODAY(),11)=5,"Riesgo Incumplimiento","FALTA_02")),"")</f>
        <v/>
      </c>
      <c r="AI771" s="8" t="str">
        <f t="shared" ref="AI771:AI834" si="50">IF(AND(O771&lt;&gt;"B1",F771="Rejected"),IF(W771="","FALTA_04",""),"")</f>
        <v/>
      </c>
      <c r="AJ771" s="8" t="str">
        <f t="shared" ref="AJ771:AJ834" si="51">IF(AND(X771="",I771&lt;&gt;"",NOT(OR(R771,S771))),IF(NETWORKDAYS.INTL(G771,TODAY(),11)&lt;=1,"En Plazo",IF(OR(AND(X771="",O771&lt;&gt;"M1"),AND(O771="M1",(OR(Q771="S - S",Q771="S - T",)))),"FALTA_05","")),"")</f>
        <v/>
      </c>
      <c r="AL771" s="8" t="str">
        <f t="shared" ref="AL771:AL834" si="52">IF(AND(O771="B1",F771="Rejected"),IF(Z771="","FALTA_07",""),"")</f>
        <v/>
      </c>
    </row>
    <row r="772" spans="1:38" x14ac:dyDescent="0.25">
      <c r="A772" s="8" t="s">
        <v>6897</v>
      </c>
      <c r="B772" s="8" t="s">
        <v>6898</v>
      </c>
      <c r="C772" s="8">
        <v>30933832</v>
      </c>
      <c r="D772" s="8">
        <v>5</v>
      </c>
      <c r="E772" s="11">
        <v>43115</v>
      </c>
      <c r="F772" s="8" t="s">
        <v>58</v>
      </c>
      <c r="G772" s="11">
        <v>43115</v>
      </c>
      <c r="H772" s="8" t="s">
        <v>25</v>
      </c>
      <c r="I772" s="11">
        <v>43115</v>
      </c>
      <c r="J772" s="8" t="s">
        <v>25</v>
      </c>
      <c r="N772" s="8" t="s">
        <v>58</v>
      </c>
      <c r="O772" s="8" t="s">
        <v>59</v>
      </c>
      <c r="P772" s="8" t="s">
        <v>59</v>
      </c>
      <c r="R772" s="8">
        <v>0</v>
      </c>
      <c r="S772" s="8">
        <v>0</v>
      </c>
      <c r="T772" s="8">
        <v>1</v>
      </c>
      <c r="U772" s="8">
        <v>2</v>
      </c>
      <c r="X772" s="8">
        <v>5</v>
      </c>
      <c r="AG772" s="8" t="str">
        <f t="shared" si="49"/>
        <v/>
      </c>
      <c r="AI772" s="8" t="str">
        <f t="shared" si="50"/>
        <v/>
      </c>
      <c r="AJ772" s="8" t="str">
        <f t="shared" si="51"/>
        <v/>
      </c>
      <c r="AL772" s="8" t="str">
        <f t="shared" si="52"/>
        <v/>
      </c>
    </row>
    <row r="773" spans="1:38" x14ac:dyDescent="0.25">
      <c r="A773" s="8" t="s">
        <v>4992</v>
      </c>
      <c r="B773" s="8" t="s">
        <v>4993</v>
      </c>
      <c r="C773" s="8">
        <v>30913608</v>
      </c>
      <c r="D773" s="8">
        <v>5</v>
      </c>
      <c r="E773" s="11">
        <v>43112</v>
      </c>
      <c r="F773" s="8" t="s">
        <v>57</v>
      </c>
      <c r="G773" s="11">
        <v>43112</v>
      </c>
      <c r="H773" s="8" t="s">
        <v>25</v>
      </c>
      <c r="J773" s="8" t="s">
        <v>25</v>
      </c>
      <c r="N773" s="8" t="s">
        <v>58</v>
      </c>
      <c r="O773" s="8" t="s">
        <v>59</v>
      </c>
      <c r="P773" s="8" t="s">
        <v>59</v>
      </c>
      <c r="R773" s="8">
        <v>0</v>
      </c>
      <c r="S773" s="8">
        <v>0</v>
      </c>
      <c r="T773" s="8">
        <v>1</v>
      </c>
      <c r="U773" s="8">
        <v>2</v>
      </c>
      <c r="AG773" s="8" t="str">
        <f t="shared" si="49"/>
        <v/>
      </c>
      <c r="AI773" s="8" t="str">
        <f t="shared" si="50"/>
        <v/>
      </c>
      <c r="AJ773" s="8" t="str">
        <f t="shared" si="51"/>
        <v/>
      </c>
      <c r="AL773" s="8" t="str">
        <f t="shared" si="52"/>
        <v/>
      </c>
    </row>
    <row r="774" spans="1:38" x14ac:dyDescent="0.25">
      <c r="A774" s="8" t="s">
        <v>3498</v>
      </c>
      <c r="B774" s="8" t="s">
        <v>3499</v>
      </c>
      <c r="C774" s="8">
        <v>30894286</v>
      </c>
      <c r="D774" s="8">
        <v>5</v>
      </c>
      <c r="E774" s="11">
        <v>43111</v>
      </c>
      <c r="F774" s="8" t="s">
        <v>58</v>
      </c>
      <c r="G774" s="11">
        <v>43111</v>
      </c>
      <c r="H774" s="8" t="s">
        <v>25</v>
      </c>
      <c r="I774" s="11">
        <v>43115</v>
      </c>
      <c r="J774" s="8" t="s">
        <v>25</v>
      </c>
      <c r="N774" s="8" t="s">
        <v>58</v>
      </c>
      <c r="O774" s="8" t="s">
        <v>59</v>
      </c>
      <c r="P774" s="8" t="s">
        <v>59</v>
      </c>
      <c r="R774" s="8">
        <v>0</v>
      </c>
      <c r="S774" s="8">
        <v>0</v>
      </c>
      <c r="T774" s="8">
        <v>1</v>
      </c>
      <c r="U774" s="8">
        <v>2</v>
      </c>
      <c r="X774" s="8">
        <v>5</v>
      </c>
      <c r="AG774" s="8" t="str">
        <f t="shared" si="49"/>
        <v/>
      </c>
      <c r="AI774" s="8" t="str">
        <f t="shared" si="50"/>
        <v/>
      </c>
      <c r="AJ774" s="8" t="str">
        <f t="shared" si="51"/>
        <v/>
      </c>
      <c r="AL774" s="8" t="str">
        <f t="shared" si="52"/>
        <v/>
      </c>
    </row>
    <row r="775" spans="1:38" x14ac:dyDescent="0.25">
      <c r="A775" s="8" t="s">
        <v>3500</v>
      </c>
      <c r="B775" s="8" t="s">
        <v>3501</v>
      </c>
      <c r="C775" s="8">
        <v>30897824</v>
      </c>
      <c r="D775" s="8">
        <v>5</v>
      </c>
      <c r="E775" s="11">
        <v>43111</v>
      </c>
      <c r="F775" s="8" t="s">
        <v>57</v>
      </c>
      <c r="G775" s="11">
        <v>43111</v>
      </c>
      <c r="H775" s="8" t="s">
        <v>25</v>
      </c>
      <c r="J775" s="8" t="s">
        <v>25</v>
      </c>
      <c r="N775" s="8" t="s">
        <v>58</v>
      </c>
      <c r="O775" s="8" t="s">
        <v>59</v>
      </c>
      <c r="P775" s="8" t="s">
        <v>59</v>
      </c>
      <c r="R775" s="8">
        <v>0</v>
      </c>
      <c r="S775" s="8">
        <v>0</v>
      </c>
      <c r="T775" s="8">
        <v>1</v>
      </c>
      <c r="U775" s="8">
        <v>2</v>
      </c>
      <c r="AG775" s="8" t="str">
        <f t="shared" si="49"/>
        <v/>
      </c>
      <c r="AI775" s="8" t="str">
        <f t="shared" si="50"/>
        <v/>
      </c>
      <c r="AJ775" s="8" t="str">
        <f t="shared" si="51"/>
        <v/>
      </c>
      <c r="AL775" s="8" t="str">
        <f t="shared" si="52"/>
        <v/>
      </c>
    </row>
    <row r="776" spans="1:38" x14ac:dyDescent="0.25">
      <c r="A776" s="8" t="s">
        <v>1916</v>
      </c>
      <c r="B776" s="8" t="s">
        <v>1917</v>
      </c>
      <c r="C776" s="8">
        <v>30865200</v>
      </c>
      <c r="D776" s="8">
        <v>5</v>
      </c>
      <c r="E776" s="11">
        <v>43110</v>
      </c>
      <c r="F776" s="8" t="s">
        <v>60</v>
      </c>
      <c r="G776" s="11">
        <v>43110</v>
      </c>
      <c r="H776" s="8" t="s">
        <v>25</v>
      </c>
      <c r="J776" s="8" t="s">
        <v>25</v>
      </c>
      <c r="L776" s="8" t="s">
        <v>4797</v>
      </c>
      <c r="N776" s="8" t="s">
        <v>58</v>
      </c>
      <c r="O776" s="8" t="s">
        <v>59</v>
      </c>
      <c r="P776" s="8" t="s">
        <v>59</v>
      </c>
      <c r="R776" s="8">
        <v>0</v>
      </c>
      <c r="S776" s="8">
        <v>0</v>
      </c>
      <c r="T776" s="8">
        <v>1</v>
      </c>
      <c r="U776" s="8">
        <v>2</v>
      </c>
      <c r="W776" s="8">
        <v>4</v>
      </c>
      <c r="AG776" s="8" t="str">
        <f t="shared" si="49"/>
        <v/>
      </c>
      <c r="AI776" s="8" t="str">
        <f t="shared" si="50"/>
        <v/>
      </c>
      <c r="AJ776" s="8" t="str">
        <f t="shared" si="51"/>
        <v/>
      </c>
      <c r="AL776" s="8" t="str">
        <f t="shared" si="52"/>
        <v/>
      </c>
    </row>
    <row r="777" spans="1:38" x14ac:dyDescent="0.25">
      <c r="A777" s="8" t="s">
        <v>6899</v>
      </c>
      <c r="B777" s="8" t="s">
        <v>1917</v>
      </c>
      <c r="C777" s="8">
        <v>30945882</v>
      </c>
      <c r="D777" s="8">
        <v>5</v>
      </c>
      <c r="E777" s="11">
        <v>43115</v>
      </c>
      <c r="F777" s="8" t="s">
        <v>57</v>
      </c>
      <c r="G777" s="11">
        <v>43115</v>
      </c>
      <c r="H777" s="8" t="s">
        <v>25</v>
      </c>
      <c r="J777" s="8" t="s">
        <v>25</v>
      </c>
      <c r="N777" s="8" t="s">
        <v>58</v>
      </c>
      <c r="O777" s="8" t="s">
        <v>59</v>
      </c>
      <c r="P777" s="8" t="s">
        <v>59</v>
      </c>
      <c r="R777" s="8">
        <v>0</v>
      </c>
      <c r="S777" s="8">
        <v>0</v>
      </c>
      <c r="T777" s="8">
        <v>1</v>
      </c>
      <c r="U777" s="8">
        <v>2</v>
      </c>
      <c r="AG777" s="8" t="str">
        <f t="shared" si="49"/>
        <v/>
      </c>
      <c r="AI777" s="8" t="str">
        <f t="shared" si="50"/>
        <v/>
      </c>
      <c r="AJ777" s="8" t="str">
        <f t="shared" si="51"/>
        <v/>
      </c>
      <c r="AL777" s="8" t="str">
        <f t="shared" si="52"/>
        <v/>
      </c>
    </row>
    <row r="778" spans="1:38" x14ac:dyDescent="0.25">
      <c r="A778" s="8" t="s">
        <v>4994</v>
      </c>
      <c r="B778" s="8" t="s">
        <v>4995</v>
      </c>
      <c r="C778" s="8">
        <v>30912579</v>
      </c>
      <c r="D778" s="8">
        <v>4</v>
      </c>
      <c r="E778" s="11">
        <v>43112</v>
      </c>
      <c r="F778" s="8" t="s">
        <v>57</v>
      </c>
      <c r="G778" s="11">
        <v>43112</v>
      </c>
      <c r="H778" s="8" t="s">
        <v>25</v>
      </c>
      <c r="J778" s="8" t="s">
        <v>25</v>
      </c>
      <c r="N778" s="8" t="s">
        <v>58</v>
      </c>
      <c r="O778" s="8" t="s">
        <v>59</v>
      </c>
      <c r="P778" s="8" t="s">
        <v>59</v>
      </c>
      <c r="R778" s="8">
        <v>0</v>
      </c>
      <c r="S778" s="8">
        <v>0</v>
      </c>
      <c r="T778" s="8">
        <v>1</v>
      </c>
      <c r="U778" s="8">
        <v>2</v>
      </c>
      <c r="AG778" s="8" t="str">
        <f t="shared" si="49"/>
        <v/>
      </c>
      <c r="AI778" s="8" t="str">
        <f t="shared" si="50"/>
        <v/>
      </c>
      <c r="AJ778" s="8" t="str">
        <f t="shared" si="51"/>
        <v/>
      </c>
      <c r="AL778" s="8" t="str">
        <f t="shared" si="52"/>
        <v/>
      </c>
    </row>
    <row r="779" spans="1:38" x14ac:dyDescent="0.25">
      <c r="A779" s="8" t="s">
        <v>6900</v>
      </c>
      <c r="B779" s="8" t="s">
        <v>6901</v>
      </c>
      <c r="C779" s="8">
        <v>30945513</v>
      </c>
      <c r="D779" s="8">
        <v>5</v>
      </c>
      <c r="E779" s="11">
        <v>43115</v>
      </c>
      <c r="F779" s="8" t="s">
        <v>57</v>
      </c>
      <c r="G779" s="11">
        <v>43115</v>
      </c>
      <c r="H779" s="8" t="s">
        <v>25</v>
      </c>
      <c r="J779" s="8" t="s">
        <v>25</v>
      </c>
      <c r="N779" s="8" t="s">
        <v>58</v>
      </c>
      <c r="O779" s="8" t="s">
        <v>59</v>
      </c>
      <c r="P779" s="8" t="s">
        <v>59</v>
      </c>
      <c r="R779" s="8">
        <v>0</v>
      </c>
      <c r="S779" s="8">
        <v>0</v>
      </c>
      <c r="T779" s="8">
        <v>1</v>
      </c>
      <c r="U779" s="8">
        <v>2</v>
      </c>
      <c r="AG779" s="8" t="str">
        <f t="shared" si="49"/>
        <v/>
      </c>
      <c r="AI779" s="8" t="str">
        <f t="shared" si="50"/>
        <v/>
      </c>
      <c r="AJ779" s="8" t="str">
        <f t="shared" si="51"/>
        <v/>
      </c>
      <c r="AL779" s="8" t="str">
        <f t="shared" si="52"/>
        <v/>
      </c>
    </row>
    <row r="780" spans="1:38" x14ac:dyDescent="0.25">
      <c r="A780" s="8" t="s">
        <v>272</v>
      </c>
      <c r="B780" s="8" t="s">
        <v>273</v>
      </c>
      <c r="C780" s="8">
        <v>30806880</v>
      </c>
      <c r="D780" s="8">
        <v>5</v>
      </c>
      <c r="E780" s="11">
        <v>43108</v>
      </c>
      <c r="F780" s="8" t="s">
        <v>58</v>
      </c>
      <c r="G780" s="11">
        <v>43108</v>
      </c>
      <c r="H780" s="8" t="s">
        <v>25</v>
      </c>
      <c r="I780" s="11">
        <v>43108</v>
      </c>
      <c r="J780" s="8" t="s">
        <v>25</v>
      </c>
      <c r="N780" s="8" t="s">
        <v>58</v>
      </c>
      <c r="O780" s="8" t="s">
        <v>59</v>
      </c>
      <c r="P780" s="8" t="s">
        <v>59</v>
      </c>
      <c r="R780" s="8">
        <v>0</v>
      </c>
      <c r="S780" s="8">
        <v>0</v>
      </c>
      <c r="T780" s="8">
        <v>1</v>
      </c>
      <c r="U780" s="8">
        <v>2</v>
      </c>
      <c r="X780" s="8">
        <v>5</v>
      </c>
      <c r="AG780" s="8" t="str">
        <f t="shared" si="49"/>
        <v/>
      </c>
      <c r="AI780" s="8" t="str">
        <f t="shared" si="50"/>
        <v/>
      </c>
      <c r="AJ780" s="8" t="str">
        <f t="shared" si="51"/>
        <v/>
      </c>
      <c r="AL780" s="8" t="str">
        <f t="shared" si="52"/>
        <v/>
      </c>
    </row>
    <row r="781" spans="1:38" x14ac:dyDescent="0.25">
      <c r="A781" s="8" t="s">
        <v>996</v>
      </c>
      <c r="B781" s="8" t="s">
        <v>997</v>
      </c>
      <c r="C781" s="8">
        <v>30837675</v>
      </c>
      <c r="D781" s="8">
        <v>5</v>
      </c>
      <c r="E781" s="11">
        <v>43109</v>
      </c>
      <c r="F781" s="8" t="s">
        <v>58</v>
      </c>
      <c r="G781" s="11">
        <v>43109</v>
      </c>
      <c r="H781" s="8" t="s">
        <v>25</v>
      </c>
      <c r="I781" s="11">
        <v>43109</v>
      </c>
      <c r="J781" s="8" t="s">
        <v>25</v>
      </c>
      <c r="N781" s="8" t="s">
        <v>58</v>
      </c>
      <c r="O781" s="8" t="s">
        <v>59</v>
      </c>
      <c r="P781" s="8" t="s">
        <v>59</v>
      </c>
      <c r="R781" s="8">
        <v>0</v>
      </c>
      <c r="S781" s="8">
        <v>0</v>
      </c>
      <c r="T781" s="8">
        <v>1</v>
      </c>
      <c r="U781" s="8">
        <v>2</v>
      </c>
      <c r="X781" s="8">
        <v>5</v>
      </c>
      <c r="AG781" s="8" t="str">
        <f t="shared" si="49"/>
        <v/>
      </c>
      <c r="AI781" s="8" t="str">
        <f t="shared" si="50"/>
        <v/>
      </c>
      <c r="AJ781" s="8" t="str">
        <f t="shared" si="51"/>
        <v/>
      </c>
      <c r="AL781" s="8" t="str">
        <f t="shared" si="52"/>
        <v/>
      </c>
    </row>
    <row r="782" spans="1:38" x14ac:dyDescent="0.25">
      <c r="A782" s="8" t="s">
        <v>998</v>
      </c>
      <c r="B782" s="8" t="s">
        <v>999</v>
      </c>
      <c r="C782" s="8">
        <v>30818456</v>
      </c>
      <c r="D782" s="8">
        <v>5</v>
      </c>
      <c r="E782" s="11">
        <v>43108</v>
      </c>
      <c r="F782" s="8" t="s">
        <v>58</v>
      </c>
      <c r="G782" s="11">
        <v>43109</v>
      </c>
      <c r="H782" s="8" t="s">
        <v>25</v>
      </c>
      <c r="I782" s="11">
        <v>43115</v>
      </c>
      <c r="J782" s="8" t="s">
        <v>145</v>
      </c>
      <c r="N782" s="8" t="s">
        <v>58</v>
      </c>
      <c r="O782" s="8" t="s">
        <v>59</v>
      </c>
      <c r="P782" s="8" t="s">
        <v>59</v>
      </c>
      <c r="R782" s="8">
        <v>0</v>
      </c>
      <c r="S782" s="8">
        <v>0</v>
      </c>
      <c r="T782" s="8">
        <v>1</v>
      </c>
      <c r="U782" s="8">
        <v>2</v>
      </c>
      <c r="X782" s="8">
        <v>5</v>
      </c>
      <c r="AG782" s="8" t="str">
        <f t="shared" si="49"/>
        <v/>
      </c>
      <c r="AI782" s="8" t="str">
        <f t="shared" si="50"/>
        <v/>
      </c>
      <c r="AJ782" s="8" t="str">
        <f t="shared" si="51"/>
        <v/>
      </c>
      <c r="AL782" s="8" t="str">
        <f t="shared" si="52"/>
        <v/>
      </c>
    </row>
    <row r="783" spans="1:38" x14ac:dyDescent="0.25">
      <c r="A783" s="8" t="s">
        <v>274</v>
      </c>
      <c r="B783" s="8" t="s">
        <v>275</v>
      </c>
      <c r="C783" s="8">
        <v>30814870</v>
      </c>
      <c r="D783" s="8">
        <v>5</v>
      </c>
      <c r="E783" s="11">
        <v>43108</v>
      </c>
      <c r="F783" s="8" t="s">
        <v>58</v>
      </c>
      <c r="G783" s="11">
        <v>43108</v>
      </c>
      <c r="H783" s="8" t="s">
        <v>25</v>
      </c>
      <c r="I783" s="11">
        <v>43108</v>
      </c>
      <c r="J783" s="8" t="s">
        <v>25</v>
      </c>
      <c r="N783" s="8" t="s">
        <v>58</v>
      </c>
      <c r="O783" s="8" t="s">
        <v>59</v>
      </c>
      <c r="P783" s="8" t="s">
        <v>59</v>
      </c>
      <c r="R783" s="8">
        <v>0</v>
      </c>
      <c r="S783" s="8">
        <v>0</v>
      </c>
      <c r="T783" s="8">
        <v>1</v>
      </c>
      <c r="U783" s="8">
        <v>2</v>
      </c>
      <c r="X783" s="8">
        <v>5</v>
      </c>
      <c r="AG783" s="8" t="str">
        <f t="shared" si="49"/>
        <v/>
      </c>
      <c r="AI783" s="8" t="str">
        <f t="shared" si="50"/>
        <v/>
      </c>
      <c r="AJ783" s="8" t="str">
        <f t="shared" si="51"/>
        <v/>
      </c>
      <c r="AL783" s="8" t="str">
        <f t="shared" si="52"/>
        <v/>
      </c>
    </row>
    <row r="784" spans="1:38" x14ac:dyDescent="0.25">
      <c r="A784" s="8" t="s">
        <v>276</v>
      </c>
      <c r="B784" s="8" t="s">
        <v>277</v>
      </c>
      <c r="C784" s="8">
        <v>30824581</v>
      </c>
      <c r="D784" s="8">
        <v>5</v>
      </c>
      <c r="E784" s="11">
        <v>43108</v>
      </c>
      <c r="F784" s="8" t="s">
        <v>58</v>
      </c>
      <c r="G784" s="11">
        <v>43108</v>
      </c>
      <c r="H784" s="8" t="s">
        <v>25</v>
      </c>
      <c r="I784" s="11">
        <v>43110</v>
      </c>
      <c r="J784" s="8" t="s">
        <v>25</v>
      </c>
      <c r="N784" s="8" t="s">
        <v>58</v>
      </c>
      <c r="O784" s="8" t="s">
        <v>59</v>
      </c>
      <c r="P784" s="8" t="s">
        <v>59</v>
      </c>
      <c r="R784" s="8">
        <v>0</v>
      </c>
      <c r="S784" s="8">
        <v>0</v>
      </c>
      <c r="T784" s="8">
        <v>1</v>
      </c>
      <c r="U784" s="8">
        <v>2</v>
      </c>
      <c r="X784" s="8">
        <v>5</v>
      </c>
      <c r="AG784" s="8" t="str">
        <f t="shared" si="49"/>
        <v/>
      </c>
      <c r="AI784" s="8" t="str">
        <f t="shared" si="50"/>
        <v/>
      </c>
      <c r="AJ784" s="8" t="str">
        <f t="shared" si="51"/>
        <v/>
      </c>
      <c r="AL784" s="8" t="str">
        <f t="shared" si="52"/>
        <v/>
      </c>
    </row>
    <row r="785" spans="1:38" x14ac:dyDescent="0.25">
      <c r="A785" s="8" t="s">
        <v>4996</v>
      </c>
      <c r="B785" s="8" t="s">
        <v>4997</v>
      </c>
      <c r="C785" s="8">
        <v>30917020</v>
      </c>
      <c r="D785" s="8">
        <v>5</v>
      </c>
      <c r="E785" s="11">
        <v>43112</v>
      </c>
      <c r="F785" s="8" t="s">
        <v>58</v>
      </c>
      <c r="G785" s="11">
        <v>43112</v>
      </c>
      <c r="H785" s="8" t="s">
        <v>25</v>
      </c>
      <c r="I785" s="11">
        <v>43112</v>
      </c>
      <c r="J785" s="8" t="s">
        <v>25</v>
      </c>
      <c r="N785" s="8" t="s">
        <v>58</v>
      </c>
      <c r="O785" s="8" t="s">
        <v>59</v>
      </c>
      <c r="P785" s="8" t="s">
        <v>59</v>
      </c>
      <c r="R785" s="8">
        <v>0</v>
      </c>
      <c r="S785" s="8">
        <v>0</v>
      </c>
      <c r="T785" s="8">
        <v>1</v>
      </c>
      <c r="U785" s="8">
        <v>2</v>
      </c>
      <c r="X785" s="8">
        <v>5</v>
      </c>
      <c r="AG785" s="8" t="str">
        <f t="shared" si="49"/>
        <v/>
      </c>
      <c r="AI785" s="8" t="str">
        <f t="shared" si="50"/>
        <v/>
      </c>
      <c r="AJ785" s="8" t="str">
        <f t="shared" si="51"/>
        <v/>
      </c>
      <c r="AL785" s="8" t="str">
        <f t="shared" si="52"/>
        <v/>
      </c>
    </row>
    <row r="786" spans="1:38" x14ac:dyDescent="0.25">
      <c r="A786" s="8" t="s">
        <v>1000</v>
      </c>
      <c r="B786" s="8" t="s">
        <v>1001</v>
      </c>
      <c r="C786" s="8">
        <v>30838012</v>
      </c>
      <c r="D786" s="8">
        <v>5</v>
      </c>
      <c r="E786" s="11">
        <v>43109</v>
      </c>
      <c r="F786" s="8" t="s">
        <v>58</v>
      </c>
      <c r="G786" s="11">
        <v>43109</v>
      </c>
      <c r="H786" s="8" t="s">
        <v>25</v>
      </c>
      <c r="I786" s="11">
        <v>43109</v>
      </c>
      <c r="J786" s="8" t="s">
        <v>25</v>
      </c>
      <c r="N786" s="8" t="s">
        <v>58</v>
      </c>
      <c r="O786" s="8" t="s">
        <v>59</v>
      </c>
      <c r="P786" s="8" t="s">
        <v>59</v>
      </c>
      <c r="R786" s="8">
        <v>0</v>
      </c>
      <c r="S786" s="8">
        <v>0</v>
      </c>
      <c r="T786" s="8">
        <v>1</v>
      </c>
      <c r="U786" s="8">
        <v>2</v>
      </c>
      <c r="X786" s="8">
        <v>5</v>
      </c>
      <c r="AG786" s="8" t="str">
        <f t="shared" si="49"/>
        <v/>
      </c>
      <c r="AI786" s="8" t="str">
        <f t="shared" si="50"/>
        <v/>
      </c>
      <c r="AJ786" s="8" t="str">
        <f t="shared" si="51"/>
        <v/>
      </c>
      <c r="AL786" s="8" t="str">
        <f t="shared" si="52"/>
        <v/>
      </c>
    </row>
    <row r="787" spans="1:38" x14ac:dyDescent="0.25">
      <c r="A787" s="8" t="s">
        <v>4998</v>
      </c>
      <c r="B787" s="8" t="s">
        <v>4999</v>
      </c>
      <c r="C787" s="8">
        <v>30918264</v>
      </c>
      <c r="D787" s="8">
        <v>5</v>
      </c>
      <c r="E787" s="11">
        <v>43112</v>
      </c>
      <c r="F787" s="8" t="s">
        <v>57</v>
      </c>
      <c r="G787" s="11">
        <v>43112</v>
      </c>
      <c r="H787" s="8" t="s">
        <v>25</v>
      </c>
      <c r="J787" s="8" t="s">
        <v>25</v>
      </c>
      <c r="N787" s="8" t="s">
        <v>58</v>
      </c>
      <c r="O787" s="8" t="s">
        <v>59</v>
      </c>
      <c r="P787" s="8" t="s">
        <v>59</v>
      </c>
      <c r="R787" s="8">
        <v>0</v>
      </c>
      <c r="S787" s="8">
        <v>0</v>
      </c>
      <c r="T787" s="8">
        <v>1</v>
      </c>
      <c r="U787" s="8">
        <v>2</v>
      </c>
      <c r="AG787" s="8" t="str">
        <f t="shared" si="49"/>
        <v/>
      </c>
      <c r="AI787" s="8" t="str">
        <f t="shared" si="50"/>
        <v/>
      </c>
      <c r="AJ787" s="8" t="str">
        <f t="shared" si="51"/>
        <v/>
      </c>
      <c r="AL787" s="8" t="str">
        <f t="shared" si="52"/>
        <v/>
      </c>
    </row>
    <row r="788" spans="1:38" x14ac:dyDescent="0.25">
      <c r="A788" s="8" t="s">
        <v>3502</v>
      </c>
      <c r="B788" s="8" t="s">
        <v>3503</v>
      </c>
      <c r="C788" s="8">
        <v>30889736</v>
      </c>
      <c r="D788" s="8">
        <v>5</v>
      </c>
      <c r="E788" s="11">
        <v>43111</v>
      </c>
      <c r="F788" s="8" t="s">
        <v>57</v>
      </c>
      <c r="G788" s="11">
        <v>43111</v>
      </c>
      <c r="H788" s="8" t="s">
        <v>25</v>
      </c>
      <c r="J788" s="8" t="s">
        <v>25</v>
      </c>
      <c r="N788" s="8" t="s">
        <v>58</v>
      </c>
      <c r="O788" s="8" t="s">
        <v>59</v>
      </c>
      <c r="P788" s="8" t="s">
        <v>59</v>
      </c>
      <c r="R788" s="8">
        <v>0</v>
      </c>
      <c r="S788" s="8">
        <v>0</v>
      </c>
      <c r="T788" s="8">
        <v>1</v>
      </c>
      <c r="U788" s="8">
        <v>2</v>
      </c>
      <c r="AG788" s="8" t="str">
        <f t="shared" si="49"/>
        <v/>
      </c>
      <c r="AI788" s="8" t="str">
        <f t="shared" si="50"/>
        <v/>
      </c>
      <c r="AJ788" s="8" t="str">
        <f t="shared" si="51"/>
        <v/>
      </c>
      <c r="AL788" s="8" t="str">
        <f t="shared" si="52"/>
        <v/>
      </c>
    </row>
    <row r="789" spans="1:38" x14ac:dyDescent="0.25">
      <c r="A789" s="8" t="s">
        <v>278</v>
      </c>
      <c r="B789" s="8" t="s">
        <v>279</v>
      </c>
      <c r="C789" s="8">
        <v>30821913</v>
      </c>
      <c r="D789" s="8">
        <v>5</v>
      </c>
      <c r="E789" s="11">
        <v>43108</v>
      </c>
      <c r="F789" s="8" t="s">
        <v>58</v>
      </c>
      <c r="G789" s="11">
        <v>43108</v>
      </c>
      <c r="H789" s="8" t="s">
        <v>25</v>
      </c>
      <c r="I789" s="11">
        <v>43112</v>
      </c>
      <c r="J789" s="8" t="s">
        <v>145</v>
      </c>
      <c r="N789" s="8" t="s">
        <v>58</v>
      </c>
      <c r="O789" s="8" t="s">
        <v>59</v>
      </c>
      <c r="P789" s="8" t="s">
        <v>59</v>
      </c>
      <c r="R789" s="8">
        <v>0</v>
      </c>
      <c r="S789" s="8">
        <v>0</v>
      </c>
      <c r="T789" s="8">
        <v>1</v>
      </c>
      <c r="U789" s="8">
        <v>2</v>
      </c>
      <c r="X789" s="8">
        <v>5</v>
      </c>
      <c r="AG789" s="8" t="str">
        <f t="shared" si="49"/>
        <v/>
      </c>
      <c r="AI789" s="8" t="str">
        <f t="shared" si="50"/>
        <v/>
      </c>
      <c r="AJ789" s="8" t="str">
        <f t="shared" si="51"/>
        <v/>
      </c>
      <c r="AL789" s="8" t="str">
        <f t="shared" si="52"/>
        <v/>
      </c>
    </row>
    <row r="790" spans="1:38" x14ac:dyDescent="0.25">
      <c r="A790" s="8" t="s">
        <v>5000</v>
      </c>
      <c r="B790" s="8" t="s">
        <v>5001</v>
      </c>
      <c r="C790" s="8">
        <v>30926464</v>
      </c>
      <c r="D790" s="8">
        <v>5</v>
      </c>
      <c r="E790" s="11">
        <v>43113</v>
      </c>
      <c r="F790" s="8" t="s">
        <v>58</v>
      </c>
      <c r="G790" s="11">
        <v>43113</v>
      </c>
      <c r="H790" s="8" t="s">
        <v>25</v>
      </c>
      <c r="I790" s="11">
        <v>43113</v>
      </c>
      <c r="J790" s="8" t="s">
        <v>25</v>
      </c>
      <c r="N790" s="8" t="s">
        <v>58</v>
      </c>
      <c r="O790" s="8" t="s">
        <v>59</v>
      </c>
      <c r="P790" s="8" t="s">
        <v>59</v>
      </c>
      <c r="R790" s="8">
        <v>0</v>
      </c>
      <c r="S790" s="8">
        <v>0</v>
      </c>
      <c r="T790" s="8">
        <v>1</v>
      </c>
      <c r="U790" s="8">
        <v>2</v>
      </c>
      <c r="X790" s="8">
        <v>5</v>
      </c>
      <c r="AG790" s="8" t="str">
        <f t="shared" si="49"/>
        <v/>
      </c>
      <c r="AI790" s="8" t="str">
        <f t="shared" si="50"/>
        <v/>
      </c>
      <c r="AJ790" s="8" t="str">
        <f t="shared" si="51"/>
        <v/>
      </c>
      <c r="AL790" s="8" t="str">
        <f t="shared" si="52"/>
        <v/>
      </c>
    </row>
    <row r="791" spans="1:38" x14ac:dyDescent="0.25">
      <c r="A791" s="8" t="s">
        <v>5002</v>
      </c>
      <c r="B791" s="8" t="s">
        <v>82</v>
      </c>
      <c r="C791" s="8">
        <v>30906663</v>
      </c>
      <c r="D791" s="8">
        <v>5</v>
      </c>
      <c r="E791" s="11">
        <v>43112</v>
      </c>
      <c r="F791" s="8" t="s">
        <v>57</v>
      </c>
      <c r="G791" s="11">
        <v>43112</v>
      </c>
      <c r="H791" s="8" t="s">
        <v>25</v>
      </c>
      <c r="J791" s="8" t="s">
        <v>25</v>
      </c>
      <c r="N791" s="8" t="s">
        <v>58</v>
      </c>
      <c r="O791" s="8" t="s">
        <v>59</v>
      </c>
      <c r="P791" s="8" t="s">
        <v>59</v>
      </c>
      <c r="R791" s="8">
        <v>0</v>
      </c>
      <c r="S791" s="8">
        <v>0</v>
      </c>
      <c r="T791" s="8">
        <v>1</v>
      </c>
      <c r="U791" s="8">
        <v>2</v>
      </c>
      <c r="AG791" s="8" t="str">
        <f t="shared" si="49"/>
        <v/>
      </c>
      <c r="AI791" s="8" t="str">
        <f t="shared" si="50"/>
        <v/>
      </c>
      <c r="AJ791" s="8" t="str">
        <f t="shared" si="51"/>
        <v/>
      </c>
      <c r="AL791" s="8" t="str">
        <f t="shared" si="52"/>
        <v/>
      </c>
    </row>
    <row r="792" spans="1:38" x14ac:dyDescent="0.25">
      <c r="A792" s="8" t="s">
        <v>1918</v>
      </c>
      <c r="B792" s="8" t="s">
        <v>1919</v>
      </c>
      <c r="C792" s="8">
        <v>30811437</v>
      </c>
      <c r="D792" s="8">
        <v>5</v>
      </c>
      <c r="E792" s="11">
        <v>43108</v>
      </c>
      <c r="F792" s="8" t="s">
        <v>58</v>
      </c>
      <c r="G792" s="11">
        <v>43110</v>
      </c>
      <c r="H792" s="8" t="s">
        <v>25</v>
      </c>
      <c r="I792" s="11">
        <v>43110</v>
      </c>
      <c r="J792" s="8" t="s">
        <v>25</v>
      </c>
      <c r="N792" s="8" t="s">
        <v>58</v>
      </c>
      <c r="O792" s="8" t="s">
        <v>59</v>
      </c>
      <c r="P792" s="8" t="s">
        <v>59</v>
      </c>
      <c r="R792" s="8">
        <v>0</v>
      </c>
      <c r="S792" s="8">
        <v>0</v>
      </c>
      <c r="T792" s="8">
        <v>1</v>
      </c>
      <c r="U792" s="8">
        <v>2</v>
      </c>
      <c r="X792" s="8">
        <v>5</v>
      </c>
      <c r="AG792" s="8" t="str">
        <f t="shared" si="49"/>
        <v/>
      </c>
      <c r="AI792" s="8" t="str">
        <f t="shared" si="50"/>
        <v/>
      </c>
      <c r="AJ792" s="8" t="str">
        <f t="shared" si="51"/>
        <v/>
      </c>
      <c r="AL792" s="8" t="str">
        <f t="shared" si="52"/>
        <v/>
      </c>
    </row>
    <row r="793" spans="1:38" x14ac:dyDescent="0.25">
      <c r="A793" s="8" t="s">
        <v>6902</v>
      </c>
      <c r="B793" s="8" t="s">
        <v>6903</v>
      </c>
      <c r="C793" s="8">
        <v>30935559</v>
      </c>
      <c r="D793" s="8">
        <v>5</v>
      </c>
      <c r="E793" s="11">
        <v>43115</v>
      </c>
      <c r="F793" s="8" t="s">
        <v>57</v>
      </c>
      <c r="G793" s="11">
        <v>43115</v>
      </c>
      <c r="H793" s="8" t="s">
        <v>25</v>
      </c>
      <c r="J793" s="8" t="s">
        <v>25</v>
      </c>
      <c r="N793" s="8" t="s">
        <v>58</v>
      </c>
      <c r="O793" s="8" t="s">
        <v>59</v>
      </c>
      <c r="P793" s="8" t="s">
        <v>59</v>
      </c>
      <c r="R793" s="8">
        <v>0</v>
      </c>
      <c r="S793" s="8">
        <v>0</v>
      </c>
      <c r="T793" s="8">
        <v>1</v>
      </c>
      <c r="U793" s="8">
        <v>2</v>
      </c>
      <c r="AG793" s="8" t="str">
        <f t="shared" si="49"/>
        <v/>
      </c>
      <c r="AI793" s="8" t="str">
        <f t="shared" si="50"/>
        <v/>
      </c>
      <c r="AJ793" s="8" t="str">
        <f t="shared" si="51"/>
        <v/>
      </c>
      <c r="AL793" s="8" t="str">
        <f t="shared" si="52"/>
        <v/>
      </c>
    </row>
    <row r="794" spans="1:38" x14ac:dyDescent="0.25">
      <c r="A794" s="8" t="s">
        <v>1002</v>
      </c>
      <c r="B794" s="8" t="s">
        <v>1003</v>
      </c>
      <c r="C794" s="8">
        <v>30849520</v>
      </c>
      <c r="D794" s="8">
        <v>5</v>
      </c>
      <c r="E794" s="11">
        <v>43109</v>
      </c>
      <c r="F794" s="8" t="s">
        <v>58</v>
      </c>
      <c r="G794" s="11">
        <v>43109</v>
      </c>
      <c r="H794" s="8" t="s">
        <v>25</v>
      </c>
      <c r="I794" s="11">
        <v>43109</v>
      </c>
      <c r="J794" s="8" t="s">
        <v>25</v>
      </c>
      <c r="N794" s="8" t="s">
        <v>58</v>
      </c>
      <c r="O794" s="8" t="s">
        <v>59</v>
      </c>
      <c r="P794" s="8" t="s">
        <v>59</v>
      </c>
      <c r="R794" s="8">
        <v>0</v>
      </c>
      <c r="S794" s="8">
        <v>0</v>
      </c>
      <c r="T794" s="8">
        <v>1</v>
      </c>
      <c r="U794" s="8">
        <v>2</v>
      </c>
      <c r="X794" s="8">
        <v>5</v>
      </c>
      <c r="AG794" s="8" t="str">
        <f t="shared" si="49"/>
        <v/>
      </c>
      <c r="AI794" s="8" t="str">
        <f t="shared" si="50"/>
        <v/>
      </c>
      <c r="AJ794" s="8" t="str">
        <f t="shared" si="51"/>
        <v/>
      </c>
      <c r="AL794" s="8" t="str">
        <f t="shared" si="52"/>
        <v/>
      </c>
    </row>
    <row r="795" spans="1:38" x14ac:dyDescent="0.25">
      <c r="A795" s="8" t="s">
        <v>5003</v>
      </c>
      <c r="B795" s="8" t="s">
        <v>5004</v>
      </c>
      <c r="C795" s="8">
        <v>30919023</v>
      </c>
      <c r="D795" s="8">
        <v>5</v>
      </c>
      <c r="E795" s="11">
        <v>43112</v>
      </c>
      <c r="F795" s="8" t="s">
        <v>58</v>
      </c>
      <c r="G795" s="11">
        <v>43112</v>
      </c>
      <c r="H795" s="8" t="s">
        <v>25</v>
      </c>
      <c r="I795" s="11">
        <v>43112</v>
      </c>
      <c r="J795" s="8" t="s">
        <v>25</v>
      </c>
      <c r="N795" s="8" t="s">
        <v>58</v>
      </c>
      <c r="O795" s="8" t="s">
        <v>59</v>
      </c>
      <c r="P795" s="8" t="s">
        <v>59</v>
      </c>
      <c r="R795" s="8">
        <v>0</v>
      </c>
      <c r="S795" s="8">
        <v>0</v>
      </c>
      <c r="T795" s="8">
        <v>1</v>
      </c>
      <c r="U795" s="8">
        <v>2</v>
      </c>
      <c r="X795" s="8">
        <v>5</v>
      </c>
      <c r="AG795" s="8" t="str">
        <f t="shared" si="49"/>
        <v/>
      </c>
      <c r="AI795" s="8" t="str">
        <f t="shared" si="50"/>
        <v/>
      </c>
      <c r="AJ795" s="8" t="str">
        <f t="shared" si="51"/>
        <v/>
      </c>
      <c r="AL795" s="8" t="str">
        <f t="shared" si="52"/>
        <v/>
      </c>
    </row>
    <row r="796" spans="1:38" x14ac:dyDescent="0.25">
      <c r="A796" s="8" t="s">
        <v>1920</v>
      </c>
      <c r="B796" s="8" t="s">
        <v>1921</v>
      </c>
      <c r="C796" s="8">
        <v>30864892</v>
      </c>
      <c r="D796" s="8">
        <v>5</v>
      </c>
      <c r="E796" s="11">
        <v>43110</v>
      </c>
      <c r="F796" s="8" t="s">
        <v>58</v>
      </c>
      <c r="G796" s="11">
        <v>43110</v>
      </c>
      <c r="H796" s="8" t="s">
        <v>25</v>
      </c>
      <c r="I796" s="11">
        <v>43111</v>
      </c>
      <c r="J796" s="8" t="s">
        <v>25</v>
      </c>
      <c r="N796" s="8" t="s">
        <v>58</v>
      </c>
      <c r="O796" s="8" t="s">
        <v>59</v>
      </c>
      <c r="P796" s="8" t="s">
        <v>59</v>
      </c>
      <c r="R796" s="8">
        <v>0</v>
      </c>
      <c r="S796" s="8">
        <v>0</v>
      </c>
      <c r="T796" s="8">
        <v>1</v>
      </c>
      <c r="U796" s="8">
        <v>2</v>
      </c>
      <c r="X796" s="8">
        <v>5</v>
      </c>
      <c r="AG796" s="8" t="str">
        <f t="shared" si="49"/>
        <v/>
      </c>
      <c r="AI796" s="8" t="str">
        <f t="shared" si="50"/>
        <v/>
      </c>
      <c r="AJ796" s="8" t="str">
        <f t="shared" si="51"/>
        <v/>
      </c>
      <c r="AL796" s="8" t="str">
        <f t="shared" si="52"/>
        <v/>
      </c>
    </row>
    <row r="797" spans="1:38" x14ac:dyDescent="0.25">
      <c r="A797" s="8" t="s">
        <v>6904</v>
      </c>
      <c r="B797" s="8" t="s">
        <v>6905</v>
      </c>
      <c r="C797" s="8">
        <v>30934733</v>
      </c>
      <c r="D797" s="8">
        <v>5</v>
      </c>
      <c r="E797" s="11">
        <v>43115</v>
      </c>
      <c r="F797" s="8" t="s">
        <v>58</v>
      </c>
      <c r="G797" s="11">
        <v>43115</v>
      </c>
      <c r="H797" s="8" t="s">
        <v>25</v>
      </c>
      <c r="I797" s="11">
        <v>43115</v>
      </c>
      <c r="J797" s="8" t="s">
        <v>25</v>
      </c>
      <c r="N797" s="8" t="s">
        <v>58</v>
      </c>
      <c r="O797" s="8" t="s">
        <v>59</v>
      </c>
      <c r="P797" s="8" t="s">
        <v>59</v>
      </c>
      <c r="R797" s="8">
        <v>0</v>
      </c>
      <c r="S797" s="8">
        <v>0</v>
      </c>
      <c r="T797" s="8">
        <v>1</v>
      </c>
      <c r="U797" s="8">
        <v>2</v>
      </c>
      <c r="X797" s="8">
        <v>5</v>
      </c>
      <c r="AG797" s="8" t="str">
        <f t="shared" si="49"/>
        <v/>
      </c>
      <c r="AI797" s="8" t="str">
        <f t="shared" si="50"/>
        <v/>
      </c>
      <c r="AJ797" s="8" t="str">
        <f t="shared" si="51"/>
        <v/>
      </c>
      <c r="AL797" s="8" t="str">
        <f t="shared" si="52"/>
        <v/>
      </c>
    </row>
    <row r="798" spans="1:38" x14ac:dyDescent="0.25">
      <c r="A798" s="8" t="s">
        <v>1922</v>
      </c>
      <c r="B798" s="8" t="s">
        <v>1923</v>
      </c>
      <c r="C798" s="8">
        <v>30868553</v>
      </c>
      <c r="D798" s="8">
        <v>5</v>
      </c>
      <c r="E798" s="11">
        <v>43110</v>
      </c>
      <c r="F798" s="8" t="s">
        <v>58</v>
      </c>
      <c r="G798" s="11">
        <v>43110</v>
      </c>
      <c r="H798" s="8" t="s">
        <v>25</v>
      </c>
      <c r="I798" s="11">
        <v>43110</v>
      </c>
      <c r="J798" s="8" t="s">
        <v>25</v>
      </c>
      <c r="N798" s="8" t="s">
        <v>58</v>
      </c>
      <c r="O798" s="8" t="s">
        <v>59</v>
      </c>
      <c r="P798" s="8" t="s">
        <v>59</v>
      </c>
      <c r="R798" s="8">
        <v>0</v>
      </c>
      <c r="S798" s="8">
        <v>0</v>
      </c>
      <c r="T798" s="8">
        <v>1</v>
      </c>
      <c r="U798" s="8">
        <v>2</v>
      </c>
      <c r="X798" s="8">
        <v>5</v>
      </c>
      <c r="AG798" s="8" t="str">
        <f t="shared" si="49"/>
        <v/>
      </c>
      <c r="AI798" s="8" t="str">
        <f t="shared" si="50"/>
        <v/>
      </c>
      <c r="AJ798" s="8" t="str">
        <f t="shared" si="51"/>
        <v/>
      </c>
      <c r="AL798" s="8" t="str">
        <f t="shared" si="52"/>
        <v/>
      </c>
    </row>
    <row r="799" spans="1:38" x14ac:dyDescent="0.25">
      <c r="A799" s="8" t="s">
        <v>6906</v>
      </c>
      <c r="B799" s="8" t="s">
        <v>6907</v>
      </c>
      <c r="C799" s="8">
        <v>30931252</v>
      </c>
      <c r="D799" s="8">
        <v>5</v>
      </c>
      <c r="E799" s="11">
        <v>43115</v>
      </c>
      <c r="F799" s="8" t="s">
        <v>57</v>
      </c>
      <c r="G799" s="11">
        <v>43115</v>
      </c>
      <c r="H799" s="8" t="s">
        <v>25</v>
      </c>
      <c r="J799" s="8" t="s">
        <v>25</v>
      </c>
      <c r="N799" s="8" t="s">
        <v>58</v>
      </c>
      <c r="O799" s="8" t="s">
        <v>59</v>
      </c>
      <c r="P799" s="8" t="s">
        <v>59</v>
      </c>
      <c r="R799" s="8">
        <v>0</v>
      </c>
      <c r="S799" s="8">
        <v>0</v>
      </c>
      <c r="T799" s="8">
        <v>1</v>
      </c>
      <c r="U799" s="8">
        <v>2</v>
      </c>
      <c r="AG799" s="8" t="str">
        <f t="shared" si="49"/>
        <v/>
      </c>
      <c r="AI799" s="8" t="str">
        <f t="shared" si="50"/>
        <v/>
      </c>
      <c r="AJ799" s="8" t="str">
        <f t="shared" si="51"/>
        <v/>
      </c>
      <c r="AL799" s="8" t="str">
        <f t="shared" si="52"/>
        <v/>
      </c>
    </row>
    <row r="800" spans="1:38" x14ac:dyDescent="0.25">
      <c r="A800" s="8" t="s">
        <v>1924</v>
      </c>
      <c r="B800" s="8" t="s">
        <v>1925</v>
      </c>
      <c r="C800" s="8">
        <v>30861376</v>
      </c>
      <c r="D800" s="8">
        <v>5</v>
      </c>
      <c r="E800" s="11">
        <v>43110</v>
      </c>
      <c r="F800" s="8" t="s">
        <v>57</v>
      </c>
      <c r="G800" s="11">
        <v>43110</v>
      </c>
      <c r="H800" s="8" t="s">
        <v>25</v>
      </c>
      <c r="J800" s="8" t="s">
        <v>25</v>
      </c>
      <c r="N800" s="8" t="s">
        <v>58</v>
      </c>
      <c r="O800" s="8" t="s">
        <v>59</v>
      </c>
      <c r="P800" s="8" t="s">
        <v>59</v>
      </c>
      <c r="R800" s="8">
        <v>0</v>
      </c>
      <c r="S800" s="8">
        <v>0</v>
      </c>
      <c r="T800" s="8">
        <v>1</v>
      </c>
      <c r="U800" s="8">
        <v>2</v>
      </c>
      <c r="AG800" s="8" t="str">
        <f t="shared" si="49"/>
        <v/>
      </c>
      <c r="AI800" s="8" t="str">
        <f t="shared" si="50"/>
        <v/>
      </c>
      <c r="AJ800" s="8" t="str">
        <f t="shared" si="51"/>
        <v/>
      </c>
      <c r="AL800" s="8" t="str">
        <f t="shared" si="52"/>
        <v/>
      </c>
    </row>
    <row r="801" spans="1:38" x14ac:dyDescent="0.25">
      <c r="A801" s="8" t="s">
        <v>5005</v>
      </c>
      <c r="B801" s="8" t="s">
        <v>99</v>
      </c>
      <c r="C801" s="8">
        <v>30918342</v>
      </c>
      <c r="D801" s="8">
        <v>5</v>
      </c>
      <c r="E801" s="11">
        <v>43112</v>
      </c>
      <c r="F801" s="8" t="s">
        <v>57</v>
      </c>
      <c r="G801" s="11">
        <v>43112</v>
      </c>
      <c r="H801" s="8" t="s">
        <v>25</v>
      </c>
      <c r="J801" s="8" t="s">
        <v>25</v>
      </c>
      <c r="N801" s="8" t="s">
        <v>58</v>
      </c>
      <c r="O801" s="8" t="s">
        <v>59</v>
      </c>
      <c r="P801" s="8" t="s">
        <v>59</v>
      </c>
      <c r="R801" s="8">
        <v>0</v>
      </c>
      <c r="S801" s="8">
        <v>0</v>
      </c>
      <c r="T801" s="8">
        <v>1</v>
      </c>
      <c r="U801" s="8">
        <v>2</v>
      </c>
      <c r="AG801" s="8" t="str">
        <f t="shared" si="49"/>
        <v/>
      </c>
      <c r="AI801" s="8" t="str">
        <f t="shared" si="50"/>
        <v/>
      </c>
      <c r="AJ801" s="8" t="str">
        <f t="shared" si="51"/>
        <v/>
      </c>
      <c r="AL801" s="8" t="str">
        <f t="shared" si="52"/>
        <v/>
      </c>
    </row>
    <row r="802" spans="1:38" x14ac:dyDescent="0.25">
      <c r="A802" s="8" t="s">
        <v>6908</v>
      </c>
      <c r="B802" s="8" t="s">
        <v>6909</v>
      </c>
      <c r="C802" s="8">
        <v>30933297</v>
      </c>
      <c r="D802" s="8">
        <v>5</v>
      </c>
      <c r="E802" s="11">
        <v>43115</v>
      </c>
      <c r="F802" s="8" t="s">
        <v>57</v>
      </c>
      <c r="G802" s="11">
        <v>43115</v>
      </c>
      <c r="H802" s="8" t="s">
        <v>25</v>
      </c>
      <c r="J802" s="8" t="s">
        <v>25</v>
      </c>
      <c r="N802" s="8" t="s">
        <v>58</v>
      </c>
      <c r="O802" s="8" t="s">
        <v>59</v>
      </c>
      <c r="P802" s="8" t="s">
        <v>59</v>
      </c>
      <c r="R802" s="8">
        <v>0</v>
      </c>
      <c r="S802" s="8">
        <v>0</v>
      </c>
      <c r="T802" s="8">
        <v>1</v>
      </c>
      <c r="U802" s="8">
        <v>2</v>
      </c>
      <c r="AG802" s="8" t="str">
        <f t="shared" si="49"/>
        <v/>
      </c>
      <c r="AI802" s="8" t="str">
        <f t="shared" si="50"/>
        <v/>
      </c>
      <c r="AJ802" s="8" t="str">
        <f t="shared" si="51"/>
        <v/>
      </c>
      <c r="AL802" s="8" t="str">
        <f t="shared" si="52"/>
        <v/>
      </c>
    </row>
    <row r="803" spans="1:38" x14ac:dyDescent="0.25">
      <c r="A803" s="8" t="s">
        <v>5006</v>
      </c>
      <c r="B803" s="8" t="s">
        <v>5007</v>
      </c>
      <c r="C803" s="8">
        <v>30910583</v>
      </c>
      <c r="D803" s="8">
        <v>5</v>
      </c>
      <c r="E803" s="11">
        <v>43112</v>
      </c>
      <c r="F803" s="8" t="s">
        <v>58</v>
      </c>
      <c r="G803" s="11">
        <v>43112</v>
      </c>
      <c r="H803" s="8" t="s">
        <v>25</v>
      </c>
      <c r="I803" s="11">
        <v>43112</v>
      </c>
      <c r="J803" s="8" t="s">
        <v>25</v>
      </c>
      <c r="N803" s="8" t="s">
        <v>58</v>
      </c>
      <c r="O803" s="8" t="s">
        <v>59</v>
      </c>
      <c r="P803" s="8" t="s">
        <v>59</v>
      </c>
      <c r="R803" s="8">
        <v>0</v>
      </c>
      <c r="S803" s="8">
        <v>0</v>
      </c>
      <c r="T803" s="8">
        <v>1</v>
      </c>
      <c r="U803" s="8">
        <v>2</v>
      </c>
      <c r="X803" s="8">
        <v>5</v>
      </c>
      <c r="AG803" s="8" t="str">
        <f t="shared" si="49"/>
        <v/>
      </c>
      <c r="AI803" s="8" t="str">
        <f t="shared" si="50"/>
        <v/>
      </c>
      <c r="AJ803" s="8" t="str">
        <f t="shared" si="51"/>
        <v/>
      </c>
      <c r="AL803" s="8" t="str">
        <f t="shared" si="52"/>
        <v/>
      </c>
    </row>
    <row r="804" spans="1:38" x14ac:dyDescent="0.25">
      <c r="A804" s="8" t="s">
        <v>6910</v>
      </c>
      <c r="B804" s="8" t="s">
        <v>6911</v>
      </c>
      <c r="C804" s="8">
        <v>30931049</v>
      </c>
      <c r="D804" s="8">
        <v>5</v>
      </c>
      <c r="E804" s="11">
        <v>43115</v>
      </c>
      <c r="F804" s="8" t="s">
        <v>58</v>
      </c>
      <c r="G804" s="11">
        <v>43115</v>
      </c>
      <c r="H804" s="8" t="s">
        <v>25</v>
      </c>
      <c r="I804" s="11">
        <v>43115</v>
      </c>
      <c r="J804" s="8" t="s">
        <v>25</v>
      </c>
      <c r="N804" s="8" t="s">
        <v>58</v>
      </c>
      <c r="O804" s="8" t="s">
        <v>59</v>
      </c>
      <c r="P804" s="8" t="s">
        <v>59</v>
      </c>
      <c r="R804" s="8">
        <v>0</v>
      </c>
      <c r="S804" s="8">
        <v>0</v>
      </c>
      <c r="T804" s="8">
        <v>1</v>
      </c>
      <c r="U804" s="8">
        <v>2</v>
      </c>
      <c r="X804" s="8">
        <v>5</v>
      </c>
      <c r="AG804" s="8" t="str">
        <f t="shared" si="49"/>
        <v/>
      </c>
      <c r="AI804" s="8" t="str">
        <f t="shared" si="50"/>
        <v/>
      </c>
      <c r="AJ804" s="8" t="str">
        <f t="shared" si="51"/>
        <v/>
      </c>
      <c r="AL804" s="8" t="str">
        <f t="shared" si="52"/>
        <v/>
      </c>
    </row>
    <row r="805" spans="1:38" x14ac:dyDescent="0.25">
      <c r="A805" s="8" t="s">
        <v>1926</v>
      </c>
      <c r="B805" s="8" t="s">
        <v>1927</v>
      </c>
      <c r="C805" s="8">
        <v>30871168</v>
      </c>
      <c r="D805" s="8">
        <v>5</v>
      </c>
      <c r="E805" s="11">
        <v>43110</v>
      </c>
      <c r="F805" s="8" t="s">
        <v>58</v>
      </c>
      <c r="G805" s="11">
        <v>43110</v>
      </c>
      <c r="H805" s="8" t="s">
        <v>25</v>
      </c>
      <c r="I805" s="11">
        <v>43110</v>
      </c>
      <c r="J805" s="8" t="s">
        <v>25</v>
      </c>
      <c r="N805" s="8" t="s">
        <v>58</v>
      </c>
      <c r="O805" s="8" t="s">
        <v>59</v>
      </c>
      <c r="P805" s="8" t="s">
        <v>59</v>
      </c>
      <c r="R805" s="8">
        <v>0</v>
      </c>
      <c r="S805" s="8">
        <v>0</v>
      </c>
      <c r="T805" s="8">
        <v>1</v>
      </c>
      <c r="U805" s="8">
        <v>2</v>
      </c>
      <c r="X805" s="8">
        <v>5</v>
      </c>
      <c r="AG805" s="8" t="str">
        <f t="shared" si="49"/>
        <v/>
      </c>
      <c r="AI805" s="8" t="str">
        <f t="shared" si="50"/>
        <v/>
      </c>
      <c r="AJ805" s="8" t="str">
        <f t="shared" si="51"/>
        <v/>
      </c>
      <c r="AL805" s="8" t="str">
        <f t="shared" si="52"/>
        <v/>
      </c>
    </row>
    <row r="806" spans="1:38" x14ac:dyDescent="0.25">
      <c r="A806" s="8" t="s">
        <v>3504</v>
      </c>
      <c r="B806" s="8" t="s">
        <v>3505</v>
      </c>
      <c r="C806" s="8">
        <v>30901914</v>
      </c>
      <c r="D806" s="8">
        <v>5</v>
      </c>
      <c r="E806" s="11">
        <v>43111</v>
      </c>
      <c r="F806" s="8" t="s">
        <v>58</v>
      </c>
      <c r="G806" s="11">
        <v>43111</v>
      </c>
      <c r="H806" s="8" t="s">
        <v>25</v>
      </c>
      <c r="I806" s="11">
        <v>43111</v>
      </c>
      <c r="J806" s="8" t="s">
        <v>25</v>
      </c>
      <c r="N806" s="8" t="s">
        <v>58</v>
      </c>
      <c r="O806" s="8" t="s">
        <v>59</v>
      </c>
      <c r="P806" s="8" t="s">
        <v>59</v>
      </c>
      <c r="R806" s="8">
        <v>0</v>
      </c>
      <c r="S806" s="8">
        <v>0</v>
      </c>
      <c r="T806" s="8">
        <v>1</v>
      </c>
      <c r="U806" s="8">
        <v>2</v>
      </c>
      <c r="X806" s="8">
        <v>5</v>
      </c>
      <c r="AG806" s="8" t="str">
        <f t="shared" si="49"/>
        <v/>
      </c>
      <c r="AI806" s="8" t="str">
        <f t="shared" si="50"/>
        <v/>
      </c>
      <c r="AJ806" s="8" t="str">
        <f t="shared" si="51"/>
        <v/>
      </c>
      <c r="AL806" s="8" t="str">
        <f t="shared" si="52"/>
        <v/>
      </c>
    </row>
    <row r="807" spans="1:38" x14ac:dyDescent="0.25">
      <c r="A807" s="8" t="s">
        <v>1928</v>
      </c>
      <c r="B807" s="8" t="s">
        <v>1929</v>
      </c>
      <c r="C807" s="8">
        <v>30873289</v>
      </c>
      <c r="D807" s="8">
        <v>5</v>
      </c>
      <c r="E807" s="11">
        <v>43110</v>
      </c>
      <c r="F807" s="8" t="s">
        <v>58</v>
      </c>
      <c r="G807" s="11">
        <v>43110</v>
      </c>
      <c r="H807" s="8" t="s">
        <v>25</v>
      </c>
      <c r="I807" s="11">
        <v>43110</v>
      </c>
      <c r="J807" s="8" t="s">
        <v>25</v>
      </c>
      <c r="N807" s="8" t="s">
        <v>58</v>
      </c>
      <c r="O807" s="8" t="s">
        <v>59</v>
      </c>
      <c r="P807" s="8" t="s">
        <v>59</v>
      </c>
      <c r="R807" s="8">
        <v>0</v>
      </c>
      <c r="S807" s="8">
        <v>0</v>
      </c>
      <c r="T807" s="8">
        <v>1</v>
      </c>
      <c r="U807" s="8">
        <v>2</v>
      </c>
      <c r="X807" s="8">
        <v>5</v>
      </c>
      <c r="AG807" s="8" t="str">
        <f t="shared" si="49"/>
        <v/>
      </c>
      <c r="AI807" s="8" t="str">
        <f t="shared" si="50"/>
        <v/>
      </c>
      <c r="AJ807" s="8" t="str">
        <f t="shared" si="51"/>
        <v/>
      </c>
      <c r="AL807" s="8" t="str">
        <f t="shared" si="52"/>
        <v/>
      </c>
    </row>
    <row r="808" spans="1:38" x14ac:dyDescent="0.25">
      <c r="A808" s="8" t="s">
        <v>3506</v>
      </c>
      <c r="B808" s="8" t="s">
        <v>3507</v>
      </c>
      <c r="C808" s="8">
        <v>30890887</v>
      </c>
      <c r="D808" s="8">
        <v>5</v>
      </c>
      <c r="E808" s="11">
        <v>43111</v>
      </c>
      <c r="F808" s="8" t="s">
        <v>57</v>
      </c>
      <c r="G808" s="11">
        <v>43111</v>
      </c>
      <c r="H808" s="8" t="s">
        <v>25</v>
      </c>
      <c r="J808" s="8" t="s">
        <v>25</v>
      </c>
      <c r="N808" s="8" t="s">
        <v>58</v>
      </c>
      <c r="O808" s="8" t="s">
        <v>59</v>
      </c>
      <c r="P808" s="8" t="s">
        <v>59</v>
      </c>
      <c r="R808" s="8">
        <v>0</v>
      </c>
      <c r="S808" s="8">
        <v>0</v>
      </c>
      <c r="T808" s="8">
        <v>1</v>
      </c>
      <c r="U808" s="8">
        <v>2</v>
      </c>
      <c r="AG808" s="8" t="str">
        <f t="shared" si="49"/>
        <v/>
      </c>
      <c r="AI808" s="8" t="str">
        <f t="shared" si="50"/>
        <v/>
      </c>
      <c r="AJ808" s="8" t="str">
        <f t="shared" si="51"/>
        <v/>
      </c>
      <c r="AL808" s="8" t="str">
        <f t="shared" si="52"/>
        <v/>
      </c>
    </row>
    <row r="809" spans="1:38" x14ac:dyDescent="0.25">
      <c r="A809" s="8" t="s">
        <v>1930</v>
      </c>
      <c r="B809" s="8" t="s">
        <v>1931</v>
      </c>
      <c r="C809" s="8">
        <v>30870005</v>
      </c>
      <c r="D809" s="8">
        <v>5</v>
      </c>
      <c r="E809" s="11">
        <v>43110</v>
      </c>
      <c r="F809" s="8" t="s">
        <v>58</v>
      </c>
      <c r="G809" s="11">
        <v>43110</v>
      </c>
      <c r="H809" s="8" t="s">
        <v>25</v>
      </c>
      <c r="I809" s="11">
        <v>43112</v>
      </c>
      <c r="J809" s="8" t="s">
        <v>25</v>
      </c>
      <c r="N809" s="8" t="s">
        <v>58</v>
      </c>
      <c r="O809" s="8" t="s">
        <v>59</v>
      </c>
      <c r="P809" s="8" t="s">
        <v>59</v>
      </c>
      <c r="R809" s="8">
        <v>0</v>
      </c>
      <c r="S809" s="8">
        <v>0</v>
      </c>
      <c r="T809" s="8">
        <v>1</v>
      </c>
      <c r="U809" s="8">
        <v>2</v>
      </c>
      <c r="X809" s="8">
        <v>5</v>
      </c>
      <c r="AG809" s="8" t="str">
        <f t="shared" si="49"/>
        <v/>
      </c>
      <c r="AI809" s="8" t="str">
        <f t="shared" si="50"/>
        <v/>
      </c>
      <c r="AJ809" s="8" t="str">
        <f t="shared" si="51"/>
        <v/>
      </c>
      <c r="AL809" s="8" t="str">
        <f t="shared" si="52"/>
        <v/>
      </c>
    </row>
    <row r="810" spans="1:38" x14ac:dyDescent="0.25">
      <c r="A810" s="8" t="s">
        <v>1932</v>
      </c>
      <c r="B810" s="8" t="s">
        <v>1933</v>
      </c>
      <c r="C810" s="8">
        <v>30874069</v>
      </c>
      <c r="D810" s="8">
        <v>5</v>
      </c>
      <c r="E810" s="11">
        <v>43110</v>
      </c>
      <c r="F810" s="8" t="s">
        <v>57</v>
      </c>
      <c r="G810" s="11">
        <v>43110</v>
      </c>
      <c r="H810" s="8" t="s">
        <v>25</v>
      </c>
      <c r="J810" s="8" t="s">
        <v>25</v>
      </c>
      <c r="N810" s="8" t="s">
        <v>58</v>
      </c>
      <c r="O810" s="8" t="s">
        <v>59</v>
      </c>
      <c r="P810" s="8" t="s">
        <v>59</v>
      </c>
      <c r="R810" s="8">
        <v>0</v>
      </c>
      <c r="S810" s="8">
        <v>0</v>
      </c>
      <c r="T810" s="8">
        <v>1</v>
      </c>
      <c r="U810" s="8">
        <v>2</v>
      </c>
      <c r="AG810" s="8" t="str">
        <f t="shared" si="49"/>
        <v/>
      </c>
      <c r="AI810" s="8" t="str">
        <f t="shared" si="50"/>
        <v/>
      </c>
      <c r="AJ810" s="8" t="str">
        <f t="shared" si="51"/>
        <v/>
      </c>
      <c r="AL810" s="8" t="str">
        <f t="shared" si="52"/>
        <v/>
      </c>
    </row>
    <row r="811" spans="1:38" x14ac:dyDescent="0.25">
      <c r="A811" s="8" t="s">
        <v>3508</v>
      </c>
      <c r="B811" s="8" t="s">
        <v>3509</v>
      </c>
      <c r="C811" s="8">
        <v>30893846</v>
      </c>
      <c r="D811" s="8">
        <v>5</v>
      </c>
      <c r="E811" s="11">
        <v>43111</v>
      </c>
      <c r="F811" s="8" t="s">
        <v>57</v>
      </c>
      <c r="G811" s="11">
        <v>43111</v>
      </c>
      <c r="H811" s="8" t="s">
        <v>25</v>
      </c>
      <c r="J811" s="8" t="s">
        <v>25</v>
      </c>
      <c r="N811" s="8" t="s">
        <v>58</v>
      </c>
      <c r="O811" s="8" t="s">
        <v>59</v>
      </c>
      <c r="P811" s="8" t="s">
        <v>59</v>
      </c>
      <c r="R811" s="8">
        <v>0</v>
      </c>
      <c r="S811" s="8">
        <v>0</v>
      </c>
      <c r="T811" s="8">
        <v>1</v>
      </c>
      <c r="U811" s="8">
        <v>2</v>
      </c>
      <c r="AG811" s="8" t="str">
        <f t="shared" si="49"/>
        <v/>
      </c>
      <c r="AI811" s="8" t="str">
        <f t="shared" si="50"/>
        <v/>
      </c>
      <c r="AJ811" s="8" t="str">
        <f t="shared" si="51"/>
        <v/>
      </c>
      <c r="AL811" s="8" t="str">
        <f t="shared" si="52"/>
        <v/>
      </c>
    </row>
    <row r="812" spans="1:38" x14ac:dyDescent="0.25">
      <c r="A812" s="8" t="s">
        <v>3510</v>
      </c>
      <c r="B812" s="8" t="s">
        <v>3511</v>
      </c>
      <c r="C812" s="8">
        <v>30887148</v>
      </c>
      <c r="D812" s="8">
        <v>5</v>
      </c>
      <c r="E812" s="11">
        <v>43111</v>
      </c>
      <c r="F812" s="8" t="s">
        <v>58</v>
      </c>
      <c r="G812" s="11">
        <v>43111</v>
      </c>
      <c r="H812" s="8" t="s">
        <v>25</v>
      </c>
      <c r="I812" s="11">
        <v>43111</v>
      </c>
      <c r="J812" s="8" t="s">
        <v>25</v>
      </c>
      <c r="N812" s="8" t="s">
        <v>58</v>
      </c>
      <c r="O812" s="8" t="s">
        <v>59</v>
      </c>
      <c r="P812" s="8" t="s">
        <v>59</v>
      </c>
      <c r="R812" s="8">
        <v>0</v>
      </c>
      <c r="S812" s="8">
        <v>0</v>
      </c>
      <c r="T812" s="8">
        <v>1</v>
      </c>
      <c r="U812" s="8">
        <v>2</v>
      </c>
      <c r="X812" s="8">
        <v>5</v>
      </c>
      <c r="AG812" s="8" t="str">
        <f t="shared" si="49"/>
        <v/>
      </c>
      <c r="AI812" s="8" t="str">
        <f t="shared" si="50"/>
        <v/>
      </c>
      <c r="AJ812" s="8" t="str">
        <f t="shared" si="51"/>
        <v/>
      </c>
      <c r="AL812" s="8" t="str">
        <f t="shared" si="52"/>
        <v/>
      </c>
    </row>
    <row r="813" spans="1:38" x14ac:dyDescent="0.25">
      <c r="A813" s="8" t="s">
        <v>1934</v>
      </c>
      <c r="B813" s="8" t="s">
        <v>1935</v>
      </c>
      <c r="C813" s="8">
        <v>30830891</v>
      </c>
      <c r="D813" s="8">
        <v>5</v>
      </c>
      <c r="E813" s="11">
        <v>43109</v>
      </c>
      <c r="F813" s="8" t="s">
        <v>58</v>
      </c>
      <c r="G813" s="11">
        <v>43110</v>
      </c>
      <c r="H813" s="8" t="s">
        <v>25</v>
      </c>
      <c r="I813" s="11">
        <v>43110</v>
      </c>
      <c r="J813" s="8" t="s">
        <v>25</v>
      </c>
      <c r="N813" s="8" t="s">
        <v>58</v>
      </c>
      <c r="O813" s="8" t="s">
        <v>59</v>
      </c>
      <c r="P813" s="8" t="s">
        <v>59</v>
      </c>
      <c r="R813" s="8">
        <v>0</v>
      </c>
      <c r="S813" s="8">
        <v>0</v>
      </c>
      <c r="T813" s="8">
        <v>1</v>
      </c>
      <c r="U813" s="8">
        <v>2</v>
      </c>
      <c r="X813" s="8">
        <v>5</v>
      </c>
      <c r="AG813" s="8" t="str">
        <f t="shared" si="49"/>
        <v/>
      </c>
      <c r="AI813" s="8" t="str">
        <f t="shared" si="50"/>
        <v/>
      </c>
      <c r="AJ813" s="8" t="str">
        <f t="shared" si="51"/>
        <v/>
      </c>
      <c r="AL813" s="8" t="str">
        <f t="shared" si="52"/>
        <v/>
      </c>
    </row>
    <row r="814" spans="1:38" x14ac:dyDescent="0.25">
      <c r="A814" s="8" t="s">
        <v>1004</v>
      </c>
      <c r="B814" s="8" t="s">
        <v>1005</v>
      </c>
      <c r="C814" s="8">
        <v>30832422</v>
      </c>
      <c r="D814" s="8">
        <v>5</v>
      </c>
      <c r="E814" s="11">
        <v>43109</v>
      </c>
      <c r="F814" s="8" t="s">
        <v>58</v>
      </c>
      <c r="G814" s="11">
        <v>43109</v>
      </c>
      <c r="H814" s="8" t="s">
        <v>25</v>
      </c>
      <c r="I814" s="11">
        <v>43109</v>
      </c>
      <c r="J814" s="8" t="s">
        <v>25</v>
      </c>
      <c r="N814" s="8" t="s">
        <v>58</v>
      </c>
      <c r="O814" s="8" t="s">
        <v>59</v>
      </c>
      <c r="P814" s="8" t="s">
        <v>59</v>
      </c>
      <c r="R814" s="8">
        <v>0</v>
      </c>
      <c r="S814" s="8">
        <v>0</v>
      </c>
      <c r="T814" s="8">
        <v>1</v>
      </c>
      <c r="U814" s="8">
        <v>2</v>
      </c>
      <c r="X814" s="8">
        <v>5</v>
      </c>
      <c r="AG814" s="8" t="str">
        <f t="shared" si="49"/>
        <v/>
      </c>
      <c r="AI814" s="8" t="str">
        <f t="shared" si="50"/>
        <v/>
      </c>
      <c r="AJ814" s="8" t="str">
        <f t="shared" si="51"/>
        <v/>
      </c>
      <c r="AL814" s="8" t="str">
        <f t="shared" si="52"/>
        <v/>
      </c>
    </row>
    <row r="815" spans="1:38" x14ac:dyDescent="0.25">
      <c r="A815" s="8" t="s">
        <v>5008</v>
      </c>
      <c r="B815" s="8" t="s">
        <v>5009</v>
      </c>
      <c r="C815" s="8">
        <v>30902553</v>
      </c>
      <c r="D815" s="8">
        <v>3</v>
      </c>
      <c r="E815" s="11">
        <v>43111</v>
      </c>
      <c r="F815" s="8" t="s">
        <v>57</v>
      </c>
      <c r="G815" s="11">
        <v>43112</v>
      </c>
      <c r="H815" s="8" t="s">
        <v>25</v>
      </c>
      <c r="J815" s="8" t="s">
        <v>25</v>
      </c>
      <c r="N815" s="8" t="s">
        <v>58</v>
      </c>
      <c r="O815" s="8" t="s">
        <v>59</v>
      </c>
      <c r="P815" s="8" t="s">
        <v>59</v>
      </c>
      <c r="R815" s="8">
        <v>0</v>
      </c>
      <c r="S815" s="8">
        <v>0</v>
      </c>
      <c r="T815" s="8">
        <v>1</v>
      </c>
      <c r="U815" s="8">
        <v>2</v>
      </c>
      <c r="AG815" s="8" t="str">
        <f t="shared" si="49"/>
        <v/>
      </c>
      <c r="AI815" s="8" t="str">
        <f t="shared" si="50"/>
        <v/>
      </c>
      <c r="AJ815" s="8" t="str">
        <f t="shared" si="51"/>
        <v/>
      </c>
      <c r="AL815" s="8" t="str">
        <f t="shared" si="52"/>
        <v/>
      </c>
    </row>
    <row r="816" spans="1:38" x14ac:dyDescent="0.25">
      <c r="A816" s="8" t="s">
        <v>1936</v>
      </c>
      <c r="B816" s="8" t="s">
        <v>1937</v>
      </c>
      <c r="C816" s="8">
        <v>30844636</v>
      </c>
      <c r="D816" s="8">
        <v>5</v>
      </c>
      <c r="E816" s="11">
        <v>43109</v>
      </c>
      <c r="F816" s="8" t="s">
        <v>57</v>
      </c>
      <c r="G816" s="11">
        <v>43110</v>
      </c>
      <c r="H816" s="8" t="s">
        <v>25</v>
      </c>
      <c r="J816" s="8" t="s">
        <v>25</v>
      </c>
      <c r="N816" s="8" t="s">
        <v>58</v>
      </c>
      <c r="O816" s="8" t="s">
        <v>59</v>
      </c>
      <c r="P816" s="8" t="s">
        <v>59</v>
      </c>
      <c r="R816" s="8">
        <v>0</v>
      </c>
      <c r="S816" s="8">
        <v>0</v>
      </c>
      <c r="T816" s="8">
        <v>1</v>
      </c>
      <c r="U816" s="8">
        <v>2</v>
      </c>
      <c r="AG816" s="8" t="str">
        <f t="shared" si="49"/>
        <v/>
      </c>
      <c r="AI816" s="8" t="str">
        <f t="shared" si="50"/>
        <v/>
      </c>
      <c r="AJ816" s="8" t="str">
        <f t="shared" si="51"/>
        <v/>
      </c>
      <c r="AL816" s="8" t="str">
        <f t="shared" si="52"/>
        <v/>
      </c>
    </row>
    <row r="817" spans="1:38" x14ac:dyDescent="0.25">
      <c r="A817" s="8" t="s">
        <v>3512</v>
      </c>
      <c r="B817" s="8" t="s">
        <v>3513</v>
      </c>
      <c r="C817" s="8">
        <v>30903031</v>
      </c>
      <c r="D817" s="8">
        <v>5</v>
      </c>
      <c r="E817" s="11">
        <v>43111</v>
      </c>
      <c r="F817" s="8" t="s">
        <v>58</v>
      </c>
      <c r="G817" s="11">
        <v>43111</v>
      </c>
      <c r="H817" s="8" t="s">
        <v>25</v>
      </c>
      <c r="I817" s="11">
        <v>43111</v>
      </c>
      <c r="J817" s="8" t="s">
        <v>25</v>
      </c>
      <c r="N817" s="8" t="s">
        <v>58</v>
      </c>
      <c r="O817" s="8" t="s">
        <v>59</v>
      </c>
      <c r="P817" s="8" t="s">
        <v>59</v>
      </c>
      <c r="R817" s="8">
        <v>0</v>
      </c>
      <c r="S817" s="8">
        <v>0</v>
      </c>
      <c r="T817" s="8">
        <v>1</v>
      </c>
      <c r="U817" s="8">
        <v>2</v>
      </c>
      <c r="X817" s="8">
        <v>5</v>
      </c>
      <c r="AG817" s="8" t="str">
        <f t="shared" si="49"/>
        <v/>
      </c>
      <c r="AI817" s="8" t="str">
        <f t="shared" si="50"/>
        <v/>
      </c>
      <c r="AJ817" s="8" t="str">
        <f t="shared" si="51"/>
        <v/>
      </c>
      <c r="AL817" s="8" t="str">
        <f t="shared" si="52"/>
        <v/>
      </c>
    </row>
    <row r="818" spans="1:38" x14ac:dyDescent="0.25">
      <c r="A818" s="8" t="s">
        <v>280</v>
      </c>
      <c r="B818" s="8" t="s">
        <v>281</v>
      </c>
      <c r="C818" s="8">
        <v>30818319</v>
      </c>
      <c r="D818" s="8">
        <v>5</v>
      </c>
      <c r="E818" s="11">
        <v>43108</v>
      </c>
      <c r="F818" s="8" t="s">
        <v>57</v>
      </c>
      <c r="G818" s="11">
        <v>43108</v>
      </c>
      <c r="H818" s="8" t="s">
        <v>25</v>
      </c>
      <c r="J818" s="8" t="s">
        <v>25</v>
      </c>
      <c r="N818" s="8" t="s">
        <v>58</v>
      </c>
      <c r="O818" s="8" t="s">
        <v>59</v>
      </c>
      <c r="P818" s="8" t="s">
        <v>59</v>
      </c>
      <c r="R818" s="8">
        <v>0</v>
      </c>
      <c r="S818" s="8">
        <v>0</v>
      </c>
      <c r="T818" s="8">
        <v>1</v>
      </c>
      <c r="U818" s="8">
        <v>2</v>
      </c>
      <c r="AG818" s="8" t="str">
        <f t="shared" si="49"/>
        <v/>
      </c>
      <c r="AI818" s="8" t="str">
        <f t="shared" si="50"/>
        <v/>
      </c>
      <c r="AJ818" s="8" t="str">
        <f t="shared" si="51"/>
        <v/>
      </c>
      <c r="AL818" s="8" t="str">
        <f t="shared" si="52"/>
        <v/>
      </c>
    </row>
    <row r="819" spans="1:38" x14ac:dyDescent="0.25">
      <c r="A819" s="8" t="s">
        <v>5010</v>
      </c>
      <c r="B819" s="8" t="s">
        <v>5011</v>
      </c>
      <c r="C819" s="8">
        <v>30876787</v>
      </c>
      <c r="D819" s="8">
        <v>5</v>
      </c>
      <c r="E819" s="11">
        <v>43110</v>
      </c>
      <c r="F819" s="8" t="s">
        <v>57</v>
      </c>
      <c r="G819" s="11">
        <v>43112</v>
      </c>
      <c r="H819" s="8" t="s">
        <v>25</v>
      </c>
      <c r="J819" s="8" t="s">
        <v>25</v>
      </c>
      <c r="N819" s="8" t="s">
        <v>58</v>
      </c>
      <c r="O819" s="8" t="s">
        <v>59</v>
      </c>
      <c r="P819" s="8" t="s">
        <v>59</v>
      </c>
      <c r="R819" s="8">
        <v>0</v>
      </c>
      <c r="S819" s="8">
        <v>0</v>
      </c>
      <c r="T819" s="8">
        <v>1</v>
      </c>
      <c r="U819" s="8">
        <v>2</v>
      </c>
      <c r="AG819" s="8" t="str">
        <f t="shared" si="49"/>
        <v/>
      </c>
      <c r="AI819" s="8" t="str">
        <f t="shared" si="50"/>
        <v/>
      </c>
      <c r="AJ819" s="8" t="str">
        <f t="shared" si="51"/>
        <v/>
      </c>
      <c r="AL819" s="8" t="str">
        <f t="shared" si="52"/>
        <v/>
      </c>
    </row>
    <row r="820" spans="1:38" x14ac:dyDescent="0.25">
      <c r="A820" s="8" t="s">
        <v>1006</v>
      </c>
      <c r="B820" s="8" t="s">
        <v>1007</v>
      </c>
      <c r="C820" s="8">
        <v>30834236</v>
      </c>
      <c r="D820" s="8">
        <v>5</v>
      </c>
      <c r="E820" s="11">
        <v>43109</v>
      </c>
      <c r="F820" s="8" t="s">
        <v>58</v>
      </c>
      <c r="G820" s="11">
        <v>43109</v>
      </c>
      <c r="H820" s="8" t="s">
        <v>25</v>
      </c>
      <c r="I820" s="11">
        <v>43112</v>
      </c>
      <c r="J820" s="8" t="s">
        <v>25</v>
      </c>
      <c r="N820" s="8" t="s">
        <v>58</v>
      </c>
      <c r="O820" s="8" t="s">
        <v>59</v>
      </c>
      <c r="P820" s="8" t="s">
        <v>59</v>
      </c>
      <c r="R820" s="8">
        <v>0</v>
      </c>
      <c r="S820" s="8">
        <v>0</v>
      </c>
      <c r="T820" s="8">
        <v>1</v>
      </c>
      <c r="U820" s="8">
        <v>2</v>
      </c>
      <c r="X820" s="8">
        <v>5</v>
      </c>
      <c r="AG820" s="8" t="str">
        <f t="shared" si="49"/>
        <v/>
      </c>
      <c r="AI820" s="8" t="str">
        <f t="shared" si="50"/>
        <v/>
      </c>
      <c r="AJ820" s="8" t="str">
        <f t="shared" si="51"/>
        <v/>
      </c>
      <c r="AL820" s="8" t="str">
        <f t="shared" si="52"/>
        <v/>
      </c>
    </row>
    <row r="821" spans="1:38" x14ac:dyDescent="0.25">
      <c r="A821" s="8" t="s">
        <v>282</v>
      </c>
      <c r="B821" s="8" t="s">
        <v>283</v>
      </c>
      <c r="C821" s="8">
        <v>30812278</v>
      </c>
      <c r="D821" s="8">
        <v>5</v>
      </c>
      <c r="E821" s="11">
        <v>43108</v>
      </c>
      <c r="F821" s="8" t="s">
        <v>58</v>
      </c>
      <c r="G821" s="11">
        <v>43108</v>
      </c>
      <c r="H821" s="8" t="s">
        <v>25</v>
      </c>
      <c r="I821" s="11">
        <v>43110</v>
      </c>
      <c r="J821" s="8" t="s">
        <v>25</v>
      </c>
      <c r="N821" s="8" t="s">
        <v>58</v>
      </c>
      <c r="O821" s="8" t="s">
        <v>59</v>
      </c>
      <c r="P821" s="8" t="s">
        <v>59</v>
      </c>
      <c r="R821" s="8">
        <v>0</v>
      </c>
      <c r="S821" s="8">
        <v>0</v>
      </c>
      <c r="T821" s="8">
        <v>1</v>
      </c>
      <c r="U821" s="8">
        <v>2</v>
      </c>
      <c r="X821" s="8">
        <v>5</v>
      </c>
      <c r="AG821" s="8" t="str">
        <f t="shared" si="49"/>
        <v/>
      </c>
      <c r="AI821" s="8" t="str">
        <f t="shared" si="50"/>
        <v/>
      </c>
      <c r="AJ821" s="8" t="str">
        <f t="shared" si="51"/>
        <v/>
      </c>
      <c r="AL821" s="8" t="str">
        <f t="shared" si="52"/>
        <v/>
      </c>
    </row>
    <row r="822" spans="1:38" x14ac:dyDescent="0.25">
      <c r="A822" s="8" t="s">
        <v>5012</v>
      </c>
      <c r="B822" s="8" t="s">
        <v>5013</v>
      </c>
      <c r="C822" s="8">
        <v>30916183</v>
      </c>
      <c r="D822" s="8">
        <v>5</v>
      </c>
      <c r="E822" s="11">
        <v>43112</v>
      </c>
      <c r="F822" s="8" t="s">
        <v>58</v>
      </c>
      <c r="G822" s="11">
        <v>43112</v>
      </c>
      <c r="H822" s="8" t="s">
        <v>25</v>
      </c>
      <c r="I822" s="11">
        <v>43112</v>
      </c>
      <c r="J822" s="8" t="s">
        <v>25</v>
      </c>
      <c r="N822" s="8" t="s">
        <v>58</v>
      </c>
      <c r="O822" s="8" t="s">
        <v>59</v>
      </c>
      <c r="P822" s="8" t="s">
        <v>59</v>
      </c>
      <c r="R822" s="8">
        <v>0</v>
      </c>
      <c r="S822" s="8">
        <v>0</v>
      </c>
      <c r="T822" s="8">
        <v>1</v>
      </c>
      <c r="U822" s="8">
        <v>2</v>
      </c>
      <c r="X822" s="8">
        <v>5</v>
      </c>
      <c r="AG822" s="8" t="str">
        <f t="shared" si="49"/>
        <v/>
      </c>
      <c r="AI822" s="8" t="str">
        <f t="shared" si="50"/>
        <v/>
      </c>
      <c r="AJ822" s="8" t="str">
        <f t="shared" si="51"/>
        <v/>
      </c>
      <c r="AL822" s="8" t="str">
        <f t="shared" si="52"/>
        <v/>
      </c>
    </row>
    <row r="823" spans="1:38" x14ac:dyDescent="0.25">
      <c r="A823" s="8" t="s">
        <v>6912</v>
      </c>
      <c r="B823" s="8" t="s">
        <v>6913</v>
      </c>
      <c r="C823" s="8">
        <v>30924577</v>
      </c>
      <c r="D823" s="8">
        <v>5</v>
      </c>
      <c r="E823" s="11">
        <v>43112</v>
      </c>
      <c r="F823" s="8" t="s">
        <v>57</v>
      </c>
      <c r="G823" s="11">
        <v>43115</v>
      </c>
      <c r="H823" s="8" t="s">
        <v>25</v>
      </c>
      <c r="J823" s="8" t="s">
        <v>25</v>
      </c>
      <c r="N823" s="8" t="s">
        <v>58</v>
      </c>
      <c r="O823" s="8" t="s">
        <v>59</v>
      </c>
      <c r="P823" s="8" t="s">
        <v>59</v>
      </c>
      <c r="R823" s="8">
        <v>0</v>
      </c>
      <c r="S823" s="8">
        <v>0</v>
      </c>
      <c r="T823" s="8">
        <v>1</v>
      </c>
      <c r="U823" s="8">
        <v>2</v>
      </c>
      <c r="AG823" s="8" t="str">
        <f t="shared" si="49"/>
        <v/>
      </c>
      <c r="AI823" s="8" t="str">
        <f t="shared" si="50"/>
        <v/>
      </c>
      <c r="AJ823" s="8" t="str">
        <f t="shared" si="51"/>
        <v/>
      </c>
      <c r="AL823" s="8" t="str">
        <f t="shared" si="52"/>
        <v/>
      </c>
    </row>
    <row r="824" spans="1:38" x14ac:dyDescent="0.25">
      <c r="A824" s="8" t="s">
        <v>284</v>
      </c>
      <c r="B824" s="8" t="s">
        <v>285</v>
      </c>
      <c r="C824" s="8">
        <v>30817973</v>
      </c>
      <c r="D824" s="8">
        <v>5</v>
      </c>
      <c r="E824" s="11">
        <v>43108</v>
      </c>
      <c r="F824" s="8" t="s">
        <v>58</v>
      </c>
      <c r="G824" s="11">
        <v>43108</v>
      </c>
      <c r="H824" s="8" t="s">
        <v>25</v>
      </c>
      <c r="I824" s="11">
        <v>43111</v>
      </c>
      <c r="J824" s="8" t="s">
        <v>25</v>
      </c>
      <c r="N824" s="8" t="s">
        <v>58</v>
      </c>
      <c r="O824" s="8" t="s">
        <v>59</v>
      </c>
      <c r="P824" s="8" t="s">
        <v>59</v>
      </c>
      <c r="R824" s="8">
        <v>0</v>
      </c>
      <c r="S824" s="8">
        <v>0</v>
      </c>
      <c r="T824" s="8">
        <v>1</v>
      </c>
      <c r="U824" s="8">
        <v>2</v>
      </c>
      <c r="X824" s="8">
        <v>5</v>
      </c>
      <c r="AG824" s="8" t="str">
        <f t="shared" si="49"/>
        <v/>
      </c>
      <c r="AI824" s="8" t="str">
        <f t="shared" si="50"/>
        <v/>
      </c>
      <c r="AJ824" s="8" t="str">
        <f t="shared" si="51"/>
        <v/>
      </c>
      <c r="AL824" s="8" t="str">
        <f t="shared" si="52"/>
        <v/>
      </c>
    </row>
    <row r="825" spans="1:38" x14ac:dyDescent="0.25">
      <c r="A825" s="8" t="s">
        <v>5014</v>
      </c>
      <c r="B825" s="8" t="s">
        <v>5015</v>
      </c>
      <c r="C825" s="8">
        <v>30912684</v>
      </c>
      <c r="D825" s="8">
        <v>5</v>
      </c>
      <c r="E825" s="11">
        <v>43112</v>
      </c>
      <c r="F825" s="8" t="s">
        <v>60</v>
      </c>
      <c r="G825" s="11">
        <v>43112</v>
      </c>
      <c r="H825" s="8" t="s">
        <v>25</v>
      </c>
      <c r="J825" s="8" t="s">
        <v>25</v>
      </c>
      <c r="L825" s="8" t="s">
        <v>6525</v>
      </c>
      <c r="N825" s="8" t="s">
        <v>58</v>
      </c>
      <c r="O825" s="8" t="s">
        <v>59</v>
      </c>
      <c r="P825" s="8" t="s">
        <v>59</v>
      </c>
      <c r="R825" s="8">
        <v>0</v>
      </c>
      <c r="S825" s="8">
        <v>0</v>
      </c>
      <c r="T825" s="8">
        <v>1</v>
      </c>
      <c r="U825" s="8">
        <v>2</v>
      </c>
      <c r="W825" s="8">
        <v>4</v>
      </c>
      <c r="AG825" s="8" t="str">
        <f t="shared" si="49"/>
        <v/>
      </c>
      <c r="AI825" s="8" t="str">
        <f t="shared" si="50"/>
        <v/>
      </c>
      <c r="AJ825" s="8" t="str">
        <f t="shared" si="51"/>
        <v/>
      </c>
      <c r="AL825" s="8" t="str">
        <f t="shared" si="52"/>
        <v/>
      </c>
    </row>
    <row r="826" spans="1:38" x14ac:dyDescent="0.25">
      <c r="A826" s="8" t="s">
        <v>6914</v>
      </c>
      <c r="B826" s="8" t="s">
        <v>6915</v>
      </c>
      <c r="C826" s="8">
        <v>30931618</v>
      </c>
      <c r="D826" s="8">
        <v>5</v>
      </c>
      <c r="E826" s="11">
        <v>43115</v>
      </c>
      <c r="F826" s="8" t="s">
        <v>57</v>
      </c>
      <c r="G826" s="11">
        <v>43115</v>
      </c>
      <c r="H826" s="8" t="s">
        <v>25</v>
      </c>
      <c r="J826" s="8" t="s">
        <v>25</v>
      </c>
      <c r="N826" s="8" t="s">
        <v>58</v>
      </c>
      <c r="O826" s="8" t="s">
        <v>59</v>
      </c>
      <c r="P826" s="8" t="s">
        <v>59</v>
      </c>
      <c r="R826" s="8">
        <v>0</v>
      </c>
      <c r="S826" s="8">
        <v>0</v>
      </c>
      <c r="T826" s="8">
        <v>1</v>
      </c>
      <c r="U826" s="8">
        <v>2</v>
      </c>
      <c r="AG826" s="8" t="str">
        <f t="shared" si="49"/>
        <v/>
      </c>
      <c r="AI826" s="8" t="str">
        <f t="shared" si="50"/>
        <v/>
      </c>
      <c r="AJ826" s="8" t="str">
        <f t="shared" si="51"/>
        <v/>
      </c>
      <c r="AL826" s="8" t="str">
        <f t="shared" si="52"/>
        <v/>
      </c>
    </row>
    <row r="827" spans="1:38" x14ac:dyDescent="0.25">
      <c r="A827" s="8" t="s">
        <v>1938</v>
      </c>
      <c r="B827" s="8" t="s">
        <v>1939</v>
      </c>
      <c r="C827" s="8">
        <v>30821443</v>
      </c>
      <c r="D827" s="8">
        <v>5</v>
      </c>
      <c r="E827" s="11">
        <v>43108</v>
      </c>
      <c r="F827" s="8" t="s">
        <v>58</v>
      </c>
      <c r="G827" s="11">
        <v>43110</v>
      </c>
      <c r="H827" s="8" t="s">
        <v>25</v>
      </c>
      <c r="I827" s="11">
        <v>43112</v>
      </c>
      <c r="J827" s="8" t="s">
        <v>25</v>
      </c>
      <c r="N827" s="8" t="s">
        <v>58</v>
      </c>
      <c r="O827" s="8" t="s">
        <v>59</v>
      </c>
      <c r="P827" s="8" t="s">
        <v>59</v>
      </c>
      <c r="R827" s="8">
        <v>0</v>
      </c>
      <c r="S827" s="8">
        <v>0</v>
      </c>
      <c r="T827" s="8">
        <v>1</v>
      </c>
      <c r="U827" s="8">
        <v>2</v>
      </c>
      <c r="X827" s="8">
        <v>5</v>
      </c>
      <c r="AG827" s="8" t="str">
        <f t="shared" si="49"/>
        <v/>
      </c>
      <c r="AI827" s="8" t="str">
        <f t="shared" si="50"/>
        <v/>
      </c>
      <c r="AJ827" s="8" t="str">
        <f t="shared" si="51"/>
        <v/>
      </c>
      <c r="AL827" s="8" t="str">
        <f t="shared" si="52"/>
        <v/>
      </c>
    </row>
    <row r="828" spans="1:38" x14ac:dyDescent="0.25">
      <c r="A828" s="8" t="s">
        <v>6916</v>
      </c>
      <c r="B828" s="8" t="s">
        <v>6917</v>
      </c>
      <c r="C828" s="8">
        <v>30936689</v>
      </c>
      <c r="D828" s="8">
        <v>5</v>
      </c>
      <c r="E828" s="11">
        <v>43115</v>
      </c>
      <c r="F828" s="8" t="s">
        <v>57</v>
      </c>
      <c r="G828" s="11">
        <v>43115</v>
      </c>
      <c r="H828" s="8" t="s">
        <v>25</v>
      </c>
      <c r="J828" s="8" t="s">
        <v>25</v>
      </c>
      <c r="N828" s="8" t="s">
        <v>58</v>
      </c>
      <c r="O828" s="8" t="s">
        <v>59</v>
      </c>
      <c r="P828" s="8" t="s">
        <v>59</v>
      </c>
      <c r="R828" s="8">
        <v>0</v>
      </c>
      <c r="S828" s="8">
        <v>0</v>
      </c>
      <c r="T828" s="8">
        <v>1</v>
      </c>
      <c r="U828" s="8">
        <v>2</v>
      </c>
      <c r="AG828" s="8" t="str">
        <f t="shared" si="49"/>
        <v/>
      </c>
      <c r="AI828" s="8" t="str">
        <f t="shared" si="50"/>
        <v/>
      </c>
      <c r="AJ828" s="8" t="str">
        <f t="shared" si="51"/>
        <v/>
      </c>
      <c r="AL828" s="8" t="str">
        <f t="shared" si="52"/>
        <v/>
      </c>
    </row>
    <row r="829" spans="1:38" x14ac:dyDescent="0.25">
      <c r="A829" s="8" t="s">
        <v>5016</v>
      </c>
      <c r="B829" s="8" t="s">
        <v>5017</v>
      </c>
      <c r="C829" s="8">
        <v>30916856</v>
      </c>
      <c r="D829" s="8">
        <v>5</v>
      </c>
      <c r="E829" s="11">
        <v>43112</v>
      </c>
      <c r="F829" s="8" t="s">
        <v>57</v>
      </c>
      <c r="G829" s="11">
        <v>43112</v>
      </c>
      <c r="H829" s="8" t="s">
        <v>25</v>
      </c>
      <c r="J829" s="8" t="s">
        <v>25</v>
      </c>
      <c r="N829" s="8" t="s">
        <v>58</v>
      </c>
      <c r="O829" s="8" t="s">
        <v>59</v>
      </c>
      <c r="P829" s="8" t="s">
        <v>59</v>
      </c>
      <c r="R829" s="8">
        <v>0</v>
      </c>
      <c r="S829" s="8">
        <v>0</v>
      </c>
      <c r="T829" s="8">
        <v>1</v>
      </c>
      <c r="U829" s="8">
        <v>2</v>
      </c>
      <c r="AG829" s="8" t="str">
        <f t="shared" si="49"/>
        <v/>
      </c>
      <c r="AI829" s="8" t="str">
        <f t="shared" si="50"/>
        <v/>
      </c>
      <c r="AJ829" s="8" t="str">
        <f t="shared" si="51"/>
        <v/>
      </c>
      <c r="AL829" s="8" t="str">
        <f t="shared" si="52"/>
        <v/>
      </c>
    </row>
    <row r="830" spans="1:38" x14ac:dyDescent="0.25">
      <c r="A830" s="8" t="s">
        <v>3514</v>
      </c>
      <c r="B830" s="8" t="s">
        <v>3515</v>
      </c>
      <c r="C830" s="8">
        <v>30882678</v>
      </c>
      <c r="D830" s="8">
        <v>5</v>
      </c>
      <c r="E830" s="11">
        <v>43111</v>
      </c>
      <c r="F830" s="8" t="s">
        <v>57</v>
      </c>
      <c r="G830" s="11">
        <v>43111</v>
      </c>
      <c r="H830" s="8" t="s">
        <v>25</v>
      </c>
      <c r="J830" s="8" t="s">
        <v>25</v>
      </c>
      <c r="N830" s="8" t="s">
        <v>58</v>
      </c>
      <c r="O830" s="8" t="s">
        <v>59</v>
      </c>
      <c r="P830" s="8" t="s">
        <v>59</v>
      </c>
      <c r="R830" s="8">
        <v>0</v>
      </c>
      <c r="S830" s="8">
        <v>0</v>
      </c>
      <c r="T830" s="8">
        <v>1</v>
      </c>
      <c r="U830" s="8">
        <v>2</v>
      </c>
      <c r="AG830" s="8" t="str">
        <f t="shared" si="49"/>
        <v/>
      </c>
      <c r="AI830" s="8" t="str">
        <f t="shared" si="50"/>
        <v/>
      </c>
      <c r="AJ830" s="8" t="str">
        <f t="shared" si="51"/>
        <v/>
      </c>
      <c r="AL830" s="8" t="str">
        <f t="shared" si="52"/>
        <v/>
      </c>
    </row>
    <row r="831" spans="1:38" x14ac:dyDescent="0.25">
      <c r="A831" s="8" t="s">
        <v>6918</v>
      </c>
      <c r="B831" s="8" t="s">
        <v>6919</v>
      </c>
      <c r="C831" s="8">
        <v>30942737</v>
      </c>
      <c r="D831" s="8">
        <v>5</v>
      </c>
      <c r="E831" s="11">
        <v>43115</v>
      </c>
      <c r="F831" s="8" t="s">
        <v>58</v>
      </c>
      <c r="G831" s="11">
        <v>43115</v>
      </c>
      <c r="H831" s="8" t="s">
        <v>25</v>
      </c>
      <c r="I831" s="11">
        <v>43115</v>
      </c>
      <c r="J831" s="8" t="s">
        <v>25</v>
      </c>
      <c r="N831" s="8" t="s">
        <v>58</v>
      </c>
      <c r="O831" s="8" t="s">
        <v>59</v>
      </c>
      <c r="P831" s="8" t="s">
        <v>59</v>
      </c>
      <c r="R831" s="8">
        <v>0</v>
      </c>
      <c r="S831" s="8">
        <v>0</v>
      </c>
      <c r="T831" s="8">
        <v>1</v>
      </c>
      <c r="U831" s="8">
        <v>2</v>
      </c>
      <c r="X831" s="8">
        <v>5</v>
      </c>
      <c r="AG831" s="8" t="str">
        <f t="shared" si="49"/>
        <v/>
      </c>
      <c r="AI831" s="8" t="str">
        <f t="shared" si="50"/>
        <v/>
      </c>
      <c r="AJ831" s="8" t="str">
        <f t="shared" si="51"/>
        <v/>
      </c>
      <c r="AL831" s="8" t="str">
        <f t="shared" si="52"/>
        <v/>
      </c>
    </row>
    <row r="832" spans="1:38" x14ac:dyDescent="0.25">
      <c r="A832" s="8" t="s">
        <v>286</v>
      </c>
      <c r="B832" s="8" t="s">
        <v>287</v>
      </c>
      <c r="C832" s="8">
        <v>30809864</v>
      </c>
      <c r="D832" s="8">
        <v>5</v>
      </c>
      <c r="E832" s="11">
        <v>43108</v>
      </c>
      <c r="F832" s="8" t="s">
        <v>58</v>
      </c>
      <c r="G832" s="11">
        <v>43108</v>
      </c>
      <c r="H832" s="8" t="s">
        <v>25</v>
      </c>
      <c r="I832" s="11">
        <v>43108</v>
      </c>
      <c r="J832" s="8" t="s">
        <v>25</v>
      </c>
      <c r="N832" s="8" t="s">
        <v>58</v>
      </c>
      <c r="O832" s="8" t="s">
        <v>59</v>
      </c>
      <c r="P832" s="8" t="s">
        <v>59</v>
      </c>
      <c r="R832" s="8">
        <v>0</v>
      </c>
      <c r="S832" s="8">
        <v>0</v>
      </c>
      <c r="T832" s="8">
        <v>1</v>
      </c>
      <c r="U832" s="8">
        <v>2</v>
      </c>
      <c r="X832" s="8">
        <v>5</v>
      </c>
      <c r="AG832" s="8" t="str">
        <f t="shared" si="49"/>
        <v/>
      </c>
      <c r="AI832" s="8" t="str">
        <f t="shared" si="50"/>
        <v/>
      </c>
      <c r="AJ832" s="8" t="str">
        <f t="shared" si="51"/>
        <v/>
      </c>
      <c r="AL832" s="8" t="str">
        <f t="shared" si="52"/>
        <v/>
      </c>
    </row>
    <row r="833" spans="1:38" x14ac:dyDescent="0.25">
      <c r="A833" s="8" t="s">
        <v>3516</v>
      </c>
      <c r="B833" s="8" t="s">
        <v>3517</v>
      </c>
      <c r="C833" s="8">
        <v>30901359</v>
      </c>
      <c r="D833" s="8">
        <v>5</v>
      </c>
      <c r="E833" s="11">
        <v>43111</v>
      </c>
      <c r="F833" s="8" t="s">
        <v>58</v>
      </c>
      <c r="G833" s="11">
        <v>43111</v>
      </c>
      <c r="H833" s="8" t="s">
        <v>25</v>
      </c>
      <c r="I833" s="11">
        <v>43111</v>
      </c>
      <c r="J833" s="8" t="s">
        <v>25</v>
      </c>
      <c r="N833" s="8" t="s">
        <v>58</v>
      </c>
      <c r="O833" s="8" t="s">
        <v>59</v>
      </c>
      <c r="P833" s="8" t="s">
        <v>59</v>
      </c>
      <c r="R833" s="8">
        <v>0</v>
      </c>
      <c r="S833" s="8">
        <v>0</v>
      </c>
      <c r="T833" s="8">
        <v>1</v>
      </c>
      <c r="U833" s="8">
        <v>2</v>
      </c>
      <c r="X833" s="8">
        <v>5</v>
      </c>
      <c r="AG833" s="8" t="str">
        <f t="shared" si="49"/>
        <v/>
      </c>
      <c r="AI833" s="8" t="str">
        <f t="shared" si="50"/>
        <v/>
      </c>
      <c r="AJ833" s="8" t="str">
        <f t="shared" si="51"/>
        <v/>
      </c>
      <c r="AL833" s="8" t="str">
        <f t="shared" si="52"/>
        <v/>
      </c>
    </row>
    <row r="834" spans="1:38" x14ac:dyDescent="0.25">
      <c r="A834" s="8" t="s">
        <v>6920</v>
      </c>
      <c r="B834" s="8" t="s">
        <v>6921</v>
      </c>
      <c r="C834" s="8">
        <v>30935875</v>
      </c>
      <c r="D834" s="8">
        <v>5</v>
      </c>
      <c r="E834" s="11">
        <v>43115</v>
      </c>
      <c r="F834" s="8" t="s">
        <v>57</v>
      </c>
      <c r="G834" s="11">
        <v>43115</v>
      </c>
      <c r="H834" s="8" t="s">
        <v>25</v>
      </c>
      <c r="J834" s="8" t="s">
        <v>25</v>
      </c>
      <c r="N834" s="8" t="s">
        <v>58</v>
      </c>
      <c r="O834" s="8" t="s">
        <v>59</v>
      </c>
      <c r="P834" s="8" t="s">
        <v>59</v>
      </c>
      <c r="R834" s="8">
        <v>0</v>
      </c>
      <c r="S834" s="8">
        <v>0</v>
      </c>
      <c r="T834" s="8">
        <v>1</v>
      </c>
      <c r="U834" s="8">
        <v>2</v>
      </c>
      <c r="AG834" s="8" t="str">
        <f t="shared" si="49"/>
        <v/>
      </c>
      <c r="AI834" s="8" t="str">
        <f t="shared" si="50"/>
        <v/>
      </c>
      <c r="AJ834" s="8" t="str">
        <f t="shared" si="51"/>
        <v/>
      </c>
      <c r="AL834" s="8" t="str">
        <f t="shared" si="52"/>
        <v/>
      </c>
    </row>
    <row r="835" spans="1:38" x14ac:dyDescent="0.25">
      <c r="A835" s="8" t="s">
        <v>288</v>
      </c>
      <c r="B835" s="8" t="s">
        <v>289</v>
      </c>
      <c r="C835" s="8">
        <v>30810760</v>
      </c>
      <c r="D835" s="8">
        <v>5</v>
      </c>
      <c r="E835" s="11">
        <v>43108</v>
      </c>
      <c r="F835" s="8" t="s">
        <v>58</v>
      </c>
      <c r="G835" s="11">
        <v>43108</v>
      </c>
      <c r="H835" s="8" t="s">
        <v>25</v>
      </c>
      <c r="I835" s="11">
        <v>43108</v>
      </c>
      <c r="J835" s="8" t="s">
        <v>25</v>
      </c>
      <c r="N835" s="8" t="s">
        <v>58</v>
      </c>
      <c r="O835" s="8" t="s">
        <v>59</v>
      </c>
      <c r="P835" s="8" t="s">
        <v>59</v>
      </c>
      <c r="R835" s="8">
        <v>0</v>
      </c>
      <c r="S835" s="8">
        <v>0</v>
      </c>
      <c r="T835" s="8">
        <v>1</v>
      </c>
      <c r="U835" s="8">
        <v>2</v>
      </c>
      <c r="X835" s="8">
        <v>5</v>
      </c>
      <c r="AG835" s="8" t="str">
        <f t="shared" ref="AG835:AG898" si="53">IF(AND(U835="",G835&lt;&gt;"",NOT(OR(R835,S835))),IF(NETWORKDAYS.INTL(G835,TODAY(),11)&lt;5,"En Plazo",IF(NETWORKDAYS.INTL(G835,TODAY(),11)=5,"Riesgo Incumplimiento","FALTA_02")),"")</f>
        <v/>
      </c>
      <c r="AI835" s="8" t="str">
        <f t="shared" ref="AI835:AI898" si="54">IF(AND(O835&lt;&gt;"B1",F835="Rejected"),IF(W835="","FALTA_04",""),"")</f>
        <v/>
      </c>
      <c r="AJ835" s="8" t="str">
        <f t="shared" ref="AJ835:AJ898" si="55">IF(AND(X835="",I835&lt;&gt;"",NOT(OR(R835,S835))),IF(NETWORKDAYS.INTL(G835,TODAY(),11)&lt;=1,"En Plazo",IF(OR(AND(X835="",O835&lt;&gt;"M1"),AND(O835="M1",(OR(Q835="S - S",Q835="S - T",)))),"FALTA_05","")),"")</f>
        <v/>
      </c>
      <c r="AL835" s="8" t="str">
        <f t="shared" ref="AL835:AL898" si="56">IF(AND(O835="B1",F835="Rejected"),IF(Z835="","FALTA_07",""),"")</f>
        <v/>
      </c>
    </row>
    <row r="836" spans="1:38" x14ac:dyDescent="0.25">
      <c r="A836" s="8" t="s">
        <v>5018</v>
      </c>
      <c r="B836" s="8" t="s">
        <v>5019</v>
      </c>
      <c r="C836" s="8">
        <v>30912193</v>
      </c>
      <c r="D836" s="8">
        <v>5</v>
      </c>
      <c r="E836" s="11">
        <v>43112</v>
      </c>
      <c r="F836" s="8" t="s">
        <v>57</v>
      </c>
      <c r="G836" s="11">
        <v>43112</v>
      </c>
      <c r="H836" s="8" t="s">
        <v>25</v>
      </c>
      <c r="J836" s="8" t="s">
        <v>25</v>
      </c>
      <c r="N836" s="8" t="s">
        <v>58</v>
      </c>
      <c r="O836" s="8" t="s">
        <v>59</v>
      </c>
      <c r="P836" s="8" t="s">
        <v>59</v>
      </c>
      <c r="R836" s="8">
        <v>0</v>
      </c>
      <c r="S836" s="8">
        <v>0</v>
      </c>
      <c r="T836" s="8">
        <v>1</v>
      </c>
      <c r="U836" s="8">
        <v>2</v>
      </c>
      <c r="AG836" s="8" t="str">
        <f t="shared" si="53"/>
        <v/>
      </c>
      <c r="AI836" s="8" t="str">
        <f t="shared" si="54"/>
        <v/>
      </c>
      <c r="AJ836" s="8" t="str">
        <f t="shared" si="55"/>
        <v/>
      </c>
      <c r="AL836" s="8" t="str">
        <f t="shared" si="56"/>
        <v/>
      </c>
    </row>
    <row r="837" spans="1:38" x14ac:dyDescent="0.25">
      <c r="A837" s="8" t="s">
        <v>290</v>
      </c>
      <c r="B837" s="8" t="s">
        <v>291</v>
      </c>
      <c r="C837" s="8">
        <v>30827499</v>
      </c>
      <c r="D837" s="8">
        <v>5</v>
      </c>
      <c r="E837" s="11">
        <v>43108</v>
      </c>
      <c r="F837" s="8" t="s">
        <v>58</v>
      </c>
      <c r="G837" s="11">
        <v>43108</v>
      </c>
      <c r="H837" s="8" t="s">
        <v>25</v>
      </c>
      <c r="I837" s="11">
        <v>43110</v>
      </c>
      <c r="J837" s="8" t="s">
        <v>25</v>
      </c>
      <c r="N837" s="8" t="s">
        <v>58</v>
      </c>
      <c r="O837" s="8" t="s">
        <v>59</v>
      </c>
      <c r="P837" s="8" t="s">
        <v>59</v>
      </c>
      <c r="R837" s="8">
        <v>0</v>
      </c>
      <c r="S837" s="8">
        <v>0</v>
      </c>
      <c r="T837" s="8">
        <v>1</v>
      </c>
      <c r="U837" s="8">
        <v>2</v>
      </c>
      <c r="X837" s="8">
        <v>5</v>
      </c>
      <c r="AG837" s="8" t="str">
        <f t="shared" si="53"/>
        <v/>
      </c>
      <c r="AI837" s="8" t="str">
        <f t="shared" si="54"/>
        <v/>
      </c>
      <c r="AJ837" s="8" t="str">
        <f t="shared" si="55"/>
        <v/>
      </c>
      <c r="AL837" s="8" t="str">
        <f t="shared" si="56"/>
        <v/>
      </c>
    </row>
    <row r="838" spans="1:38" x14ac:dyDescent="0.25">
      <c r="A838" s="8" t="s">
        <v>3518</v>
      </c>
      <c r="B838" s="8" t="s">
        <v>3519</v>
      </c>
      <c r="C838" s="8">
        <v>30898550</v>
      </c>
      <c r="D838" s="8">
        <v>5</v>
      </c>
      <c r="E838" s="11">
        <v>43111</v>
      </c>
      <c r="F838" s="8" t="s">
        <v>57</v>
      </c>
      <c r="G838" s="11">
        <v>43111</v>
      </c>
      <c r="H838" s="8" t="s">
        <v>25</v>
      </c>
      <c r="J838" s="8" t="s">
        <v>25</v>
      </c>
      <c r="N838" s="8" t="s">
        <v>58</v>
      </c>
      <c r="O838" s="8" t="s">
        <v>59</v>
      </c>
      <c r="P838" s="8" t="s">
        <v>59</v>
      </c>
      <c r="R838" s="8">
        <v>0</v>
      </c>
      <c r="S838" s="8">
        <v>0</v>
      </c>
      <c r="T838" s="8">
        <v>1</v>
      </c>
      <c r="U838" s="8">
        <v>2</v>
      </c>
      <c r="AG838" s="8" t="str">
        <f t="shared" si="53"/>
        <v/>
      </c>
      <c r="AI838" s="8" t="str">
        <f t="shared" si="54"/>
        <v/>
      </c>
      <c r="AJ838" s="8" t="str">
        <f t="shared" si="55"/>
        <v/>
      </c>
      <c r="AL838" s="8" t="str">
        <f t="shared" si="56"/>
        <v/>
      </c>
    </row>
    <row r="839" spans="1:38" x14ac:dyDescent="0.25">
      <c r="A839" s="8" t="s">
        <v>292</v>
      </c>
      <c r="B839" s="8" t="s">
        <v>293</v>
      </c>
      <c r="C839" s="8">
        <v>30819213</v>
      </c>
      <c r="D839" s="8">
        <v>5</v>
      </c>
      <c r="E839" s="11">
        <v>43108</v>
      </c>
      <c r="F839" s="8" t="s">
        <v>58</v>
      </c>
      <c r="G839" s="11">
        <v>43108</v>
      </c>
      <c r="H839" s="8" t="s">
        <v>25</v>
      </c>
      <c r="I839" s="11">
        <v>43108</v>
      </c>
      <c r="J839" s="8" t="s">
        <v>25</v>
      </c>
      <c r="N839" s="8" t="s">
        <v>58</v>
      </c>
      <c r="O839" s="8" t="s">
        <v>59</v>
      </c>
      <c r="P839" s="8" t="s">
        <v>59</v>
      </c>
      <c r="R839" s="8">
        <v>0</v>
      </c>
      <c r="S839" s="8">
        <v>0</v>
      </c>
      <c r="T839" s="8">
        <v>1</v>
      </c>
      <c r="U839" s="8">
        <v>2</v>
      </c>
      <c r="X839" s="8">
        <v>5</v>
      </c>
      <c r="AG839" s="8" t="str">
        <f t="shared" si="53"/>
        <v/>
      </c>
      <c r="AI839" s="8" t="str">
        <f t="shared" si="54"/>
        <v/>
      </c>
      <c r="AJ839" s="8" t="str">
        <f t="shared" si="55"/>
        <v/>
      </c>
      <c r="AL839" s="8" t="str">
        <f t="shared" si="56"/>
        <v/>
      </c>
    </row>
    <row r="840" spans="1:38" x14ac:dyDescent="0.25">
      <c r="A840" s="8" t="s">
        <v>5020</v>
      </c>
      <c r="B840" s="8" t="s">
        <v>5021</v>
      </c>
      <c r="C840" s="8">
        <v>30914428</v>
      </c>
      <c r="D840" s="8">
        <v>5</v>
      </c>
      <c r="E840" s="11">
        <v>43112</v>
      </c>
      <c r="F840" s="8" t="s">
        <v>58</v>
      </c>
      <c r="G840" s="11">
        <v>43112</v>
      </c>
      <c r="H840" s="8" t="s">
        <v>25</v>
      </c>
      <c r="I840" s="11">
        <v>43112</v>
      </c>
      <c r="J840" s="8" t="s">
        <v>25</v>
      </c>
      <c r="N840" s="8" t="s">
        <v>58</v>
      </c>
      <c r="O840" s="8" t="s">
        <v>59</v>
      </c>
      <c r="P840" s="8" t="s">
        <v>59</v>
      </c>
      <c r="R840" s="8">
        <v>0</v>
      </c>
      <c r="S840" s="8">
        <v>0</v>
      </c>
      <c r="T840" s="8">
        <v>1</v>
      </c>
      <c r="U840" s="8">
        <v>2</v>
      </c>
      <c r="X840" s="8">
        <v>5</v>
      </c>
      <c r="AG840" s="8" t="str">
        <f t="shared" si="53"/>
        <v/>
      </c>
      <c r="AI840" s="8" t="str">
        <f t="shared" si="54"/>
        <v/>
      </c>
      <c r="AJ840" s="8" t="str">
        <f t="shared" si="55"/>
        <v/>
      </c>
      <c r="AL840" s="8" t="str">
        <f t="shared" si="56"/>
        <v/>
      </c>
    </row>
    <row r="841" spans="1:38" x14ac:dyDescent="0.25">
      <c r="A841" s="8" t="s">
        <v>1940</v>
      </c>
      <c r="B841" s="8" t="s">
        <v>1941</v>
      </c>
      <c r="C841" s="8">
        <v>30858447</v>
      </c>
      <c r="D841" s="8">
        <v>5</v>
      </c>
      <c r="E841" s="11">
        <v>43110</v>
      </c>
      <c r="F841" s="8" t="s">
        <v>58</v>
      </c>
      <c r="G841" s="11">
        <v>43110</v>
      </c>
      <c r="H841" s="8" t="s">
        <v>25</v>
      </c>
      <c r="I841" s="11">
        <v>43110</v>
      </c>
      <c r="J841" s="8" t="s">
        <v>25</v>
      </c>
      <c r="N841" s="8" t="s">
        <v>58</v>
      </c>
      <c r="O841" s="8" t="s">
        <v>59</v>
      </c>
      <c r="P841" s="8" t="s">
        <v>59</v>
      </c>
      <c r="R841" s="8">
        <v>0</v>
      </c>
      <c r="S841" s="8">
        <v>0</v>
      </c>
      <c r="T841" s="8">
        <v>1</v>
      </c>
      <c r="U841" s="8">
        <v>2</v>
      </c>
      <c r="X841" s="8">
        <v>5</v>
      </c>
      <c r="AG841" s="8" t="str">
        <f t="shared" si="53"/>
        <v/>
      </c>
      <c r="AI841" s="8" t="str">
        <f t="shared" si="54"/>
        <v/>
      </c>
      <c r="AJ841" s="8" t="str">
        <f t="shared" si="55"/>
        <v/>
      </c>
      <c r="AL841" s="8" t="str">
        <f t="shared" si="56"/>
        <v/>
      </c>
    </row>
    <row r="842" spans="1:38" x14ac:dyDescent="0.25">
      <c r="A842" s="8" t="s">
        <v>3520</v>
      </c>
      <c r="B842" s="8" t="s">
        <v>3521</v>
      </c>
      <c r="C842" s="8">
        <v>30865283</v>
      </c>
      <c r="D842" s="8">
        <v>5</v>
      </c>
      <c r="E842" s="11">
        <v>43110</v>
      </c>
      <c r="F842" s="8" t="s">
        <v>57</v>
      </c>
      <c r="G842" s="11">
        <v>43111</v>
      </c>
      <c r="H842" s="8" t="s">
        <v>25</v>
      </c>
      <c r="J842" s="8" t="s">
        <v>25</v>
      </c>
      <c r="N842" s="8" t="s">
        <v>58</v>
      </c>
      <c r="O842" s="8" t="s">
        <v>59</v>
      </c>
      <c r="P842" s="8" t="s">
        <v>59</v>
      </c>
      <c r="R842" s="8">
        <v>0</v>
      </c>
      <c r="S842" s="8">
        <v>0</v>
      </c>
      <c r="T842" s="8">
        <v>1</v>
      </c>
      <c r="U842" s="8">
        <v>2</v>
      </c>
      <c r="AG842" s="8" t="str">
        <f t="shared" si="53"/>
        <v/>
      </c>
      <c r="AI842" s="8" t="str">
        <f t="shared" si="54"/>
        <v/>
      </c>
      <c r="AJ842" s="8" t="str">
        <f t="shared" si="55"/>
        <v/>
      </c>
      <c r="AL842" s="8" t="str">
        <f t="shared" si="56"/>
        <v/>
      </c>
    </row>
    <row r="843" spans="1:38" x14ac:dyDescent="0.25">
      <c r="A843" s="8" t="s">
        <v>3522</v>
      </c>
      <c r="B843" s="8" t="s">
        <v>3523</v>
      </c>
      <c r="C843" s="8">
        <v>30902628</v>
      </c>
      <c r="D843" s="8">
        <v>5</v>
      </c>
      <c r="E843" s="11">
        <v>43111</v>
      </c>
      <c r="F843" s="8" t="s">
        <v>57</v>
      </c>
      <c r="G843" s="11">
        <v>43111</v>
      </c>
      <c r="H843" s="8" t="s">
        <v>25</v>
      </c>
      <c r="J843" s="8" t="s">
        <v>25</v>
      </c>
      <c r="N843" s="8" t="s">
        <v>58</v>
      </c>
      <c r="O843" s="8" t="s">
        <v>59</v>
      </c>
      <c r="P843" s="8" t="s">
        <v>59</v>
      </c>
      <c r="R843" s="8">
        <v>0</v>
      </c>
      <c r="S843" s="8">
        <v>0</v>
      </c>
      <c r="T843" s="8">
        <v>1</v>
      </c>
      <c r="U843" s="8">
        <v>2</v>
      </c>
      <c r="AG843" s="8" t="str">
        <f t="shared" si="53"/>
        <v/>
      </c>
      <c r="AI843" s="8" t="str">
        <f t="shared" si="54"/>
        <v/>
      </c>
      <c r="AJ843" s="8" t="str">
        <f t="shared" si="55"/>
        <v/>
      </c>
      <c r="AL843" s="8" t="str">
        <f t="shared" si="56"/>
        <v/>
      </c>
    </row>
    <row r="844" spans="1:38" x14ac:dyDescent="0.25">
      <c r="A844" s="8" t="s">
        <v>294</v>
      </c>
      <c r="B844" s="8" t="s">
        <v>295</v>
      </c>
      <c r="C844" s="8">
        <v>30816880</v>
      </c>
      <c r="D844" s="8">
        <v>5</v>
      </c>
      <c r="E844" s="11">
        <v>43108</v>
      </c>
      <c r="F844" s="8" t="s">
        <v>58</v>
      </c>
      <c r="G844" s="11">
        <v>43108</v>
      </c>
      <c r="H844" s="8" t="s">
        <v>25</v>
      </c>
      <c r="I844" s="11">
        <v>43108</v>
      </c>
      <c r="J844" s="8" t="s">
        <v>25</v>
      </c>
      <c r="N844" s="8" t="s">
        <v>58</v>
      </c>
      <c r="O844" s="8" t="s">
        <v>59</v>
      </c>
      <c r="P844" s="8" t="s">
        <v>59</v>
      </c>
      <c r="R844" s="8">
        <v>0</v>
      </c>
      <c r="S844" s="8">
        <v>0</v>
      </c>
      <c r="T844" s="8">
        <v>1</v>
      </c>
      <c r="U844" s="8">
        <v>2</v>
      </c>
      <c r="X844" s="8">
        <v>5</v>
      </c>
      <c r="AG844" s="8" t="str">
        <f t="shared" si="53"/>
        <v/>
      </c>
      <c r="AI844" s="8" t="str">
        <f t="shared" si="54"/>
        <v/>
      </c>
      <c r="AJ844" s="8" t="str">
        <f t="shared" si="55"/>
        <v/>
      </c>
      <c r="AL844" s="8" t="str">
        <f t="shared" si="56"/>
        <v/>
      </c>
    </row>
    <row r="845" spans="1:38" x14ac:dyDescent="0.25">
      <c r="A845" s="8" t="s">
        <v>6922</v>
      </c>
      <c r="B845" s="8" t="s">
        <v>6923</v>
      </c>
      <c r="C845" s="8">
        <v>30944051</v>
      </c>
      <c r="D845" s="8">
        <v>5</v>
      </c>
      <c r="E845" s="11">
        <v>43115</v>
      </c>
      <c r="F845" s="8" t="s">
        <v>58</v>
      </c>
      <c r="G845" s="11">
        <v>43115</v>
      </c>
      <c r="H845" s="8" t="s">
        <v>25</v>
      </c>
      <c r="I845" s="11">
        <v>43115</v>
      </c>
      <c r="J845" s="8" t="s">
        <v>25</v>
      </c>
      <c r="N845" s="8" t="s">
        <v>58</v>
      </c>
      <c r="O845" s="8" t="s">
        <v>59</v>
      </c>
      <c r="P845" s="8" t="s">
        <v>59</v>
      </c>
      <c r="R845" s="8">
        <v>0</v>
      </c>
      <c r="S845" s="8">
        <v>0</v>
      </c>
      <c r="T845" s="8">
        <v>1</v>
      </c>
      <c r="U845" s="8">
        <v>2</v>
      </c>
      <c r="X845" s="8">
        <v>5</v>
      </c>
      <c r="AG845" s="8" t="str">
        <f t="shared" si="53"/>
        <v/>
      </c>
      <c r="AI845" s="8" t="str">
        <f t="shared" si="54"/>
        <v/>
      </c>
      <c r="AJ845" s="8" t="str">
        <f t="shared" si="55"/>
        <v/>
      </c>
      <c r="AL845" s="8" t="str">
        <f t="shared" si="56"/>
        <v/>
      </c>
    </row>
    <row r="846" spans="1:38" x14ac:dyDescent="0.25">
      <c r="A846" s="8" t="s">
        <v>3524</v>
      </c>
      <c r="B846" s="8" t="s">
        <v>3525</v>
      </c>
      <c r="C846" s="8">
        <v>30895663</v>
      </c>
      <c r="D846" s="8">
        <v>5</v>
      </c>
      <c r="E846" s="11">
        <v>43111</v>
      </c>
      <c r="F846" s="8" t="s">
        <v>57</v>
      </c>
      <c r="G846" s="11">
        <v>43111</v>
      </c>
      <c r="H846" s="8" t="s">
        <v>25</v>
      </c>
      <c r="J846" s="8" t="s">
        <v>25</v>
      </c>
      <c r="N846" s="8" t="s">
        <v>58</v>
      </c>
      <c r="O846" s="8" t="s">
        <v>59</v>
      </c>
      <c r="P846" s="8" t="s">
        <v>59</v>
      </c>
      <c r="R846" s="8">
        <v>0</v>
      </c>
      <c r="S846" s="8">
        <v>0</v>
      </c>
      <c r="T846" s="8">
        <v>1</v>
      </c>
      <c r="U846" s="8">
        <v>2</v>
      </c>
      <c r="AG846" s="8" t="str">
        <f t="shared" si="53"/>
        <v/>
      </c>
      <c r="AI846" s="8" t="str">
        <f t="shared" si="54"/>
        <v/>
      </c>
      <c r="AJ846" s="8" t="str">
        <f t="shared" si="55"/>
        <v/>
      </c>
      <c r="AL846" s="8" t="str">
        <f t="shared" si="56"/>
        <v/>
      </c>
    </row>
    <row r="847" spans="1:38" x14ac:dyDescent="0.25">
      <c r="A847" s="8" t="s">
        <v>5022</v>
      </c>
      <c r="B847" s="8" t="s">
        <v>5023</v>
      </c>
      <c r="C847" s="8">
        <v>30909753</v>
      </c>
      <c r="D847" s="8">
        <v>5</v>
      </c>
      <c r="E847" s="11">
        <v>43112</v>
      </c>
      <c r="F847" s="8" t="s">
        <v>58</v>
      </c>
      <c r="G847" s="11">
        <v>43112</v>
      </c>
      <c r="H847" s="8" t="s">
        <v>25</v>
      </c>
      <c r="I847" s="11">
        <v>43112</v>
      </c>
      <c r="J847" s="8" t="s">
        <v>25</v>
      </c>
      <c r="N847" s="8" t="s">
        <v>58</v>
      </c>
      <c r="O847" s="8" t="s">
        <v>59</v>
      </c>
      <c r="P847" s="8" t="s">
        <v>59</v>
      </c>
      <c r="R847" s="8">
        <v>0</v>
      </c>
      <c r="S847" s="8">
        <v>0</v>
      </c>
      <c r="T847" s="8">
        <v>1</v>
      </c>
      <c r="U847" s="8">
        <v>2</v>
      </c>
      <c r="X847" s="8">
        <v>5</v>
      </c>
      <c r="AG847" s="8" t="str">
        <f t="shared" si="53"/>
        <v/>
      </c>
      <c r="AI847" s="8" t="str">
        <f t="shared" si="54"/>
        <v/>
      </c>
      <c r="AJ847" s="8" t="str">
        <f t="shared" si="55"/>
        <v/>
      </c>
      <c r="AL847" s="8" t="str">
        <f t="shared" si="56"/>
        <v/>
      </c>
    </row>
    <row r="848" spans="1:38" x14ac:dyDescent="0.25">
      <c r="A848" s="8" t="s">
        <v>1942</v>
      </c>
      <c r="B848" s="8" t="s">
        <v>1943</v>
      </c>
      <c r="C848" s="8">
        <v>30844915</v>
      </c>
      <c r="D848" s="8">
        <v>5</v>
      </c>
      <c r="E848" s="11">
        <v>43109</v>
      </c>
      <c r="F848" s="8" t="s">
        <v>57</v>
      </c>
      <c r="G848" s="11">
        <v>43110</v>
      </c>
      <c r="H848" s="8" t="s">
        <v>25</v>
      </c>
      <c r="J848" s="8" t="s">
        <v>25</v>
      </c>
      <c r="N848" s="8" t="s">
        <v>58</v>
      </c>
      <c r="O848" s="8" t="s">
        <v>59</v>
      </c>
      <c r="P848" s="8" t="s">
        <v>59</v>
      </c>
      <c r="R848" s="8">
        <v>0</v>
      </c>
      <c r="S848" s="8">
        <v>0</v>
      </c>
      <c r="T848" s="8">
        <v>1</v>
      </c>
      <c r="U848" s="8">
        <v>2</v>
      </c>
      <c r="AG848" s="8" t="str">
        <f t="shared" si="53"/>
        <v/>
      </c>
      <c r="AI848" s="8" t="str">
        <f t="shared" si="54"/>
        <v/>
      </c>
      <c r="AJ848" s="8" t="str">
        <f t="shared" si="55"/>
        <v/>
      </c>
      <c r="AL848" s="8" t="str">
        <f t="shared" si="56"/>
        <v/>
      </c>
    </row>
    <row r="849" spans="1:38" x14ac:dyDescent="0.25">
      <c r="A849" s="8" t="s">
        <v>3526</v>
      </c>
      <c r="B849" s="8" t="s">
        <v>3527</v>
      </c>
      <c r="C849" s="8">
        <v>30875277</v>
      </c>
      <c r="D849" s="8">
        <v>5</v>
      </c>
      <c r="E849" s="11">
        <v>43110</v>
      </c>
      <c r="F849" s="8" t="s">
        <v>57</v>
      </c>
      <c r="G849" s="11">
        <v>43111</v>
      </c>
      <c r="H849" s="8" t="s">
        <v>25</v>
      </c>
      <c r="J849" s="8" t="s">
        <v>25</v>
      </c>
      <c r="N849" s="8" t="s">
        <v>58</v>
      </c>
      <c r="O849" s="8" t="s">
        <v>59</v>
      </c>
      <c r="P849" s="8" t="s">
        <v>59</v>
      </c>
      <c r="R849" s="8">
        <v>0</v>
      </c>
      <c r="S849" s="8">
        <v>0</v>
      </c>
      <c r="T849" s="8">
        <v>1</v>
      </c>
      <c r="U849" s="8">
        <v>2</v>
      </c>
      <c r="AG849" s="8" t="str">
        <f t="shared" si="53"/>
        <v/>
      </c>
      <c r="AI849" s="8" t="str">
        <f t="shared" si="54"/>
        <v/>
      </c>
      <c r="AJ849" s="8" t="str">
        <f t="shared" si="55"/>
        <v/>
      </c>
      <c r="AL849" s="8" t="str">
        <f t="shared" si="56"/>
        <v/>
      </c>
    </row>
    <row r="850" spans="1:38" x14ac:dyDescent="0.25">
      <c r="A850" s="8" t="s">
        <v>1944</v>
      </c>
      <c r="B850" s="8" t="s">
        <v>1945</v>
      </c>
      <c r="C850" s="8">
        <v>30822615</v>
      </c>
      <c r="D850" s="8">
        <v>5</v>
      </c>
      <c r="E850" s="11">
        <v>43108</v>
      </c>
      <c r="F850" s="8" t="s">
        <v>57</v>
      </c>
      <c r="G850" s="11">
        <v>43110</v>
      </c>
      <c r="H850" s="8" t="s">
        <v>25</v>
      </c>
      <c r="J850" s="8" t="s">
        <v>25</v>
      </c>
      <c r="N850" s="8" t="s">
        <v>58</v>
      </c>
      <c r="O850" s="8" t="s">
        <v>59</v>
      </c>
      <c r="P850" s="8" t="s">
        <v>59</v>
      </c>
      <c r="R850" s="8">
        <v>0</v>
      </c>
      <c r="S850" s="8">
        <v>0</v>
      </c>
      <c r="T850" s="8">
        <v>1</v>
      </c>
      <c r="U850" s="8">
        <v>2</v>
      </c>
      <c r="AG850" s="8" t="str">
        <f t="shared" si="53"/>
        <v/>
      </c>
      <c r="AI850" s="8" t="str">
        <f t="shared" si="54"/>
        <v/>
      </c>
      <c r="AJ850" s="8" t="str">
        <f t="shared" si="55"/>
        <v/>
      </c>
      <c r="AL850" s="8" t="str">
        <f t="shared" si="56"/>
        <v/>
      </c>
    </row>
    <row r="851" spans="1:38" x14ac:dyDescent="0.25">
      <c r="A851" s="8" t="s">
        <v>1946</v>
      </c>
      <c r="B851" s="8" t="s">
        <v>1947</v>
      </c>
      <c r="C851" s="8">
        <v>30860150</v>
      </c>
      <c r="D851" s="8">
        <v>5</v>
      </c>
      <c r="E851" s="11">
        <v>43110</v>
      </c>
      <c r="F851" s="8" t="s">
        <v>58</v>
      </c>
      <c r="G851" s="11">
        <v>43110</v>
      </c>
      <c r="H851" s="8" t="s">
        <v>25</v>
      </c>
      <c r="I851" s="11">
        <v>43112</v>
      </c>
      <c r="J851" s="8" t="s">
        <v>25</v>
      </c>
      <c r="N851" s="8" t="s">
        <v>58</v>
      </c>
      <c r="O851" s="8" t="s">
        <v>59</v>
      </c>
      <c r="P851" s="8" t="s">
        <v>59</v>
      </c>
      <c r="R851" s="8">
        <v>0</v>
      </c>
      <c r="S851" s="8">
        <v>0</v>
      </c>
      <c r="T851" s="8">
        <v>1</v>
      </c>
      <c r="U851" s="8">
        <v>2</v>
      </c>
      <c r="X851" s="8">
        <v>5</v>
      </c>
      <c r="AG851" s="8" t="str">
        <f t="shared" si="53"/>
        <v/>
      </c>
      <c r="AI851" s="8" t="str">
        <f t="shared" si="54"/>
        <v/>
      </c>
      <c r="AJ851" s="8" t="str">
        <f t="shared" si="55"/>
        <v/>
      </c>
      <c r="AL851" s="8" t="str">
        <f t="shared" si="56"/>
        <v/>
      </c>
    </row>
    <row r="852" spans="1:38" x14ac:dyDescent="0.25">
      <c r="A852" s="8" t="s">
        <v>1948</v>
      </c>
      <c r="B852" s="8" t="s">
        <v>1949</v>
      </c>
      <c r="C852" s="8">
        <v>30874919</v>
      </c>
      <c r="D852" s="8">
        <v>5</v>
      </c>
      <c r="E852" s="11">
        <v>43110</v>
      </c>
      <c r="F852" s="8" t="s">
        <v>58</v>
      </c>
      <c r="G852" s="11">
        <v>43110</v>
      </c>
      <c r="H852" s="8" t="s">
        <v>25</v>
      </c>
      <c r="I852" s="11">
        <v>43110</v>
      </c>
      <c r="J852" s="8" t="s">
        <v>25</v>
      </c>
      <c r="N852" s="8" t="s">
        <v>58</v>
      </c>
      <c r="O852" s="8" t="s">
        <v>59</v>
      </c>
      <c r="P852" s="8" t="s">
        <v>59</v>
      </c>
      <c r="R852" s="8">
        <v>0</v>
      </c>
      <c r="S852" s="8">
        <v>0</v>
      </c>
      <c r="T852" s="8">
        <v>1</v>
      </c>
      <c r="U852" s="8">
        <v>2</v>
      </c>
      <c r="X852" s="8">
        <v>5</v>
      </c>
      <c r="AG852" s="8" t="str">
        <f t="shared" si="53"/>
        <v/>
      </c>
      <c r="AI852" s="8" t="str">
        <f t="shared" si="54"/>
        <v/>
      </c>
      <c r="AJ852" s="8" t="str">
        <f t="shared" si="55"/>
        <v/>
      </c>
      <c r="AL852" s="8" t="str">
        <f t="shared" si="56"/>
        <v/>
      </c>
    </row>
    <row r="853" spans="1:38" x14ac:dyDescent="0.25">
      <c r="A853" s="8" t="s">
        <v>1008</v>
      </c>
      <c r="B853" s="8" t="s">
        <v>1009</v>
      </c>
      <c r="C853" s="8">
        <v>30846930</v>
      </c>
      <c r="D853" s="8">
        <v>5</v>
      </c>
      <c r="E853" s="11">
        <v>43109</v>
      </c>
      <c r="F853" s="8" t="s">
        <v>57</v>
      </c>
      <c r="G853" s="11">
        <v>43109</v>
      </c>
      <c r="H853" s="8" t="s">
        <v>25</v>
      </c>
      <c r="J853" s="8" t="s">
        <v>25</v>
      </c>
      <c r="N853" s="8" t="s">
        <v>58</v>
      </c>
      <c r="O853" s="8" t="s">
        <v>59</v>
      </c>
      <c r="P853" s="8" t="s">
        <v>59</v>
      </c>
      <c r="R853" s="8">
        <v>0</v>
      </c>
      <c r="S853" s="8">
        <v>0</v>
      </c>
      <c r="T853" s="8">
        <v>1</v>
      </c>
      <c r="U853" s="8">
        <v>2</v>
      </c>
      <c r="AG853" s="8" t="str">
        <f t="shared" si="53"/>
        <v/>
      </c>
      <c r="AI853" s="8" t="str">
        <f t="shared" si="54"/>
        <v/>
      </c>
      <c r="AJ853" s="8" t="str">
        <f t="shared" si="55"/>
        <v/>
      </c>
      <c r="AL853" s="8" t="str">
        <f t="shared" si="56"/>
        <v/>
      </c>
    </row>
    <row r="854" spans="1:38" x14ac:dyDescent="0.25">
      <c r="A854" s="8" t="s">
        <v>5024</v>
      </c>
      <c r="B854" s="8" t="s">
        <v>5025</v>
      </c>
      <c r="C854" s="8">
        <v>30913260</v>
      </c>
      <c r="D854" s="8">
        <v>5</v>
      </c>
      <c r="E854" s="11">
        <v>43112</v>
      </c>
      <c r="F854" s="8" t="s">
        <v>58</v>
      </c>
      <c r="G854" s="11">
        <v>43112</v>
      </c>
      <c r="H854" s="8" t="s">
        <v>25</v>
      </c>
      <c r="I854" s="11">
        <v>43112</v>
      </c>
      <c r="J854" s="8" t="s">
        <v>25</v>
      </c>
      <c r="N854" s="8" t="s">
        <v>58</v>
      </c>
      <c r="O854" s="8" t="s">
        <v>59</v>
      </c>
      <c r="P854" s="8" t="s">
        <v>59</v>
      </c>
      <c r="R854" s="8">
        <v>0</v>
      </c>
      <c r="S854" s="8">
        <v>0</v>
      </c>
      <c r="T854" s="8">
        <v>1</v>
      </c>
      <c r="U854" s="8">
        <v>2</v>
      </c>
      <c r="X854" s="8">
        <v>5</v>
      </c>
      <c r="AG854" s="8" t="str">
        <f t="shared" si="53"/>
        <v/>
      </c>
      <c r="AI854" s="8" t="str">
        <f t="shared" si="54"/>
        <v/>
      </c>
      <c r="AJ854" s="8" t="str">
        <f t="shared" si="55"/>
        <v/>
      </c>
      <c r="AL854" s="8" t="str">
        <f t="shared" si="56"/>
        <v/>
      </c>
    </row>
    <row r="855" spans="1:38" x14ac:dyDescent="0.25">
      <c r="A855" s="8" t="s">
        <v>3528</v>
      </c>
      <c r="B855" s="8" t="s">
        <v>3529</v>
      </c>
      <c r="C855" s="8">
        <v>30888845</v>
      </c>
      <c r="D855" s="8">
        <v>5</v>
      </c>
      <c r="E855" s="11">
        <v>43111</v>
      </c>
      <c r="F855" s="8" t="s">
        <v>58</v>
      </c>
      <c r="G855" s="11">
        <v>43111</v>
      </c>
      <c r="H855" s="8" t="s">
        <v>25</v>
      </c>
      <c r="I855" s="11">
        <v>43112</v>
      </c>
      <c r="J855" s="8" t="s">
        <v>25</v>
      </c>
      <c r="N855" s="8" t="s">
        <v>58</v>
      </c>
      <c r="O855" s="8" t="s">
        <v>59</v>
      </c>
      <c r="P855" s="8" t="s">
        <v>59</v>
      </c>
      <c r="R855" s="8">
        <v>0</v>
      </c>
      <c r="S855" s="8">
        <v>0</v>
      </c>
      <c r="T855" s="8">
        <v>1</v>
      </c>
      <c r="U855" s="8">
        <v>2</v>
      </c>
      <c r="X855" s="8">
        <v>5</v>
      </c>
      <c r="AG855" s="8" t="str">
        <f t="shared" si="53"/>
        <v/>
      </c>
      <c r="AI855" s="8" t="str">
        <f t="shared" si="54"/>
        <v/>
      </c>
      <c r="AJ855" s="8" t="str">
        <f t="shared" si="55"/>
        <v/>
      </c>
      <c r="AL855" s="8" t="str">
        <f t="shared" si="56"/>
        <v/>
      </c>
    </row>
    <row r="856" spans="1:38" x14ac:dyDescent="0.25">
      <c r="A856" s="8" t="s">
        <v>1010</v>
      </c>
      <c r="B856" s="8" t="s">
        <v>1011</v>
      </c>
      <c r="C856" s="8">
        <v>30840008</v>
      </c>
      <c r="D856" s="8">
        <v>5</v>
      </c>
      <c r="E856" s="11">
        <v>43109</v>
      </c>
      <c r="F856" s="8" t="s">
        <v>58</v>
      </c>
      <c r="G856" s="11">
        <v>43109</v>
      </c>
      <c r="H856" s="8" t="s">
        <v>25</v>
      </c>
      <c r="I856" s="11">
        <v>43110</v>
      </c>
      <c r="J856" s="8" t="s">
        <v>25</v>
      </c>
      <c r="N856" s="8" t="s">
        <v>58</v>
      </c>
      <c r="O856" s="8" t="s">
        <v>59</v>
      </c>
      <c r="P856" s="8" t="s">
        <v>59</v>
      </c>
      <c r="R856" s="8">
        <v>0</v>
      </c>
      <c r="S856" s="8">
        <v>0</v>
      </c>
      <c r="T856" s="8">
        <v>1</v>
      </c>
      <c r="U856" s="8">
        <v>2</v>
      </c>
      <c r="X856" s="8">
        <v>5</v>
      </c>
      <c r="AG856" s="8" t="str">
        <f t="shared" si="53"/>
        <v/>
      </c>
      <c r="AI856" s="8" t="str">
        <f t="shared" si="54"/>
        <v/>
      </c>
      <c r="AJ856" s="8" t="str">
        <f t="shared" si="55"/>
        <v/>
      </c>
      <c r="AL856" s="8" t="str">
        <f t="shared" si="56"/>
        <v/>
      </c>
    </row>
    <row r="857" spans="1:38" x14ac:dyDescent="0.25">
      <c r="A857" s="8" t="s">
        <v>5026</v>
      </c>
      <c r="B857" s="8" t="s">
        <v>5027</v>
      </c>
      <c r="C857" s="8">
        <v>30915195</v>
      </c>
      <c r="D857" s="8">
        <v>5</v>
      </c>
      <c r="E857" s="11">
        <v>43112</v>
      </c>
      <c r="F857" s="8" t="s">
        <v>57</v>
      </c>
      <c r="G857" s="11">
        <v>43112</v>
      </c>
      <c r="H857" s="8" t="s">
        <v>25</v>
      </c>
      <c r="J857" s="8" t="s">
        <v>25</v>
      </c>
      <c r="N857" s="8" t="s">
        <v>58</v>
      </c>
      <c r="O857" s="8" t="s">
        <v>59</v>
      </c>
      <c r="P857" s="8" t="s">
        <v>59</v>
      </c>
      <c r="R857" s="8">
        <v>0</v>
      </c>
      <c r="S857" s="8">
        <v>0</v>
      </c>
      <c r="T857" s="8">
        <v>1</v>
      </c>
      <c r="U857" s="8">
        <v>2</v>
      </c>
      <c r="AG857" s="8" t="str">
        <f t="shared" si="53"/>
        <v/>
      </c>
      <c r="AI857" s="8" t="str">
        <f t="shared" si="54"/>
        <v/>
      </c>
      <c r="AJ857" s="8" t="str">
        <f t="shared" si="55"/>
        <v/>
      </c>
      <c r="AL857" s="8" t="str">
        <f t="shared" si="56"/>
        <v/>
      </c>
    </row>
    <row r="858" spans="1:38" x14ac:dyDescent="0.25">
      <c r="A858" s="8" t="s">
        <v>5028</v>
      </c>
      <c r="B858" s="8" t="s">
        <v>5029</v>
      </c>
      <c r="C858" s="8">
        <v>30927235</v>
      </c>
      <c r="D858" s="8">
        <v>5</v>
      </c>
      <c r="E858" s="11">
        <v>43113</v>
      </c>
      <c r="F858" s="8" t="s">
        <v>58</v>
      </c>
      <c r="G858" s="11">
        <v>43113</v>
      </c>
      <c r="H858" s="8" t="s">
        <v>25</v>
      </c>
      <c r="I858" s="11">
        <v>43113</v>
      </c>
      <c r="J858" s="8" t="s">
        <v>25</v>
      </c>
      <c r="N858" s="8" t="s">
        <v>58</v>
      </c>
      <c r="O858" s="8" t="s">
        <v>59</v>
      </c>
      <c r="P858" s="8" t="s">
        <v>59</v>
      </c>
      <c r="R858" s="8">
        <v>0</v>
      </c>
      <c r="S858" s="8">
        <v>0</v>
      </c>
      <c r="T858" s="8">
        <v>1</v>
      </c>
      <c r="U858" s="8">
        <v>2</v>
      </c>
      <c r="X858" s="8">
        <v>5</v>
      </c>
      <c r="AG858" s="8" t="str">
        <f t="shared" si="53"/>
        <v/>
      </c>
      <c r="AI858" s="8" t="str">
        <f t="shared" si="54"/>
        <v/>
      </c>
      <c r="AJ858" s="8" t="str">
        <f t="shared" si="55"/>
        <v/>
      </c>
      <c r="AL858" s="8" t="str">
        <f t="shared" si="56"/>
        <v/>
      </c>
    </row>
    <row r="859" spans="1:38" x14ac:dyDescent="0.25">
      <c r="A859" s="8" t="s">
        <v>5030</v>
      </c>
      <c r="B859" s="8" t="s">
        <v>5031</v>
      </c>
      <c r="C859" s="8">
        <v>30909244</v>
      </c>
      <c r="D859" s="8">
        <v>5</v>
      </c>
      <c r="E859" s="11">
        <v>43112</v>
      </c>
      <c r="F859" s="8" t="s">
        <v>57</v>
      </c>
      <c r="G859" s="11">
        <v>43112</v>
      </c>
      <c r="H859" s="8" t="s">
        <v>25</v>
      </c>
      <c r="J859" s="8" t="s">
        <v>25</v>
      </c>
      <c r="N859" s="8" t="s">
        <v>58</v>
      </c>
      <c r="O859" s="8" t="s">
        <v>59</v>
      </c>
      <c r="P859" s="8" t="s">
        <v>59</v>
      </c>
      <c r="R859" s="8">
        <v>0</v>
      </c>
      <c r="S859" s="8">
        <v>0</v>
      </c>
      <c r="T859" s="8">
        <v>1</v>
      </c>
      <c r="U859" s="8">
        <v>2</v>
      </c>
      <c r="AG859" s="8" t="str">
        <f t="shared" si="53"/>
        <v/>
      </c>
      <c r="AI859" s="8" t="str">
        <f t="shared" si="54"/>
        <v/>
      </c>
      <c r="AJ859" s="8" t="str">
        <f t="shared" si="55"/>
        <v/>
      </c>
      <c r="AL859" s="8" t="str">
        <f t="shared" si="56"/>
        <v/>
      </c>
    </row>
    <row r="860" spans="1:38" x14ac:dyDescent="0.25">
      <c r="A860" s="8" t="s">
        <v>5032</v>
      </c>
      <c r="B860" s="8" t="s">
        <v>5033</v>
      </c>
      <c r="C860" s="8">
        <v>30909027</v>
      </c>
      <c r="D860" s="8">
        <v>5</v>
      </c>
      <c r="E860" s="11">
        <v>43112</v>
      </c>
      <c r="F860" s="8" t="s">
        <v>57</v>
      </c>
      <c r="G860" s="11">
        <v>43112</v>
      </c>
      <c r="H860" s="8" t="s">
        <v>25</v>
      </c>
      <c r="J860" s="8" t="s">
        <v>25</v>
      </c>
      <c r="N860" s="8" t="s">
        <v>58</v>
      </c>
      <c r="O860" s="8" t="s">
        <v>59</v>
      </c>
      <c r="P860" s="8" t="s">
        <v>59</v>
      </c>
      <c r="R860" s="8">
        <v>0</v>
      </c>
      <c r="S860" s="8">
        <v>0</v>
      </c>
      <c r="T860" s="8">
        <v>1</v>
      </c>
      <c r="U860" s="8">
        <v>2</v>
      </c>
      <c r="AG860" s="8" t="str">
        <f t="shared" si="53"/>
        <v/>
      </c>
      <c r="AI860" s="8" t="str">
        <f t="shared" si="54"/>
        <v/>
      </c>
      <c r="AJ860" s="8" t="str">
        <f t="shared" si="55"/>
        <v/>
      </c>
      <c r="AL860" s="8" t="str">
        <f t="shared" si="56"/>
        <v/>
      </c>
    </row>
    <row r="861" spans="1:38" x14ac:dyDescent="0.25">
      <c r="A861" s="8" t="s">
        <v>296</v>
      </c>
      <c r="B861" s="8" t="s">
        <v>297</v>
      </c>
      <c r="C861" s="8">
        <v>30822718</v>
      </c>
      <c r="D861" s="8">
        <v>5</v>
      </c>
      <c r="E861" s="11">
        <v>43108</v>
      </c>
      <c r="F861" s="8" t="s">
        <v>58</v>
      </c>
      <c r="G861" s="11">
        <v>43108</v>
      </c>
      <c r="H861" s="8" t="s">
        <v>25</v>
      </c>
      <c r="I861" s="11">
        <v>43109</v>
      </c>
      <c r="J861" s="8" t="s">
        <v>25</v>
      </c>
      <c r="N861" s="8" t="s">
        <v>58</v>
      </c>
      <c r="O861" s="8" t="s">
        <v>59</v>
      </c>
      <c r="P861" s="8" t="s">
        <v>59</v>
      </c>
      <c r="R861" s="8">
        <v>0</v>
      </c>
      <c r="S861" s="8">
        <v>0</v>
      </c>
      <c r="T861" s="8">
        <v>1</v>
      </c>
      <c r="U861" s="8">
        <v>2</v>
      </c>
      <c r="X861" s="8">
        <v>5</v>
      </c>
      <c r="AG861" s="8" t="str">
        <f t="shared" si="53"/>
        <v/>
      </c>
      <c r="AI861" s="8" t="str">
        <f t="shared" si="54"/>
        <v/>
      </c>
      <c r="AJ861" s="8" t="str">
        <f t="shared" si="55"/>
        <v/>
      </c>
      <c r="AL861" s="8" t="str">
        <f t="shared" si="56"/>
        <v/>
      </c>
    </row>
    <row r="862" spans="1:38" x14ac:dyDescent="0.25">
      <c r="A862" s="8" t="s">
        <v>1012</v>
      </c>
      <c r="B862" s="8" t="s">
        <v>1013</v>
      </c>
      <c r="C862" s="8">
        <v>30828296</v>
      </c>
      <c r="D862" s="8">
        <v>5</v>
      </c>
      <c r="E862" s="11">
        <v>43108</v>
      </c>
      <c r="F862" s="8" t="s">
        <v>57</v>
      </c>
      <c r="G862" s="11">
        <v>43109</v>
      </c>
      <c r="H862" s="8" t="s">
        <v>25</v>
      </c>
      <c r="J862" s="8" t="s">
        <v>25</v>
      </c>
      <c r="N862" s="8" t="s">
        <v>58</v>
      </c>
      <c r="O862" s="8" t="s">
        <v>59</v>
      </c>
      <c r="P862" s="8" t="s">
        <v>59</v>
      </c>
      <c r="R862" s="8">
        <v>0</v>
      </c>
      <c r="S862" s="8">
        <v>0</v>
      </c>
      <c r="T862" s="8">
        <v>1</v>
      </c>
      <c r="U862" s="8">
        <v>2</v>
      </c>
      <c r="AG862" s="8" t="str">
        <f t="shared" si="53"/>
        <v/>
      </c>
      <c r="AI862" s="8" t="str">
        <f t="shared" si="54"/>
        <v/>
      </c>
      <c r="AJ862" s="8" t="str">
        <f t="shared" si="55"/>
        <v/>
      </c>
      <c r="AL862" s="8" t="str">
        <f t="shared" si="56"/>
        <v/>
      </c>
    </row>
    <row r="863" spans="1:38" x14ac:dyDescent="0.25">
      <c r="A863" s="8" t="s">
        <v>6924</v>
      </c>
      <c r="B863" s="8" t="s">
        <v>6925</v>
      </c>
      <c r="C863" s="8">
        <v>30934716</v>
      </c>
      <c r="D863" s="8">
        <v>5</v>
      </c>
      <c r="E863" s="11">
        <v>43115</v>
      </c>
      <c r="F863" s="8" t="s">
        <v>57</v>
      </c>
      <c r="G863" s="11">
        <v>43115</v>
      </c>
      <c r="H863" s="8" t="s">
        <v>25</v>
      </c>
      <c r="J863" s="8" t="s">
        <v>25</v>
      </c>
      <c r="N863" s="8" t="s">
        <v>58</v>
      </c>
      <c r="O863" s="8" t="s">
        <v>59</v>
      </c>
      <c r="P863" s="8" t="s">
        <v>59</v>
      </c>
      <c r="R863" s="8">
        <v>0</v>
      </c>
      <c r="S863" s="8">
        <v>0</v>
      </c>
      <c r="T863" s="8">
        <v>1</v>
      </c>
      <c r="U863" s="8">
        <v>2</v>
      </c>
      <c r="AG863" s="8" t="str">
        <f t="shared" si="53"/>
        <v/>
      </c>
      <c r="AI863" s="8" t="str">
        <f t="shared" si="54"/>
        <v/>
      </c>
      <c r="AJ863" s="8" t="str">
        <f t="shared" si="55"/>
        <v/>
      </c>
      <c r="AL863" s="8" t="str">
        <f t="shared" si="56"/>
        <v/>
      </c>
    </row>
    <row r="864" spans="1:38" x14ac:dyDescent="0.25">
      <c r="A864" s="8" t="s">
        <v>1014</v>
      </c>
      <c r="B864" s="8" t="s">
        <v>1015</v>
      </c>
      <c r="C864" s="8">
        <v>30851184</v>
      </c>
      <c r="D864" s="8">
        <v>5</v>
      </c>
      <c r="E864" s="11">
        <v>43109</v>
      </c>
      <c r="F864" s="8" t="s">
        <v>57</v>
      </c>
      <c r="G864" s="11">
        <v>43111</v>
      </c>
      <c r="H864" s="8" t="s">
        <v>25</v>
      </c>
      <c r="J864" s="8" t="s">
        <v>25</v>
      </c>
      <c r="M864" s="8" t="s">
        <v>66</v>
      </c>
      <c r="N864" s="8" t="s">
        <v>58</v>
      </c>
      <c r="O864" s="8" t="s">
        <v>59</v>
      </c>
      <c r="P864" s="8" t="s">
        <v>59</v>
      </c>
      <c r="R864" s="8">
        <v>0</v>
      </c>
      <c r="S864" s="8">
        <v>0</v>
      </c>
      <c r="T864" s="8">
        <v>1</v>
      </c>
      <c r="U864" s="8">
        <v>2</v>
      </c>
      <c r="AG864" s="8" t="str">
        <f t="shared" si="53"/>
        <v/>
      </c>
      <c r="AI864" s="8" t="str">
        <f t="shared" si="54"/>
        <v/>
      </c>
      <c r="AJ864" s="8" t="str">
        <f t="shared" si="55"/>
        <v/>
      </c>
      <c r="AL864" s="8" t="str">
        <f t="shared" si="56"/>
        <v/>
      </c>
    </row>
    <row r="865" spans="1:38" x14ac:dyDescent="0.25">
      <c r="A865" s="8" t="s">
        <v>5034</v>
      </c>
      <c r="B865" s="8" t="s">
        <v>5035</v>
      </c>
      <c r="C865" s="8">
        <v>30923750</v>
      </c>
      <c r="D865" s="8">
        <v>5</v>
      </c>
      <c r="E865" s="11">
        <v>43112</v>
      </c>
      <c r="F865" s="8" t="s">
        <v>58</v>
      </c>
      <c r="G865" s="11">
        <v>43112</v>
      </c>
      <c r="H865" s="8" t="s">
        <v>25</v>
      </c>
      <c r="I865" s="11">
        <v>43112</v>
      </c>
      <c r="J865" s="8" t="s">
        <v>25</v>
      </c>
      <c r="N865" s="8" t="s">
        <v>58</v>
      </c>
      <c r="O865" s="8" t="s">
        <v>59</v>
      </c>
      <c r="P865" s="8" t="s">
        <v>59</v>
      </c>
      <c r="R865" s="8">
        <v>0</v>
      </c>
      <c r="S865" s="8">
        <v>0</v>
      </c>
      <c r="T865" s="8">
        <v>1</v>
      </c>
      <c r="U865" s="8">
        <v>2</v>
      </c>
      <c r="X865" s="8">
        <v>5</v>
      </c>
      <c r="AG865" s="8" t="str">
        <f t="shared" si="53"/>
        <v/>
      </c>
      <c r="AI865" s="8" t="str">
        <f t="shared" si="54"/>
        <v/>
      </c>
      <c r="AJ865" s="8" t="str">
        <f t="shared" si="55"/>
        <v/>
      </c>
      <c r="AL865" s="8" t="str">
        <f t="shared" si="56"/>
        <v/>
      </c>
    </row>
    <row r="866" spans="1:38" x14ac:dyDescent="0.25">
      <c r="A866" s="8" t="s">
        <v>6926</v>
      </c>
      <c r="B866" s="8" t="s">
        <v>6927</v>
      </c>
      <c r="C866" s="8">
        <v>30933174</v>
      </c>
      <c r="D866" s="8">
        <v>5</v>
      </c>
      <c r="E866" s="11">
        <v>43115</v>
      </c>
      <c r="F866" s="8" t="s">
        <v>57</v>
      </c>
      <c r="G866" s="11">
        <v>43115</v>
      </c>
      <c r="H866" s="8" t="s">
        <v>25</v>
      </c>
      <c r="J866" s="8" t="s">
        <v>25</v>
      </c>
      <c r="N866" s="8" t="s">
        <v>58</v>
      </c>
      <c r="O866" s="8" t="s">
        <v>59</v>
      </c>
      <c r="P866" s="8" t="s">
        <v>59</v>
      </c>
      <c r="R866" s="8">
        <v>0</v>
      </c>
      <c r="S866" s="8">
        <v>0</v>
      </c>
      <c r="T866" s="8">
        <v>1</v>
      </c>
      <c r="U866" s="8">
        <v>2</v>
      </c>
      <c r="AG866" s="8" t="str">
        <f t="shared" si="53"/>
        <v/>
      </c>
      <c r="AI866" s="8" t="str">
        <f t="shared" si="54"/>
        <v/>
      </c>
      <c r="AJ866" s="8" t="str">
        <f t="shared" si="55"/>
        <v/>
      </c>
      <c r="AL866" s="8" t="str">
        <f t="shared" si="56"/>
        <v/>
      </c>
    </row>
    <row r="867" spans="1:38" x14ac:dyDescent="0.25">
      <c r="A867" s="8" t="s">
        <v>298</v>
      </c>
      <c r="B867" s="8" t="s">
        <v>299</v>
      </c>
      <c r="C867" s="8">
        <v>30813382</v>
      </c>
      <c r="D867" s="8">
        <v>5</v>
      </c>
      <c r="E867" s="11">
        <v>43108</v>
      </c>
      <c r="F867" s="8" t="s">
        <v>58</v>
      </c>
      <c r="G867" s="11">
        <v>43108</v>
      </c>
      <c r="H867" s="8" t="s">
        <v>25</v>
      </c>
      <c r="I867" s="11">
        <v>43108</v>
      </c>
      <c r="J867" s="8" t="s">
        <v>25</v>
      </c>
      <c r="N867" s="8" t="s">
        <v>58</v>
      </c>
      <c r="O867" s="8" t="s">
        <v>59</v>
      </c>
      <c r="P867" s="8" t="s">
        <v>59</v>
      </c>
      <c r="R867" s="8">
        <v>0</v>
      </c>
      <c r="S867" s="8">
        <v>0</v>
      </c>
      <c r="T867" s="8">
        <v>1</v>
      </c>
      <c r="U867" s="8">
        <v>2</v>
      </c>
      <c r="X867" s="8">
        <v>5</v>
      </c>
      <c r="AG867" s="8" t="str">
        <f t="shared" si="53"/>
        <v/>
      </c>
      <c r="AI867" s="8" t="str">
        <f t="shared" si="54"/>
        <v/>
      </c>
      <c r="AJ867" s="8" t="str">
        <f t="shared" si="55"/>
        <v/>
      </c>
      <c r="AL867" s="8" t="str">
        <f t="shared" si="56"/>
        <v/>
      </c>
    </row>
    <row r="868" spans="1:38" x14ac:dyDescent="0.25">
      <c r="A868" s="8" t="s">
        <v>1950</v>
      </c>
      <c r="B868" s="8" t="s">
        <v>1951</v>
      </c>
      <c r="C868" s="8">
        <v>30863720</v>
      </c>
      <c r="D868" s="8">
        <v>5</v>
      </c>
      <c r="E868" s="11">
        <v>43110</v>
      </c>
      <c r="F868" s="8" t="s">
        <v>58</v>
      </c>
      <c r="G868" s="11">
        <v>43110</v>
      </c>
      <c r="H868" s="8" t="s">
        <v>25</v>
      </c>
      <c r="I868" s="11">
        <v>43110</v>
      </c>
      <c r="J868" s="8" t="s">
        <v>25</v>
      </c>
      <c r="N868" s="8" t="s">
        <v>58</v>
      </c>
      <c r="O868" s="8" t="s">
        <v>59</v>
      </c>
      <c r="P868" s="8" t="s">
        <v>59</v>
      </c>
      <c r="R868" s="8">
        <v>0</v>
      </c>
      <c r="S868" s="8">
        <v>0</v>
      </c>
      <c r="T868" s="8">
        <v>1</v>
      </c>
      <c r="U868" s="8">
        <v>2</v>
      </c>
      <c r="X868" s="8">
        <v>5</v>
      </c>
      <c r="AG868" s="8" t="str">
        <f t="shared" si="53"/>
        <v/>
      </c>
      <c r="AI868" s="8" t="str">
        <f t="shared" si="54"/>
        <v/>
      </c>
      <c r="AJ868" s="8" t="str">
        <f t="shared" si="55"/>
        <v/>
      </c>
      <c r="AL868" s="8" t="str">
        <f t="shared" si="56"/>
        <v/>
      </c>
    </row>
    <row r="869" spans="1:38" x14ac:dyDescent="0.25">
      <c r="A869" s="8" t="s">
        <v>300</v>
      </c>
      <c r="B869" s="8" t="s">
        <v>301</v>
      </c>
      <c r="C869" s="8">
        <v>30817077</v>
      </c>
      <c r="D869" s="8">
        <v>5</v>
      </c>
      <c r="E869" s="11">
        <v>43108</v>
      </c>
      <c r="F869" s="8" t="s">
        <v>58</v>
      </c>
      <c r="G869" s="11">
        <v>43108</v>
      </c>
      <c r="H869" s="8" t="s">
        <v>25</v>
      </c>
      <c r="I869" s="11">
        <v>43109</v>
      </c>
      <c r="J869" s="8" t="s">
        <v>25</v>
      </c>
      <c r="N869" s="8" t="s">
        <v>58</v>
      </c>
      <c r="O869" s="8" t="s">
        <v>59</v>
      </c>
      <c r="P869" s="8" t="s">
        <v>59</v>
      </c>
      <c r="R869" s="8">
        <v>0</v>
      </c>
      <c r="S869" s="8">
        <v>0</v>
      </c>
      <c r="T869" s="8">
        <v>1</v>
      </c>
      <c r="U869" s="8">
        <v>2</v>
      </c>
      <c r="X869" s="8">
        <v>5</v>
      </c>
      <c r="AG869" s="8" t="str">
        <f t="shared" si="53"/>
        <v/>
      </c>
      <c r="AI869" s="8" t="str">
        <f t="shared" si="54"/>
        <v/>
      </c>
      <c r="AJ869" s="8" t="str">
        <f t="shared" si="55"/>
        <v/>
      </c>
      <c r="AL869" s="8" t="str">
        <f t="shared" si="56"/>
        <v/>
      </c>
    </row>
    <row r="870" spans="1:38" x14ac:dyDescent="0.25">
      <c r="A870" s="8" t="s">
        <v>6928</v>
      </c>
      <c r="B870" s="8" t="s">
        <v>6929</v>
      </c>
      <c r="C870" s="8">
        <v>30924813</v>
      </c>
      <c r="D870" s="8">
        <v>5</v>
      </c>
      <c r="E870" s="11">
        <v>43112</v>
      </c>
      <c r="F870" s="8" t="s">
        <v>57</v>
      </c>
      <c r="G870" s="11">
        <v>43115</v>
      </c>
      <c r="H870" s="8" t="s">
        <v>25</v>
      </c>
      <c r="J870" s="8" t="s">
        <v>25</v>
      </c>
      <c r="N870" s="8" t="s">
        <v>58</v>
      </c>
      <c r="O870" s="8" t="s">
        <v>59</v>
      </c>
      <c r="P870" s="8" t="s">
        <v>59</v>
      </c>
      <c r="R870" s="8">
        <v>0</v>
      </c>
      <c r="S870" s="8">
        <v>0</v>
      </c>
      <c r="T870" s="8">
        <v>1</v>
      </c>
      <c r="U870" s="8">
        <v>2</v>
      </c>
      <c r="AG870" s="8" t="str">
        <f t="shared" si="53"/>
        <v/>
      </c>
      <c r="AI870" s="8" t="str">
        <f t="shared" si="54"/>
        <v/>
      </c>
      <c r="AJ870" s="8" t="str">
        <f t="shared" si="55"/>
        <v/>
      </c>
      <c r="AL870" s="8" t="str">
        <f t="shared" si="56"/>
        <v/>
      </c>
    </row>
    <row r="871" spans="1:38" x14ac:dyDescent="0.25">
      <c r="A871" s="8" t="s">
        <v>5036</v>
      </c>
      <c r="B871" s="8" t="s">
        <v>5037</v>
      </c>
      <c r="C871" s="8">
        <v>30914488</v>
      </c>
      <c r="D871" s="8">
        <v>5</v>
      </c>
      <c r="E871" s="11">
        <v>43112</v>
      </c>
      <c r="F871" s="8" t="s">
        <v>58</v>
      </c>
      <c r="G871" s="11">
        <v>43112</v>
      </c>
      <c r="H871" s="8" t="s">
        <v>25</v>
      </c>
      <c r="I871" s="11">
        <v>43115</v>
      </c>
      <c r="J871" s="8" t="s">
        <v>25</v>
      </c>
      <c r="N871" s="8" t="s">
        <v>58</v>
      </c>
      <c r="O871" s="8" t="s">
        <v>59</v>
      </c>
      <c r="P871" s="8" t="s">
        <v>59</v>
      </c>
      <c r="R871" s="8">
        <v>0</v>
      </c>
      <c r="S871" s="8">
        <v>0</v>
      </c>
      <c r="T871" s="8">
        <v>1</v>
      </c>
      <c r="U871" s="8">
        <v>2</v>
      </c>
      <c r="X871" s="8">
        <v>5</v>
      </c>
      <c r="AG871" s="8" t="str">
        <f t="shared" si="53"/>
        <v/>
      </c>
      <c r="AI871" s="8" t="str">
        <f t="shared" si="54"/>
        <v/>
      </c>
      <c r="AJ871" s="8" t="str">
        <f t="shared" si="55"/>
        <v/>
      </c>
      <c r="AL871" s="8" t="str">
        <f t="shared" si="56"/>
        <v/>
      </c>
    </row>
    <row r="872" spans="1:38" x14ac:dyDescent="0.25">
      <c r="A872" s="8" t="s">
        <v>5038</v>
      </c>
      <c r="B872" s="8" t="s">
        <v>5039</v>
      </c>
      <c r="C872" s="8">
        <v>30912362</v>
      </c>
      <c r="D872" s="8">
        <v>5</v>
      </c>
      <c r="E872" s="11">
        <v>43112</v>
      </c>
      <c r="F872" s="8" t="s">
        <v>57</v>
      </c>
      <c r="G872" s="11">
        <v>43112</v>
      </c>
      <c r="H872" s="8" t="s">
        <v>25</v>
      </c>
      <c r="J872" s="8" t="s">
        <v>25</v>
      </c>
      <c r="N872" s="8" t="s">
        <v>58</v>
      </c>
      <c r="O872" s="8" t="s">
        <v>59</v>
      </c>
      <c r="P872" s="8" t="s">
        <v>59</v>
      </c>
      <c r="R872" s="8">
        <v>0</v>
      </c>
      <c r="S872" s="8">
        <v>0</v>
      </c>
      <c r="T872" s="8">
        <v>1</v>
      </c>
      <c r="U872" s="8">
        <v>2</v>
      </c>
      <c r="AG872" s="8" t="str">
        <f t="shared" si="53"/>
        <v/>
      </c>
      <c r="AI872" s="8" t="str">
        <f t="shared" si="54"/>
        <v/>
      </c>
      <c r="AJ872" s="8" t="str">
        <f t="shared" si="55"/>
        <v/>
      </c>
      <c r="AL872" s="8" t="str">
        <f t="shared" si="56"/>
        <v/>
      </c>
    </row>
    <row r="873" spans="1:38" x14ac:dyDescent="0.25">
      <c r="A873" s="8" t="s">
        <v>5040</v>
      </c>
      <c r="B873" s="8" t="s">
        <v>5041</v>
      </c>
      <c r="C873" s="8">
        <v>30912215</v>
      </c>
      <c r="D873" s="8">
        <v>5</v>
      </c>
      <c r="E873" s="11">
        <v>43112</v>
      </c>
      <c r="F873" s="8" t="s">
        <v>58</v>
      </c>
      <c r="G873" s="11">
        <v>43112</v>
      </c>
      <c r="H873" s="8" t="s">
        <v>25</v>
      </c>
      <c r="I873" s="11">
        <v>43112</v>
      </c>
      <c r="J873" s="8" t="s">
        <v>25</v>
      </c>
      <c r="N873" s="8" t="s">
        <v>58</v>
      </c>
      <c r="O873" s="8" t="s">
        <v>59</v>
      </c>
      <c r="P873" s="8" t="s">
        <v>59</v>
      </c>
      <c r="R873" s="8">
        <v>0</v>
      </c>
      <c r="S873" s="8">
        <v>0</v>
      </c>
      <c r="T873" s="8">
        <v>1</v>
      </c>
      <c r="U873" s="8">
        <v>2</v>
      </c>
      <c r="X873" s="8">
        <v>5</v>
      </c>
      <c r="AG873" s="8" t="str">
        <f t="shared" si="53"/>
        <v/>
      </c>
      <c r="AI873" s="8" t="str">
        <f t="shared" si="54"/>
        <v/>
      </c>
      <c r="AJ873" s="8" t="str">
        <f t="shared" si="55"/>
        <v/>
      </c>
      <c r="AL873" s="8" t="str">
        <f t="shared" si="56"/>
        <v/>
      </c>
    </row>
    <row r="874" spans="1:38" x14ac:dyDescent="0.25">
      <c r="A874" s="8" t="s">
        <v>302</v>
      </c>
      <c r="B874" s="8" t="s">
        <v>303</v>
      </c>
      <c r="C874" s="8">
        <v>30814111</v>
      </c>
      <c r="D874" s="8">
        <v>5</v>
      </c>
      <c r="E874" s="11">
        <v>43108</v>
      </c>
      <c r="F874" s="8" t="s">
        <v>58</v>
      </c>
      <c r="G874" s="11">
        <v>43108</v>
      </c>
      <c r="H874" s="8" t="s">
        <v>25</v>
      </c>
      <c r="I874" s="11">
        <v>43108</v>
      </c>
      <c r="J874" s="8" t="s">
        <v>25</v>
      </c>
      <c r="N874" s="8" t="s">
        <v>58</v>
      </c>
      <c r="O874" s="8" t="s">
        <v>59</v>
      </c>
      <c r="P874" s="8" t="s">
        <v>59</v>
      </c>
      <c r="R874" s="8">
        <v>0</v>
      </c>
      <c r="S874" s="8">
        <v>0</v>
      </c>
      <c r="T874" s="8">
        <v>1</v>
      </c>
      <c r="U874" s="8">
        <v>2</v>
      </c>
      <c r="X874" s="8">
        <v>5</v>
      </c>
      <c r="AG874" s="8" t="str">
        <f t="shared" si="53"/>
        <v/>
      </c>
      <c r="AI874" s="8" t="str">
        <f t="shared" si="54"/>
        <v/>
      </c>
      <c r="AJ874" s="8" t="str">
        <f t="shared" si="55"/>
        <v/>
      </c>
      <c r="AL874" s="8" t="str">
        <f t="shared" si="56"/>
        <v/>
      </c>
    </row>
    <row r="875" spans="1:38" x14ac:dyDescent="0.25">
      <c r="A875" s="8" t="s">
        <v>3530</v>
      </c>
      <c r="B875" s="8" t="s">
        <v>3531</v>
      </c>
      <c r="C875" s="8">
        <v>30900239</v>
      </c>
      <c r="D875" s="8">
        <v>5</v>
      </c>
      <c r="E875" s="11">
        <v>43111</v>
      </c>
      <c r="F875" s="8" t="s">
        <v>58</v>
      </c>
      <c r="G875" s="11">
        <v>43111</v>
      </c>
      <c r="H875" s="8" t="s">
        <v>25</v>
      </c>
      <c r="I875" s="11">
        <v>43111</v>
      </c>
      <c r="J875" s="8" t="s">
        <v>25</v>
      </c>
      <c r="N875" s="8" t="s">
        <v>58</v>
      </c>
      <c r="O875" s="8" t="s">
        <v>59</v>
      </c>
      <c r="P875" s="8" t="s">
        <v>59</v>
      </c>
      <c r="R875" s="8">
        <v>0</v>
      </c>
      <c r="S875" s="8">
        <v>0</v>
      </c>
      <c r="T875" s="8">
        <v>1</v>
      </c>
      <c r="U875" s="8">
        <v>2</v>
      </c>
      <c r="X875" s="8">
        <v>5</v>
      </c>
      <c r="AG875" s="8" t="str">
        <f t="shared" si="53"/>
        <v/>
      </c>
      <c r="AI875" s="8" t="str">
        <f t="shared" si="54"/>
        <v/>
      </c>
      <c r="AJ875" s="8" t="str">
        <f t="shared" si="55"/>
        <v/>
      </c>
      <c r="AL875" s="8" t="str">
        <f t="shared" si="56"/>
        <v/>
      </c>
    </row>
    <row r="876" spans="1:38" x14ac:dyDescent="0.25">
      <c r="A876" s="8" t="s">
        <v>6930</v>
      </c>
      <c r="B876" s="8" t="s">
        <v>6931</v>
      </c>
      <c r="C876" s="8">
        <v>30945294</v>
      </c>
      <c r="D876" s="8">
        <v>5</v>
      </c>
      <c r="E876" s="11">
        <v>43115</v>
      </c>
      <c r="F876" s="8" t="s">
        <v>57</v>
      </c>
      <c r="G876" s="11">
        <v>43115</v>
      </c>
      <c r="H876" s="8" t="s">
        <v>25</v>
      </c>
      <c r="J876" s="8" t="s">
        <v>25</v>
      </c>
      <c r="N876" s="8" t="s">
        <v>58</v>
      </c>
      <c r="O876" s="8" t="s">
        <v>59</v>
      </c>
      <c r="P876" s="8" t="s">
        <v>59</v>
      </c>
      <c r="R876" s="8">
        <v>0</v>
      </c>
      <c r="S876" s="8">
        <v>0</v>
      </c>
      <c r="T876" s="8">
        <v>1</v>
      </c>
      <c r="U876" s="8">
        <v>2</v>
      </c>
      <c r="AG876" s="8" t="str">
        <f t="shared" si="53"/>
        <v/>
      </c>
      <c r="AI876" s="8" t="str">
        <f t="shared" si="54"/>
        <v/>
      </c>
      <c r="AJ876" s="8" t="str">
        <f t="shared" si="55"/>
        <v/>
      </c>
      <c r="AL876" s="8" t="str">
        <f t="shared" si="56"/>
        <v/>
      </c>
    </row>
    <row r="877" spans="1:38" x14ac:dyDescent="0.25">
      <c r="A877" s="8" t="s">
        <v>5042</v>
      </c>
      <c r="B877" s="8" t="s">
        <v>5043</v>
      </c>
      <c r="C877" s="8">
        <v>30900277</v>
      </c>
      <c r="D877" s="8">
        <v>5</v>
      </c>
      <c r="E877" s="11">
        <v>43111</v>
      </c>
      <c r="F877" s="8" t="s">
        <v>58</v>
      </c>
      <c r="G877" s="11">
        <v>43112</v>
      </c>
      <c r="H877" s="8" t="s">
        <v>25</v>
      </c>
      <c r="I877" s="11">
        <v>43112</v>
      </c>
      <c r="J877" s="8" t="s">
        <v>25</v>
      </c>
      <c r="N877" s="8" t="s">
        <v>58</v>
      </c>
      <c r="O877" s="8" t="s">
        <v>59</v>
      </c>
      <c r="P877" s="8" t="s">
        <v>59</v>
      </c>
      <c r="R877" s="8">
        <v>0</v>
      </c>
      <c r="S877" s="8">
        <v>0</v>
      </c>
      <c r="T877" s="8">
        <v>1</v>
      </c>
      <c r="U877" s="8">
        <v>2</v>
      </c>
      <c r="X877" s="8">
        <v>5</v>
      </c>
      <c r="AG877" s="8" t="str">
        <f t="shared" si="53"/>
        <v/>
      </c>
      <c r="AI877" s="8" t="str">
        <f t="shared" si="54"/>
        <v/>
      </c>
      <c r="AJ877" s="8" t="str">
        <f t="shared" si="55"/>
        <v/>
      </c>
      <c r="AL877" s="8" t="str">
        <f t="shared" si="56"/>
        <v/>
      </c>
    </row>
    <row r="878" spans="1:38" x14ac:dyDescent="0.25">
      <c r="A878" s="8" t="s">
        <v>1016</v>
      </c>
      <c r="B878" s="8" t="s">
        <v>1017</v>
      </c>
      <c r="C878" s="8">
        <v>30853589</v>
      </c>
      <c r="D878" s="8">
        <v>5</v>
      </c>
      <c r="E878" s="11">
        <v>43109</v>
      </c>
      <c r="F878" s="8" t="s">
        <v>60</v>
      </c>
      <c r="G878" s="11">
        <v>43109</v>
      </c>
      <c r="H878" s="8" t="s">
        <v>25</v>
      </c>
      <c r="J878" s="8" t="s">
        <v>25</v>
      </c>
      <c r="L878" s="8" t="s">
        <v>3287</v>
      </c>
      <c r="N878" s="8" t="s">
        <v>58</v>
      </c>
      <c r="O878" s="8" t="s">
        <v>59</v>
      </c>
      <c r="P878" s="8" t="s">
        <v>59</v>
      </c>
      <c r="R878" s="8">
        <v>0</v>
      </c>
      <c r="S878" s="8">
        <v>0</v>
      </c>
      <c r="T878" s="8">
        <v>1</v>
      </c>
      <c r="U878" s="8">
        <v>2</v>
      </c>
      <c r="W878" s="8">
        <v>4</v>
      </c>
      <c r="AG878" s="8" t="str">
        <f t="shared" si="53"/>
        <v/>
      </c>
      <c r="AI878" s="8" t="str">
        <f t="shared" si="54"/>
        <v/>
      </c>
      <c r="AJ878" s="8" t="str">
        <f t="shared" si="55"/>
        <v/>
      </c>
      <c r="AL878" s="8" t="str">
        <f t="shared" si="56"/>
        <v/>
      </c>
    </row>
    <row r="879" spans="1:38" x14ac:dyDescent="0.25">
      <c r="A879" s="8" t="s">
        <v>5044</v>
      </c>
      <c r="B879" s="8" t="s">
        <v>1017</v>
      </c>
      <c r="C879" s="8">
        <v>30912666</v>
      </c>
      <c r="D879" s="8">
        <v>5</v>
      </c>
      <c r="E879" s="11">
        <v>43112</v>
      </c>
      <c r="F879" s="8" t="s">
        <v>57</v>
      </c>
      <c r="G879" s="11">
        <v>43112</v>
      </c>
      <c r="H879" s="8" t="s">
        <v>25</v>
      </c>
      <c r="J879" s="8" t="s">
        <v>25</v>
      </c>
      <c r="N879" s="8" t="s">
        <v>58</v>
      </c>
      <c r="O879" s="8" t="s">
        <v>59</v>
      </c>
      <c r="P879" s="8" t="s">
        <v>59</v>
      </c>
      <c r="R879" s="8">
        <v>0</v>
      </c>
      <c r="S879" s="8">
        <v>0</v>
      </c>
      <c r="T879" s="8">
        <v>1</v>
      </c>
      <c r="U879" s="8">
        <v>2</v>
      </c>
      <c r="AG879" s="8" t="str">
        <f t="shared" si="53"/>
        <v/>
      </c>
      <c r="AI879" s="8" t="str">
        <f t="shared" si="54"/>
        <v/>
      </c>
      <c r="AJ879" s="8" t="str">
        <f t="shared" si="55"/>
        <v/>
      </c>
      <c r="AL879" s="8" t="str">
        <f t="shared" si="56"/>
        <v/>
      </c>
    </row>
    <row r="880" spans="1:38" x14ac:dyDescent="0.25">
      <c r="A880" s="8" t="s">
        <v>304</v>
      </c>
      <c r="B880" s="8" t="s">
        <v>26</v>
      </c>
      <c r="C880" s="8">
        <v>30818655</v>
      </c>
      <c r="D880" s="8">
        <v>5</v>
      </c>
      <c r="E880" s="11">
        <v>43108</v>
      </c>
      <c r="F880" s="8" t="s">
        <v>60</v>
      </c>
      <c r="G880" s="11">
        <v>43108</v>
      </c>
      <c r="H880" s="8" t="s">
        <v>25</v>
      </c>
      <c r="J880" s="8" t="s">
        <v>25</v>
      </c>
      <c r="L880" s="8" t="s">
        <v>828</v>
      </c>
      <c r="N880" s="8" t="s">
        <v>58</v>
      </c>
      <c r="O880" s="8" t="s">
        <v>59</v>
      </c>
      <c r="P880" s="8" t="s">
        <v>59</v>
      </c>
      <c r="R880" s="8">
        <v>0</v>
      </c>
      <c r="S880" s="8">
        <v>0</v>
      </c>
      <c r="T880" s="8">
        <v>1</v>
      </c>
      <c r="U880" s="8">
        <v>2</v>
      </c>
      <c r="W880" s="8">
        <v>4</v>
      </c>
      <c r="AG880" s="8" t="str">
        <f t="shared" si="53"/>
        <v/>
      </c>
      <c r="AI880" s="8" t="str">
        <f t="shared" si="54"/>
        <v/>
      </c>
      <c r="AJ880" s="8" t="str">
        <f t="shared" si="55"/>
        <v/>
      </c>
      <c r="AL880" s="8" t="str">
        <f t="shared" si="56"/>
        <v/>
      </c>
    </row>
    <row r="881" spans="1:38" x14ac:dyDescent="0.25">
      <c r="A881" s="8" t="s">
        <v>5045</v>
      </c>
      <c r="B881" s="8" t="s">
        <v>26</v>
      </c>
      <c r="C881" s="8">
        <v>30905028</v>
      </c>
      <c r="D881" s="8">
        <v>5</v>
      </c>
      <c r="E881" s="11">
        <v>43112</v>
      </c>
      <c r="F881" s="8" t="s">
        <v>60</v>
      </c>
      <c r="G881" s="11">
        <v>43112</v>
      </c>
      <c r="H881" s="8" t="s">
        <v>25</v>
      </c>
      <c r="J881" s="8" t="s">
        <v>25</v>
      </c>
      <c r="L881" s="8" t="s">
        <v>4797</v>
      </c>
      <c r="N881" s="8" t="s">
        <v>58</v>
      </c>
      <c r="O881" s="8" t="s">
        <v>59</v>
      </c>
      <c r="P881" s="8" t="s">
        <v>59</v>
      </c>
      <c r="R881" s="8">
        <v>0</v>
      </c>
      <c r="S881" s="8">
        <v>0</v>
      </c>
      <c r="T881" s="8">
        <v>1</v>
      </c>
      <c r="U881" s="8">
        <v>2</v>
      </c>
      <c r="W881" s="8">
        <v>4</v>
      </c>
      <c r="AG881" s="8" t="str">
        <f t="shared" si="53"/>
        <v/>
      </c>
      <c r="AI881" s="8" t="str">
        <f t="shared" si="54"/>
        <v/>
      </c>
      <c r="AJ881" s="8" t="str">
        <f t="shared" si="55"/>
        <v/>
      </c>
      <c r="AL881" s="8" t="str">
        <f t="shared" si="56"/>
        <v/>
      </c>
    </row>
    <row r="882" spans="1:38" x14ac:dyDescent="0.25">
      <c r="A882" s="8" t="s">
        <v>1018</v>
      </c>
      <c r="B882" s="8" t="s">
        <v>1019</v>
      </c>
      <c r="C882" s="8">
        <v>30843507</v>
      </c>
      <c r="D882" s="8">
        <v>5</v>
      </c>
      <c r="E882" s="11">
        <v>43109</v>
      </c>
      <c r="F882" s="8" t="s">
        <v>58</v>
      </c>
      <c r="G882" s="11">
        <v>43109</v>
      </c>
      <c r="H882" s="8" t="s">
        <v>25</v>
      </c>
      <c r="I882" s="11">
        <v>43110</v>
      </c>
      <c r="J882" s="8" t="s">
        <v>25</v>
      </c>
      <c r="N882" s="8" t="s">
        <v>58</v>
      </c>
      <c r="O882" s="8" t="s">
        <v>59</v>
      </c>
      <c r="P882" s="8" t="s">
        <v>59</v>
      </c>
      <c r="R882" s="8">
        <v>0</v>
      </c>
      <c r="S882" s="8">
        <v>0</v>
      </c>
      <c r="T882" s="8">
        <v>1</v>
      </c>
      <c r="U882" s="8">
        <v>2</v>
      </c>
      <c r="X882" s="8">
        <v>5</v>
      </c>
      <c r="AG882" s="8" t="str">
        <f t="shared" si="53"/>
        <v/>
      </c>
      <c r="AI882" s="8" t="str">
        <f t="shared" si="54"/>
        <v/>
      </c>
      <c r="AJ882" s="8" t="str">
        <f t="shared" si="55"/>
        <v/>
      </c>
      <c r="AL882" s="8" t="str">
        <f t="shared" si="56"/>
        <v/>
      </c>
    </row>
    <row r="883" spans="1:38" x14ac:dyDescent="0.25">
      <c r="A883" s="8" t="s">
        <v>3532</v>
      </c>
      <c r="B883" s="8" t="s">
        <v>3533</v>
      </c>
      <c r="C883" s="8">
        <v>30892374</v>
      </c>
      <c r="D883" s="8">
        <v>5</v>
      </c>
      <c r="E883" s="11">
        <v>43111</v>
      </c>
      <c r="F883" s="8" t="s">
        <v>58</v>
      </c>
      <c r="G883" s="11">
        <v>43111</v>
      </c>
      <c r="H883" s="8" t="s">
        <v>25</v>
      </c>
      <c r="I883" s="11">
        <v>43112</v>
      </c>
      <c r="J883" s="8" t="s">
        <v>25</v>
      </c>
      <c r="N883" s="8" t="s">
        <v>58</v>
      </c>
      <c r="O883" s="8" t="s">
        <v>59</v>
      </c>
      <c r="P883" s="8" t="s">
        <v>59</v>
      </c>
      <c r="R883" s="8">
        <v>0</v>
      </c>
      <c r="S883" s="8">
        <v>0</v>
      </c>
      <c r="T883" s="8">
        <v>1</v>
      </c>
      <c r="U883" s="8">
        <v>2</v>
      </c>
      <c r="X883" s="8">
        <v>5</v>
      </c>
      <c r="AG883" s="8" t="str">
        <f t="shared" si="53"/>
        <v/>
      </c>
      <c r="AI883" s="8" t="str">
        <f t="shared" si="54"/>
        <v/>
      </c>
      <c r="AJ883" s="8" t="str">
        <f t="shared" si="55"/>
        <v/>
      </c>
      <c r="AL883" s="8" t="str">
        <f t="shared" si="56"/>
        <v/>
      </c>
    </row>
    <row r="884" spans="1:38" x14ac:dyDescent="0.25">
      <c r="A884" s="8" t="s">
        <v>6932</v>
      </c>
      <c r="B884" s="8" t="s">
        <v>6933</v>
      </c>
      <c r="C884" s="8">
        <v>30947062</v>
      </c>
      <c r="D884" s="8">
        <v>5</v>
      </c>
      <c r="E884" s="11">
        <v>43115</v>
      </c>
      <c r="F884" s="8" t="s">
        <v>57</v>
      </c>
      <c r="G884" s="11">
        <v>43115</v>
      </c>
      <c r="H884" s="8" t="s">
        <v>25</v>
      </c>
      <c r="J884" s="8" t="s">
        <v>25</v>
      </c>
      <c r="N884" s="8" t="s">
        <v>58</v>
      </c>
      <c r="O884" s="8" t="s">
        <v>59</v>
      </c>
      <c r="P884" s="8" t="s">
        <v>59</v>
      </c>
      <c r="R884" s="8">
        <v>0</v>
      </c>
      <c r="S884" s="8">
        <v>0</v>
      </c>
      <c r="T884" s="8">
        <v>1</v>
      </c>
      <c r="U884" s="8">
        <v>2</v>
      </c>
      <c r="AG884" s="8" t="str">
        <f t="shared" si="53"/>
        <v/>
      </c>
      <c r="AI884" s="8" t="str">
        <f t="shared" si="54"/>
        <v/>
      </c>
      <c r="AJ884" s="8" t="str">
        <f t="shared" si="55"/>
        <v/>
      </c>
      <c r="AL884" s="8" t="str">
        <f t="shared" si="56"/>
        <v/>
      </c>
    </row>
    <row r="885" spans="1:38" x14ac:dyDescent="0.25">
      <c r="A885" s="8" t="s">
        <v>6934</v>
      </c>
      <c r="B885" s="8" t="s">
        <v>6935</v>
      </c>
      <c r="C885" s="8">
        <v>30938979</v>
      </c>
      <c r="D885" s="8">
        <v>5</v>
      </c>
      <c r="E885" s="11">
        <v>43115</v>
      </c>
      <c r="F885" s="8" t="s">
        <v>57</v>
      </c>
      <c r="G885" s="11">
        <v>43115</v>
      </c>
      <c r="H885" s="8" t="s">
        <v>25</v>
      </c>
      <c r="J885" s="8" t="s">
        <v>25</v>
      </c>
      <c r="N885" s="8" t="s">
        <v>58</v>
      </c>
      <c r="O885" s="8" t="s">
        <v>59</v>
      </c>
      <c r="P885" s="8" t="s">
        <v>59</v>
      </c>
      <c r="R885" s="8">
        <v>0</v>
      </c>
      <c r="S885" s="8">
        <v>0</v>
      </c>
      <c r="T885" s="8">
        <v>1</v>
      </c>
      <c r="U885" s="8">
        <v>2</v>
      </c>
      <c r="AG885" s="8" t="str">
        <f t="shared" si="53"/>
        <v/>
      </c>
      <c r="AI885" s="8" t="str">
        <f t="shared" si="54"/>
        <v/>
      </c>
      <c r="AJ885" s="8" t="str">
        <f t="shared" si="55"/>
        <v/>
      </c>
      <c r="AL885" s="8" t="str">
        <f t="shared" si="56"/>
        <v/>
      </c>
    </row>
    <row r="886" spans="1:38" x14ac:dyDescent="0.25">
      <c r="A886" s="8" t="s">
        <v>6936</v>
      </c>
      <c r="B886" s="8" t="s">
        <v>6937</v>
      </c>
      <c r="C886" s="8">
        <v>30944010</v>
      </c>
      <c r="D886" s="8">
        <v>5</v>
      </c>
      <c r="E886" s="11">
        <v>43115</v>
      </c>
      <c r="F886" s="8" t="s">
        <v>58</v>
      </c>
      <c r="G886" s="11">
        <v>43115</v>
      </c>
      <c r="H886" s="8" t="s">
        <v>25</v>
      </c>
      <c r="I886" s="11">
        <v>43115</v>
      </c>
      <c r="J886" s="8" t="s">
        <v>25</v>
      </c>
      <c r="N886" s="8" t="s">
        <v>58</v>
      </c>
      <c r="O886" s="8" t="s">
        <v>59</v>
      </c>
      <c r="P886" s="8" t="s">
        <v>59</v>
      </c>
      <c r="R886" s="8">
        <v>0</v>
      </c>
      <c r="S886" s="8">
        <v>0</v>
      </c>
      <c r="T886" s="8">
        <v>1</v>
      </c>
      <c r="U886" s="8">
        <v>2</v>
      </c>
      <c r="X886" s="8">
        <v>5</v>
      </c>
      <c r="Y886" s="8">
        <v>6</v>
      </c>
      <c r="Z886" s="8">
        <v>7</v>
      </c>
      <c r="AG886" s="8" t="str">
        <f t="shared" si="53"/>
        <v/>
      </c>
      <c r="AI886" s="8" t="str">
        <f t="shared" si="54"/>
        <v/>
      </c>
      <c r="AJ886" s="8" t="str">
        <f t="shared" si="55"/>
        <v/>
      </c>
      <c r="AL886" s="8" t="str">
        <f t="shared" si="56"/>
        <v/>
      </c>
    </row>
    <row r="887" spans="1:38" x14ac:dyDescent="0.25">
      <c r="A887" s="8" t="s">
        <v>6938</v>
      </c>
      <c r="B887" s="8" t="s">
        <v>6939</v>
      </c>
      <c r="C887" s="8">
        <v>30939645</v>
      </c>
      <c r="D887" s="8">
        <v>5</v>
      </c>
      <c r="E887" s="11">
        <v>43115</v>
      </c>
      <c r="F887" s="8" t="s">
        <v>57</v>
      </c>
      <c r="G887" s="11">
        <v>43115</v>
      </c>
      <c r="H887" s="8" t="s">
        <v>25</v>
      </c>
      <c r="J887" s="8" t="s">
        <v>25</v>
      </c>
      <c r="N887" s="8" t="s">
        <v>58</v>
      </c>
      <c r="O887" s="8" t="s">
        <v>59</v>
      </c>
      <c r="P887" s="8" t="s">
        <v>59</v>
      </c>
      <c r="R887" s="8">
        <v>0</v>
      </c>
      <c r="S887" s="8">
        <v>0</v>
      </c>
      <c r="T887" s="8">
        <v>1</v>
      </c>
      <c r="U887" s="8">
        <v>2</v>
      </c>
      <c r="AG887" s="8" t="str">
        <f t="shared" si="53"/>
        <v/>
      </c>
      <c r="AI887" s="8" t="str">
        <f t="shared" si="54"/>
        <v/>
      </c>
      <c r="AJ887" s="8" t="str">
        <f t="shared" si="55"/>
        <v/>
      </c>
      <c r="AL887" s="8" t="str">
        <f t="shared" si="56"/>
        <v/>
      </c>
    </row>
    <row r="888" spans="1:38" x14ac:dyDescent="0.25">
      <c r="A888" s="8" t="s">
        <v>6940</v>
      </c>
      <c r="B888" s="8" t="s">
        <v>6941</v>
      </c>
      <c r="C888" s="8">
        <v>30943982</v>
      </c>
      <c r="D888" s="8">
        <v>5</v>
      </c>
      <c r="E888" s="11">
        <v>43115</v>
      </c>
      <c r="F888" s="8" t="s">
        <v>61</v>
      </c>
      <c r="G888" s="11">
        <v>43115</v>
      </c>
      <c r="H888" s="8" t="s">
        <v>25</v>
      </c>
      <c r="J888" s="8" t="s">
        <v>25</v>
      </c>
      <c r="K888" s="11">
        <v>43115</v>
      </c>
      <c r="N888" s="8" t="s">
        <v>58</v>
      </c>
      <c r="O888" s="8" t="s">
        <v>59</v>
      </c>
      <c r="P888" s="8" t="s">
        <v>59</v>
      </c>
      <c r="R888" s="8">
        <v>0</v>
      </c>
      <c r="S888" s="8">
        <v>0</v>
      </c>
      <c r="T888" s="8">
        <v>1</v>
      </c>
      <c r="U888" s="8">
        <v>2</v>
      </c>
      <c r="Y888" s="8">
        <v>6</v>
      </c>
      <c r="Z888" s="8">
        <v>7</v>
      </c>
      <c r="AG888" s="8" t="str">
        <f t="shared" si="53"/>
        <v/>
      </c>
      <c r="AI888" s="8" t="str">
        <f t="shared" si="54"/>
        <v/>
      </c>
      <c r="AJ888" s="8" t="str">
        <f t="shared" si="55"/>
        <v/>
      </c>
      <c r="AL888" s="8" t="str">
        <f t="shared" si="56"/>
        <v/>
      </c>
    </row>
    <row r="889" spans="1:38" x14ac:dyDescent="0.25">
      <c r="A889" s="8" t="s">
        <v>6942</v>
      </c>
      <c r="B889" s="8" t="s">
        <v>6943</v>
      </c>
      <c r="C889" s="8">
        <v>30943958</v>
      </c>
      <c r="D889" s="8">
        <v>5</v>
      </c>
      <c r="E889" s="11">
        <v>43115</v>
      </c>
      <c r="F889" s="8" t="s">
        <v>61</v>
      </c>
      <c r="G889" s="11">
        <v>43115</v>
      </c>
      <c r="H889" s="8" t="s">
        <v>25</v>
      </c>
      <c r="J889" s="8" t="s">
        <v>25</v>
      </c>
      <c r="K889" s="11">
        <v>43115</v>
      </c>
      <c r="N889" s="8" t="s">
        <v>58</v>
      </c>
      <c r="O889" s="8" t="s">
        <v>59</v>
      </c>
      <c r="P889" s="8" t="s">
        <v>59</v>
      </c>
      <c r="R889" s="8">
        <v>0</v>
      </c>
      <c r="S889" s="8">
        <v>0</v>
      </c>
      <c r="T889" s="8">
        <v>1</v>
      </c>
      <c r="U889" s="8">
        <v>2</v>
      </c>
      <c r="Y889" s="8">
        <v>6</v>
      </c>
      <c r="Z889" s="8">
        <v>7</v>
      </c>
      <c r="AG889" s="8" t="str">
        <f t="shared" si="53"/>
        <v/>
      </c>
      <c r="AI889" s="8" t="str">
        <f t="shared" si="54"/>
        <v/>
      </c>
      <c r="AJ889" s="8" t="str">
        <f t="shared" si="55"/>
        <v/>
      </c>
      <c r="AL889" s="8" t="str">
        <f t="shared" si="56"/>
        <v/>
      </c>
    </row>
    <row r="890" spans="1:38" x14ac:dyDescent="0.25">
      <c r="A890" s="8" t="s">
        <v>6944</v>
      </c>
      <c r="B890" s="8" t="s">
        <v>6945</v>
      </c>
      <c r="C890" s="8">
        <v>30943934</v>
      </c>
      <c r="D890" s="8">
        <v>5</v>
      </c>
      <c r="E890" s="11">
        <v>43115</v>
      </c>
      <c r="F890" s="8" t="s">
        <v>61</v>
      </c>
      <c r="G890" s="11">
        <v>43115</v>
      </c>
      <c r="H890" s="8" t="s">
        <v>25</v>
      </c>
      <c r="J890" s="8" t="s">
        <v>25</v>
      </c>
      <c r="K890" s="11">
        <v>43115</v>
      </c>
      <c r="N890" s="8" t="s">
        <v>58</v>
      </c>
      <c r="O890" s="8" t="s">
        <v>59</v>
      </c>
      <c r="P890" s="8" t="s">
        <v>59</v>
      </c>
      <c r="R890" s="8">
        <v>0</v>
      </c>
      <c r="S890" s="8">
        <v>0</v>
      </c>
      <c r="T890" s="8">
        <v>1</v>
      </c>
      <c r="U890" s="8">
        <v>2</v>
      </c>
      <c r="Y890" s="8">
        <v>6</v>
      </c>
      <c r="Z890" s="8">
        <v>7</v>
      </c>
      <c r="AG890" s="8" t="str">
        <f t="shared" si="53"/>
        <v/>
      </c>
      <c r="AI890" s="8" t="str">
        <f t="shared" si="54"/>
        <v/>
      </c>
      <c r="AJ890" s="8" t="str">
        <f t="shared" si="55"/>
        <v/>
      </c>
      <c r="AL890" s="8" t="str">
        <f t="shared" si="56"/>
        <v/>
      </c>
    </row>
    <row r="891" spans="1:38" x14ac:dyDescent="0.25">
      <c r="A891" s="8" t="s">
        <v>3534</v>
      </c>
      <c r="B891" s="8" t="s">
        <v>3535</v>
      </c>
      <c r="C891" s="8">
        <v>30893791</v>
      </c>
      <c r="D891" s="8">
        <v>5</v>
      </c>
      <c r="E891" s="11">
        <v>43111</v>
      </c>
      <c r="F891" s="8" t="s">
        <v>58</v>
      </c>
      <c r="G891" s="11">
        <v>43111</v>
      </c>
      <c r="H891" s="8" t="s">
        <v>25</v>
      </c>
      <c r="I891" s="11">
        <v>43111</v>
      </c>
      <c r="J891" s="8" t="s">
        <v>25</v>
      </c>
      <c r="N891" s="8" t="s">
        <v>58</v>
      </c>
      <c r="O891" s="8" t="s">
        <v>59</v>
      </c>
      <c r="P891" s="8" t="s">
        <v>59</v>
      </c>
      <c r="R891" s="8">
        <v>0</v>
      </c>
      <c r="S891" s="8">
        <v>0</v>
      </c>
      <c r="T891" s="8">
        <v>1</v>
      </c>
      <c r="U891" s="8">
        <v>2</v>
      </c>
      <c r="X891" s="8">
        <v>5</v>
      </c>
      <c r="AG891" s="8" t="str">
        <f t="shared" si="53"/>
        <v/>
      </c>
      <c r="AI891" s="8" t="str">
        <f t="shared" si="54"/>
        <v/>
      </c>
      <c r="AJ891" s="8" t="str">
        <f t="shared" si="55"/>
        <v/>
      </c>
      <c r="AL891" s="8" t="str">
        <f t="shared" si="56"/>
        <v/>
      </c>
    </row>
    <row r="892" spans="1:38" x14ac:dyDescent="0.25">
      <c r="A892" s="8" t="s">
        <v>305</v>
      </c>
      <c r="B892" s="8" t="s">
        <v>306</v>
      </c>
      <c r="C892" s="8">
        <v>30813363</v>
      </c>
      <c r="D892" s="8">
        <v>5</v>
      </c>
      <c r="E892" s="11">
        <v>43108</v>
      </c>
      <c r="F892" s="8" t="s">
        <v>58</v>
      </c>
      <c r="G892" s="11">
        <v>43108</v>
      </c>
      <c r="H892" s="8" t="s">
        <v>25</v>
      </c>
      <c r="I892" s="11">
        <v>43110</v>
      </c>
      <c r="J892" s="8" t="s">
        <v>25</v>
      </c>
      <c r="N892" s="8" t="s">
        <v>58</v>
      </c>
      <c r="O892" s="8" t="s">
        <v>59</v>
      </c>
      <c r="P892" s="8" t="s">
        <v>59</v>
      </c>
      <c r="R892" s="8">
        <v>0</v>
      </c>
      <c r="S892" s="8">
        <v>0</v>
      </c>
      <c r="T892" s="8">
        <v>1</v>
      </c>
      <c r="U892" s="8">
        <v>2</v>
      </c>
      <c r="X892" s="8">
        <v>5</v>
      </c>
      <c r="AG892" s="8" t="str">
        <f t="shared" si="53"/>
        <v/>
      </c>
      <c r="AI892" s="8" t="str">
        <f t="shared" si="54"/>
        <v/>
      </c>
      <c r="AJ892" s="8" t="str">
        <f t="shared" si="55"/>
        <v/>
      </c>
      <c r="AL892" s="8" t="str">
        <f t="shared" si="56"/>
        <v/>
      </c>
    </row>
    <row r="893" spans="1:38" x14ac:dyDescent="0.25">
      <c r="A893" s="8" t="s">
        <v>3536</v>
      </c>
      <c r="B893" s="8" t="s">
        <v>3537</v>
      </c>
      <c r="C893" s="8">
        <v>30899073</v>
      </c>
      <c r="D893" s="8">
        <v>5</v>
      </c>
      <c r="E893" s="11">
        <v>43111</v>
      </c>
      <c r="F893" s="8" t="s">
        <v>58</v>
      </c>
      <c r="G893" s="11">
        <v>43111</v>
      </c>
      <c r="H893" s="8" t="s">
        <v>25</v>
      </c>
      <c r="I893" s="11">
        <v>43111</v>
      </c>
      <c r="J893" s="8" t="s">
        <v>25</v>
      </c>
      <c r="N893" s="8" t="s">
        <v>58</v>
      </c>
      <c r="O893" s="8" t="s">
        <v>59</v>
      </c>
      <c r="P893" s="8" t="s">
        <v>59</v>
      </c>
      <c r="R893" s="8">
        <v>0</v>
      </c>
      <c r="S893" s="8">
        <v>0</v>
      </c>
      <c r="T893" s="8">
        <v>1</v>
      </c>
      <c r="U893" s="8">
        <v>2</v>
      </c>
      <c r="X893" s="8">
        <v>5</v>
      </c>
      <c r="AG893" s="8" t="str">
        <f t="shared" si="53"/>
        <v/>
      </c>
      <c r="AI893" s="8" t="str">
        <f t="shared" si="54"/>
        <v/>
      </c>
      <c r="AJ893" s="8" t="str">
        <f t="shared" si="55"/>
        <v/>
      </c>
      <c r="AL893" s="8" t="str">
        <f t="shared" si="56"/>
        <v/>
      </c>
    </row>
    <row r="894" spans="1:38" x14ac:dyDescent="0.25">
      <c r="A894" s="8" t="s">
        <v>1952</v>
      </c>
      <c r="B894" s="8" t="s">
        <v>1953</v>
      </c>
      <c r="C894" s="8">
        <v>30874975</v>
      </c>
      <c r="D894" s="8">
        <v>5</v>
      </c>
      <c r="E894" s="11">
        <v>43110</v>
      </c>
      <c r="F894" s="8" t="s">
        <v>58</v>
      </c>
      <c r="G894" s="11">
        <v>43110</v>
      </c>
      <c r="H894" s="8" t="s">
        <v>25</v>
      </c>
      <c r="I894" s="11">
        <v>43111</v>
      </c>
      <c r="J894" s="8" t="s">
        <v>25</v>
      </c>
      <c r="N894" s="8" t="s">
        <v>58</v>
      </c>
      <c r="O894" s="8" t="s">
        <v>59</v>
      </c>
      <c r="P894" s="8" t="s">
        <v>59</v>
      </c>
      <c r="R894" s="8">
        <v>0</v>
      </c>
      <c r="S894" s="8">
        <v>0</v>
      </c>
      <c r="T894" s="8">
        <v>1</v>
      </c>
      <c r="U894" s="8">
        <v>2</v>
      </c>
      <c r="X894" s="8">
        <v>5</v>
      </c>
      <c r="AG894" s="8" t="str">
        <f t="shared" si="53"/>
        <v/>
      </c>
      <c r="AI894" s="8" t="str">
        <f t="shared" si="54"/>
        <v/>
      </c>
      <c r="AJ894" s="8" t="str">
        <f t="shared" si="55"/>
        <v/>
      </c>
      <c r="AL894" s="8" t="str">
        <f t="shared" si="56"/>
        <v/>
      </c>
    </row>
    <row r="895" spans="1:38" x14ac:dyDescent="0.25">
      <c r="A895" s="8" t="s">
        <v>5046</v>
      </c>
      <c r="B895" s="8" t="s">
        <v>5047</v>
      </c>
      <c r="C895" s="8">
        <v>30889819</v>
      </c>
      <c r="D895" s="8">
        <v>5</v>
      </c>
      <c r="E895" s="11">
        <v>43111</v>
      </c>
      <c r="F895" s="8" t="s">
        <v>57</v>
      </c>
      <c r="G895" s="11">
        <v>43112</v>
      </c>
      <c r="H895" s="8" t="s">
        <v>25</v>
      </c>
      <c r="J895" s="8" t="s">
        <v>25</v>
      </c>
      <c r="N895" s="8" t="s">
        <v>58</v>
      </c>
      <c r="O895" s="8" t="s">
        <v>59</v>
      </c>
      <c r="P895" s="8" t="s">
        <v>59</v>
      </c>
      <c r="R895" s="8">
        <v>0</v>
      </c>
      <c r="S895" s="8">
        <v>0</v>
      </c>
      <c r="T895" s="8">
        <v>1</v>
      </c>
      <c r="U895" s="8">
        <v>2</v>
      </c>
      <c r="AG895" s="8" t="str">
        <f t="shared" si="53"/>
        <v/>
      </c>
      <c r="AI895" s="8" t="str">
        <f t="shared" si="54"/>
        <v/>
      </c>
      <c r="AJ895" s="8" t="str">
        <f t="shared" si="55"/>
        <v/>
      </c>
      <c r="AL895" s="8" t="str">
        <f t="shared" si="56"/>
        <v/>
      </c>
    </row>
    <row r="896" spans="1:38" x14ac:dyDescent="0.25">
      <c r="A896" s="8" t="s">
        <v>307</v>
      </c>
      <c r="B896" s="8" t="s">
        <v>308</v>
      </c>
      <c r="C896" s="8">
        <v>30808128</v>
      </c>
      <c r="D896" s="8">
        <v>5</v>
      </c>
      <c r="E896" s="11">
        <v>43108</v>
      </c>
      <c r="F896" s="8" t="s">
        <v>58</v>
      </c>
      <c r="G896" s="11">
        <v>43108</v>
      </c>
      <c r="H896" s="8" t="s">
        <v>25</v>
      </c>
      <c r="I896" s="11">
        <v>43109</v>
      </c>
      <c r="J896" s="8" t="s">
        <v>25</v>
      </c>
      <c r="N896" s="8" t="s">
        <v>58</v>
      </c>
      <c r="O896" s="8" t="s">
        <v>59</v>
      </c>
      <c r="P896" s="8" t="s">
        <v>59</v>
      </c>
      <c r="R896" s="8">
        <v>0</v>
      </c>
      <c r="S896" s="8">
        <v>0</v>
      </c>
      <c r="T896" s="8">
        <v>1</v>
      </c>
      <c r="U896" s="8">
        <v>2</v>
      </c>
      <c r="X896" s="8">
        <v>5</v>
      </c>
      <c r="AG896" s="8" t="str">
        <f t="shared" si="53"/>
        <v/>
      </c>
      <c r="AI896" s="8" t="str">
        <f t="shared" si="54"/>
        <v/>
      </c>
      <c r="AJ896" s="8" t="str">
        <f t="shared" si="55"/>
        <v/>
      </c>
      <c r="AL896" s="8" t="str">
        <f t="shared" si="56"/>
        <v/>
      </c>
    </row>
    <row r="897" spans="1:38" x14ac:dyDescent="0.25">
      <c r="A897" s="8" t="s">
        <v>3538</v>
      </c>
      <c r="B897" s="8" t="s">
        <v>3539</v>
      </c>
      <c r="C897" s="8">
        <v>30901443</v>
      </c>
      <c r="D897" s="8">
        <v>5</v>
      </c>
      <c r="E897" s="11">
        <v>43111</v>
      </c>
      <c r="F897" s="8" t="s">
        <v>58</v>
      </c>
      <c r="G897" s="11">
        <v>43111</v>
      </c>
      <c r="H897" s="8" t="s">
        <v>25</v>
      </c>
      <c r="I897" s="11">
        <v>43111</v>
      </c>
      <c r="J897" s="8" t="s">
        <v>25</v>
      </c>
      <c r="N897" s="8" t="s">
        <v>58</v>
      </c>
      <c r="O897" s="8" t="s">
        <v>59</v>
      </c>
      <c r="P897" s="8" t="s">
        <v>59</v>
      </c>
      <c r="R897" s="8">
        <v>0</v>
      </c>
      <c r="S897" s="8">
        <v>0</v>
      </c>
      <c r="T897" s="8">
        <v>1</v>
      </c>
      <c r="U897" s="8">
        <v>2</v>
      </c>
      <c r="X897" s="8">
        <v>5</v>
      </c>
      <c r="AG897" s="8" t="str">
        <f t="shared" si="53"/>
        <v/>
      </c>
      <c r="AI897" s="8" t="str">
        <f t="shared" si="54"/>
        <v/>
      </c>
      <c r="AJ897" s="8" t="str">
        <f t="shared" si="55"/>
        <v/>
      </c>
      <c r="AL897" s="8" t="str">
        <f t="shared" si="56"/>
        <v/>
      </c>
    </row>
    <row r="898" spans="1:38" x14ac:dyDescent="0.25">
      <c r="A898" s="8" t="s">
        <v>1954</v>
      </c>
      <c r="B898" s="8" t="s">
        <v>1955</v>
      </c>
      <c r="C898" s="8">
        <v>30870181</v>
      </c>
      <c r="D898" s="8">
        <v>5</v>
      </c>
      <c r="E898" s="11">
        <v>43110</v>
      </c>
      <c r="F898" s="8" t="s">
        <v>58</v>
      </c>
      <c r="G898" s="11">
        <v>43110</v>
      </c>
      <c r="H898" s="8" t="s">
        <v>25</v>
      </c>
      <c r="I898" s="11">
        <v>43112</v>
      </c>
      <c r="J898" s="8" t="s">
        <v>25</v>
      </c>
      <c r="N898" s="8" t="s">
        <v>58</v>
      </c>
      <c r="O898" s="8" t="s">
        <v>59</v>
      </c>
      <c r="P898" s="8" t="s">
        <v>59</v>
      </c>
      <c r="R898" s="8">
        <v>0</v>
      </c>
      <c r="S898" s="8">
        <v>0</v>
      </c>
      <c r="T898" s="8">
        <v>1</v>
      </c>
      <c r="U898" s="8">
        <v>2</v>
      </c>
      <c r="X898" s="8">
        <v>5</v>
      </c>
      <c r="AG898" s="8" t="str">
        <f t="shared" si="53"/>
        <v/>
      </c>
      <c r="AI898" s="8" t="str">
        <f t="shared" si="54"/>
        <v/>
      </c>
      <c r="AJ898" s="8" t="str">
        <f t="shared" si="55"/>
        <v/>
      </c>
      <c r="AL898" s="8" t="str">
        <f t="shared" si="56"/>
        <v/>
      </c>
    </row>
    <row r="899" spans="1:38" x14ac:dyDescent="0.25">
      <c r="A899" s="8" t="s">
        <v>5048</v>
      </c>
      <c r="B899" s="8" t="s">
        <v>5049</v>
      </c>
      <c r="C899" s="8">
        <v>30882208</v>
      </c>
      <c r="D899" s="8">
        <v>5</v>
      </c>
      <c r="E899" s="11">
        <v>43111</v>
      </c>
      <c r="F899" s="8" t="s">
        <v>57</v>
      </c>
      <c r="G899" s="11">
        <v>43112</v>
      </c>
      <c r="H899" s="8" t="s">
        <v>25</v>
      </c>
      <c r="J899" s="8" t="s">
        <v>25</v>
      </c>
      <c r="N899" s="8" t="s">
        <v>58</v>
      </c>
      <c r="O899" s="8" t="s">
        <v>59</v>
      </c>
      <c r="P899" s="8" t="s">
        <v>59</v>
      </c>
      <c r="R899" s="8">
        <v>0</v>
      </c>
      <c r="S899" s="8">
        <v>0</v>
      </c>
      <c r="T899" s="8">
        <v>1</v>
      </c>
      <c r="U899" s="8">
        <v>2</v>
      </c>
      <c r="AG899" s="8" t="str">
        <f t="shared" ref="AG899:AG962" si="57">IF(AND(U899="",G899&lt;&gt;"",NOT(OR(R899,S899))),IF(NETWORKDAYS.INTL(G899,TODAY(),11)&lt;5,"En Plazo",IF(NETWORKDAYS.INTL(G899,TODAY(),11)=5,"Riesgo Incumplimiento","FALTA_02")),"")</f>
        <v/>
      </c>
      <c r="AI899" s="8" t="str">
        <f t="shared" ref="AI899:AI962" si="58">IF(AND(O899&lt;&gt;"B1",F899="Rejected"),IF(W899="","FALTA_04",""),"")</f>
        <v/>
      </c>
      <c r="AJ899" s="8" t="str">
        <f t="shared" ref="AJ899:AJ962" si="59">IF(AND(X899="",I899&lt;&gt;"",NOT(OR(R899,S899))),IF(NETWORKDAYS.INTL(G899,TODAY(),11)&lt;=1,"En Plazo",IF(OR(AND(X899="",O899&lt;&gt;"M1"),AND(O899="M1",(OR(Q899="S - S",Q899="S - T",)))),"FALTA_05","")),"")</f>
        <v/>
      </c>
      <c r="AL899" s="8" t="str">
        <f t="shared" ref="AL899:AL962" si="60">IF(AND(O899="B1",F899="Rejected"),IF(Z899="","FALTA_07",""),"")</f>
        <v/>
      </c>
    </row>
    <row r="900" spans="1:38" x14ac:dyDescent="0.25">
      <c r="A900" s="8" t="s">
        <v>1956</v>
      </c>
      <c r="B900" s="8" t="s">
        <v>1957</v>
      </c>
      <c r="C900" s="8">
        <v>30875496</v>
      </c>
      <c r="D900" s="8">
        <v>5</v>
      </c>
      <c r="E900" s="11">
        <v>43110</v>
      </c>
      <c r="F900" s="8" t="s">
        <v>58</v>
      </c>
      <c r="G900" s="11">
        <v>43110</v>
      </c>
      <c r="H900" s="8" t="s">
        <v>25</v>
      </c>
      <c r="I900" s="11">
        <v>43110</v>
      </c>
      <c r="J900" s="8" t="s">
        <v>25</v>
      </c>
      <c r="N900" s="8" t="s">
        <v>58</v>
      </c>
      <c r="O900" s="8" t="s">
        <v>59</v>
      </c>
      <c r="P900" s="8" t="s">
        <v>59</v>
      </c>
      <c r="R900" s="8">
        <v>0</v>
      </c>
      <c r="S900" s="8">
        <v>0</v>
      </c>
      <c r="T900" s="8">
        <v>1</v>
      </c>
      <c r="U900" s="8">
        <v>2</v>
      </c>
      <c r="X900" s="8">
        <v>5</v>
      </c>
      <c r="Y900" s="8">
        <v>6</v>
      </c>
      <c r="AG900" s="8" t="str">
        <f t="shared" si="57"/>
        <v/>
      </c>
      <c r="AI900" s="8" t="str">
        <f t="shared" si="58"/>
        <v/>
      </c>
      <c r="AJ900" s="8" t="str">
        <f t="shared" si="59"/>
        <v/>
      </c>
      <c r="AL900" s="8" t="str">
        <f t="shared" si="60"/>
        <v/>
      </c>
    </row>
    <row r="901" spans="1:38" x14ac:dyDescent="0.25">
      <c r="A901" s="8" t="s">
        <v>309</v>
      </c>
      <c r="B901" s="8" t="s">
        <v>310</v>
      </c>
      <c r="C901" s="8">
        <v>30827335</v>
      </c>
      <c r="D901" s="8">
        <v>5</v>
      </c>
      <c r="E901" s="11">
        <v>43108</v>
      </c>
      <c r="F901" s="8" t="s">
        <v>58</v>
      </c>
      <c r="G901" s="11">
        <v>43108</v>
      </c>
      <c r="H901" s="8" t="s">
        <v>25</v>
      </c>
      <c r="I901" s="11">
        <v>43108</v>
      </c>
      <c r="J901" s="8" t="s">
        <v>25</v>
      </c>
      <c r="N901" s="8" t="s">
        <v>58</v>
      </c>
      <c r="O901" s="8" t="s">
        <v>59</v>
      </c>
      <c r="P901" s="8" t="s">
        <v>59</v>
      </c>
      <c r="R901" s="8">
        <v>0</v>
      </c>
      <c r="S901" s="8">
        <v>0</v>
      </c>
      <c r="T901" s="8">
        <v>1</v>
      </c>
      <c r="U901" s="8">
        <v>2</v>
      </c>
      <c r="X901" s="8">
        <v>5</v>
      </c>
      <c r="AG901" s="8" t="str">
        <f t="shared" si="57"/>
        <v/>
      </c>
      <c r="AI901" s="8" t="str">
        <f t="shared" si="58"/>
        <v/>
      </c>
      <c r="AJ901" s="8" t="str">
        <f t="shared" si="59"/>
        <v/>
      </c>
      <c r="AL901" s="8" t="str">
        <f t="shared" si="60"/>
        <v/>
      </c>
    </row>
    <row r="902" spans="1:38" x14ac:dyDescent="0.25">
      <c r="A902" s="8" t="s">
        <v>3540</v>
      </c>
      <c r="B902" s="8" t="s">
        <v>3541</v>
      </c>
      <c r="C902" s="8">
        <v>30849152</v>
      </c>
      <c r="D902" s="8">
        <v>5</v>
      </c>
      <c r="E902" s="11">
        <v>43109</v>
      </c>
      <c r="F902" s="8" t="s">
        <v>58</v>
      </c>
      <c r="G902" s="11">
        <v>43111</v>
      </c>
      <c r="H902" s="8" t="s">
        <v>25</v>
      </c>
      <c r="I902" s="11">
        <v>43112</v>
      </c>
      <c r="J902" s="8" t="s">
        <v>25</v>
      </c>
      <c r="N902" s="8" t="s">
        <v>58</v>
      </c>
      <c r="O902" s="8" t="s">
        <v>59</v>
      </c>
      <c r="P902" s="8" t="s">
        <v>59</v>
      </c>
      <c r="R902" s="8">
        <v>0</v>
      </c>
      <c r="S902" s="8">
        <v>0</v>
      </c>
      <c r="T902" s="8">
        <v>1</v>
      </c>
      <c r="U902" s="8">
        <v>2</v>
      </c>
      <c r="X902" s="8">
        <v>5</v>
      </c>
      <c r="AG902" s="8" t="str">
        <f t="shared" si="57"/>
        <v/>
      </c>
      <c r="AI902" s="8" t="str">
        <f t="shared" si="58"/>
        <v/>
      </c>
      <c r="AJ902" s="8" t="str">
        <f t="shared" si="59"/>
        <v/>
      </c>
      <c r="AL902" s="8" t="str">
        <f t="shared" si="60"/>
        <v/>
      </c>
    </row>
    <row r="903" spans="1:38" x14ac:dyDescent="0.25">
      <c r="A903" s="8" t="s">
        <v>3542</v>
      </c>
      <c r="B903" s="8" t="s">
        <v>3543</v>
      </c>
      <c r="C903" s="8">
        <v>30889610</v>
      </c>
      <c r="D903" s="8">
        <v>5</v>
      </c>
      <c r="E903" s="11">
        <v>43111</v>
      </c>
      <c r="F903" s="8" t="s">
        <v>58</v>
      </c>
      <c r="G903" s="11">
        <v>43111</v>
      </c>
      <c r="H903" s="8" t="s">
        <v>25</v>
      </c>
      <c r="I903" s="11">
        <v>43111</v>
      </c>
      <c r="J903" s="8" t="s">
        <v>25</v>
      </c>
      <c r="N903" s="8" t="s">
        <v>58</v>
      </c>
      <c r="O903" s="8" t="s">
        <v>59</v>
      </c>
      <c r="P903" s="8" t="s">
        <v>59</v>
      </c>
      <c r="R903" s="8">
        <v>0</v>
      </c>
      <c r="S903" s="8">
        <v>0</v>
      </c>
      <c r="T903" s="8">
        <v>1</v>
      </c>
      <c r="U903" s="8">
        <v>2</v>
      </c>
      <c r="X903" s="8">
        <v>5</v>
      </c>
      <c r="AG903" s="8" t="str">
        <f t="shared" si="57"/>
        <v/>
      </c>
      <c r="AI903" s="8" t="str">
        <f t="shared" si="58"/>
        <v/>
      </c>
      <c r="AJ903" s="8" t="str">
        <f t="shared" si="59"/>
        <v/>
      </c>
      <c r="AL903" s="8" t="str">
        <f t="shared" si="60"/>
        <v/>
      </c>
    </row>
    <row r="904" spans="1:38" x14ac:dyDescent="0.25">
      <c r="A904" s="8" t="s">
        <v>3544</v>
      </c>
      <c r="B904" s="8" t="s">
        <v>3545</v>
      </c>
      <c r="C904" s="8">
        <v>30861008</v>
      </c>
      <c r="D904" s="8">
        <v>5</v>
      </c>
      <c r="E904" s="11">
        <v>43110</v>
      </c>
      <c r="F904" s="8" t="s">
        <v>57</v>
      </c>
      <c r="G904" s="11">
        <v>43111</v>
      </c>
      <c r="H904" s="8" t="s">
        <v>25</v>
      </c>
      <c r="J904" s="8" t="s">
        <v>25</v>
      </c>
      <c r="N904" s="8" t="s">
        <v>58</v>
      </c>
      <c r="O904" s="8" t="s">
        <v>59</v>
      </c>
      <c r="P904" s="8" t="s">
        <v>59</v>
      </c>
      <c r="R904" s="8">
        <v>0</v>
      </c>
      <c r="S904" s="8">
        <v>0</v>
      </c>
      <c r="T904" s="8">
        <v>1</v>
      </c>
      <c r="U904" s="8">
        <v>2</v>
      </c>
      <c r="AG904" s="8" t="str">
        <f t="shared" si="57"/>
        <v/>
      </c>
      <c r="AI904" s="8" t="str">
        <f t="shared" si="58"/>
        <v/>
      </c>
      <c r="AJ904" s="8" t="str">
        <f t="shared" si="59"/>
        <v/>
      </c>
      <c r="AL904" s="8" t="str">
        <f t="shared" si="60"/>
        <v/>
      </c>
    </row>
    <row r="905" spans="1:38" x14ac:dyDescent="0.25">
      <c r="A905" s="8" t="s">
        <v>3546</v>
      </c>
      <c r="B905" s="8" t="s">
        <v>3547</v>
      </c>
      <c r="C905" s="8">
        <v>30886934</v>
      </c>
      <c r="D905" s="8">
        <v>5</v>
      </c>
      <c r="E905" s="11">
        <v>43111</v>
      </c>
      <c r="F905" s="8" t="s">
        <v>58</v>
      </c>
      <c r="G905" s="11">
        <v>43111</v>
      </c>
      <c r="H905" s="8" t="s">
        <v>25</v>
      </c>
      <c r="I905" s="11">
        <v>43112</v>
      </c>
      <c r="J905" s="8" t="s">
        <v>25</v>
      </c>
      <c r="N905" s="8" t="s">
        <v>58</v>
      </c>
      <c r="O905" s="8" t="s">
        <v>59</v>
      </c>
      <c r="P905" s="8" t="s">
        <v>59</v>
      </c>
      <c r="R905" s="8">
        <v>0</v>
      </c>
      <c r="S905" s="8">
        <v>0</v>
      </c>
      <c r="T905" s="8">
        <v>1</v>
      </c>
      <c r="U905" s="8">
        <v>2</v>
      </c>
      <c r="X905" s="8">
        <v>5</v>
      </c>
      <c r="AG905" s="8" t="str">
        <f t="shared" si="57"/>
        <v/>
      </c>
      <c r="AI905" s="8" t="str">
        <f t="shared" si="58"/>
        <v/>
      </c>
      <c r="AJ905" s="8" t="str">
        <f t="shared" si="59"/>
        <v/>
      </c>
      <c r="AL905" s="8" t="str">
        <f t="shared" si="60"/>
        <v/>
      </c>
    </row>
    <row r="906" spans="1:38" x14ac:dyDescent="0.25">
      <c r="A906" s="8" t="s">
        <v>5050</v>
      </c>
      <c r="B906" s="8" t="s">
        <v>5051</v>
      </c>
      <c r="C906" s="8">
        <v>30903373</v>
      </c>
      <c r="D906" s="8">
        <v>5</v>
      </c>
      <c r="E906" s="11">
        <v>43111</v>
      </c>
      <c r="F906" s="8" t="s">
        <v>58</v>
      </c>
      <c r="G906" s="11">
        <v>43112</v>
      </c>
      <c r="H906" s="8" t="s">
        <v>25</v>
      </c>
      <c r="I906" s="11">
        <v>43112</v>
      </c>
      <c r="J906" s="8" t="s">
        <v>25</v>
      </c>
      <c r="N906" s="8" t="s">
        <v>58</v>
      </c>
      <c r="O906" s="8" t="s">
        <v>59</v>
      </c>
      <c r="P906" s="8" t="s">
        <v>59</v>
      </c>
      <c r="R906" s="8">
        <v>0</v>
      </c>
      <c r="S906" s="8">
        <v>0</v>
      </c>
      <c r="T906" s="8">
        <v>1</v>
      </c>
      <c r="U906" s="8">
        <v>2</v>
      </c>
      <c r="X906" s="8">
        <v>5</v>
      </c>
      <c r="AG906" s="8" t="str">
        <f t="shared" si="57"/>
        <v/>
      </c>
      <c r="AI906" s="8" t="str">
        <f t="shared" si="58"/>
        <v/>
      </c>
      <c r="AJ906" s="8" t="str">
        <f t="shared" si="59"/>
        <v/>
      </c>
      <c r="AL906" s="8" t="str">
        <f t="shared" si="60"/>
        <v/>
      </c>
    </row>
    <row r="907" spans="1:38" x14ac:dyDescent="0.25">
      <c r="A907" s="8" t="s">
        <v>1958</v>
      </c>
      <c r="B907" s="8" t="s">
        <v>1959</v>
      </c>
      <c r="C907" s="8">
        <v>30811576</v>
      </c>
      <c r="D907" s="8">
        <v>5</v>
      </c>
      <c r="E907" s="11">
        <v>43108</v>
      </c>
      <c r="F907" s="8" t="s">
        <v>58</v>
      </c>
      <c r="G907" s="11">
        <v>43110</v>
      </c>
      <c r="H907" s="8" t="s">
        <v>25</v>
      </c>
      <c r="I907" s="11">
        <v>43112</v>
      </c>
      <c r="J907" s="8" t="s">
        <v>25</v>
      </c>
      <c r="N907" s="8" t="s">
        <v>58</v>
      </c>
      <c r="O907" s="8" t="s">
        <v>59</v>
      </c>
      <c r="P907" s="8" t="s">
        <v>59</v>
      </c>
      <c r="R907" s="8">
        <v>0</v>
      </c>
      <c r="S907" s="8">
        <v>0</v>
      </c>
      <c r="T907" s="8">
        <v>1</v>
      </c>
      <c r="U907" s="8">
        <v>2</v>
      </c>
      <c r="X907" s="8">
        <v>5</v>
      </c>
      <c r="AG907" s="8" t="str">
        <f t="shared" si="57"/>
        <v/>
      </c>
      <c r="AI907" s="8" t="str">
        <f t="shared" si="58"/>
        <v/>
      </c>
      <c r="AJ907" s="8" t="str">
        <f t="shared" si="59"/>
        <v/>
      </c>
      <c r="AL907" s="8" t="str">
        <f t="shared" si="60"/>
        <v/>
      </c>
    </row>
    <row r="908" spans="1:38" x14ac:dyDescent="0.25">
      <c r="A908" s="8" t="s">
        <v>3548</v>
      </c>
      <c r="B908" s="8" t="s">
        <v>3549</v>
      </c>
      <c r="C908" s="8">
        <v>30890362</v>
      </c>
      <c r="D908" s="8">
        <v>5</v>
      </c>
      <c r="E908" s="11">
        <v>43111</v>
      </c>
      <c r="F908" s="8" t="s">
        <v>57</v>
      </c>
      <c r="G908" s="11">
        <v>43111</v>
      </c>
      <c r="H908" s="8" t="s">
        <v>25</v>
      </c>
      <c r="J908" s="8" t="s">
        <v>25</v>
      </c>
      <c r="N908" s="8" t="s">
        <v>58</v>
      </c>
      <c r="O908" s="8" t="s">
        <v>59</v>
      </c>
      <c r="P908" s="8" t="s">
        <v>59</v>
      </c>
      <c r="R908" s="8">
        <v>0</v>
      </c>
      <c r="S908" s="8">
        <v>0</v>
      </c>
      <c r="T908" s="8">
        <v>1</v>
      </c>
      <c r="U908" s="8">
        <v>2</v>
      </c>
      <c r="AG908" s="8" t="str">
        <f t="shared" si="57"/>
        <v/>
      </c>
      <c r="AI908" s="8" t="str">
        <f t="shared" si="58"/>
        <v/>
      </c>
      <c r="AJ908" s="8" t="str">
        <f t="shared" si="59"/>
        <v/>
      </c>
      <c r="AL908" s="8" t="str">
        <f t="shared" si="60"/>
        <v/>
      </c>
    </row>
    <row r="909" spans="1:38" x14ac:dyDescent="0.25">
      <c r="A909" s="8" t="s">
        <v>1960</v>
      </c>
      <c r="B909" s="8" t="s">
        <v>1961</v>
      </c>
      <c r="C909" s="8">
        <v>30873283</v>
      </c>
      <c r="D909" s="8">
        <v>5</v>
      </c>
      <c r="E909" s="11">
        <v>43110</v>
      </c>
      <c r="F909" s="8" t="s">
        <v>58</v>
      </c>
      <c r="G909" s="11">
        <v>43110</v>
      </c>
      <c r="H909" s="8" t="s">
        <v>25</v>
      </c>
      <c r="I909" s="11">
        <v>43110</v>
      </c>
      <c r="J909" s="8" t="s">
        <v>25</v>
      </c>
      <c r="N909" s="8" t="s">
        <v>58</v>
      </c>
      <c r="O909" s="8" t="s">
        <v>59</v>
      </c>
      <c r="P909" s="8" t="s">
        <v>59</v>
      </c>
      <c r="R909" s="8">
        <v>0</v>
      </c>
      <c r="S909" s="8">
        <v>0</v>
      </c>
      <c r="T909" s="8">
        <v>1</v>
      </c>
      <c r="U909" s="8">
        <v>2</v>
      </c>
      <c r="X909" s="8">
        <v>5</v>
      </c>
      <c r="AG909" s="8" t="str">
        <f t="shared" si="57"/>
        <v/>
      </c>
      <c r="AI909" s="8" t="str">
        <f t="shared" si="58"/>
        <v/>
      </c>
      <c r="AJ909" s="8" t="str">
        <f t="shared" si="59"/>
        <v/>
      </c>
      <c r="AL909" s="8" t="str">
        <f t="shared" si="60"/>
        <v/>
      </c>
    </row>
    <row r="910" spans="1:38" x14ac:dyDescent="0.25">
      <c r="A910" s="8" t="s">
        <v>3550</v>
      </c>
      <c r="B910" s="8" t="s">
        <v>3551</v>
      </c>
      <c r="C910" s="8">
        <v>30899725</v>
      </c>
      <c r="D910" s="8">
        <v>5</v>
      </c>
      <c r="E910" s="11">
        <v>43111</v>
      </c>
      <c r="F910" s="8" t="s">
        <v>57</v>
      </c>
      <c r="G910" s="11">
        <v>43111</v>
      </c>
      <c r="H910" s="8" t="s">
        <v>25</v>
      </c>
      <c r="J910" s="8" t="s">
        <v>25</v>
      </c>
      <c r="N910" s="8" t="s">
        <v>58</v>
      </c>
      <c r="O910" s="8" t="s">
        <v>59</v>
      </c>
      <c r="P910" s="8" t="s">
        <v>59</v>
      </c>
      <c r="R910" s="8">
        <v>0</v>
      </c>
      <c r="S910" s="8">
        <v>0</v>
      </c>
      <c r="T910" s="8">
        <v>1</v>
      </c>
      <c r="U910" s="8">
        <v>2</v>
      </c>
      <c r="AG910" s="8" t="str">
        <f t="shared" si="57"/>
        <v/>
      </c>
      <c r="AI910" s="8" t="str">
        <f t="shared" si="58"/>
        <v/>
      </c>
      <c r="AJ910" s="8" t="str">
        <f t="shared" si="59"/>
        <v/>
      </c>
      <c r="AL910" s="8" t="str">
        <f t="shared" si="60"/>
        <v/>
      </c>
    </row>
    <row r="911" spans="1:38" x14ac:dyDescent="0.25">
      <c r="A911" s="8" t="s">
        <v>3552</v>
      </c>
      <c r="B911" s="8" t="s">
        <v>3553</v>
      </c>
      <c r="C911" s="8">
        <v>30898218</v>
      </c>
      <c r="D911" s="8">
        <v>5</v>
      </c>
      <c r="E911" s="11">
        <v>43111</v>
      </c>
      <c r="F911" s="8" t="s">
        <v>58</v>
      </c>
      <c r="G911" s="11">
        <v>43111</v>
      </c>
      <c r="H911" s="8" t="s">
        <v>25</v>
      </c>
      <c r="I911" s="11">
        <v>43111</v>
      </c>
      <c r="J911" s="8" t="s">
        <v>25</v>
      </c>
      <c r="N911" s="8" t="s">
        <v>58</v>
      </c>
      <c r="O911" s="8" t="s">
        <v>59</v>
      </c>
      <c r="P911" s="8" t="s">
        <v>59</v>
      </c>
      <c r="R911" s="8">
        <v>0</v>
      </c>
      <c r="S911" s="8">
        <v>0</v>
      </c>
      <c r="T911" s="8">
        <v>1</v>
      </c>
      <c r="U911" s="8">
        <v>2</v>
      </c>
      <c r="X911" s="8">
        <v>5</v>
      </c>
      <c r="AG911" s="8" t="str">
        <f t="shared" si="57"/>
        <v/>
      </c>
      <c r="AI911" s="8" t="str">
        <f t="shared" si="58"/>
        <v/>
      </c>
      <c r="AJ911" s="8" t="str">
        <f t="shared" si="59"/>
        <v/>
      </c>
      <c r="AL911" s="8" t="str">
        <f t="shared" si="60"/>
        <v/>
      </c>
    </row>
    <row r="912" spans="1:38" x14ac:dyDescent="0.25">
      <c r="A912" s="8" t="s">
        <v>1020</v>
      </c>
      <c r="B912" s="8" t="s">
        <v>1021</v>
      </c>
      <c r="C912" s="8">
        <v>30848614</v>
      </c>
      <c r="D912" s="8">
        <v>5</v>
      </c>
      <c r="E912" s="11">
        <v>43109</v>
      </c>
      <c r="F912" s="8" t="s">
        <v>57</v>
      </c>
      <c r="G912" s="11">
        <v>43109</v>
      </c>
      <c r="H912" s="8" t="s">
        <v>25</v>
      </c>
      <c r="J912" s="8" t="s">
        <v>25</v>
      </c>
      <c r="N912" s="8" t="s">
        <v>58</v>
      </c>
      <c r="O912" s="8" t="s">
        <v>59</v>
      </c>
      <c r="P912" s="8" t="s">
        <v>59</v>
      </c>
      <c r="R912" s="8">
        <v>0</v>
      </c>
      <c r="S912" s="8">
        <v>0</v>
      </c>
      <c r="T912" s="8">
        <v>1</v>
      </c>
      <c r="U912" s="8">
        <v>2</v>
      </c>
      <c r="AG912" s="8" t="str">
        <f t="shared" si="57"/>
        <v/>
      </c>
      <c r="AI912" s="8" t="str">
        <f t="shared" si="58"/>
        <v/>
      </c>
      <c r="AJ912" s="8" t="str">
        <f t="shared" si="59"/>
        <v/>
      </c>
      <c r="AL912" s="8" t="str">
        <f t="shared" si="60"/>
        <v/>
      </c>
    </row>
    <row r="913" spans="1:38" x14ac:dyDescent="0.25">
      <c r="A913" s="8" t="s">
        <v>6946</v>
      </c>
      <c r="B913" s="8" t="s">
        <v>6947</v>
      </c>
      <c r="C913" s="8">
        <v>30931082</v>
      </c>
      <c r="D913" s="8">
        <v>5</v>
      </c>
      <c r="E913" s="11">
        <v>43115</v>
      </c>
      <c r="F913" s="8" t="s">
        <v>57</v>
      </c>
      <c r="G913" s="11">
        <v>43115</v>
      </c>
      <c r="H913" s="8" t="s">
        <v>25</v>
      </c>
      <c r="J913" s="8" t="s">
        <v>25</v>
      </c>
      <c r="N913" s="8" t="s">
        <v>58</v>
      </c>
      <c r="O913" s="8" t="s">
        <v>59</v>
      </c>
      <c r="P913" s="8" t="s">
        <v>59</v>
      </c>
      <c r="R913" s="8">
        <v>0</v>
      </c>
      <c r="S913" s="8">
        <v>0</v>
      </c>
      <c r="T913" s="8">
        <v>1</v>
      </c>
      <c r="U913" s="8">
        <v>2</v>
      </c>
      <c r="AG913" s="8" t="str">
        <f t="shared" si="57"/>
        <v/>
      </c>
      <c r="AI913" s="8" t="str">
        <f t="shared" si="58"/>
        <v/>
      </c>
      <c r="AJ913" s="8" t="str">
        <f t="shared" si="59"/>
        <v/>
      </c>
      <c r="AL913" s="8" t="str">
        <f t="shared" si="60"/>
        <v/>
      </c>
    </row>
    <row r="914" spans="1:38" x14ac:dyDescent="0.25">
      <c r="A914" s="8" t="s">
        <v>3554</v>
      </c>
      <c r="B914" s="8" t="s">
        <v>3555</v>
      </c>
      <c r="C914" s="8">
        <v>30865021</v>
      </c>
      <c r="D914" s="8">
        <v>5</v>
      </c>
      <c r="E914" s="11">
        <v>43110</v>
      </c>
      <c r="F914" s="8" t="s">
        <v>57</v>
      </c>
      <c r="G914" s="11">
        <v>43111</v>
      </c>
      <c r="H914" s="8" t="s">
        <v>25</v>
      </c>
      <c r="J914" s="8" t="s">
        <v>25</v>
      </c>
      <c r="N914" s="8" t="s">
        <v>58</v>
      </c>
      <c r="O914" s="8" t="s">
        <v>59</v>
      </c>
      <c r="P914" s="8" t="s">
        <v>59</v>
      </c>
      <c r="R914" s="8">
        <v>0</v>
      </c>
      <c r="S914" s="8">
        <v>0</v>
      </c>
      <c r="T914" s="8">
        <v>1</v>
      </c>
      <c r="U914" s="8">
        <v>2</v>
      </c>
      <c r="AG914" s="8" t="str">
        <f t="shared" si="57"/>
        <v/>
      </c>
      <c r="AI914" s="8" t="str">
        <f t="shared" si="58"/>
        <v/>
      </c>
      <c r="AJ914" s="8" t="str">
        <f t="shared" si="59"/>
        <v/>
      </c>
      <c r="AL914" s="8" t="str">
        <f t="shared" si="60"/>
        <v/>
      </c>
    </row>
    <row r="915" spans="1:38" x14ac:dyDescent="0.25">
      <c r="A915" s="8" t="s">
        <v>5052</v>
      </c>
      <c r="B915" s="8" t="s">
        <v>5053</v>
      </c>
      <c r="C915" s="8">
        <v>30910820</v>
      </c>
      <c r="D915" s="8">
        <v>5</v>
      </c>
      <c r="E915" s="11">
        <v>43112</v>
      </c>
      <c r="F915" s="8" t="s">
        <v>58</v>
      </c>
      <c r="G915" s="11">
        <v>43112</v>
      </c>
      <c r="H915" s="8" t="s">
        <v>25</v>
      </c>
      <c r="I915" s="11">
        <v>43112</v>
      </c>
      <c r="J915" s="8" t="s">
        <v>25</v>
      </c>
      <c r="N915" s="8" t="s">
        <v>58</v>
      </c>
      <c r="O915" s="8" t="s">
        <v>59</v>
      </c>
      <c r="P915" s="8" t="s">
        <v>59</v>
      </c>
      <c r="R915" s="8">
        <v>0</v>
      </c>
      <c r="S915" s="8">
        <v>0</v>
      </c>
      <c r="T915" s="8">
        <v>1</v>
      </c>
      <c r="U915" s="8">
        <v>2</v>
      </c>
      <c r="X915" s="8">
        <v>5</v>
      </c>
      <c r="AG915" s="8" t="str">
        <f t="shared" si="57"/>
        <v/>
      </c>
      <c r="AI915" s="8" t="str">
        <f t="shared" si="58"/>
        <v/>
      </c>
      <c r="AJ915" s="8" t="str">
        <f t="shared" si="59"/>
        <v/>
      </c>
      <c r="AL915" s="8" t="str">
        <f t="shared" si="60"/>
        <v/>
      </c>
    </row>
    <row r="916" spans="1:38" x14ac:dyDescent="0.25">
      <c r="A916" s="8" t="s">
        <v>5054</v>
      </c>
      <c r="B916" s="8" t="s">
        <v>5055</v>
      </c>
      <c r="C916" s="8">
        <v>30910044</v>
      </c>
      <c r="D916" s="8">
        <v>5</v>
      </c>
      <c r="E916" s="11">
        <v>43112</v>
      </c>
      <c r="F916" s="8" t="s">
        <v>57</v>
      </c>
      <c r="G916" s="11">
        <v>43112</v>
      </c>
      <c r="H916" s="8" t="s">
        <v>25</v>
      </c>
      <c r="J916" s="8" t="s">
        <v>25</v>
      </c>
      <c r="N916" s="8" t="s">
        <v>58</v>
      </c>
      <c r="O916" s="8" t="s">
        <v>59</v>
      </c>
      <c r="P916" s="8" t="s">
        <v>59</v>
      </c>
      <c r="R916" s="8">
        <v>0</v>
      </c>
      <c r="S916" s="8">
        <v>0</v>
      </c>
      <c r="T916" s="8">
        <v>1</v>
      </c>
      <c r="U916" s="8">
        <v>2</v>
      </c>
      <c r="AG916" s="8" t="str">
        <f t="shared" si="57"/>
        <v/>
      </c>
      <c r="AI916" s="8" t="str">
        <f t="shared" si="58"/>
        <v/>
      </c>
      <c r="AJ916" s="8" t="str">
        <f t="shared" si="59"/>
        <v/>
      </c>
      <c r="AL916" s="8" t="str">
        <f t="shared" si="60"/>
        <v/>
      </c>
    </row>
    <row r="917" spans="1:38" x14ac:dyDescent="0.25">
      <c r="A917" s="8" t="s">
        <v>6948</v>
      </c>
      <c r="B917" s="8" t="s">
        <v>6949</v>
      </c>
      <c r="C917" s="8">
        <v>30942071</v>
      </c>
      <c r="D917" s="8">
        <v>5</v>
      </c>
      <c r="E917" s="11">
        <v>43115</v>
      </c>
      <c r="F917" s="8" t="s">
        <v>58</v>
      </c>
      <c r="G917" s="11">
        <v>43115</v>
      </c>
      <c r="H917" s="8" t="s">
        <v>25</v>
      </c>
      <c r="I917" s="11">
        <v>43115</v>
      </c>
      <c r="J917" s="8" t="s">
        <v>25</v>
      </c>
      <c r="N917" s="8" t="s">
        <v>58</v>
      </c>
      <c r="O917" s="8" t="s">
        <v>59</v>
      </c>
      <c r="P917" s="8" t="s">
        <v>59</v>
      </c>
      <c r="R917" s="8">
        <v>0</v>
      </c>
      <c r="S917" s="8">
        <v>0</v>
      </c>
      <c r="T917" s="8">
        <v>1</v>
      </c>
      <c r="U917" s="8">
        <v>2</v>
      </c>
      <c r="X917" s="8">
        <v>5</v>
      </c>
      <c r="AG917" s="8" t="str">
        <f t="shared" si="57"/>
        <v/>
      </c>
      <c r="AI917" s="8" t="str">
        <f t="shared" si="58"/>
        <v/>
      </c>
      <c r="AJ917" s="8" t="str">
        <f t="shared" si="59"/>
        <v/>
      </c>
      <c r="AL917" s="8" t="str">
        <f t="shared" si="60"/>
        <v/>
      </c>
    </row>
    <row r="918" spans="1:38" x14ac:dyDescent="0.25">
      <c r="A918" s="8" t="s">
        <v>5056</v>
      </c>
      <c r="B918" s="8" t="s">
        <v>5057</v>
      </c>
      <c r="C918" s="8">
        <v>30911626</v>
      </c>
      <c r="D918" s="8">
        <v>5</v>
      </c>
      <c r="E918" s="11">
        <v>43112</v>
      </c>
      <c r="F918" s="8" t="s">
        <v>57</v>
      </c>
      <c r="G918" s="11">
        <v>43112</v>
      </c>
      <c r="H918" s="8" t="s">
        <v>25</v>
      </c>
      <c r="J918" s="8" t="s">
        <v>25</v>
      </c>
      <c r="N918" s="8" t="s">
        <v>58</v>
      </c>
      <c r="O918" s="8" t="s">
        <v>59</v>
      </c>
      <c r="P918" s="8" t="s">
        <v>59</v>
      </c>
      <c r="R918" s="8">
        <v>0</v>
      </c>
      <c r="S918" s="8">
        <v>0</v>
      </c>
      <c r="T918" s="8">
        <v>1</v>
      </c>
      <c r="U918" s="8">
        <v>2</v>
      </c>
      <c r="AG918" s="8" t="str">
        <f t="shared" si="57"/>
        <v/>
      </c>
      <c r="AI918" s="8" t="str">
        <f t="shared" si="58"/>
        <v/>
      </c>
      <c r="AJ918" s="8" t="str">
        <f t="shared" si="59"/>
        <v/>
      </c>
      <c r="AL918" s="8" t="str">
        <f t="shared" si="60"/>
        <v/>
      </c>
    </row>
    <row r="919" spans="1:38" x14ac:dyDescent="0.25">
      <c r="A919" s="8" t="s">
        <v>1962</v>
      </c>
      <c r="B919" s="8" t="s">
        <v>1963</v>
      </c>
      <c r="C919" s="8">
        <v>30831841</v>
      </c>
      <c r="D919" s="8">
        <v>5</v>
      </c>
      <c r="E919" s="11">
        <v>43109</v>
      </c>
      <c r="F919" s="8" t="s">
        <v>57</v>
      </c>
      <c r="G919" s="11">
        <v>43110</v>
      </c>
      <c r="H919" s="8" t="s">
        <v>25</v>
      </c>
      <c r="J919" s="8" t="s">
        <v>25</v>
      </c>
      <c r="N919" s="8" t="s">
        <v>58</v>
      </c>
      <c r="O919" s="8" t="s">
        <v>59</v>
      </c>
      <c r="P919" s="8" t="s">
        <v>59</v>
      </c>
      <c r="R919" s="8">
        <v>0</v>
      </c>
      <c r="S919" s="8">
        <v>0</v>
      </c>
      <c r="T919" s="8">
        <v>1</v>
      </c>
      <c r="U919" s="8">
        <v>2</v>
      </c>
      <c r="AG919" s="8" t="str">
        <f t="shared" si="57"/>
        <v/>
      </c>
      <c r="AI919" s="8" t="str">
        <f t="shared" si="58"/>
        <v/>
      </c>
      <c r="AJ919" s="8" t="str">
        <f t="shared" si="59"/>
        <v/>
      </c>
      <c r="AL919" s="8" t="str">
        <f t="shared" si="60"/>
        <v/>
      </c>
    </row>
    <row r="920" spans="1:38" x14ac:dyDescent="0.25">
      <c r="A920" s="8" t="s">
        <v>3556</v>
      </c>
      <c r="B920" s="8" t="s">
        <v>3557</v>
      </c>
      <c r="C920" s="8">
        <v>30894159</v>
      </c>
      <c r="D920" s="8">
        <v>5</v>
      </c>
      <c r="E920" s="11">
        <v>43111</v>
      </c>
      <c r="F920" s="8" t="s">
        <v>58</v>
      </c>
      <c r="G920" s="11">
        <v>43111</v>
      </c>
      <c r="H920" s="8" t="s">
        <v>25</v>
      </c>
      <c r="I920" s="11">
        <v>43111</v>
      </c>
      <c r="J920" s="8" t="s">
        <v>25</v>
      </c>
      <c r="N920" s="8" t="s">
        <v>58</v>
      </c>
      <c r="O920" s="8" t="s">
        <v>59</v>
      </c>
      <c r="P920" s="8" t="s">
        <v>59</v>
      </c>
      <c r="R920" s="8">
        <v>0</v>
      </c>
      <c r="S920" s="8">
        <v>0</v>
      </c>
      <c r="T920" s="8">
        <v>1</v>
      </c>
      <c r="U920" s="8">
        <v>2</v>
      </c>
      <c r="X920" s="8">
        <v>5</v>
      </c>
      <c r="AG920" s="8" t="str">
        <f t="shared" si="57"/>
        <v/>
      </c>
      <c r="AI920" s="8" t="str">
        <f t="shared" si="58"/>
        <v/>
      </c>
      <c r="AJ920" s="8" t="str">
        <f t="shared" si="59"/>
        <v/>
      </c>
      <c r="AL920" s="8" t="str">
        <f t="shared" si="60"/>
        <v/>
      </c>
    </row>
    <row r="921" spans="1:38" x14ac:dyDescent="0.25">
      <c r="A921" s="8" t="s">
        <v>3558</v>
      </c>
      <c r="B921" s="8" t="s">
        <v>3559</v>
      </c>
      <c r="C921" s="8">
        <v>30879778</v>
      </c>
      <c r="D921" s="8">
        <v>5</v>
      </c>
      <c r="E921" s="11">
        <v>43111</v>
      </c>
      <c r="F921" s="8" t="s">
        <v>57</v>
      </c>
      <c r="G921" s="11">
        <v>43111</v>
      </c>
      <c r="H921" s="8" t="s">
        <v>25</v>
      </c>
      <c r="J921" s="8" t="s">
        <v>25</v>
      </c>
      <c r="N921" s="8" t="s">
        <v>58</v>
      </c>
      <c r="O921" s="8" t="s">
        <v>59</v>
      </c>
      <c r="P921" s="8" t="s">
        <v>59</v>
      </c>
      <c r="R921" s="8">
        <v>0</v>
      </c>
      <c r="S921" s="8">
        <v>0</v>
      </c>
      <c r="T921" s="8">
        <v>1</v>
      </c>
      <c r="U921" s="8">
        <v>2</v>
      </c>
      <c r="AG921" s="8" t="str">
        <f t="shared" si="57"/>
        <v/>
      </c>
      <c r="AI921" s="8" t="str">
        <f t="shared" si="58"/>
        <v/>
      </c>
      <c r="AJ921" s="8" t="str">
        <f t="shared" si="59"/>
        <v/>
      </c>
      <c r="AL921" s="8" t="str">
        <f t="shared" si="60"/>
        <v/>
      </c>
    </row>
    <row r="922" spans="1:38" x14ac:dyDescent="0.25">
      <c r="A922" s="8" t="s">
        <v>5058</v>
      </c>
      <c r="B922" s="8" t="s">
        <v>5059</v>
      </c>
      <c r="C922" s="8">
        <v>30905174</v>
      </c>
      <c r="D922" s="8">
        <v>5</v>
      </c>
      <c r="E922" s="11">
        <v>43112</v>
      </c>
      <c r="F922" s="8" t="s">
        <v>57</v>
      </c>
      <c r="G922" s="11">
        <v>43112</v>
      </c>
      <c r="H922" s="8" t="s">
        <v>25</v>
      </c>
      <c r="J922" s="8" t="s">
        <v>25</v>
      </c>
      <c r="N922" s="8" t="s">
        <v>58</v>
      </c>
      <c r="O922" s="8" t="s">
        <v>59</v>
      </c>
      <c r="P922" s="8" t="s">
        <v>59</v>
      </c>
      <c r="R922" s="8">
        <v>0</v>
      </c>
      <c r="S922" s="8">
        <v>0</v>
      </c>
      <c r="T922" s="8">
        <v>1</v>
      </c>
      <c r="U922" s="8">
        <v>2</v>
      </c>
      <c r="AG922" s="8" t="str">
        <f t="shared" si="57"/>
        <v/>
      </c>
      <c r="AI922" s="8" t="str">
        <f t="shared" si="58"/>
        <v/>
      </c>
      <c r="AJ922" s="8" t="str">
        <f t="shared" si="59"/>
        <v/>
      </c>
      <c r="AL922" s="8" t="str">
        <f t="shared" si="60"/>
        <v/>
      </c>
    </row>
    <row r="923" spans="1:38" x14ac:dyDescent="0.25">
      <c r="A923" s="8" t="s">
        <v>1964</v>
      </c>
      <c r="B923" s="8" t="s">
        <v>1965</v>
      </c>
      <c r="C923" s="8">
        <v>30863643</v>
      </c>
      <c r="D923" s="8">
        <v>5</v>
      </c>
      <c r="E923" s="11">
        <v>43110</v>
      </c>
      <c r="F923" s="8" t="s">
        <v>57</v>
      </c>
      <c r="G923" s="11">
        <v>43110</v>
      </c>
      <c r="H923" s="8" t="s">
        <v>25</v>
      </c>
      <c r="J923" s="8" t="s">
        <v>25</v>
      </c>
      <c r="N923" s="8" t="s">
        <v>58</v>
      </c>
      <c r="O923" s="8" t="s">
        <v>59</v>
      </c>
      <c r="P923" s="8" t="s">
        <v>59</v>
      </c>
      <c r="R923" s="8">
        <v>0</v>
      </c>
      <c r="S923" s="8">
        <v>0</v>
      </c>
      <c r="T923" s="8">
        <v>1</v>
      </c>
      <c r="U923" s="8">
        <v>2</v>
      </c>
      <c r="AG923" s="8" t="str">
        <f t="shared" si="57"/>
        <v/>
      </c>
      <c r="AI923" s="8" t="str">
        <f t="shared" si="58"/>
        <v/>
      </c>
      <c r="AJ923" s="8" t="str">
        <f t="shared" si="59"/>
        <v/>
      </c>
      <c r="AL923" s="8" t="str">
        <f t="shared" si="60"/>
        <v/>
      </c>
    </row>
    <row r="924" spans="1:38" x14ac:dyDescent="0.25">
      <c r="A924" s="8" t="s">
        <v>6950</v>
      </c>
      <c r="B924" s="8" t="s">
        <v>6951</v>
      </c>
      <c r="C924" s="8">
        <v>30932976</v>
      </c>
      <c r="D924" s="8">
        <v>5</v>
      </c>
      <c r="E924" s="11">
        <v>43115</v>
      </c>
      <c r="F924" s="8" t="s">
        <v>57</v>
      </c>
      <c r="G924" s="11">
        <v>43115</v>
      </c>
      <c r="H924" s="8" t="s">
        <v>25</v>
      </c>
      <c r="J924" s="8" t="s">
        <v>25</v>
      </c>
      <c r="N924" s="8" t="s">
        <v>58</v>
      </c>
      <c r="O924" s="8" t="s">
        <v>59</v>
      </c>
      <c r="P924" s="8" t="s">
        <v>59</v>
      </c>
      <c r="R924" s="8">
        <v>0</v>
      </c>
      <c r="S924" s="8">
        <v>0</v>
      </c>
      <c r="T924" s="8">
        <v>1</v>
      </c>
      <c r="U924" s="8">
        <v>2</v>
      </c>
      <c r="AG924" s="8" t="str">
        <f t="shared" si="57"/>
        <v/>
      </c>
      <c r="AI924" s="8" t="str">
        <f t="shared" si="58"/>
        <v/>
      </c>
      <c r="AJ924" s="8" t="str">
        <f t="shared" si="59"/>
        <v/>
      </c>
      <c r="AL924" s="8" t="str">
        <f t="shared" si="60"/>
        <v/>
      </c>
    </row>
    <row r="925" spans="1:38" x14ac:dyDescent="0.25">
      <c r="A925" s="8" t="s">
        <v>6952</v>
      </c>
      <c r="B925" s="8" t="s">
        <v>6953</v>
      </c>
      <c r="C925" s="8">
        <v>30932427</v>
      </c>
      <c r="D925" s="8">
        <v>5</v>
      </c>
      <c r="E925" s="11">
        <v>43115</v>
      </c>
      <c r="F925" s="8" t="s">
        <v>58</v>
      </c>
      <c r="G925" s="11">
        <v>43115</v>
      </c>
      <c r="H925" s="8" t="s">
        <v>25</v>
      </c>
      <c r="I925" s="11">
        <v>43115</v>
      </c>
      <c r="J925" s="8" t="s">
        <v>25</v>
      </c>
      <c r="N925" s="8" t="s">
        <v>58</v>
      </c>
      <c r="O925" s="8" t="s">
        <v>59</v>
      </c>
      <c r="P925" s="8" t="s">
        <v>59</v>
      </c>
      <c r="R925" s="8">
        <v>0</v>
      </c>
      <c r="S925" s="8">
        <v>0</v>
      </c>
      <c r="T925" s="8">
        <v>1</v>
      </c>
      <c r="U925" s="8">
        <v>2</v>
      </c>
      <c r="X925" s="8">
        <v>5</v>
      </c>
      <c r="AG925" s="8" t="str">
        <f t="shared" si="57"/>
        <v/>
      </c>
      <c r="AI925" s="8" t="str">
        <f t="shared" si="58"/>
        <v/>
      </c>
      <c r="AJ925" s="8" t="str">
        <f t="shared" si="59"/>
        <v/>
      </c>
      <c r="AL925" s="8" t="str">
        <f t="shared" si="60"/>
        <v/>
      </c>
    </row>
    <row r="926" spans="1:38" x14ac:dyDescent="0.25">
      <c r="A926" s="8" t="s">
        <v>3560</v>
      </c>
      <c r="B926" s="8" t="s">
        <v>3561</v>
      </c>
      <c r="C926" s="8">
        <v>30899828</v>
      </c>
      <c r="D926" s="8">
        <v>5</v>
      </c>
      <c r="E926" s="11">
        <v>43111</v>
      </c>
      <c r="F926" s="8" t="s">
        <v>58</v>
      </c>
      <c r="G926" s="11">
        <v>43111</v>
      </c>
      <c r="H926" s="8" t="s">
        <v>25</v>
      </c>
      <c r="I926" s="11">
        <v>43111</v>
      </c>
      <c r="J926" s="8" t="s">
        <v>25</v>
      </c>
      <c r="N926" s="8" t="s">
        <v>58</v>
      </c>
      <c r="O926" s="8" t="s">
        <v>59</v>
      </c>
      <c r="P926" s="8" t="s">
        <v>59</v>
      </c>
      <c r="R926" s="8">
        <v>0</v>
      </c>
      <c r="S926" s="8">
        <v>0</v>
      </c>
      <c r="T926" s="8">
        <v>1</v>
      </c>
      <c r="U926" s="8">
        <v>2</v>
      </c>
      <c r="X926" s="8">
        <v>5</v>
      </c>
      <c r="AG926" s="8" t="str">
        <f t="shared" si="57"/>
        <v/>
      </c>
      <c r="AI926" s="8" t="str">
        <f t="shared" si="58"/>
        <v/>
      </c>
      <c r="AJ926" s="8" t="str">
        <f t="shared" si="59"/>
        <v/>
      </c>
      <c r="AL926" s="8" t="str">
        <f t="shared" si="60"/>
        <v/>
      </c>
    </row>
    <row r="927" spans="1:38" x14ac:dyDescent="0.25">
      <c r="A927" s="8" t="s">
        <v>1966</v>
      </c>
      <c r="B927" s="8" t="s">
        <v>1967</v>
      </c>
      <c r="C927" s="8">
        <v>30840815</v>
      </c>
      <c r="D927" s="8">
        <v>5</v>
      </c>
      <c r="E927" s="11">
        <v>43109</v>
      </c>
      <c r="F927" s="8" t="s">
        <v>58</v>
      </c>
      <c r="G927" s="11">
        <v>43110</v>
      </c>
      <c r="H927" s="8" t="s">
        <v>25</v>
      </c>
      <c r="I927" s="11">
        <v>43115</v>
      </c>
      <c r="J927" s="8" t="s">
        <v>145</v>
      </c>
      <c r="N927" s="8" t="s">
        <v>58</v>
      </c>
      <c r="O927" s="8" t="s">
        <v>59</v>
      </c>
      <c r="P927" s="8" t="s">
        <v>59</v>
      </c>
      <c r="R927" s="8">
        <v>0</v>
      </c>
      <c r="S927" s="8">
        <v>0</v>
      </c>
      <c r="T927" s="8">
        <v>1</v>
      </c>
      <c r="U927" s="8">
        <v>2</v>
      </c>
      <c r="X927" s="8">
        <v>5</v>
      </c>
      <c r="AG927" s="8" t="str">
        <f t="shared" si="57"/>
        <v/>
      </c>
      <c r="AI927" s="8" t="str">
        <f t="shared" si="58"/>
        <v/>
      </c>
      <c r="AJ927" s="8" t="str">
        <f t="shared" si="59"/>
        <v/>
      </c>
      <c r="AL927" s="8" t="str">
        <f t="shared" si="60"/>
        <v/>
      </c>
    </row>
    <row r="928" spans="1:38" x14ac:dyDescent="0.25">
      <c r="A928" s="8" t="s">
        <v>1022</v>
      </c>
      <c r="B928" s="8" t="s">
        <v>1023</v>
      </c>
      <c r="C928" s="8">
        <v>30846480</v>
      </c>
      <c r="D928" s="8">
        <v>5</v>
      </c>
      <c r="E928" s="11">
        <v>43109</v>
      </c>
      <c r="F928" s="8" t="s">
        <v>58</v>
      </c>
      <c r="G928" s="11">
        <v>43109</v>
      </c>
      <c r="H928" s="8" t="s">
        <v>25</v>
      </c>
      <c r="I928" s="11">
        <v>43115</v>
      </c>
      <c r="J928" s="8" t="s">
        <v>145</v>
      </c>
      <c r="N928" s="8" t="s">
        <v>58</v>
      </c>
      <c r="O928" s="8" t="s">
        <v>59</v>
      </c>
      <c r="P928" s="8" t="s">
        <v>59</v>
      </c>
      <c r="R928" s="8">
        <v>0</v>
      </c>
      <c r="S928" s="8">
        <v>0</v>
      </c>
      <c r="T928" s="8">
        <v>1</v>
      </c>
      <c r="U928" s="8">
        <v>2</v>
      </c>
      <c r="X928" s="8">
        <v>5</v>
      </c>
      <c r="AG928" s="8" t="str">
        <f t="shared" si="57"/>
        <v/>
      </c>
      <c r="AI928" s="8" t="str">
        <f t="shared" si="58"/>
        <v/>
      </c>
      <c r="AJ928" s="8" t="str">
        <f t="shared" si="59"/>
        <v/>
      </c>
      <c r="AL928" s="8" t="str">
        <f t="shared" si="60"/>
        <v/>
      </c>
    </row>
    <row r="929" spans="1:38" x14ac:dyDescent="0.25">
      <c r="A929" s="8" t="s">
        <v>1968</v>
      </c>
      <c r="B929" s="8" t="s">
        <v>1969</v>
      </c>
      <c r="C929" s="8">
        <v>30833348</v>
      </c>
      <c r="D929" s="8">
        <v>5</v>
      </c>
      <c r="E929" s="11">
        <v>43109</v>
      </c>
      <c r="F929" s="8" t="s">
        <v>57</v>
      </c>
      <c r="G929" s="11">
        <v>43110</v>
      </c>
      <c r="H929" s="8" t="s">
        <v>25</v>
      </c>
      <c r="J929" s="8" t="s">
        <v>25</v>
      </c>
      <c r="N929" s="8" t="s">
        <v>58</v>
      </c>
      <c r="O929" s="8" t="s">
        <v>59</v>
      </c>
      <c r="P929" s="8" t="s">
        <v>59</v>
      </c>
      <c r="R929" s="8">
        <v>0</v>
      </c>
      <c r="S929" s="8">
        <v>0</v>
      </c>
      <c r="T929" s="8">
        <v>1</v>
      </c>
      <c r="U929" s="8">
        <v>2</v>
      </c>
      <c r="AG929" s="8" t="str">
        <f t="shared" si="57"/>
        <v/>
      </c>
      <c r="AI929" s="8" t="str">
        <f t="shared" si="58"/>
        <v/>
      </c>
      <c r="AJ929" s="8" t="str">
        <f t="shared" si="59"/>
        <v/>
      </c>
      <c r="AL929" s="8" t="str">
        <f t="shared" si="60"/>
        <v/>
      </c>
    </row>
    <row r="930" spans="1:38" x14ac:dyDescent="0.25">
      <c r="A930" s="8" t="s">
        <v>1970</v>
      </c>
      <c r="B930" s="8" t="s">
        <v>1971</v>
      </c>
      <c r="C930" s="8">
        <v>30876553</v>
      </c>
      <c r="D930" s="8">
        <v>5</v>
      </c>
      <c r="E930" s="11">
        <v>43110</v>
      </c>
      <c r="F930" s="8" t="s">
        <v>58</v>
      </c>
      <c r="G930" s="11">
        <v>43110</v>
      </c>
      <c r="H930" s="8" t="s">
        <v>25</v>
      </c>
      <c r="I930" s="11">
        <v>43115</v>
      </c>
      <c r="J930" s="8" t="s">
        <v>145</v>
      </c>
      <c r="N930" s="8" t="s">
        <v>58</v>
      </c>
      <c r="O930" s="8" t="s">
        <v>59</v>
      </c>
      <c r="P930" s="8" t="s">
        <v>59</v>
      </c>
      <c r="R930" s="8">
        <v>0</v>
      </c>
      <c r="S930" s="8">
        <v>0</v>
      </c>
      <c r="T930" s="8">
        <v>1</v>
      </c>
      <c r="U930" s="8">
        <v>2</v>
      </c>
      <c r="X930" s="8">
        <v>5</v>
      </c>
      <c r="AG930" s="8" t="str">
        <f t="shared" si="57"/>
        <v/>
      </c>
      <c r="AI930" s="8" t="str">
        <f t="shared" si="58"/>
        <v/>
      </c>
      <c r="AJ930" s="8" t="str">
        <f t="shared" si="59"/>
        <v/>
      </c>
      <c r="AL930" s="8" t="str">
        <f t="shared" si="60"/>
        <v/>
      </c>
    </row>
    <row r="931" spans="1:38" x14ac:dyDescent="0.25">
      <c r="A931" s="8" t="s">
        <v>5060</v>
      </c>
      <c r="B931" s="8" t="s">
        <v>5061</v>
      </c>
      <c r="C931" s="8">
        <v>30916714</v>
      </c>
      <c r="D931" s="8">
        <v>5</v>
      </c>
      <c r="E931" s="11">
        <v>43112</v>
      </c>
      <c r="F931" s="8" t="s">
        <v>58</v>
      </c>
      <c r="G931" s="11">
        <v>43112</v>
      </c>
      <c r="H931" s="8" t="s">
        <v>25</v>
      </c>
      <c r="I931" s="11">
        <v>43112</v>
      </c>
      <c r="J931" s="8" t="s">
        <v>25</v>
      </c>
      <c r="N931" s="8" t="s">
        <v>58</v>
      </c>
      <c r="O931" s="8" t="s">
        <v>59</v>
      </c>
      <c r="P931" s="8" t="s">
        <v>59</v>
      </c>
      <c r="R931" s="8">
        <v>0</v>
      </c>
      <c r="S931" s="8">
        <v>0</v>
      </c>
      <c r="T931" s="8">
        <v>1</v>
      </c>
      <c r="U931" s="8">
        <v>2</v>
      </c>
      <c r="X931" s="8">
        <v>5</v>
      </c>
      <c r="AG931" s="8" t="str">
        <f t="shared" si="57"/>
        <v/>
      </c>
      <c r="AI931" s="8" t="str">
        <f t="shared" si="58"/>
        <v/>
      </c>
      <c r="AJ931" s="8" t="str">
        <f t="shared" si="59"/>
        <v/>
      </c>
      <c r="AL931" s="8" t="str">
        <f t="shared" si="60"/>
        <v/>
      </c>
    </row>
    <row r="932" spans="1:38" x14ac:dyDescent="0.25">
      <c r="A932" s="8" t="s">
        <v>6954</v>
      </c>
      <c r="B932" s="8" t="s">
        <v>6955</v>
      </c>
      <c r="C932" s="8">
        <v>30936417</v>
      </c>
      <c r="D932" s="8">
        <v>4</v>
      </c>
      <c r="E932" s="11">
        <v>43115</v>
      </c>
      <c r="F932" s="8" t="s">
        <v>57</v>
      </c>
      <c r="G932" s="11">
        <v>43115</v>
      </c>
      <c r="H932" s="8" t="s">
        <v>25</v>
      </c>
      <c r="J932" s="8" t="s">
        <v>25</v>
      </c>
      <c r="N932" s="8" t="s">
        <v>58</v>
      </c>
      <c r="O932" s="8" t="s">
        <v>59</v>
      </c>
      <c r="P932" s="8" t="s">
        <v>59</v>
      </c>
      <c r="R932" s="8">
        <v>0</v>
      </c>
      <c r="S932" s="8">
        <v>0</v>
      </c>
      <c r="T932" s="8">
        <v>1</v>
      </c>
      <c r="U932" s="8">
        <v>2</v>
      </c>
      <c r="AG932" s="8" t="str">
        <f t="shared" si="57"/>
        <v/>
      </c>
      <c r="AI932" s="8" t="str">
        <f t="shared" si="58"/>
        <v/>
      </c>
      <c r="AJ932" s="8" t="str">
        <f t="shared" si="59"/>
        <v/>
      </c>
      <c r="AL932" s="8" t="str">
        <f t="shared" si="60"/>
        <v/>
      </c>
    </row>
    <row r="933" spans="1:38" x14ac:dyDescent="0.25">
      <c r="A933" s="8" t="s">
        <v>6956</v>
      </c>
      <c r="B933" s="8" t="s">
        <v>6957</v>
      </c>
      <c r="C933" s="8">
        <v>30943806</v>
      </c>
      <c r="D933" s="8">
        <v>5</v>
      </c>
      <c r="E933" s="11">
        <v>43115</v>
      </c>
      <c r="F933" s="8" t="s">
        <v>58</v>
      </c>
      <c r="G933" s="11">
        <v>43115</v>
      </c>
      <c r="H933" s="8" t="s">
        <v>25</v>
      </c>
      <c r="I933" s="11">
        <v>43115</v>
      </c>
      <c r="J933" s="8" t="s">
        <v>25</v>
      </c>
      <c r="N933" s="8" t="s">
        <v>58</v>
      </c>
      <c r="O933" s="8" t="s">
        <v>59</v>
      </c>
      <c r="P933" s="8" t="s">
        <v>59</v>
      </c>
      <c r="R933" s="8">
        <v>0</v>
      </c>
      <c r="S933" s="8">
        <v>0</v>
      </c>
      <c r="T933" s="8">
        <v>1</v>
      </c>
      <c r="U933" s="8">
        <v>2</v>
      </c>
      <c r="X933" s="8">
        <v>5</v>
      </c>
      <c r="AG933" s="8" t="str">
        <f t="shared" si="57"/>
        <v/>
      </c>
      <c r="AI933" s="8" t="str">
        <f t="shared" si="58"/>
        <v/>
      </c>
      <c r="AJ933" s="8" t="str">
        <f t="shared" si="59"/>
        <v/>
      </c>
      <c r="AL933" s="8" t="str">
        <f t="shared" si="60"/>
        <v/>
      </c>
    </row>
    <row r="934" spans="1:38" x14ac:dyDescent="0.25">
      <c r="A934" s="8" t="s">
        <v>1972</v>
      </c>
      <c r="B934" s="8" t="s">
        <v>1973</v>
      </c>
      <c r="C934" s="8">
        <v>30875513</v>
      </c>
      <c r="D934" s="8">
        <v>5</v>
      </c>
      <c r="E934" s="11">
        <v>43110</v>
      </c>
      <c r="F934" s="8" t="s">
        <v>58</v>
      </c>
      <c r="G934" s="11">
        <v>43110</v>
      </c>
      <c r="H934" s="8" t="s">
        <v>25</v>
      </c>
      <c r="I934" s="11">
        <v>43111</v>
      </c>
      <c r="J934" s="8" t="s">
        <v>25</v>
      </c>
      <c r="N934" s="8" t="s">
        <v>58</v>
      </c>
      <c r="O934" s="8" t="s">
        <v>59</v>
      </c>
      <c r="P934" s="8" t="s">
        <v>59</v>
      </c>
      <c r="R934" s="8">
        <v>0</v>
      </c>
      <c r="S934" s="8">
        <v>0</v>
      </c>
      <c r="T934" s="8">
        <v>1</v>
      </c>
      <c r="U934" s="8">
        <v>2</v>
      </c>
      <c r="X934" s="8">
        <v>5</v>
      </c>
      <c r="AG934" s="8" t="str">
        <f t="shared" si="57"/>
        <v/>
      </c>
      <c r="AI934" s="8" t="str">
        <f t="shared" si="58"/>
        <v/>
      </c>
      <c r="AJ934" s="8" t="str">
        <f t="shared" si="59"/>
        <v/>
      </c>
      <c r="AL934" s="8" t="str">
        <f t="shared" si="60"/>
        <v/>
      </c>
    </row>
    <row r="935" spans="1:38" x14ac:dyDescent="0.25">
      <c r="A935" s="8" t="s">
        <v>1974</v>
      </c>
      <c r="B935" s="8" t="s">
        <v>1975</v>
      </c>
      <c r="C935" s="8">
        <v>30834209</v>
      </c>
      <c r="D935" s="8">
        <v>5</v>
      </c>
      <c r="E935" s="11">
        <v>43109</v>
      </c>
      <c r="F935" s="8" t="s">
        <v>57</v>
      </c>
      <c r="G935" s="11">
        <v>43110</v>
      </c>
      <c r="H935" s="8" t="s">
        <v>25</v>
      </c>
      <c r="J935" s="8" t="s">
        <v>25</v>
      </c>
      <c r="N935" s="8" t="s">
        <v>58</v>
      </c>
      <c r="O935" s="8" t="s">
        <v>59</v>
      </c>
      <c r="P935" s="8" t="s">
        <v>59</v>
      </c>
      <c r="R935" s="8">
        <v>0</v>
      </c>
      <c r="S935" s="8">
        <v>0</v>
      </c>
      <c r="T935" s="8">
        <v>1</v>
      </c>
      <c r="U935" s="8">
        <v>2</v>
      </c>
      <c r="AG935" s="8" t="str">
        <f t="shared" si="57"/>
        <v/>
      </c>
      <c r="AI935" s="8" t="str">
        <f t="shared" si="58"/>
        <v/>
      </c>
      <c r="AJ935" s="8" t="str">
        <f t="shared" si="59"/>
        <v/>
      </c>
      <c r="AL935" s="8" t="str">
        <f t="shared" si="60"/>
        <v/>
      </c>
    </row>
    <row r="936" spans="1:38" x14ac:dyDescent="0.25">
      <c r="A936" s="8" t="s">
        <v>1976</v>
      </c>
      <c r="B936" s="8" t="s">
        <v>1977</v>
      </c>
      <c r="C936" s="8">
        <v>30824358</v>
      </c>
      <c r="D936" s="8">
        <v>5</v>
      </c>
      <c r="E936" s="11">
        <v>43108</v>
      </c>
      <c r="F936" s="8" t="s">
        <v>58</v>
      </c>
      <c r="G936" s="11">
        <v>43110</v>
      </c>
      <c r="H936" s="8" t="s">
        <v>25</v>
      </c>
      <c r="I936" s="11">
        <v>43111</v>
      </c>
      <c r="J936" s="8" t="s">
        <v>25</v>
      </c>
      <c r="N936" s="8" t="s">
        <v>58</v>
      </c>
      <c r="O936" s="8" t="s">
        <v>59</v>
      </c>
      <c r="P936" s="8" t="s">
        <v>59</v>
      </c>
      <c r="R936" s="8">
        <v>0</v>
      </c>
      <c r="S936" s="8">
        <v>0</v>
      </c>
      <c r="T936" s="8">
        <v>1</v>
      </c>
      <c r="U936" s="8">
        <v>2</v>
      </c>
      <c r="X936" s="8">
        <v>5</v>
      </c>
      <c r="AG936" s="8" t="str">
        <f t="shared" si="57"/>
        <v/>
      </c>
      <c r="AI936" s="8" t="str">
        <f t="shared" si="58"/>
        <v/>
      </c>
      <c r="AJ936" s="8" t="str">
        <f t="shared" si="59"/>
        <v/>
      </c>
      <c r="AL936" s="8" t="str">
        <f t="shared" si="60"/>
        <v/>
      </c>
    </row>
    <row r="937" spans="1:38" x14ac:dyDescent="0.25">
      <c r="A937" s="8" t="s">
        <v>5062</v>
      </c>
      <c r="B937" s="8" t="s">
        <v>5063</v>
      </c>
      <c r="C937" s="8">
        <v>30879777</v>
      </c>
      <c r="D937" s="8">
        <v>5</v>
      </c>
      <c r="E937" s="11">
        <v>43111</v>
      </c>
      <c r="F937" s="8" t="s">
        <v>58</v>
      </c>
      <c r="G937" s="11">
        <v>43112</v>
      </c>
      <c r="H937" s="8" t="s">
        <v>25</v>
      </c>
      <c r="I937" s="11">
        <v>43112</v>
      </c>
      <c r="J937" s="8" t="s">
        <v>25</v>
      </c>
      <c r="N937" s="8" t="s">
        <v>58</v>
      </c>
      <c r="O937" s="8" t="s">
        <v>59</v>
      </c>
      <c r="P937" s="8" t="s">
        <v>59</v>
      </c>
      <c r="R937" s="8">
        <v>0</v>
      </c>
      <c r="S937" s="8">
        <v>0</v>
      </c>
      <c r="T937" s="8">
        <v>1</v>
      </c>
      <c r="U937" s="8">
        <v>2</v>
      </c>
      <c r="X937" s="8">
        <v>5</v>
      </c>
      <c r="AG937" s="8" t="str">
        <f t="shared" si="57"/>
        <v/>
      </c>
      <c r="AI937" s="8" t="str">
        <f t="shared" si="58"/>
        <v/>
      </c>
      <c r="AJ937" s="8" t="str">
        <f t="shared" si="59"/>
        <v/>
      </c>
      <c r="AL937" s="8" t="str">
        <f t="shared" si="60"/>
        <v/>
      </c>
    </row>
    <row r="938" spans="1:38" x14ac:dyDescent="0.25">
      <c r="A938" s="8" t="s">
        <v>1978</v>
      </c>
      <c r="B938" s="8" t="s">
        <v>1979</v>
      </c>
      <c r="C938" s="8">
        <v>30842243</v>
      </c>
      <c r="D938" s="8">
        <v>5</v>
      </c>
      <c r="E938" s="11">
        <v>43109</v>
      </c>
      <c r="F938" s="8" t="s">
        <v>60</v>
      </c>
      <c r="G938" s="11">
        <v>43110</v>
      </c>
      <c r="H938" s="8" t="s">
        <v>25</v>
      </c>
      <c r="J938" s="8" t="s">
        <v>25</v>
      </c>
      <c r="L938" s="8" t="s">
        <v>1662</v>
      </c>
      <c r="N938" s="8" t="s">
        <v>58</v>
      </c>
      <c r="O938" s="8" t="s">
        <v>59</v>
      </c>
      <c r="P938" s="8" t="s">
        <v>59</v>
      </c>
      <c r="R938" s="8">
        <v>0</v>
      </c>
      <c r="S938" s="8">
        <v>0</v>
      </c>
      <c r="T938" s="8">
        <v>1</v>
      </c>
      <c r="U938" s="8">
        <v>2</v>
      </c>
      <c r="W938" s="8">
        <v>4</v>
      </c>
      <c r="AG938" s="8" t="str">
        <f t="shared" si="57"/>
        <v/>
      </c>
      <c r="AI938" s="8" t="str">
        <f t="shared" si="58"/>
        <v/>
      </c>
      <c r="AJ938" s="8" t="str">
        <f t="shared" si="59"/>
        <v/>
      </c>
      <c r="AL938" s="8" t="str">
        <f t="shared" si="60"/>
        <v/>
      </c>
    </row>
    <row r="939" spans="1:38" x14ac:dyDescent="0.25">
      <c r="A939" s="8" t="s">
        <v>311</v>
      </c>
      <c r="B939" s="8" t="s">
        <v>312</v>
      </c>
      <c r="C939" s="8">
        <v>30821083</v>
      </c>
      <c r="D939" s="8">
        <v>5</v>
      </c>
      <c r="E939" s="11">
        <v>43108</v>
      </c>
      <c r="F939" s="8" t="s">
        <v>58</v>
      </c>
      <c r="G939" s="11">
        <v>43108</v>
      </c>
      <c r="H939" s="8" t="s">
        <v>25</v>
      </c>
      <c r="I939" s="11">
        <v>43108</v>
      </c>
      <c r="J939" s="8" t="s">
        <v>25</v>
      </c>
      <c r="N939" s="8" t="s">
        <v>58</v>
      </c>
      <c r="O939" s="8" t="s">
        <v>59</v>
      </c>
      <c r="P939" s="8" t="s">
        <v>59</v>
      </c>
      <c r="R939" s="8">
        <v>0</v>
      </c>
      <c r="S939" s="8">
        <v>0</v>
      </c>
      <c r="T939" s="8">
        <v>1</v>
      </c>
      <c r="U939" s="8">
        <v>2</v>
      </c>
      <c r="X939" s="8">
        <v>5</v>
      </c>
      <c r="AG939" s="8" t="str">
        <f t="shared" si="57"/>
        <v/>
      </c>
      <c r="AI939" s="8" t="str">
        <f t="shared" si="58"/>
        <v/>
      </c>
      <c r="AJ939" s="8" t="str">
        <f t="shared" si="59"/>
        <v/>
      </c>
      <c r="AL939" s="8" t="str">
        <f t="shared" si="60"/>
        <v/>
      </c>
    </row>
    <row r="940" spans="1:38" x14ac:dyDescent="0.25">
      <c r="A940" s="8" t="s">
        <v>1024</v>
      </c>
      <c r="B940" s="8" t="s">
        <v>1025</v>
      </c>
      <c r="C940" s="8">
        <v>30848426</v>
      </c>
      <c r="D940" s="8">
        <v>5</v>
      </c>
      <c r="E940" s="11">
        <v>43109</v>
      </c>
      <c r="F940" s="8" t="s">
        <v>57</v>
      </c>
      <c r="G940" s="11">
        <v>43109</v>
      </c>
      <c r="H940" s="8" t="s">
        <v>25</v>
      </c>
      <c r="J940" s="8" t="s">
        <v>25</v>
      </c>
      <c r="N940" s="8" t="s">
        <v>58</v>
      </c>
      <c r="O940" s="8" t="s">
        <v>59</v>
      </c>
      <c r="P940" s="8" t="s">
        <v>59</v>
      </c>
      <c r="R940" s="8">
        <v>0</v>
      </c>
      <c r="S940" s="8">
        <v>0</v>
      </c>
      <c r="T940" s="8">
        <v>1</v>
      </c>
      <c r="U940" s="8">
        <v>2</v>
      </c>
      <c r="AG940" s="8" t="str">
        <f t="shared" si="57"/>
        <v/>
      </c>
      <c r="AI940" s="8" t="str">
        <f t="shared" si="58"/>
        <v/>
      </c>
      <c r="AJ940" s="8" t="str">
        <f t="shared" si="59"/>
        <v/>
      </c>
      <c r="AL940" s="8" t="str">
        <f t="shared" si="60"/>
        <v/>
      </c>
    </row>
    <row r="941" spans="1:38" x14ac:dyDescent="0.25">
      <c r="A941" s="8" t="s">
        <v>313</v>
      </c>
      <c r="B941" s="8" t="s">
        <v>314</v>
      </c>
      <c r="C941" s="8">
        <v>30816088</v>
      </c>
      <c r="D941" s="8">
        <v>5</v>
      </c>
      <c r="E941" s="11">
        <v>43108</v>
      </c>
      <c r="F941" s="8" t="s">
        <v>58</v>
      </c>
      <c r="G941" s="11">
        <v>43108</v>
      </c>
      <c r="H941" s="8" t="s">
        <v>25</v>
      </c>
      <c r="I941" s="11">
        <v>43110</v>
      </c>
      <c r="J941" s="8" t="s">
        <v>25</v>
      </c>
      <c r="N941" s="8" t="s">
        <v>58</v>
      </c>
      <c r="O941" s="8" t="s">
        <v>59</v>
      </c>
      <c r="P941" s="8" t="s">
        <v>59</v>
      </c>
      <c r="R941" s="8">
        <v>0</v>
      </c>
      <c r="S941" s="8">
        <v>0</v>
      </c>
      <c r="T941" s="8">
        <v>1</v>
      </c>
      <c r="U941" s="8">
        <v>2</v>
      </c>
      <c r="X941" s="8">
        <v>5</v>
      </c>
      <c r="AG941" s="8" t="str">
        <f t="shared" si="57"/>
        <v/>
      </c>
      <c r="AI941" s="8" t="str">
        <f t="shared" si="58"/>
        <v/>
      </c>
      <c r="AJ941" s="8" t="str">
        <f t="shared" si="59"/>
        <v/>
      </c>
      <c r="AL941" s="8" t="str">
        <f t="shared" si="60"/>
        <v/>
      </c>
    </row>
    <row r="942" spans="1:38" x14ac:dyDescent="0.25">
      <c r="A942" s="8" t="s">
        <v>3562</v>
      </c>
      <c r="B942" s="8" t="s">
        <v>3563</v>
      </c>
      <c r="C942" s="8">
        <v>30868729</v>
      </c>
      <c r="D942" s="8">
        <v>5</v>
      </c>
      <c r="E942" s="11">
        <v>43110</v>
      </c>
      <c r="F942" s="8" t="s">
        <v>58</v>
      </c>
      <c r="G942" s="11">
        <v>43111</v>
      </c>
      <c r="H942" s="8" t="s">
        <v>25</v>
      </c>
      <c r="I942" s="11">
        <v>43112</v>
      </c>
      <c r="J942" s="8" t="s">
        <v>25</v>
      </c>
      <c r="N942" s="8" t="s">
        <v>58</v>
      </c>
      <c r="O942" s="8" t="s">
        <v>59</v>
      </c>
      <c r="P942" s="8" t="s">
        <v>59</v>
      </c>
      <c r="R942" s="8">
        <v>0</v>
      </c>
      <c r="S942" s="8">
        <v>0</v>
      </c>
      <c r="T942" s="8">
        <v>1</v>
      </c>
      <c r="U942" s="8">
        <v>2</v>
      </c>
      <c r="X942" s="8">
        <v>5</v>
      </c>
      <c r="AG942" s="8" t="str">
        <f t="shared" si="57"/>
        <v/>
      </c>
      <c r="AI942" s="8" t="str">
        <f t="shared" si="58"/>
        <v/>
      </c>
      <c r="AJ942" s="8" t="str">
        <f t="shared" si="59"/>
        <v/>
      </c>
      <c r="AL942" s="8" t="str">
        <f t="shared" si="60"/>
        <v/>
      </c>
    </row>
    <row r="943" spans="1:38" x14ac:dyDescent="0.25">
      <c r="A943" s="8" t="s">
        <v>1026</v>
      </c>
      <c r="B943" s="8" t="s">
        <v>1027</v>
      </c>
      <c r="C943" s="8">
        <v>30852238</v>
      </c>
      <c r="D943" s="8">
        <v>4</v>
      </c>
      <c r="E943" s="11">
        <v>43109</v>
      </c>
      <c r="F943" s="8" t="s">
        <v>58</v>
      </c>
      <c r="G943" s="11">
        <v>43109</v>
      </c>
      <c r="H943" s="8" t="s">
        <v>25</v>
      </c>
      <c r="I943" s="11">
        <v>43111</v>
      </c>
      <c r="J943" s="8" t="s">
        <v>25</v>
      </c>
      <c r="N943" s="8" t="s">
        <v>58</v>
      </c>
      <c r="O943" s="8" t="s">
        <v>59</v>
      </c>
      <c r="P943" s="8" t="s">
        <v>59</v>
      </c>
      <c r="R943" s="8">
        <v>0</v>
      </c>
      <c r="S943" s="8">
        <v>0</v>
      </c>
      <c r="T943" s="8">
        <v>1</v>
      </c>
      <c r="U943" s="8">
        <v>2</v>
      </c>
      <c r="X943" s="8">
        <v>5</v>
      </c>
      <c r="AG943" s="8" t="str">
        <f t="shared" si="57"/>
        <v/>
      </c>
      <c r="AI943" s="8" t="str">
        <f t="shared" si="58"/>
        <v/>
      </c>
      <c r="AJ943" s="8" t="str">
        <f t="shared" si="59"/>
        <v/>
      </c>
      <c r="AL943" s="8" t="str">
        <f t="shared" si="60"/>
        <v/>
      </c>
    </row>
    <row r="944" spans="1:38" x14ac:dyDescent="0.25">
      <c r="A944" s="8" t="s">
        <v>5064</v>
      </c>
      <c r="B944" s="8" t="s">
        <v>5065</v>
      </c>
      <c r="C944" s="8">
        <v>30887731</v>
      </c>
      <c r="D944" s="8">
        <v>5</v>
      </c>
      <c r="E944" s="11">
        <v>43111</v>
      </c>
      <c r="F944" s="8" t="s">
        <v>57</v>
      </c>
      <c r="G944" s="11">
        <v>43112</v>
      </c>
      <c r="H944" s="8" t="s">
        <v>25</v>
      </c>
      <c r="J944" s="8" t="s">
        <v>25</v>
      </c>
      <c r="N944" s="8" t="s">
        <v>58</v>
      </c>
      <c r="O944" s="8" t="s">
        <v>59</v>
      </c>
      <c r="P944" s="8" t="s">
        <v>59</v>
      </c>
      <c r="R944" s="8">
        <v>0</v>
      </c>
      <c r="S944" s="8">
        <v>0</v>
      </c>
      <c r="T944" s="8">
        <v>1</v>
      </c>
      <c r="U944" s="8">
        <v>2</v>
      </c>
      <c r="AG944" s="8" t="str">
        <f t="shared" si="57"/>
        <v/>
      </c>
      <c r="AI944" s="8" t="str">
        <f t="shared" si="58"/>
        <v/>
      </c>
      <c r="AJ944" s="8" t="str">
        <f t="shared" si="59"/>
        <v/>
      </c>
      <c r="AL944" s="8" t="str">
        <f t="shared" si="60"/>
        <v/>
      </c>
    </row>
    <row r="945" spans="1:38" x14ac:dyDescent="0.25">
      <c r="A945" s="8" t="s">
        <v>315</v>
      </c>
      <c r="B945" s="8" t="s">
        <v>316</v>
      </c>
      <c r="C945" s="8">
        <v>30817203</v>
      </c>
      <c r="D945" s="8">
        <v>5</v>
      </c>
      <c r="E945" s="11">
        <v>43108</v>
      </c>
      <c r="F945" s="8" t="s">
        <v>58</v>
      </c>
      <c r="G945" s="11">
        <v>43108</v>
      </c>
      <c r="H945" s="8" t="s">
        <v>25</v>
      </c>
      <c r="I945" s="11">
        <v>43108</v>
      </c>
      <c r="J945" s="8" t="s">
        <v>25</v>
      </c>
      <c r="N945" s="8" t="s">
        <v>58</v>
      </c>
      <c r="O945" s="8" t="s">
        <v>59</v>
      </c>
      <c r="P945" s="8" t="s">
        <v>59</v>
      </c>
      <c r="R945" s="8">
        <v>0</v>
      </c>
      <c r="S945" s="8">
        <v>0</v>
      </c>
      <c r="T945" s="8">
        <v>1</v>
      </c>
      <c r="U945" s="8">
        <v>2</v>
      </c>
      <c r="X945" s="8">
        <v>5</v>
      </c>
      <c r="AG945" s="8" t="str">
        <f t="shared" si="57"/>
        <v/>
      </c>
      <c r="AI945" s="8" t="str">
        <f t="shared" si="58"/>
        <v/>
      </c>
      <c r="AJ945" s="8" t="str">
        <f t="shared" si="59"/>
        <v/>
      </c>
      <c r="AL945" s="8" t="str">
        <f t="shared" si="60"/>
        <v/>
      </c>
    </row>
    <row r="946" spans="1:38" x14ac:dyDescent="0.25">
      <c r="A946" s="8" t="s">
        <v>317</v>
      </c>
      <c r="B946" s="8" t="s">
        <v>318</v>
      </c>
      <c r="C946" s="8">
        <v>30821668</v>
      </c>
      <c r="D946" s="8">
        <v>5</v>
      </c>
      <c r="E946" s="11">
        <v>43108</v>
      </c>
      <c r="F946" s="8" t="s">
        <v>58</v>
      </c>
      <c r="G946" s="11">
        <v>43108</v>
      </c>
      <c r="H946" s="8" t="s">
        <v>25</v>
      </c>
      <c r="I946" s="11">
        <v>43108</v>
      </c>
      <c r="J946" s="8" t="s">
        <v>25</v>
      </c>
      <c r="N946" s="8" t="s">
        <v>58</v>
      </c>
      <c r="O946" s="8" t="s">
        <v>59</v>
      </c>
      <c r="P946" s="8" t="s">
        <v>59</v>
      </c>
      <c r="R946" s="8">
        <v>0</v>
      </c>
      <c r="S946" s="8">
        <v>0</v>
      </c>
      <c r="T946" s="8">
        <v>1</v>
      </c>
      <c r="U946" s="8">
        <v>2</v>
      </c>
      <c r="X946" s="8">
        <v>5</v>
      </c>
      <c r="AG946" s="8" t="str">
        <f t="shared" si="57"/>
        <v/>
      </c>
      <c r="AI946" s="8" t="str">
        <f t="shared" si="58"/>
        <v/>
      </c>
      <c r="AJ946" s="8" t="str">
        <f t="shared" si="59"/>
        <v/>
      </c>
      <c r="AL946" s="8" t="str">
        <f t="shared" si="60"/>
        <v/>
      </c>
    </row>
    <row r="947" spans="1:38" x14ac:dyDescent="0.25">
      <c r="A947" s="8" t="s">
        <v>3564</v>
      </c>
      <c r="B947" s="8" t="s">
        <v>3565</v>
      </c>
      <c r="C947" s="8">
        <v>30899304</v>
      </c>
      <c r="D947" s="8">
        <v>5</v>
      </c>
      <c r="E947" s="11">
        <v>43111</v>
      </c>
      <c r="F947" s="8" t="s">
        <v>58</v>
      </c>
      <c r="G947" s="11">
        <v>43111</v>
      </c>
      <c r="H947" s="8" t="s">
        <v>25</v>
      </c>
      <c r="I947" s="11">
        <v>43111</v>
      </c>
      <c r="J947" s="8" t="s">
        <v>25</v>
      </c>
      <c r="N947" s="8" t="s">
        <v>58</v>
      </c>
      <c r="O947" s="8" t="s">
        <v>59</v>
      </c>
      <c r="P947" s="8" t="s">
        <v>59</v>
      </c>
      <c r="R947" s="8">
        <v>0</v>
      </c>
      <c r="S947" s="8">
        <v>0</v>
      </c>
      <c r="T947" s="8">
        <v>1</v>
      </c>
      <c r="U947" s="8">
        <v>2</v>
      </c>
      <c r="X947" s="8">
        <v>5</v>
      </c>
      <c r="AG947" s="8" t="str">
        <f t="shared" si="57"/>
        <v/>
      </c>
      <c r="AI947" s="8" t="str">
        <f t="shared" si="58"/>
        <v/>
      </c>
      <c r="AJ947" s="8" t="str">
        <f t="shared" si="59"/>
        <v/>
      </c>
      <c r="AL947" s="8" t="str">
        <f t="shared" si="60"/>
        <v/>
      </c>
    </row>
    <row r="948" spans="1:38" x14ac:dyDescent="0.25">
      <c r="A948" s="8" t="s">
        <v>319</v>
      </c>
      <c r="B948" s="8" t="s">
        <v>320</v>
      </c>
      <c r="C948" s="8">
        <v>30816291</v>
      </c>
      <c r="D948" s="8">
        <v>5</v>
      </c>
      <c r="E948" s="11">
        <v>43108</v>
      </c>
      <c r="F948" s="8" t="s">
        <v>58</v>
      </c>
      <c r="G948" s="11">
        <v>43108</v>
      </c>
      <c r="H948" s="8" t="s">
        <v>25</v>
      </c>
      <c r="I948" s="11">
        <v>43112</v>
      </c>
      <c r="J948" s="8" t="s">
        <v>145</v>
      </c>
      <c r="N948" s="8" t="s">
        <v>58</v>
      </c>
      <c r="O948" s="8" t="s">
        <v>59</v>
      </c>
      <c r="P948" s="8" t="s">
        <v>59</v>
      </c>
      <c r="R948" s="8">
        <v>0</v>
      </c>
      <c r="S948" s="8">
        <v>0</v>
      </c>
      <c r="T948" s="8">
        <v>1</v>
      </c>
      <c r="U948" s="8">
        <v>2</v>
      </c>
      <c r="X948" s="8">
        <v>5</v>
      </c>
      <c r="AG948" s="8" t="str">
        <f t="shared" si="57"/>
        <v/>
      </c>
      <c r="AI948" s="8" t="str">
        <f t="shared" si="58"/>
        <v/>
      </c>
      <c r="AJ948" s="8" t="str">
        <f t="shared" si="59"/>
        <v/>
      </c>
      <c r="AL948" s="8" t="str">
        <f t="shared" si="60"/>
        <v/>
      </c>
    </row>
    <row r="949" spans="1:38" x14ac:dyDescent="0.25">
      <c r="A949" s="8" t="s">
        <v>3566</v>
      </c>
      <c r="B949" s="8" t="s">
        <v>3567</v>
      </c>
      <c r="C949" s="8">
        <v>30888556</v>
      </c>
      <c r="D949" s="8">
        <v>5</v>
      </c>
      <c r="E949" s="11">
        <v>43111</v>
      </c>
      <c r="F949" s="8" t="s">
        <v>57</v>
      </c>
      <c r="G949" s="11">
        <v>43111</v>
      </c>
      <c r="H949" s="8" t="s">
        <v>25</v>
      </c>
      <c r="J949" s="8" t="s">
        <v>25</v>
      </c>
      <c r="N949" s="8" t="s">
        <v>58</v>
      </c>
      <c r="O949" s="8" t="s">
        <v>59</v>
      </c>
      <c r="P949" s="8" t="s">
        <v>59</v>
      </c>
      <c r="R949" s="8">
        <v>0</v>
      </c>
      <c r="S949" s="8">
        <v>0</v>
      </c>
      <c r="T949" s="8">
        <v>1</v>
      </c>
      <c r="U949" s="8">
        <v>2</v>
      </c>
      <c r="AG949" s="8" t="str">
        <f t="shared" si="57"/>
        <v/>
      </c>
      <c r="AI949" s="8" t="str">
        <f t="shared" si="58"/>
        <v/>
      </c>
      <c r="AJ949" s="8" t="str">
        <f t="shared" si="59"/>
        <v/>
      </c>
      <c r="AL949" s="8" t="str">
        <f t="shared" si="60"/>
        <v/>
      </c>
    </row>
    <row r="950" spans="1:38" x14ac:dyDescent="0.25">
      <c r="A950" s="8" t="s">
        <v>1980</v>
      </c>
      <c r="B950" s="8" t="s">
        <v>1981</v>
      </c>
      <c r="C950" s="8">
        <v>30863519</v>
      </c>
      <c r="D950" s="8">
        <v>5</v>
      </c>
      <c r="E950" s="11">
        <v>43110</v>
      </c>
      <c r="F950" s="8" t="s">
        <v>58</v>
      </c>
      <c r="G950" s="11">
        <v>43110</v>
      </c>
      <c r="H950" s="8" t="s">
        <v>25</v>
      </c>
      <c r="I950" s="11">
        <v>43112</v>
      </c>
      <c r="J950" s="8" t="s">
        <v>25</v>
      </c>
      <c r="N950" s="8" t="s">
        <v>58</v>
      </c>
      <c r="O950" s="8" t="s">
        <v>59</v>
      </c>
      <c r="P950" s="8" t="s">
        <v>59</v>
      </c>
      <c r="R950" s="8">
        <v>0</v>
      </c>
      <c r="S950" s="8">
        <v>0</v>
      </c>
      <c r="T950" s="8">
        <v>1</v>
      </c>
      <c r="U950" s="8">
        <v>2</v>
      </c>
      <c r="X950" s="8">
        <v>5</v>
      </c>
      <c r="AG950" s="8" t="str">
        <f t="shared" si="57"/>
        <v/>
      </c>
      <c r="AI950" s="8" t="str">
        <f t="shared" si="58"/>
        <v/>
      </c>
      <c r="AJ950" s="8" t="str">
        <f t="shared" si="59"/>
        <v/>
      </c>
      <c r="AL950" s="8" t="str">
        <f t="shared" si="60"/>
        <v/>
      </c>
    </row>
    <row r="951" spans="1:38" x14ac:dyDescent="0.25">
      <c r="A951" s="8" t="s">
        <v>5066</v>
      </c>
      <c r="B951" s="8" t="s">
        <v>5067</v>
      </c>
      <c r="C951" s="8">
        <v>30923480</v>
      </c>
      <c r="D951" s="8">
        <v>5</v>
      </c>
      <c r="E951" s="11">
        <v>43112</v>
      </c>
      <c r="F951" s="8" t="s">
        <v>57</v>
      </c>
      <c r="G951" s="11">
        <v>43112</v>
      </c>
      <c r="H951" s="8" t="s">
        <v>25</v>
      </c>
      <c r="J951" s="8" t="s">
        <v>25</v>
      </c>
      <c r="N951" s="8" t="s">
        <v>58</v>
      </c>
      <c r="O951" s="8" t="s">
        <v>59</v>
      </c>
      <c r="P951" s="8" t="s">
        <v>59</v>
      </c>
      <c r="R951" s="8">
        <v>0</v>
      </c>
      <c r="S951" s="8">
        <v>0</v>
      </c>
      <c r="T951" s="8">
        <v>1</v>
      </c>
      <c r="U951" s="8">
        <v>2</v>
      </c>
      <c r="AG951" s="8" t="str">
        <f t="shared" si="57"/>
        <v/>
      </c>
      <c r="AI951" s="8" t="str">
        <f t="shared" si="58"/>
        <v/>
      </c>
      <c r="AJ951" s="8" t="str">
        <f t="shared" si="59"/>
        <v/>
      </c>
      <c r="AL951" s="8" t="str">
        <f t="shared" si="60"/>
        <v/>
      </c>
    </row>
    <row r="952" spans="1:38" x14ac:dyDescent="0.25">
      <c r="A952" s="8" t="s">
        <v>1982</v>
      </c>
      <c r="B952" s="8" t="s">
        <v>1983</v>
      </c>
      <c r="C952" s="8">
        <v>30849272</v>
      </c>
      <c r="D952" s="8">
        <v>5</v>
      </c>
      <c r="E952" s="11">
        <v>43109</v>
      </c>
      <c r="F952" s="8" t="s">
        <v>58</v>
      </c>
      <c r="G952" s="11">
        <v>43110</v>
      </c>
      <c r="H952" s="8" t="s">
        <v>25</v>
      </c>
      <c r="I952" s="11">
        <v>43112</v>
      </c>
      <c r="J952" s="8" t="s">
        <v>25</v>
      </c>
      <c r="N952" s="8" t="s">
        <v>58</v>
      </c>
      <c r="O952" s="8" t="s">
        <v>59</v>
      </c>
      <c r="P952" s="8" t="s">
        <v>59</v>
      </c>
      <c r="R952" s="8">
        <v>0</v>
      </c>
      <c r="S952" s="8">
        <v>0</v>
      </c>
      <c r="T952" s="8">
        <v>1</v>
      </c>
      <c r="U952" s="8">
        <v>2</v>
      </c>
      <c r="X952" s="8">
        <v>5</v>
      </c>
      <c r="AG952" s="8" t="str">
        <f t="shared" si="57"/>
        <v/>
      </c>
      <c r="AI952" s="8" t="str">
        <f t="shared" si="58"/>
        <v/>
      </c>
      <c r="AJ952" s="8" t="str">
        <f t="shared" si="59"/>
        <v/>
      </c>
      <c r="AL952" s="8" t="str">
        <f t="shared" si="60"/>
        <v/>
      </c>
    </row>
    <row r="953" spans="1:38" x14ac:dyDescent="0.25">
      <c r="A953" s="8" t="s">
        <v>6958</v>
      </c>
      <c r="B953" s="8" t="s">
        <v>6959</v>
      </c>
      <c r="C953" s="8">
        <v>30945618</v>
      </c>
      <c r="D953" s="8">
        <v>5</v>
      </c>
      <c r="E953" s="11">
        <v>43115</v>
      </c>
      <c r="F953" s="8" t="s">
        <v>57</v>
      </c>
      <c r="G953" s="11">
        <v>43115</v>
      </c>
      <c r="H953" s="8" t="s">
        <v>25</v>
      </c>
      <c r="J953" s="8" t="s">
        <v>25</v>
      </c>
      <c r="N953" s="8" t="s">
        <v>58</v>
      </c>
      <c r="O953" s="8" t="s">
        <v>59</v>
      </c>
      <c r="P953" s="8" t="s">
        <v>59</v>
      </c>
      <c r="R953" s="8">
        <v>0</v>
      </c>
      <c r="S953" s="8">
        <v>0</v>
      </c>
      <c r="T953" s="8">
        <v>1</v>
      </c>
      <c r="U953" s="8">
        <v>2</v>
      </c>
      <c r="AG953" s="8" t="str">
        <f t="shared" si="57"/>
        <v/>
      </c>
      <c r="AI953" s="8" t="str">
        <f t="shared" si="58"/>
        <v/>
      </c>
      <c r="AJ953" s="8" t="str">
        <f t="shared" si="59"/>
        <v/>
      </c>
      <c r="AL953" s="8" t="str">
        <f t="shared" si="60"/>
        <v/>
      </c>
    </row>
    <row r="954" spans="1:38" x14ac:dyDescent="0.25">
      <c r="A954" s="8" t="s">
        <v>6960</v>
      </c>
      <c r="B954" s="8" t="s">
        <v>6961</v>
      </c>
      <c r="C954" s="8">
        <v>30944394</v>
      </c>
      <c r="D954" s="8">
        <v>5</v>
      </c>
      <c r="E954" s="11">
        <v>43115</v>
      </c>
      <c r="F954" s="8" t="s">
        <v>57</v>
      </c>
      <c r="G954" s="11">
        <v>43115</v>
      </c>
      <c r="H954" s="8" t="s">
        <v>25</v>
      </c>
      <c r="J954" s="8" t="s">
        <v>25</v>
      </c>
      <c r="N954" s="8" t="s">
        <v>58</v>
      </c>
      <c r="O954" s="8" t="s">
        <v>59</v>
      </c>
      <c r="P954" s="8" t="s">
        <v>59</v>
      </c>
      <c r="R954" s="8">
        <v>0</v>
      </c>
      <c r="S954" s="8">
        <v>0</v>
      </c>
      <c r="T954" s="8">
        <v>1</v>
      </c>
      <c r="U954" s="8">
        <v>2</v>
      </c>
      <c r="AG954" s="8" t="str">
        <f t="shared" si="57"/>
        <v/>
      </c>
      <c r="AI954" s="8" t="str">
        <f t="shared" si="58"/>
        <v/>
      </c>
      <c r="AJ954" s="8" t="str">
        <f t="shared" si="59"/>
        <v/>
      </c>
      <c r="AL954" s="8" t="str">
        <f t="shared" si="60"/>
        <v/>
      </c>
    </row>
    <row r="955" spans="1:38" x14ac:dyDescent="0.25">
      <c r="A955" s="8" t="s">
        <v>321</v>
      </c>
      <c r="B955" s="8" t="s">
        <v>322</v>
      </c>
      <c r="C955" s="8">
        <v>30818368</v>
      </c>
      <c r="D955" s="8">
        <v>5</v>
      </c>
      <c r="E955" s="11">
        <v>43108</v>
      </c>
      <c r="F955" s="8" t="s">
        <v>58</v>
      </c>
      <c r="G955" s="11">
        <v>43108</v>
      </c>
      <c r="H955" s="8" t="s">
        <v>25</v>
      </c>
      <c r="I955" s="11">
        <v>43109</v>
      </c>
      <c r="J955" s="8" t="s">
        <v>25</v>
      </c>
      <c r="N955" s="8" t="s">
        <v>58</v>
      </c>
      <c r="O955" s="8" t="s">
        <v>59</v>
      </c>
      <c r="P955" s="8" t="s">
        <v>59</v>
      </c>
      <c r="R955" s="8">
        <v>0</v>
      </c>
      <c r="S955" s="8">
        <v>0</v>
      </c>
      <c r="T955" s="8">
        <v>1</v>
      </c>
      <c r="U955" s="8">
        <v>2</v>
      </c>
      <c r="X955" s="8">
        <v>5</v>
      </c>
      <c r="AG955" s="8" t="str">
        <f t="shared" si="57"/>
        <v/>
      </c>
      <c r="AI955" s="8" t="str">
        <f t="shared" si="58"/>
        <v/>
      </c>
      <c r="AJ955" s="8" t="str">
        <f t="shared" si="59"/>
        <v/>
      </c>
      <c r="AL955" s="8" t="str">
        <f t="shared" si="60"/>
        <v/>
      </c>
    </row>
    <row r="956" spans="1:38" x14ac:dyDescent="0.25">
      <c r="A956" s="8" t="s">
        <v>323</v>
      </c>
      <c r="B956" s="8" t="s">
        <v>324</v>
      </c>
      <c r="C956" s="8">
        <v>30820398</v>
      </c>
      <c r="D956" s="8">
        <v>5</v>
      </c>
      <c r="E956" s="11">
        <v>43108</v>
      </c>
      <c r="F956" s="8" t="s">
        <v>58</v>
      </c>
      <c r="G956" s="11">
        <v>43108</v>
      </c>
      <c r="H956" s="8" t="s">
        <v>25</v>
      </c>
      <c r="I956" s="11">
        <v>43115</v>
      </c>
      <c r="J956" s="8" t="s">
        <v>856</v>
      </c>
      <c r="N956" s="8" t="s">
        <v>58</v>
      </c>
      <c r="O956" s="8" t="s">
        <v>59</v>
      </c>
      <c r="P956" s="8" t="s">
        <v>59</v>
      </c>
      <c r="R956" s="8">
        <v>0</v>
      </c>
      <c r="S956" s="8">
        <v>0</v>
      </c>
      <c r="T956" s="8">
        <v>1</v>
      </c>
      <c r="U956" s="8">
        <v>2</v>
      </c>
      <c r="X956" s="8">
        <v>5</v>
      </c>
      <c r="AG956" s="8" t="str">
        <f t="shared" si="57"/>
        <v/>
      </c>
      <c r="AI956" s="8" t="str">
        <f t="shared" si="58"/>
        <v/>
      </c>
      <c r="AJ956" s="8" t="str">
        <f t="shared" si="59"/>
        <v/>
      </c>
      <c r="AL956" s="8" t="str">
        <f t="shared" si="60"/>
        <v/>
      </c>
    </row>
    <row r="957" spans="1:38" x14ac:dyDescent="0.25">
      <c r="A957" s="8" t="s">
        <v>6962</v>
      </c>
      <c r="B957" s="8" t="s">
        <v>6963</v>
      </c>
      <c r="C957" s="8">
        <v>30939233</v>
      </c>
      <c r="D957" s="8">
        <v>5</v>
      </c>
      <c r="E957" s="11">
        <v>43115</v>
      </c>
      <c r="F957" s="8" t="s">
        <v>57</v>
      </c>
      <c r="G957" s="11">
        <v>43115</v>
      </c>
      <c r="H957" s="8" t="s">
        <v>25</v>
      </c>
      <c r="J957" s="8" t="s">
        <v>25</v>
      </c>
      <c r="N957" s="8" t="s">
        <v>58</v>
      </c>
      <c r="O957" s="8" t="s">
        <v>59</v>
      </c>
      <c r="P957" s="8" t="s">
        <v>59</v>
      </c>
      <c r="R957" s="8">
        <v>0</v>
      </c>
      <c r="S957" s="8">
        <v>0</v>
      </c>
      <c r="T957" s="8">
        <v>1</v>
      </c>
      <c r="U957" s="8">
        <v>2</v>
      </c>
      <c r="AG957" s="8" t="str">
        <f t="shared" si="57"/>
        <v/>
      </c>
      <c r="AI957" s="8" t="str">
        <f t="shared" si="58"/>
        <v/>
      </c>
      <c r="AJ957" s="8" t="str">
        <f t="shared" si="59"/>
        <v/>
      </c>
      <c r="AL957" s="8" t="str">
        <f t="shared" si="60"/>
        <v/>
      </c>
    </row>
    <row r="958" spans="1:38" x14ac:dyDescent="0.25">
      <c r="A958" s="8" t="s">
        <v>1028</v>
      </c>
      <c r="B958" s="8" t="s">
        <v>1029</v>
      </c>
      <c r="C958" s="8">
        <v>30819871</v>
      </c>
      <c r="D958" s="8">
        <v>5</v>
      </c>
      <c r="E958" s="11">
        <v>43108</v>
      </c>
      <c r="F958" s="8" t="s">
        <v>58</v>
      </c>
      <c r="G958" s="11">
        <v>43109</v>
      </c>
      <c r="H958" s="8" t="s">
        <v>25</v>
      </c>
      <c r="I958" s="11">
        <v>43115</v>
      </c>
      <c r="J958" s="8" t="s">
        <v>145</v>
      </c>
      <c r="N958" s="8" t="s">
        <v>58</v>
      </c>
      <c r="O958" s="8" t="s">
        <v>59</v>
      </c>
      <c r="P958" s="8" t="s">
        <v>59</v>
      </c>
      <c r="R958" s="8">
        <v>0</v>
      </c>
      <c r="S958" s="8">
        <v>0</v>
      </c>
      <c r="T958" s="8">
        <v>1</v>
      </c>
      <c r="U958" s="8">
        <v>2</v>
      </c>
      <c r="X958" s="8">
        <v>5</v>
      </c>
      <c r="AG958" s="8" t="str">
        <f t="shared" si="57"/>
        <v/>
      </c>
      <c r="AI958" s="8" t="str">
        <f t="shared" si="58"/>
        <v/>
      </c>
      <c r="AJ958" s="8" t="str">
        <f t="shared" si="59"/>
        <v/>
      </c>
      <c r="AL958" s="8" t="str">
        <f t="shared" si="60"/>
        <v/>
      </c>
    </row>
    <row r="959" spans="1:38" x14ac:dyDescent="0.25">
      <c r="A959" s="8" t="s">
        <v>3568</v>
      </c>
      <c r="B959" s="8" t="s">
        <v>3569</v>
      </c>
      <c r="C959" s="8">
        <v>30890628</v>
      </c>
      <c r="D959" s="8">
        <v>5</v>
      </c>
      <c r="E959" s="11">
        <v>43111</v>
      </c>
      <c r="F959" s="8" t="s">
        <v>58</v>
      </c>
      <c r="G959" s="11">
        <v>43111</v>
      </c>
      <c r="H959" s="8" t="s">
        <v>25</v>
      </c>
      <c r="I959" s="11">
        <v>43111</v>
      </c>
      <c r="J959" s="8" t="s">
        <v>25</v>
      </c>
      <c r="N959" s="8" t="s">
        <v>58</v>
      </c>
      <c r="O959" s="8" t="s">
        <v>59</v>
      </c>
      <c r="P959" s="8" t="s">
        <v>59</v>
      </c>
      <c r="R959" s="8">
        <v>0</v>
      </c>
      <c r="S959" s="8">
        <v>0</v>
      </c>
      <c r="T959" s="8">
        <v>1</v>
      </c>
      <c r="U959" s="8">
        <v>2</v>
      </c>
      <c r="X959" s="8">
        <v>5</v>
      </c>
      <c r="AG959" s="8" t="str">
        <f t="shared" si="57"/>
        <v/>
      </c>
      <c r="AI959" s="8" t="str">
        <f t="shared" si="58"/>
        <v/>
      </c>
      <c r="AJ959" s="8" t="str">
        <f t="shared" si="59"/>
        <v/>
      </c>
      <c r="AL959" s="8" t="str">
        <f t="shared" si="60"/>
        <v/>
      </c>
    </row>
    <row r="960" spans="1:38" x14ac:dyDescent="0.25">
      <c r="A960" s="8" t="s">
        <v>1984</v>
      </c>
      <c r="B960" s="8" t="s">
        <v>1985</v>
      </c>
      <c r="C960" s="8">
        <v>30875382</v>
      </c>
      <c r="D960" s="8">
        <v>5</v>
      </c>
      <c r="E960" s="11">
        <v>43110</v>
      </c>
      <c r="F960" s="8" t="s">
        <v>58</v>
      </c>
      <c r="G960" s="11">
        <v>43110</v>
      </c>
      <c r="H960" s="8" t="s">
        <v>25</v>
      </c>
      <c r="I960" s="11">
        <v>43110</v>
      </c>
      <c r="J960" s="8" t="s">
        <v>25</v>
      </c>
      <c r="N960" s="8" t="s">
        <v>58</v>
      </c>
      <c r="O960" s="8" t="s">
        <v>59</v>
      </c>
      <c r="P960" s="8" t="s">
        <v>59</v>
      </c>
      <c r="R960" s="8">
        <v>0</v>
      </c>
      <c r="S960" s="8">
        <v>0</v>
      </c>
      <c r="T960" s="8">
        <v>1</v>
      </c>
      <c r="U960" s="8">
        <v>2</v>
      </c>
      <c r="X960" s="8">
        <v>5</v>
      </c>
      <c r="AG960" s="8" t="str">
        <f t="shared" si="57"/>
        <v/>
      </c>
      <c r="AI960" s="8" t="str">
        <f t="shared" si="58"/>
        <v/>
      </c>
      <c r="AJ960" s="8" t="str">
        <f t="shared" si="59"/>
        <v/>
      </c>
      <c r="AL960" s="8" t="str">
        <f t="shared" si="60"/>
        <v/>
      </c>
    </row>
    <row r="961" spans="1:38" x14ac:dyDescent="0.25">
      <c r="A961" s="8" t="s">
        <v>3570</v>
      </c>
      <c r="B961" s="8" t="s">
        <v>3571</v>
      </c>
      <c r="C961" s="8">
        <v>30865234</v>
      </c>
      <c r="D961" s="8">
        <v>5</v>
      </c>
      <c r="E961" s="11">
        <v>43110</v>
      </c>
      <c r="F961" s="8" t="s">
        <v>57</v>
      </c>
      <c r="G961" s="11">
        <v>43111</v>
      </c>
      <c r="H961" s="8" t="s">
        <v>25</v>
      </c>
      <c r="J961" s="8" t="s">
        <v>25</v>
      </c>
      <c r="N961" s="8" t="s">
        <v>58</v>
      </c>
      <c r="O961" s="8" t="s">
        <v>59</v>
      </c>
      <c r="P961" s="8" t="s">
        <v>59</v>
      </c>
      <c r="R961" s="8">
        <v>0</v>
      </c>
      <c r="S961" s="8">
        <v>0</v>
      </c>
      <c r="T961" s="8">
        <v>1</v>
      </c>
      <c r="U961" s="8">
        <v>2</v>
      </c>
      <c r="AG961" s="8" t="str">
        <f t="shared" si="57"/>
        <v/>
      </c>
      <c r="AI961" s="8" t="str">
        <f t="shared" si="58"/>
        <v/>
      </c>
      <c r="AJ961" s="8" t="str">
        <f t="shared" si="59"/>
        <v/>
      </c>
      <c r="AL961" s="8" t="str">
        <f t="shared" si="60"/>
        <v/>
      </c>
    </row>
    <row r="962" spans="1:38" x14ac:dyDescent="0.25">
      <c r="A962" s="8" t="s">
        <v>1986</v>
      </c>
      <c r="B962" s="8" t="s">
        <v>1987</v>
      </c>
      <c r="C962" s="8">
        <v>30859865</v>
      </c>
      <c r="D962" s="8">
        <v>5</v>
      </c>
      <c r="E962" s="11">
        <v>43110</v>
      </c>
      <c r="F962" s="8" t="s">
        <v>58</v>
      </c>
      <c r="G962" s="11">
        <v>43110</v>
      </c>
      <c r="H962" s="8" t="s">
        <v>25</v>
      </c>
      <c r="I962" s="11">
        <v>43110</v>
      </c>
      <c r="J962" s="8" t="s">
        <v>25</v>
      </c>
      <c r="N962" s="8" t="s">
        <v>58</v>
      </c>
      <c r="O962" s="8" t="s">
        <v>59</v>
      </c>
      <c r="P962" s="8" t="s">
        <v>59</v>
      </c>
      <c r="R962" s="8">
        <v>0</v>
      </c>
      <c r="S962" s="8">
        <v>0</v>
      </c>
      <c r="T962" s="8">
        <v>1</v>
      </c>
      <c r="U962" s="8">
        <v>2</v>
      </c>
      <c r="X962" s="8">
        <v>5</v>
      </c>
      <c r="AG962" s="8" t="str">
        <f t="shared" si="57"/>
        <v/>
      </c>
      <c r="AI962" s="8" t="str">
        <f t="shared" si="58"/>
        <v/>
      </c>
      <c r="AJ962" s="8" t="str">
        <f t="shared" si="59"/>
        <v/>
      </c>
      <c r="AL962" s="8" t="str">
        <f t="shared" si="60"/>
        <v/>
      </c>
    </row>
    <row r="963" spans="1:38" x14ac:dyDescent="0.25">
      <c r="A963" s="8" t="s">
        <v>6964</v>
      </c>
      <c r="B963" s="8" t="s">
        <v>6965</v>
      </c>
      <c r="C963" s="8">
        <v>30936787</v>
      </c>
      <c r="D963" s="8">
        <v>5</v>
      </c>
      <c r="E963" s="11">
        <v>43115</v>
      </c>
      <c r="F963" s="8" t="s">
        <v>57</v>
      </c>
      <c r="G963" s="11">
        <v>43115</v>
      </c>
      <c r="H963" s="8" t="s">
        <v>25</v>
      </c>
      <c r="J963" s="8" t="s">
        <v>25</v>
      </c>
      <c r="N963" s="8" t="s">
        <v>58</v>
      </c>
      <c r="O963" s="8" t="s">
        <v>59</v>
      </c>
      <c r="P963" s="8" t="s">
        <v>59</v>
      </c>
      <c r="R963" s="8">
        <v>0</v>
      </c>
      <c r="S963" s="8">
        <v>0</v>
      </c>
      <c r="T963" s="8">
        <v>1</v>
      </c>
      <c r="U963" s="8">
        <v>2</v>
      </c>
      <c r="AG963" s="8" t="str">
        <f t="shared" ref="AG963:AG1026" si="61">IF(AND(U963="",G963&lt;&gt;"",NOT(OR(R963,S963))),IF(NETWORKDAYS.INTL(G963,TODAY(),11)&lt;5,"En Plazo",IF(NETWORKDAYS.INTL(G963,TODAY(),11)=5,"Riesgo Incumplimiento","FALTA_02")),"")</f>
        <v/>
      </c>
      <c r="AI963" s="8" t="str">
        <f t="shared" ref="AI963:AI1026" si="62">IF(AND(O963&lt;&gt;"B1",F963="Rejected"),IF(W963="","FALTA_04",""),"")</f>
        <v/>
      </c>
      <c r="AJ963" s="8" t="str">
        <f t="shared" ref="AJ963:AJ1026" si="63">IF(AND(X963="",I963&lt;&gt;"",NOT(OR(R963,S963))),IF(NETWORKDAYS.INTL(G963,TODAY(),11)&lt;=1,"En Plazo",IF(OR(AND(X963="",O963&lt;&gt;"M1"),AND(O963="M1",(OR(Q963="S - S",Q963="S - T",)))),"FALTA_05","")),"")</f>
        <v/>
      </c>
      <c r="AL963" s="8" t="str">
        <f t="shared" ref="AL963:AL1026" si="64">IF(AND(O963="B1",F963="Rejected"),IF(Z963="","FALTA_07",""),"")</f>
        <v/>
      </c>
    </row>
    <row r="964" spans="1:38" x14ac:dyDescent="0.25">
      <c r="A964" s="8" t="s">
        <v>1030</v>
      </c>
      <c r="B964" s="8" t="s">
        <v>1031</v>
      </c>
      <c r="C964" s="8">
        <v>30806975</v>
      </c>
      <c r="D964" s="8">
        <v>4</v>
      </c>
      <c r="E964" s="11">
        <v>43108</v>
      </c>
      <c r="F964" s="8" t="s">
        <v>57</v>
      </c>
      <c r="G964" s="11">
        <v>43109</v>
      </c>
      <c r="H964" s="8" t="s">
        <v>25</v>
      </c>
      <c r="J964" s="8" t="s">
        <v>25</v>
      </c>
      <c r="N964" s="8" t="s">
        <v>58</v>
      </c>
      <c r="O964" s="8" t="s">
        <v>59</v>
      </c>
      <c r="P964" s="8" t="s">
        <v>59</v>
      </c>
      <c r="R964" s="8">
        <v>0</v>
      </c>
      <c r="S964" s="8">
        <v>0</v>
      </c>
      <c r="T964" s="8">
        <v>1</v>
      </c>
      <c r="U964" s="8">
        <v>2</v>
      </c>
      <c r="AG964" s="8" t="str">
        <f t="shared" si="61"/>
        <v/>
      </c>
      <c r="AI964" s="8" t="str">
        <f t="shared" si="62"/>
        <v/>
      </c>
      <c r="AJ964" s="8" t="str">
        <f t="shared" si="63"/>
        <v/>
      </c>
      <c r="AL964" s="8" t="str">
        <f t="shared" si="64"/>
        <v/>
      </c>
    </row>
    <row r="965" spans="1:38" x14ac:dyDescent="0.25">
      <c r="A965" s="8" t="s">
        <v>1032</v>
      </c>
      <c r="B965" s="8" t="s">
        <v>1033</v>
      </c>
      <c r="C965" s="8">
        <v>30836265</v>
      </c>
      <c r="D965" s="8">
        <v>5</v>
      </c>
      <c r="E965" s="11">
        <v>43109</v>
      </c>
      <c r="F965" s="8" t="s">
        <v>58</v>
      </c>
      <c r="G965" s="11">
        <v>43109</v>
      </c>
      <c r="H965" s="8" t="s">
        <v>25</v>
      </c>
      <c r="I965" s="11">
        <v>43115</v>
      </c>
      <c r="J965" s="8" t="s">
        <v>145</v>
      </c>
      <c r="N965" s="8" t="s">
        <v>58</v>
      </c>
      <c r="O965" s="8" t="s">
        <v>59</v>
      </c>
      <c r="P965" s="8" t="s">
        <v>59</v>
      </c>
      <c r="R965" s="8">
        <v>0</v>
      </c>
      <c r="S965" s="8">
        <v>0</v>
      </c>
      <c r="T965" s="8">
        <v>1</v>
      </c>
      <c r="U965" s="8">
        <v>2</v>
      </c>
      <c r="X965" s="8">
        <v>5</v>
      </c>
      <c r="AG965" s="8" t="str">
        <f t="shared" si="61"/>
        <v/>
      </c>
      <c r="AI965" s="8" t="str">
        <f t="shared" si="62"/>
        <v/>
      </c>
      <c r="AJ965" s="8" t="str">
        <f t="shared" si="63"/>
        <v/>
      </c>
      <c r="AL965" s="8" t="str">
        <f t="shared" si="64"/>
        <v/>
      </c>
    </row>
    <row r="966" spans="1:38" x14ac:dyDescent="0.25">
      <c r="A966" s="8" t="s">
        <v>3572</v>
      </c>
      <c r="B966" s="8" t="s">
        <v>3573</v>
      </c>
      <c r="C966" s="8">
        <v>30845034</v>
      </c>
      <c r="D966" s="8">
        <v>5</v>
      </c>
      <c r="E966" s="11">
        <v>43109</v>
      </c>
      <c r="F966" s="8" t="s">
        <v>57</v>
      </c>
      <c r="G966" s="11">
        <v>43111</v>
      </c>
      <c r="H966" s="8" t="s">
        <v>25</v>
      </c>
      <c r="J966" s="8" t="s">
        <v>25</v>
      </c>
      <c r="N966" s="8" t="s">
        <v>58</v>
      </c>
      <c r="O966" s="8" t="s">
        <v>59</v>
      </c>
      <c r="P966" s="8" t="s">
        <v>59</v>
      </c>
      <c r="R966" s="8">
        <v>0</v>
      </c>
      <c r="S966" s="8">
        <v>0</v>
      </c>
      <c r="T966" s="8">
        <v>1</v>
      </c>
      <c r="U966" s="8">
        <v>2</v>
      </c>
      <c r="AG966" s="8" t="str">
        <f t="shared" si="61"/>
        <v/>
      </c>
      <c r="AI966" s="8" t="str">
        <f t="shared" si="62"/>
        <v/>
      </c>
      <c r="AJ966" s="8" t="str">
        <f t="shared" si="63"/>
        <v/>
      </c>
      <c r="AL966" s="8" t="str">
        <f t="shared" si="64"/>
        <v/>
      </c>
    </row>
    <row r="967" spans="1:38" x14ac:dyDescent="0.25">
      <c r="A967" s="8" t="s">
        <v>1034</v>
      </c>
      <c r="B967" s="8" t="s">
        <v>1035</v>
      </c>
      <c r="C967" s="8">
        <v>30818386</v>
      </c>
      <c r="D967" s="8">
        <v>5</v>
      </c>
      <c r="E967" s="11">
        <v>43108</v>
      </c>
      <c r="F967" s="8" t="s">
        <v>58</v>
      </c>
      <c r="G967" s="11">
        <v>43109</v>
      </c>
      <c r="H967" s="8" t="s">
        <v>25</v>
      </c>
      <c r="I967" s="11">
        <v>43111</v>
      </c>
      <c r="J967" s="8" t="s">
        <v>25</v>
      </c>
      <c r="N967" s="8" t="s">
        <v>58</v>
      </c>
      <c r="O967" s="8" t="s">
        <v>59</v>
      </c>
      <c r="P967" s="8" t="s">
        <v>59</v>
      </c>
      <c r="R967" s="8">
        <v>0</v>
      </c>
      <c r="S967" s="8">
        <v>0</v>
      </c>
      <c r="T967" s="8">
        <v>1</v>
      </c>
      <c r="U967" s="8">
        <v>2</v>
      </c>
      <c r="X967" s="8">
        <v>5</v>
      </c>
      <c r="AG967" s="8" t="str">
        <f t="shared" si="61"/>
        <v/>
      </c>
      <c r="AI967" s="8" t="str">
        <f t="shared" si="62"/>
        <v/>
      </c>
      <c r="AJ967" s="8" t="str">
        <f t="shared" si="63"/>
        <v/>
      </c>
      <c r="AL967" s="8" t="str">
        <f t="shared" si="64"/>
        <v/>
      </c>
    </row>
    <row r="968" spans="1:38" x14ac:dyDescent="0.25">
      <c r="A968" s="8" t="s">
        <v>3574</v>
      </c>
      <c r="B968" s="8" t="s">
        <v>3575</v>
      </c>
      <c r="C968" s="8">
        <v>30882593</v>
      </c>
      <c r="D968" s="8">
        <v>5</v>
      </c>
      <c r="E968" s="11">
        <v>43111</v>
      </c>
      <c r="F968" s="8" t="s">
        <v>58</v>
      </c>
      <c r="G968" s="11">
        <v>43111</v>
      </c>
      <c r="H968" s="8" t="s">
        <v>25</v>
      </c>
      <c r="I968" s="11">
        <v>43112</v>
      </c>
      <c r="J968" s="8" t="s">
        <v>25</v>
      </c>
      <c r="N968" s="8" t="s">
        <v>58</v>
      </c>
      <c r="O968" s="8" t="s">
        <v>59</v>
      </c>
      <c r="P968" s="8" t="s">
        <v>59</v>
      </c>
      <c r="R968" s="8">
        <v>0</v>
      </c>
      <c r="S968" s="8">
        <v>0</v>
      </c>
      <c r="T968" s="8">
        <v>1</v>
      </c>
      <c r="U968" s="8">
        <v>2</v>
      </c>
      <c r="X968" s="8">
        <v>5</v>
      </c>
      <c r="AG968" s="8" t="str">
        <f t="shared" si="61"/>
        <v/>
      </c>
      <c r="AI968" s="8" t="str">
        <f t="shared" si="62"/>
        <v/>
      </c>
      <c r="AJ968" s="8" t="str">
        <f t="shared" si="63"/>
        <v/>
      </c>
      <c r="AL968" s="8" t="str">
        <f t="shared" si="64"/>
        <v/>
      </c>
    </row>
    <row r="969" spans="1:38" x14ac:dyDescent="0.25">
      <c r="A969" s="8" t="s">
        <v>6966</v>
      </c>
      <c r="B969" s="8" t="s">
        <v>6967</v>
      </c>
      <c r="C969" s="8">
        <v>30945113</v>
      </c>
      <c r="D969" s="8">
        <v>4</v>
      </c>
      <c r="E969" s="11">
        <v>43115</v>
      </c>
      <c r="F969" s="8" t="s">
        <v>57</v>
      </c>
      <c r="G969" s="11">
        <v>43115</v>
      </c>
      <c r="H969" s="8" t="s">
        <v>25</v>
      </c>
      <c r="J969" s="8" t="s">
        <v>25</v>
      </c>
      <c r="N969" s="8" t="s">
        <v>58</v>
      </c>
      <c r="O969" s="8" t="s">
        <v>59</v>
      </c>
      <c r="P969" s="8" t="s">
        <v>59</v>
      </c>
      <c r="R969" s="8">
        <v>0</v>
      </c>
      <c r="S969" s="8">
        <v>0</v>
      </c>
      <c r="T969" s="8">
        <v>1</v>
      </c>
      <c r="U969" s="8">
        <v>2</v>
      </c>
      <c r="AG969" s="8" t="str">
        <f t="shared" si="61"/>
        <v/>
      </c>
      <c r="AI969" s="8" t="str">
        <f t="shared" si="62"/>
        <v/>
      </c>
      <c r="AJ969" s="8" t="str">
        <f t="shared" si="63"/>
        <v/>
      </c>
      <c r="AL969" s="8" t="str">
        <f t="shared" si="64"/>
        <v/>
      </c>
    </row>
    <row r="970" spans="1:38" x14ac:dyDescent="0.25">
      <c r="A970" s="8" t="s">
        <v>325</v>
      </c>
      <c r="B970" s="8" t="s">
        <v>326</v>
      </c>
      <c r="C970" s="8">
        <v>30820463</v>
      </c>
      <c r="D970" s="8">
        <v>5</v>
      </c>
      <c r="E970" s="11">
        <v>43108</v>
      </c>
      <c r="F970" s="8" t="s">
        <v>60</v>
      </c>
      <c r="G970" s="11">
        <v>43108</v>
      </c>
      <c r="H970" s="8" t="s">
        <v>25</v>
      </c>
      <c r="J970" s="8" t="s">
        <v>856</v>
      </c>
      <c r="L970" s="8" t="s">
        <v>6525</v>
      </c>
      <c r="N970" s="8" t="s">
        <v>58</v>
      </c>
      <c r="O970" s="8" t="s">
        <v>59</v>
      </c>
      <c r="P970" s="8" t="s">
        <v>59</v>
      </c>
      <c r="R970" s="8">
        <v>0</v>
      </c>
      <c r="S970" s="8">
        <v>0</v>
      </c>
      <c r="T970" s="8">
        <v>1</v>
      </c>
      <c r="U970" s="8">
        <v>2</v>
      </c>
      <c r="W970" s="8">
        <v>4</v>
      </c>
      <c r="AG970" s="8" t="str">
        <f t="shared" si="61"/>
        <v/>
      </c>
      <c r="AI970" s="8" t="str">
        <f t="shared" si="62"/>
        <v/>
      </c>
      <c r="AJ970" s="8" t="str">
        <f t="shared" si="63"/>
        <v/>
      </c>
      <c r="AL970" s="8" t="str">
        <f t="shared" si="64"/>
        <v/>
      </c>
    </row>
    <row r="971" spans="1:38" x14ac:dyDescent="0.25">
      <c r="A971" s="8" t="s">
        <v>327</v>
      </c>
      <c r="B971" s="8" t="s">
        <v>328</v>
      </c>
      <c r="C971" s="8">
        <v>30822665</v>
      </c>
      <c r="D971" s="8">
        <v>5</v>
      </c>
      <c r="E971" s="11">
        <v>43108</v>
      </c>
      <c r="F971" s="8" t="s">
        <v>57</v>
      </c>
      <c r="G971" s="11">
        <v>43108</v>
      </c>
      <c r="H971" s="8" t="s">
        <v>25</v>
      </c>
      <c r="J971" s="8" t="s">
        <v>25</v>
      </c>
      <c r="N971" s="8" t="s">
        <v>58</v>
      </c>
      <c r="O971" s="8" t="s">
        <v>59</v>
      </c>
      <c r="P971" s="8" t="s">
        <v>59</v>
      </c>
      <c r="R971" s="8">
        <v>0</v>
      </c>
      <c r="S971" s="8">
        <v>0</v>
      </c>
      <c r="T971" s="8">
        <v>1</v>
      </c>
      <c r="U971" s="8">
        <v>2</v>
      </c>
      <c r="AG971" s="8" t="str">
        <f t="shared" si="61"/>
        <v/>
      </c>
      <c r="AI971" s="8" t="str">
        <f t="shared" si="62"/>
        <v/>
      </c>
      <c r="AJ971" s="8" t="str">
        <f t="shared" si="63"/>
        <v/>
      </c>
      <c r="AL971" s="8" t="str">
        <f t="shared" si="64"/>
        <v/>
      </c>
    </row>
    <row r="972" spans="1:38" x14ac:dyDescent="0.25">
      <c r="A972" s="8" t="s">
        <v>6968</v>
      </c>
      <c r="B972" s="8" t="s">
        <v>6969</v>
      </c>
      <c r="C972" s="8">
        <v>30946636</v>
      </c>
      <c r="D972" s="8">
        <v>5</v>
      </c>
      <c r="E972" s="11">
        <v>43115</v>
      </c>
      <c r="F972" s="8" t="s">
        <v>61</v>
      </c>
      <c r="G972" s="11">
        <v>43115</v>
      </c>
      <c r="H972" s="8" t="s">
        <v>25</v>
      </c>
      <c r="J972" s="8" t="s">
        <v>25</v>
      </c>
      <c r="K972" s="11">
        <v>43115</v>
      </c>
      <c r="N972" s="8" t="s">
        <v>58</v>
      </c>
      <c r="O972" s="8" t="s">
        <v>59</v>
      </c>
      <c r="P972" s="8" t="s">
        <v>59</v>
      </c>
      <c r="R972" s="8">
        <v>0</v>
      </c>
      <c r="S972" s="8">
        <v>0</v>
      </c>
      <c r="T972" s="8">
        <v>1</v>
      </c>
      <c r="U972" s="8">
        <v>2</v>
      </c>
      <c r="Y972" s="8">
        <v>6</v>
      </c>
      <c r="Z972" s="8">
        <v>7</v>
      </c>
      <c r="AG972" s="8" t="str">
        <f t="shared" si="61"/>
        <v/>
      </c>
      <c r="AI972" s="8" t="str">
        <f t="shared" si="62"/>
        <v/>
      </c>
      <c r="AJ972" s="8" t="str">
        <f t="shared" si="63"/>
        <v/>
      </c>
      <c r="AL972" s="8" t="str">
        <f t="shared" si="64"/>
        <v/>
      </c>
    </row>
    <row r="973" spans="1:38" x14ac:dyDescent="0.25">
      <c r="A973" s="8" t="s">
        <v>1036</v>
      </c>
      <c r="B973" s="8" t="s">
        <v>1037</v>
      </c>
      <c r="C973" s="8">
        <v>30841467</v>
      </c>
      <c r="D973" s="8">
        <v>5</v>
      </c>
      <c r="E973" s="11">
        <v>43109</v>
      </c>
      <c r="F973" s="8" t="s">
        <v>58</v>
      </c>
      <c r="G973" s="11">
        <v>43109</v>
      </c>
      <c r="H973" s="8" t="s">
        <v>25</v>
      </c>
      <c r="I973" s="11">
        <v>43110</v>
      </c>
      <c r="J973" s="8" t="s">
        <v>25</v>
      </c>
      <c r="N973" s="8" t="s">
        <v>58</v>
      </c>
      <c r="O973" s="8" t="s">
        <v>59</v>
      </c>
      <c r="P973" s="8" t="s">
        <v>59</v>
      </c>
      <c r="R973" s="8">
        <v>0</v>
      </c>
      <c r="S973" s="8">
        <v>0</v>
      </c>
      <c r="T973" s="8">
        <v>1</v>
      </c>
      <c r="U973" s="8">
        <v>2</v>
      </c>
      <c r="X973" s="8">
        <v>5</v>
      </c>
      <c r="AG973" s="8" t="str">
        <f t="shared" si="61"/>
        <v/>
      </c>
      <c r="AI973" s="8" t="str">
        <f t="shared" si="62"/>
        <v/>
      </c>
      <c r="AJ973" s="8" t="str">
        <f t="shared" si="63"/>
        <v/>
      </c>
      <c r="AL973" s="8" t="str">
        <f t="shared" si="64"/>
        <v/>
      </c>
    </row>
    <row r="974" spans="1:38" x14ac:dyDescent="0.25">
      <c r="A974" s="8" t="s">
        <v>3576</v>
      </c>
      <c r="B974" s="8" t="s">
        <v>3577</v>
      </c>
      <c r="C974" s="8">
        <v>30899113</v>
      </c>
      <c r="D974" s="8">
        <v>5</v>
      </c>
      <c r="E974" s="11">
        <v>43111</v>
      </c>
      <c r="F974" s="8" t="s">
        <v>58</v>
      </c>
      <c r="G974" s="11">
        <v>43111</v>
      </c>
      <c r="H974" s="8" t="s">
        <v>25</v>
      </c>
      <c r="I974" s="11">
        <v>43111</v>
      </c>
      <c r="J974" s="8" t="s">
        <v>25</v>
      </c>
      <c r="N974" s="8" t="s">
        <v>58</v>
      </c>
      <c r="O974" s="8" t="s">
        <v>59</v>
      </c>
      <c r="P974" s="8" t="s">
        <v>59</v>
      </c>
      <c r="R974" s="8">
        <v>0</v>
      </c>
      <c r="S974" s="8">
        <v>0</v>
      </c>
      <c r="T974" s="8">
        <v>1</v>
      </c>
      <c r="U974" s="8">
        <v>2</v>
      </c>
      <c r="X974" s="8">
        <v>5</v>
      </c>
      <c r="AG974" s="8" t="str">
        <f t="shared" si="61"/>
        <v/>
      </c>
      <c r="AI974" s="8" t="str">
        <f t="shared" si="62"/>
        <v/>
      </c>
      <c r="AJ974" s="8" t="str">
        <f t="shared" si="63"/>
        <v/>
      </c>
      <c r="AL974" s="8" t="str">
        <f t="shared" si="64"/>
        <v/>
      </c>
    </row>
    <row r="975" spans="1:38" x14ac:dyDescent="0.25">
      <c r="A975" s="8" t="s">
        <v>3578</v>
      </c>
      <c r="B975" s="8" t="s">
        <v>3579</v>
      </c>
      <c r="C975" s="8">
        <v>30887989</v>
      </c>
      <c r="D975" s="8">
        <v>5</v>
      </c>
      <c r="E975" s="11">
        <v>43111</v>
      </c>
      <c r="F975" s="8" t="s">
        <v>58</v>
      </c>
      <c r="G975" s="11">
        <v>43111</v>
      </c>
      <c r="H975" s="8" t="s">
        <v>25</v>
      </c>
      <c r="I975" s="11">
        <v>43112</v>
      </c>
      <c r="J975" s="8" t="s">
        <v>25</v>
      </c>
      <c r="N975" s="8" t="s">
        <v>58</v>
      </c>
      <c r="O975" s="8" t="s">
        <v>59</v>
      </c>
      <c r="P975" s="8" t="s">
        <v>59</v>
      </c>
      <c r="R975" s="8">
        <v>0</v>
      </c>
      <c r="S975" s="8">
        <v>0</v>
      </c>
      <c r="T975" s="8">
        <v>1</v>
      </c>
      <c r="U975" s="8">
        <v>2</v>
      </c>
      <c r="X975" s="8">
        <v>5</v>
      </c>
      <c r="AG975" s="8" t="str">
        <f t="shared" si="61"/>
        <v/>
      </c>
      <c r="AI975" s="8" t="str">
        <f t="shared" si="62"/>
        <v/>
      </c>
      <c r="AJ975" s="8" t="str">
        <f t="shared" si="63"/>
        <v/>
      </c>
      <c r="AL975" s="8" t="str">
        <f t="shared" si="64"/>
        <v/>
      </c>
    </row>
    <row r="976" spans="1:38" x14ac:dyDescent="0.25">
      <c r="A976" s="8" t="s">
        <v>6970</v>
      </c>
      <c r="B976" s="8" t="s">
        <v>6971</v>
      </c>
      <c r="C976" s="8">
        <v>30899754</v>
      </c>
      <c r="D976" s="8">
        <v>5</v>
      </c>
      <c r="E976" s="11">
        <v>43111</v>
      </c>
      <c r="F976" s="8" t="s">
        <v>57</v>
      </c>
      <c r="G976" s="11">
        <v>43115</v>
      </c>
      <c r="H976" s="8" t="s">
        <v>25</v>
      </c>
      <c r="J976" s="8" t="s">
        <v>25</v>
      </c>
      <c r="N976" s="8" t="s">
        <v>58</v>
      </c>
      <c r="O976" s="8" t="s">
        <v>59</v>
      </c>
      <c r="P976" s="8" t="s">
        <v>59</v>
      </c>
      <c r="R976" s="8">
        <v>0</v>
      </c>
      <c r="S976" s="8">
        <v>0</v>
      </c>
      <c r="T976" s="8">
        <v>1</v>
      </c>
      <c r="U976" s="8">
        <v>2</v>
      </c>
      <c r="AG976" s="8" t="str">
        <f t="shared" si="61"/>
        <v/>
      </c>
      <c r="AI976" s="8" t="str">
        <f t="shared" si="62"/>
        <v/>
      </c>
      <c r="AJ976" s="8" t="str">
        <f t="shared" si="63"/>
        <v/>
      </c>
      <c r="AL976" s="8" t="str">
        <f t="shared" si="64"/>
        <v/>
      </c>
    </row>
    <row r="977" spans="1:38" x14ac:dyDescent="0.25">
      <c r="A977" s="8" t="s">
        <v>3580</v>
      </c>
      <c r="B977" s="8" t="s">
        <v>3581</v>
      </c>
      <c r="C977" s="8">
        <v>30883461</v>
      </c>
      <c r="D977" s="8">
        <v>5</v>
      </c>
      <c r="E977" s="11">
        <v>43111</v>
      </c>
      <c r="F977" s="8" t="s">
        <v>58</v>
      </c>
      <c r="G977" s="11">
        <v>43111</v>
      </c>
      <c r="H977" s="8" t="s">
        <v>25</v>
      </c>
      <c r="I977" s="11">
        <v>43111</v>
      </c>
      <c r="J977" s="8" t="s">
        <v>25</v>
      </c>
      <c r="N977" s="8" t="s">
        <v>58</v>
      </c>
      <c r="O977" s="8" t="s">
        <v>59</v>
      </c>
      <c r="P977" s="8" t="s">
        <v>59</v>
      </c>
      <c r="R977" s="8">
        <v>0</v>
      </c>
      <c r="S977" s="8">
        <v>0</v>
      </c>
      <c r="T977" s="8">
        <v>1</v>
      </c>
      <c r="U977" s="8">
        <v>2</v>
      </c>
      <c r="X977" s="8">
        <v>5</v>
      </c>
      <c r="AG977" s="8" t="str">
        <f t="shared" si="61"/>
        <v/>
      </c>
      <c r="AI977" s="8" t="str">
        <f t="shared" si="62"/>
        <v/>
      </c>
      <c r="AJ977" s="8" t="str">
        <f t="shared" si="63"/>
        <v/>
      </c>
      <c r="AL977" s="8" t="str">
        <f t="shared" si="64"/>
        <v/>
      </c>
    </row>
    <row r="978" spans="1:38" x14ac:dyDescent="0.25">
      <c r="A978" s="8" t="s">
        <v>3582</v>
      </c>
      <c r="B978" s="8" t="s">
        <v>3583</v>
      </c>
      <c r="C978" s="8">
        <v>30902872</v>
      </c>
      <c r="D978" s="8">
        <v>5</v>
      </c>
      <c r="E978" s="11">
        <v>43111</v>
      </c>
      <c r="F978" s="8" t="s">
        <v>58</v>
      </c>
      <c r="G978" s="11">
        <v>43111</v>
      </c>
      <c r="H978" s="8" t="s">
        <v>25</v>
      </c>
      <c r="I978" s="11">
        <v>43111</v>
      </c>
      <c r="J978" s="8" t="s">
        <v>25</v>
      </c>
      <c r="N978" s="8" t="s">
        <v>58</v>
      </c>
      <c r="O978" s="8" t="s">
        <v>59</v>
      </c>
      <c r="P978" s="8" t="s">
        <v>59</v>
      </c>
      <c r="R978" s="8">
        <v>0</v>
      </c>
      <c r="S978" s="8">
        <v>0</v>
      </c>
      <c r="T978" s="8">
        <v>1</v>
      </c>
      <c r="U978" s="8">
        <v>2</v>
      </c>
      <c r="X978" s="8">
        <v>5</v>
      </c>
      <c r="AG978" s="8" t="str">
        <f t="shared" si="61"/>
        <v/>
      </c>
      <c r="AI978" s="8" t="str">
        <f t="shared" si="62"/>
        <v/>
      </c>
      <c r="AJ978" s="8" t="str">
        <f t="shared" si="63"/>
        <v/>
      </c>
      <c r="AL978" s="8" t="str">
        <f t="shared" si="64"/>
        <v/>
      </c>
    </row>
    <row r="979" spans="1:38" x14ac:dyDescent="0.25">
      <c r="A979" s="8" t="s">
        <v>5068</v>
      </c>
      <c r="B979" s="8" t="s">
        <v>5069</v>
      </c>
      <c r="C979" s="8">
        <v>30917248</v>
      </c>
      <c r="D979" s="8">
        <v>5</v>
      </c>
      <c r="E979" s="11">
        <v>43112</v>
      </c>
      <c r="F979" s="8" t="s">
        <v>58</v>
      </c>
      <c r="G979" s="11">
        <v>43112</v>
      </c>
      <c r="H979" s="8" t="s">
        <v>25</v>
      </c>
      <c r="I979" s="11">
        <v>43112</v>
      </c>
      <c r="J979" s="8" t="s">
        <v>25</v>
      </c>
      <c r="N979" s="8" t="s">
        <v>58</v>
      </c>
      <c r="O979" s="8" t="s">
        <v>59</v>
      </c>
      <c r="P979" s="8" t="s">
        <v>59</v>
      </c>
      <c r="R979" s="8">
        <v>0</v>
      </c>
      <c r="S979" s="8">
        <v>0</v>
      </c>
      <c r="T979" s="8">
        <v>1</v>
      </c>
      <c r="U979" s="8">
        <v>2</v>
      </c>
      <c r="X979" s="8">
        <v>5</v>
      </c>
      <c r="AG979" s="8" t="str">
        <f t="shared" si="61"/>
        <v/>
      </c>
      <c r="AI979" s="8" t="str">
        <f t="shared" si="62"/>
        <v/>
      </c>
      <c r="AJ979" s="8" t="str">
        <f t="shared" si="63"/>
        <v/>
      </c>
      <c r="AL979" s="8" t="str">
        <f t="shared" si="64"/>
        <v/>
      </c>
    </row>
    <row r="980" spans="1:38" x14ac:dyDescent="0.25">
      <c r="A980" s="8" t="s">
        <v>5070</v>
      </c>
      <c r="B980" s="8" t="s">
        <v>5071</v>
      </c>
      <c r="C980" s="8">
        <v>30914317</v>
      </c>
      <c r="D980" s="8">
        <v>5</v>
      </c>
      <c r="E980" s="11">
        <v>43112</v>
      </c>
      <c r="F980" s="8" t="s">
        <v>57</v>
      </c>
      <c r="G980" s="11">
        <v>43112</v>
      </c>
      <c r="H980" s="8" t="s">
        <v>25</v>
      </c>
      <c r="J980" s="8" t="s">
        <v>25</v>
      </c>
      <c r="N980" s="8" t="s">
        <v>58</v>
      </c>
      <c r="O980" s="8" t="s">
        <v>59</v>
      </c>
      <c r="P980" s="8" t="s">
        <v>59</v>
      </c>
      <c r="R980" s="8">
        <v>0</v>
      </c>
      <c r="S980" s="8">
        <v>0</v>
      </c>
      <c r="T980" s="8">
        <v>1</v>
      </c>
      <c r="U980" s="8">
        <v>2</v>
      </c>
      <c r="AG980" s="8" t="str">
        <f t="shared" si="61"/>
        <v/>
      </c>
      <c r="AI980" s="8" t="str">
        <f t="shared" si="62"/>
        <v/>
      </c>
      <c r="AJ980" s="8" t="str">
        <f t="shared" si="63"/>
        <v/>
      </c>
      <c r="AL980" s="8" t="str">
        <f t="shared" si="64"/>
        <v/>
      </c>
    </row>
    <row r="981" spans="1:38" x14ac:dyDescent="0.25">
      <c r="A981" s="8" t="s">
        <v>3584</v>
      </c>
      <c r="B981" s="8" t="s">
        <v>3585</v>
      </c>
      <c r="C981" s="8">
        <v>30894673</v>
      </c>
      <c r="D981" s="8">
        <v>5</v>
      </c>
      <c r="E981" s="11">
        <v>43111</v>
      </c>
      <c r="F981" s="8" t="s">
        <v>58</v>
      </c>
      <c r="G981" s="11">
        <v>43111</v>
      </c>
      <c r="H981" s="8" t="s">
        <v>25</v>
      </c>
      <c r="I981" s="11">
        <v>43112</v>
      </c>
      <c r="J981" s="8" t="s">
        <v>25</v>
      </c>
      <c r="N981" s="8" t="s">
        <v>58</v>
      </c>
      <c r="O981" s="8" t="s">
        <v>59</v>
      </c>
      <c r="P981" s="8" t="s">
        <v>59</v>
      </c>
      <c r="R981" s="8">
        <v>0</v>
      </c>
      <c r="S981" s="8">
        <v>0</v>
      </c>
      <c r="T981" s="8">
        <v>1</v>
      </c>
      <c r="U981" s="8">
        <v>2</v>
      </c>
      <c r="X981" s="8">
        <v>5</v>
      </c>
      <c r="AG981" s="8" t="str">
        <f t="shared" si="61"/>
        <v/>
      </c>
      <c r="AI981" s="8" t="str">
        <f t="shared" si="62"/>
        <v/>
      </c>
      <c r="AJ981" s="8" t="str">
        <f t="shared" si="63"/>
        <v/>
      </c>
      <c r="AL981" s="8" t="str">
        <f t="shared" si="64"/>
        <v/>
      </c>
    </row>
    <row r="982" spans="1:38" x14ac:dyDescent="0.25">
      <c r="A982" s="8" t="s">
        <v>1988</v>
      </c>
      <c r="B982" s="8" t="s">
        <v>1989</v>
      </c>
      <c r="C982" s="8">
        <v>30862633</v>
      </c>
      <c r="D982" s="8">
        <v>5</v>
      </c>
      <c r="E982" s="11">
        <v>43110</v>
      </c>
      <c r="F982" s="8" t="s">
        <v>57</v>
      </c>
      <c r="G982" s="11">
        <v>43110</v>
      </c>
      <c r="H982" s="8" t="s">
        <v>25</v>
      </c>
      <c r="J982" s="8" t="s">
        <v>25</v>
      </c>
      <c r="N982" s="8" t="s">
        <v>58</v>
      </c>
      <c r="O982" s="8" t="s">
        <v>59</v>
      </c>
      <c r="P982" s="8" t="s">
        <v>59</v>
      </c>
      <c r="R982" s="8">
        <v>0</v>
      </c>
      <c r="S982" s="8">
        <v>0</v>
      </c>
      <c r="T982" s="8">
        <v>1</v>
      </c>
      <c r="U982" s="8">
        <v>2</v>
      </c>
      <c r="AG982" s="8" t="str">
        <f t="shared" si="61"/>
        <v/>
      </c>
      <c r="AI982" s="8" t="str">
        <f t="shared" si="62"/>
        <v/>
      </c>
      <c r="AJ982" s="8" t="str">
        <f t="shared" si="63"/>
        <v/>
      </c>
      <c r="AL982" s="8" t="str">
        <f t="shared" si="64"/>
        <v/>
      </c>
    </row>
    <row r="983" spans="1:38" x14ac:dyDescent="0.25">
      <c r="A983" s="8" t="s">
        <v>1990</v>
      </c>
      <c r="B983" s="8" t="s">
        <v>1991</v>
      </c>
      <c r="C983" s="8">
        <v>30875940</v>
      </c>
      <c r="D983" s="8">
        <v>5</v>
      </c>
      <c r="E983" s="11">
        <v>43110</v>
      </c>
      <c r="F983" s="8" t="s">
        <v>58</v>
      </c>
      <c r="G983" s="11">
        <v>43110</v>
      </c>
      <c r="H983" s="8" t="s">
        <v>25</v>
      </c>
      <c r="I983" s="11">
        <v>43111</v>
      </c>
      <c r="J983" s="8" t="s">
        <v>25</v>
      </c>
      <c r="N983" s="8" t="s">
        <v>58</v>
      </c>
      <c r="O983" s="8" t="s">
        <v>59</v>
      </c>
      <c r="P983" s="8" t="s">
        <v>59</v>
      </c>
      <c r="R983" s="8">
        <v>0</v>
      </c>
      <c r="S983" s="8">
        <v>0</v>
      </c>
      <c r="T983" s="8">
        <v>1</v>
      </c>
      <c r="U983" s="8">
        <v>2</v>
      </c>
      <c r="X983" s="8">
        <v>5</v>
      </c>
      <c r="AG983" s="8" t="str">
        <f t="shared" si="61"/>
        <v/>
      </c>
      <c r="AI983" s="8" t="str">
        <f t="shared" si="62"/>
        <v/>
      </c>
      <c r="AJ983" s="8" t="str">
        <f t="shared" si="63"/>
        <v/>
      </c>
      <c r="AL983" s="8" t="str">
        <f t="shared" si="64"/>
        <v/>
      </c>
    </row>
    <row r="984" spans="1:38" x14ac:dyDescent="0.25">
      <c r="A984" s="8" t="s">
        <v>3586</v>
      </c>
      <c r="B984" s="8" t="s">
        <v>3587</v>
      </c>
      <c r="C984" s="8">
        <v>30902344</v>
      </c>
      <c r="D984" s="8">
        <v>5</v>
      </c>
      <c r="E984" s="11">
        <v>43111</v>
      </c>
      <c r="F984" s="8" t="s">
        <v>58</v>
      </c>
      <c r="G984" s="11">
        <v>43111</v>
      </c>
      <c r="H984" s="8" t="s">
        <v>25</v>
      </c>
      <c r="I984" s="11">
        <v>43111</v>
      </c>
      <c r="J984" s="8" t="s">
        <v>25</v>
      </c>
      <c r="N984" s="8" t="s">
        <v>58</v>
      </c>
      <c r="O984" s="8" t="s">
        <v>59</v>
      </c>
      <c r="P984" s="8" t="s">
        <v>59</v>
      </c>
      <c r="R984" s="8">
        <v>0</v>
      </c>
      <c r="S984" s="8">
        <v>0</v>
      </c>
      <c r="T984" s="8">
        <v>1</v>
      </c>
      <c r="U984" s="8">
        <v>2</v>
      </c>
      <c r="X984" s="8">
        <v>5</v>
      </c>
      <c r="AG984" s="8" t="str">
        <f t="shared" si="61"/>
        <v/>
      </c>
      <c r="AI984" s="8" t="str">
        <f t="shared" si="62"/>
        <v/>
      </c>
      <c r="AJ984" s="8" t="str">
        <f t="shared" si="63"/>
        <v/>
      </c>
      <c r="AL984" s="8" t="str">
        <f t="shared" si="64"/>
        <v/>
      </c>
    </row>
    <row r="985" spans="1:38" x14ac:dyDescent="0.25">
      <c r="A985" s="8" t="s">
        <v>329</v>
      </c>
      <c r="B985" s="8" t="s">
        <v>330</v>
      </c>
      <c r="C985" s="8">
        <v>30822857</v>
      </c>
      <c r="D985" s="8">
        <v>5</v>
      </c>
      <c r="E985" s="11">
        <v>43108</v>
      </c>
      <c r="F985" s="8" t="s">
        <v>58</v>
      </c>
      <c r="G985" s="11">
        <v>43108</v>
      </c>
      <c r="H985" s="8" t="s">
        <v>25</v>
      </c>
      <c r="I985" s="11">
        <v>43108</v>
      </c>
      <c r="J985" s="8" t="s">
        <v>25</v>
      </c>
      <c r="N985" s="8" t="s">
        <v>58</v>
      </c>
      <c r="O985" s="8" t="s">
        <v>59</v>
      </c>
      <c r="P985" s="8" t="s">
        <v>59</v>
      </c>
      <c r="R985" s="8">
        <v>0</v>
      </c>
      <c r="S985" s="8">
        <v>0</v>
      </c>
      <c r="T985" s="8">
        <v>1</v>
      </c>
      <c r="U985" s="8">
        <v>2</v>
      </c>
      <c r="X985" s="8">
        <v>5</v>
      </c>
      <c r="AG985" s="8" t="str">
        <f t="shared" si="61"/>
        <v/>
      </c>
      <c r="AI985" s="8" t="str">
        <f t="shared" si="62"/>
        <v/>
      </c>
      <c r="AJ985" s="8" t="str">
        <f t="shared" si="63"/>
        <v/>
      </c>
      <c r="AL985" s="8" t="str">
        <f t="shared" si="64"/>
        <v/>
      </c>
    </row>
    <row r="986" spans="1:38" x14ac:dyDescent="0.25">
      <c r="A986" s="8" t="s">
        <v>1992</v>
      </c>
      <c r="B986" s="8" t="s">
        <v>1993</v>
      </c>
      <c r="C986" s="8">
        <v>30862466</v>
      </c>
      <c r="D986" s="8">
        <v>5</v>
      </c>
      <c r="E986" s="11">
        <v>43110</v>
      </c>
      <c r="F986" s="8" t="s">
        <v>57</v>
      </c>
      <c r="G986" s="11">
        <v>43110</v>
      </c>
      <c r="H986" s="8" t="s">
        <v>25</v>
      </c>
      <c r="J986" s="8" t="s">
        <v>25</v>
      </c>
      <c r="N986" s="8" t="s">
        <v>58</v>
      </c>
      <c r="O986" s="8" t="s">
        <v>59</v>
      </c>
      <c r="P986" s="8" t="s">
        <v>59</v>
      </c>
      <c r="R986" s="8">
        <v>0</v>
      </c>
      <c r="S986" s="8">
        <v>0</v>
      </c>
      <c r="T986" s="8">
        <v>1</v>
      </c>
      <c r="U986" s="8">
        <v>2</v>
      </c>
      <c r="AG986" s="8" t="str">
        <f t="shared" si="61"/>
        <v/>
      </c>
      <c r="AI986" s="8" t="str">
        <f t="shared" si="62"/>
        <v/>
      </c>
      <c r="AJ986" s="8" t="str">
        <f t="shared" si="63"/>
        <v/>
      </c>
      <c r="AL986" s="8" t="str">
        <f t="shared" si="64"/>
        <v/>
      </c>
    </row>
    <row r="987" spans="1:38" x14ac:dyDescent="0.25">
      <c r="A987" s="8" t="s">
        <v>1994</v>
      </c>
      <c r="B987" s="8" t="s">
        <v>1995</v>
      </c>
      <c r="C987" s="8">
        <v>30821308</v>
      </c>
      <c r="D987" s="8">
        <v>5</v>
      </c>
      <c r="E987" s="11">
        <v>43108</v>
      </c>
      <c r="F987" s="8" t="s">
        <v>58</v>
      </c>
      <c r="G987" s="11">
        <v>43110</v>
      </c>
      <c r="H987" s="8" t="s">
        <v>25</v>
      </c>
      <c r="I987" s="11">
        <v>43111</v>
      </c>
      <c r="J987" s="8" t="s">
        <v>25</v>
      </c>
      <c r="N987" s="8" t="s">
        <v>58</v>
      </c>
      <c r="O987" s="8" t="s">
        <v>59</v>
      </c>
      <c r="P987" s="8" t="s">
        <v>59</v>
      </c>
      <c r="R987" s="8">
        <v>0</v>
      </c>
      <c r="S987" s="8">
        <v>0</v>
      </c>
      <c r="T987" s="8">
        <v>1</v>
      </c>
      <c r="U987" s="8">
        <v>2</v>
      </c>
      <c r="X987" s="8">
        <v>5</v>
      </c>
      <c r="AG987" s="8" t="str">
        <f t="shared" si="61"/>
        <v/>
      </c>
      <c r="AI987" s="8" t="str">
        <f t="shared" si="62"/>
        <v/>
      </c>
      <c r="AJ987" s="8" t="str">
        <f t="shared" si="63"/>
        <v/>
      </c>
      <c r="AL987" s="8" t="str">
        <f t="shared" si="64"/>
        <v/>
      </c>
    </row>
    <row r="988" spans="1:38" x14ac:dyDescent="0.25">
      <c r="A988" s="8" t="s">
        <v>5072</v>
      </c>
      <c r="B988" s="8" t="s">
        <v>5073</v>
      </c>
      <c r="C988" s="8">
        <v>30916796</v>
      </c>
      <c r="D988" s="8">
        <v>5</v>
      </c>
      <c r="E988" s="11">
        <v>43112</v>
      </c>
      <c r="F988" s="8" t="s">
        <v>58</v>
      </c>
      <c r="G988" s="11">
        <v>43112</v>
      </c>
      <c r="H988" s="8" t="s">
        <v>25</v>
      </c>
      <c r="I988" s="11">
        <v>43112</v>
      </c>
      <c r="J988" s="8" t="s">
        <v>25</v>
      </c>
      <c r="N988" s="8" t="s">
        <v>58</v>
      </c>
      <c r="O988" s="8" t="s">
        <v>59</v>
      </c>
      <c r="P988" s="8" t="s">
        <v>59</v>
      </c>
      <c r="R988" s="8">
        <v>0</v>
      </c>
      <c r="S988" s="8">
        <v>0</v>
      </c>
      <c r="T988" s="8">
        <v>1</v>
      </c>
      <c r="U988" s="8">
        <v>2</v>
      </c>
      <c r="X988" s="8">
        <v>5</v>
      </c>
      <c r="AG988" s="8" t="str">
        <f t="shared" si="61"/>
        <v/>
      </c>
      <c r="AI988" s="8" t="str">
        <f t="shared" si="62"/>
        <v/>
      </c>
      <c r="AJ988" s="8" t="str">
        <f t="shared" si="63"/>
        <v/>
      </c>
      <c r="AL988" s="8" t="str">
        <f t="shared" si="64"/>
        <v/>
      </c>
    </row>
    <row r="989" spans="1:38" x14ac:dyDescent="0.25">
      <c r="A989" s="8" t="s">
        <v>5074</v>
      </c>
      <c r="B989" s="8" t="s">
        <v>5075</v>
      </c>
      <c r="C989" s="8">
        <v>30875661</v>
      </c>
      <c r="D989" s="8">
        <v>5</v>
      </c>
      <c r="E989" s="11">
        <v>43110</v>
      </c>
      <c r="F989" s="8" t="s">
        <v>57</v>
      </c>
      <c r="G989" s="11">
        <v>43112</v>
      </c>
      <c r="H989" s="8" t="s">
        <v>25</v>
      </c>
      <c r="J989" s="8" t="s">
        <v>25</v>
      </c>
      <c r="N989" s="8" t="s">
        <v>58</v>
      </c>
      <c r="O989" s="8" t="s">
        <v>59</v>
      </c>
      <c r="P989" s="8" t="s">
        <v>59</v>
      </c>
      <c r="R989" s="8">
        <v>0</v>
      </c>
      <c r="S989" s="8">
        <v>0</v>
      </c>
      <c r="T989" s="8">
        <v>1</v>
      </c>
      <c r="U989" s="8">
        <v>2</v>
      </c>
      <c r="AG989" s="8" t="str">
        <f t="shared" si="61"/>
        <v/>
      </c>
      <c r="AI989" s="8" t="str">
        <f t="shared" si="62"/>
        <v/>
      </c>
      <c r="AJ989" s="8" t="str">
        <f t="shared" si="63"/>
        <v/>
      </c>
      <c r="AL989" s="8" t="str">
        <f t="shared" si="64"/>
        <v/>
      </c>
    </row>
    <row r="990" spans="1:38" x14ac:dyDescent="0.25">
      <c r="A990" s="8" t="s">
        <v>5076</v>
      </c>
      <c r="B990" s="8" t="s">
        <v>5077</v>
      </c>
      <c r="C990" s="8">
        <v>30916858</v>
      </c>
      <c r="D990" s="8">
        <v>5</v>
      </c>
      <c r="E990" s="11">
        <v>43112</v>
      </c>
      <c r="F990" s="8" t="s">
        <v>58</v>
      </c>
      <c r="G990" s="11">
        <v>43112</v>
      </c>
      <c r="H990" s="8" t="s">
        <v>25</v>
      </c>
      <c r="I990" s="11">
        <v>43112</v>
      </c>
      <c r="J990" s="8" t="s">
        <v>25</v>
      </c>
      <c r="N990" s="8" t="s">
        <v>58</v>
      </c>
      <c r="O990" s="8" t="s">
        <v>59</v>
      </c>
      <c r="P990" s="8" t="s">
        <v>59</v>
      </c>
      <c r="R990" s="8">
        <v>0</v>
      </c>
      <c r="S990" s="8">
        <v>0</v>
      </c>
      <c r="T990" s="8">
        <v>1</v>
      </c>
      <c r="U990" s="8">
        <v>2</v>
      </c>
      <c r="X990" s="8">
        <v>5</v>
      </c>
      <c r="AG990" s="8" t="str">
        <f t="shared" si="61"/>
        <v/>
      </c>
      <c r="AI990" s="8" t="str">
        <f t="shared" si="62"/>
        <v/>
      </c>
      <c r="AJ990" s="8" t="str">
        <f t="shared" si="63"/>
        <v/>
      </c>
      <c r="AL990" s="8" t="str">
        <f t="shared" si="64"/>
        <v/>
      </c>
    </row>
    <row r="991" spans="1:38" x14ac:dyDescent="0.25">
      <c r="A991" s="8" t="s">
        <v>331</v>
      </c>
      <c r="B991" s="8" t="s">
        <v>332</v>
      </c>
      <c r="C991" s="8">
        <v>30820231</v>
      </c>
      <c r="D991" s="8">
        <v>5</v>
      </c>
      <c r="E991" s="11">
        <v>43108</v>
      </c>
      <c r="F991" s="8" t="s">
        <v>58</v>
      </c>
      <c r="G991" s="11">
        <v>43108</v>
      </c>
      <c r="H991" s="8" t="s">
        <v>25</v>
      </c>
      <c r="I991" s="11">
        <v>43108</v>
      </c>
      <c r="J991" s="8" t="s">
        <v>25</v>
      </c>
      <c r="N991" s="8" t="s">
        <v>58</v>
      </c>
      <c r="O991" s="8" t="s">
        <v>59</v>
      </c>
      <c r="P991" s="8" t="s">
        <v>59</v>
      </c>
      <c r="R991" s="8">
        <v>0</v>
      </c>
      <c r="S991" s="8">
        <v>0</v>
      </c>
      <c r="T991" s="8">
        <v>1</v>
      </c>
      <c r="U991" s="8">
        <v>2</v>
      </c>
      <c r="X991" s="8">
        <v>5</v>
      </c>
      <c r="AG991" s="8" t="str">
        <f t="shared" si="61"/>
        <v/>
      </c>
      <c r="AI991" s="8" t="str">
        <f t="shared" si="62"/>
        <v/>
      </c>
      <c r="AJ991" s="8" t="str">
        <f t="shared" si="63"/>
        <v/>
      </c>
      <c r="AL991" s="8" t="str">
        <f t="shared" si="64"/>
        <v/>
      </c>
    </row>
    <row r="992" spans="1:38" x14ac:dyDescent="0.25">
      <c r="A992" s="8" t="s">
        <v>3588</v>
      </c>
      <c r="B992" s="8" t="s">
        <v>3589</v>
      </c>
      <c r="C992" s="8">
        <v>30888762</v>
      </c>
      <c r="D992" s="8">
        <v>5</v>
      </c>
      <c r="E992" s="11">
        <v>43111</v>
      </c>
      <c r="F992" s="8" t="s">
        <v>58</v>
      </c>
      <c r="G992" s="11">
        <v>43111</v>
      </c>
      <c r="H992" s="8" t="s">
        <v>25</v>
      </c>
      <c r="I992" s="11">
        <v>43115</v>
      </c>
      <c r="J992" s="8" t="s">
        <v>25</v>
      </c>
      <c r="N992" s="8" t="s">
        <v>58</v>
      </c>
      <c r="O992" s="8" t="s">
        <v>59</v>
      </c>
      <c r="P992" s="8" t="s">
        <v>59</v>
      </c>
      <c r="R992" s="8">
        <v>0</v>
      </c>
      <c r="S992" s="8">
        <v>0</v>
      </c>
      <c r="T992" s="8">
        <v>1</v>
      </c>
      <c r="U992" s="8">
        <v>2</v>
      </c>
      <c r="X992" s="8">
        <v>5</v>
      </c>
      <c r="AG992" s="8" t="str">
        <f t="shared" si="61"/>
        <v/>
      </c>
      <c r="AI992" s="8" t="str">
        <f t="shared" si="62"/>
        <v/>
      </c>
      <c r="AJ992" s="8" t="str">
        <f t="shared" si="63"/>
        <v/>
      </c>
      <c r="AL992" s="8" t="str">
        <f t="shared" si="64"/>
        <v/>
      </c>
    </row>
    <row r="993" spans="1:38" x14ac:dyDescent="0.25">
      <c r="A993" s="8" t="s">
        <v>6972</v>
      </c>
      <c r="B993" s="8" t="s">
        <v>6973</v>
      </c>
      <c r="C993" s="8">
        <v>30947829</v>
      </c>
      <c r="D993" s="8">
        <v>5</v>
      </c>
      <c r="E993" s="11">
        <v>43115</v>
      </c>
      <c r="F993" s="8" t="s">
        <v>57</v>
      </c>
      <c r="G993" s="11">
        <v>43115</v>
      </c>
      <c r="H993" s="8" t="s">
        <v>25</v>
      </c>
      <c r="J993" s="8" t="s">
        <v>25</v>
      </c>
      <c r="N993" s="8" t="s">
        <v>58</v>
      </c>
      <c r="O993" s="8" t="s">
        <v>59</v>
      </c>
      <c r="P993" s="8" t="s">
        <v>59</v>
      </c>
      <c r="R993" s="8">
        <v>0</v>
      </c>
      <c r="S993" s="8">
        <v>0</v>
      </c>
      <c r="T993" s="8">
        <v>1</v>
      </c>
      <c r="U993" s="8">
        <v>2</v>
      </c>
      <c r="AG993" s="8" t="str">
        <f t="shared" si="61"/>
        <v/>
      </c>
      <c r="AI993" s="8" t="str">
        <f t="shared" si="62"/>
        <v/>
      </c>
      <c r="AJ993" s="8" t="str">
        <f t="shared" si="63"/>
        <v/>
      </c>
      <c r="AL993" s="8" t="str">
        <f t="shared" si="64"/>
        <v/>
      </c>
    </row>
    <row r="994" spans="1:38" x14ac:dyDescent="0.25">
      <c r="A994" s="8" t="s">
        <v>3590</v>
      </c>
      <c r="B994" s="8" t="s">
        <v>3591</v>
      </c>
      <c r="C994" s="8">
        <v>30878039</v>
      </c>
      <c r="D994" s="8">
        <v>5</v>
      </c>
      <c r="E994" s="11">
        <v>43110</v>
      </c>
      <c r="F994" s="8" t="s">
        <v>58</v>
      </c>
      <c r="G994" s="11">
        <v>43111</v>
      </c>
      <c r="H994" s="8" t="s">
        <v>25</v>
      </c>
      <c r="I994" s="11">
        <v>43115</v>
      </c>
      <c r="J994" s="8" t="s">
        <v>25</v>
      </c>
      <c r="N994" s="8" t="s">
        <v>58</v>
      </c>
      <c r="O994" s="8" t="s">
        <v>59</v>
      </c>
      <c r="P994" s="8" t="s">
        <v>59</v>
      </c>
      <c r="R994" s="8">
        <v>0</v>
      </c>
      <c r="S994" s="8">
        <v>0</v>
      </c>
      <c r="T994" s="8">
        <v>1</v>
      </c>
      <c r="U994" s="8">
        <v>2</v>
      </c>
      <c r="X994" s="8">
        <v>5</v>
      </c>
      <c r="AG994" s="8" t="str">
        <f t="shared" si="61"/>
        <v/>
      </c>
      <c r="AI994" s="8" t="str">
        <f t="shared" si="62"/>
        <v/>
      </c>
      <c r="AJ994" s="8" t="str">
        <f t="shared" si="63"/>
        <v/>
      </c>
      <c r="AL994" s="8" t="str">
        <f t="shared" si="64"/>
        <v/>
      </c>
    </row>
    <row r="995" spans="1:38" x14ac:dyDescent="0.25">
      <c r="A995" s="8" t="s">
        <v>1996</v>
      </c>
      <c r="B995" s="8" t="s">
        <v>1997</v>
      </c>
      <c r="C995" s="8">
        <v>30860126</v>
      </c>
      <c r="D995" s="8">
        <v>5</v>
      </c>
      <c r="E995" s="11">
        <v>43110</v>
      </c>
      <c r="F995" s="8" t="s">
        <v>58</v>
      </c>
      <c r="G995" s="11">
        <v>43110</v>
      </c>
      <c r="H995" s="8" t="s">
        <v>25</v>
      </c>
      <c r="I995" s="11">
        <v>43111</v>
      </c>
      <c r="J995" s="8" t="s">
        <v>25</v>
      </c>
      <c r="N995" s="8" t="s">
        <v>58</v>
      </c>
      <c r="O995" s="8" t="s">
        <v>59</v>
      </c>
      <c r="P995" s="8" t="s">
        <v>59</v>
      </c>
      <c r="R995" s="8">
        <v>0</v>
      </c>
      <c r="S995" s="8">
        <v>0</v>
      </c>
      <c r="T995" s="8">
        <v>1</v>
      </c>
      <c r="U995" s="8">
        <v>2</v>
      </c>
      <c r="X995" s="8">
        <v>5</v>
      </c>
      <c r="AG995" s="8" t="str">
        <f t="shared" si="61"/>
        <v/>
      </c>
      <c r="AI995" s="8" t="str">
        <f t="shared" si="62"/>
        <v/>
      </c>
      <c r="AJ995" s="8" t="str">
        <f t="shared" si="63"/>
        <v/>
      </c>
      <c r="AL995" s="8" t="str">
        <f t="shared" si="64"/>
        <v/>
      </c>
    </row>
    <row r="996" spans="1:38" x14ac:dyDescent="0.25">
      <c r="A996" s="8" t="s">
        <v>1038</v>
      </c>
      <c r="B996" s="8" t="s">
        <v>1039</v>
      </c>
      <c r="C996" s="8">
        <v>30842599</v>
      </c>
      <c r="D996" s="8">
        <v>5</v>
      </c>
      <c r="E996" s="11">
        <v>43109</v>
      </c>
      <c r="F996" s="8" t="s">
        <v>58</v>
      </c>
      <c r="G996" s="11">
        <v>43109</v>
      </c>
      <c r="H996" s="8" t="s">
        <v>25</v>
      </c>
      <c r="I996" s="11">
        <v>43110</v>
      </c>
      <c r="J996" s="8" t="s">
        <v>25</v>
      </c>
      <c r="N996" s="8" t="s">
        <v>58</v>
      </c>
      <c r="O996" s="8" t="s">
        <v>59</v>
      </c>
      <c r="P996" s="8" t="s">
        <v>59</v>
      </c>
      <c r="R996" s="8">
        <v>0</v>
      </c>
      <c r="S996" s="8">
        <v>0</v>
      </c>
      <c r="T996" s="8">
        <v>1</v>
      </c>
      <c r="U996" s="8">
        <v>2</v>
      </c>
      <c r="X996" s="8">
        <v>5</v>
      </c>
      <c r="AG996" s="8" t="str">
        <f t="shared" si="61"/>
        <v/>
      </c>
      <c r="AI996" s="8" t="str">
        <f t="shared" si="62"/>
        <v/>
      </c>
      <c r="AJ996" s="8" t="str">
        <f t="shared" si="63"/>
        <v/>
      </c>
      <c r="AL996" s="8" t="str">
        <f t="shared" si="64"/>
        <v/>
      </c>
    </row>
    <row r="997" spans="1:38" x14ac:dyDescent="0.25">
      <c r="A997" s="8" t="s">
        <v>5078</v>
      </c>
      <c r="B997" s="8" t="s">
        <v>5079</v>
      </c>
      <c r="C997" s="8">
        <v>30910075</v>
      </c>
      <c r="D997" s="8">
        <v>5</v>
      </c>
      <c r="E997" s="11">
        <v>43112</v>
      </c>
      <c r="F997" s="8" t="s">
        <v>58</v>
      </c>
      <c r="G997" s="11">
        <v>43112</v>
      </c>
      <c r="H997" s="8" t="s">
        <v>25</v>
      </c>
      <c r="I997" s="11">
        <v>43112</v>
      </c>
      <c r="J997" s="8" t="s">
        <v>25</v>
      </c>
      <c r="N997" s="8" t="s">
        <v>58</v>
      </c>
      <c r="O997" s="8" t="s">
        <v>59</v>
      </c>
      <c r="P997" s="8" t="s">
        <v>59</v>
      </c>
      <c r="R997" s="8">
        <v>0</v>
      </c>
      <c r="S997" s="8">
        <v>0</v>
      </c>
      <c r="T997" s="8">
        <v>1</v>
      </c>
      <c r="U997" s="8">
        <v>2</v>
      </c>
      <c r="X997" s="8">
        <v>5</v>
      </c>
      <c r="AG997" s="8" t="str">
        <f t="shared" si="61"/>
        <v/>
      </c>
      <c r="AI997" s="8" t="str">
        <f t="shared" si="62"/>
        <v/>
      </c>
      <c r="AJ997" s="8" t="str">
        <f t="shared" si="63"/>
        <v/>
      </c>
      <c r="AL997" s="8" t="str">
        <f t="shared" si="64"/>
        <v/>
      </c>
    </row>
    <row r="998" spans="1:38" x14ac:dyDescent="0.25">
      <c r="A998" s="8" t="s">
        <v>6974</v>
      </c>
      <c r="B998" s="8" t="s">
        <v>6975</v>
      </c>
      <c r="C998" s="8">
        <v>30947866</v>
      </c>
      <c r="D998" s="8">
        <v>5</v>
      </c>
      <c r="E998" s="11">
        <v>43115</v>
      </c>
      <c r="F998" s="8" t="s">
        <v>57</v>
      </c>
      <c r="G998" s="11">
        <v>43115</v>
      </c>
      <c r="H998" s="8" t="s">
        <v>25</v>
      </c>
      <c r="J998" s="8" t="s">
        <v>25</v>
      </c>
      <c r="N998" s="8" t="s">
        <v>58</v>
      </c>
      <c r="O998" s="8" t="s">
        <v>59</v>
      </c>
      <c r="P998" s="8" t="s">
        <v>59</v>
      </c>
      <c r="R998" s="8">
        <v>0</v>
      </c>
      <c r="S998" s="8">
        <v>0</v>
      </c>
      <c r="T998" s="8">
        <v>1</v>
      </c>
      <c r="U998" s="8">
        <v>2</v>
      </c>
      <c r="AG998" s="8" t="str">
        <f t="shared" si="61"/>
        <v/>
      </c>
      <c r="AI998" s="8" t="str">
        <f t="shared" si="62"/>
        <v/>
      </c>
      <c r="AJ998" s="8" t="str">
        <f t="shared" si="63"/>
        <v/>
      </c>
      <c r="AL998" s="8" t="str">
        <f t="shared" si="64"/>
        <v/>
      </c>
    </row>
    <row r="999" spans="1:38" x14ac:dyDescent="0.25">
      <c r="A999" s="8" t="s">
        <v>1040</v>
      </c>
      <c r="B999" s="8" t="s">
        <v>1041</v>
      </c>
      <c r="C999" s="8">
        <v>30852541</v>
      </c>
      <c r="D999" s="8">
        <v>5</v>
      </c>
      <c r="E999" s="11">
        <v>43109</v>
      </c>
      <c r="F999" s="8" t="s">
        <v>58</v>
      </c>
      <c r="G999" s="11">
        <v>43109</v>
      </c>
      <c r="H999" s="8" t="s">
        <v>25</v>
      </c>
      <c r="I999" s="11">
        <v>43109</v>
      </c>
      <c r="J999" s="8" t="s">
        <v>25</v>
      </c>
      <c r="N999" s="8" t="s">
        <v>58</v>
      </c>
      <c r="O999" s="8" t="s">
        <v>59</v>
      </c>
      <c r="P999" s="8" t="s">
        <v>59</v>
      </c>
      <c r="R999" s="8">
        <v>0</v>
      </c>
      <c r="S999" s="8">
        <v>0</v>
      </c>
      <c r="T999" s="8">
        <v>1</v>
      </c>
      <c r="U999" s="8">
        <v>2</v>
      </c>
      <c r="X999" s="8">
        <v>5</v>
      </c>
      <c r="AG999" s="8" t="str">
        <f t="shared" si="61"/>
        <v/>
      </c>
      <c r="AI999" s="8" t="str">
        <f t="shared" si="62"/>
        <v/>
      </c>
      <c r="AJ999" s="8" t="str">
        <f t="shared" si="63"/>
        <v/>
      </c>
      <c r="AL999" s="8" t="str">
        <f t="shared" si="64"/>
        <v/>
      </c>
    </row>
    <row r="1000" spans="1:38" x14ac:dyDescent="0.25">
      <c r="A1000" s="8" t="s">
        <v>3592</v>
      </c>
      <c r="B1000" s="8" t="s">
        <v>3593</v>
      </c>
      <c r="C1000" s="8">
        <v>30869035</v>
      </c>
      <c r="D1000" s="8">
        <v>5</v>
      </c>
      <c r="E1000" s="11">
        <v>43110</v>
      </c>
      <c r="F1000" s="8" t="s">
        <v>57</v>
      </c>
      <c r="G1000" s="11">
        <v>43111</v>
      </c>
      <c r="H1000" s="8" t="s">
        <v>25</v>
      </c>
      <c r="J1000" s="8" t="s">
        <v>25</v>
      </c>
      <c r="N1000" s="8" t="s">
        <v>58</v>
      </c>
      <c r="O1000" s="8" t="s">
        <v>59</v>
      </c>
      <c r="P1000" s="8" t="s">
        <v>59</v>
      </c>
      <c r="R1000" s="8">
        <v>0</v>
      </c>
      <c r="S1000" s="8">
        <v>0</v>
      </c>
      <c r="T1000" s="8">
        <v>1</v>
      </c>
      <c r="U1000" s="8">
        <v>2</v>
      </c>
      <c r="AG1000" s="8" t="str">
        <f t="shared" si="61"/>
        <v/>
      </c>
      <c r="AI1000" s="8" t="str">
        <f t="shared" si="62"/>
        <v/>
      </c>
      <c r="AJ1000" s="8" t="str">
        <f t="shared" si="63"/>
        <v/>
      </c>
      <c r="AL1000" s="8" t="str">
        <f t="shared" si="64"/>
        <v/>
      </c>
    </row>
    <row r="1001" spans="1:38" x14ac:dyDescent="0.25">
      <c r="A1001" s="8" t="s">
        <v>1042</v>
      </c>
      <c r="B1001" s="8" t="s">
        <v>1043</v>
      </c>
      <c r="C1001" s="8">
        <v>30841203</v>
      </c>
      <c r="D1001" s="8">
        <v>5</v>
      </c>
      <c r="E1001" s="11">
        <v>43109</v>
      </c>
      <c r="F1001" s="8" t="s">
        <v>58</v>
      </c>
      <c r="G1001" s="11">
        <v>43109</v>
      </c>
      <c r="H1001" s="8" t="s">
        <v>25</v>
      </c>
      <c r="I1001" s="11">
        <v>43109</v>
      </c>
      <c r="J1001" s="8" t="s">
        <v>25</v>
      </c>
      <c r="N1001" s="8" t="s">
        <v>58</v>
      </c>
      <c r="O1001" s="8" t="s">
        <v>59</v>
      </c>
      <c r="P1001" s="8" t="s">
        <v>59</v>
      </c>
      <c r="R1001" s="8">
        <v>0</v>
      </c>
      <c r="S1001" s="8">
        <v>0</v>
      </c>
      <c r="T1001" s="8">
        <v>1</v>
      </c>
      <c r="U1001" s="8">
        <v>2</v>
      </c>
      <c r="X1001" s="8">
        <v>5</v>
      </c>
      <c r="AG1001" s="8" t="str">
        <f t="shared" si="61"/>
        <v/>
      </c>
      <c r="AI1001" s="8" t="str">
        <f t="shared" si="62"/>
        <v/>
      </c>
      <c r="AJ1001" s="8" t="str">
        <f t="shared" si="63"/>
        <v/>
      </c>
      <c r="AL1001" s="8" t="str">
        <f t="shared" si="64"/>
        <v/>
      </c>
    </row>
    <row r="1002" spans="1:38" x14ac:dyDescent="0.25">
      <c r="A1002" s="8" t="s">
        <v>6976</v>
      </c>
      <c r="B1002" s="8" t="s">
        <v>6977</v>
      </c>
      <c r="C1002" s="8">
        <v>30946918</v>
      </c>
      <c r="D1002" s="8">
        <v>5</v>
      </c>
      <c r="E1002" s="11">
        <v>43115</v>
      </c>
      <c r="F1002" s="8" t="s">
        <v>57</v>
      </c>
      <c r="G1002" s="11">
        <v>43115</v>
      </c>
      <c r="H1002" s="8" t="s">
        <v>25</v>
      </c>
      <c r="J1002" s="8" t="s">
        <v>25</v>
      </c>
      <c r="N1002" s="8" t="s">
        <v>58</v>
      </c>
      <c r="O1002" s="8" t="s">
        <v>59</v>
      </c>
      <c r="P1002" s="8" t="s">
        <v>59</v>
      </c>
      <c r="R1002" s="8">
        <v>0</v>
      </c>
      <c r="S1002" s="8">
        <v>0</v>
      </c>
      <c r="T1002" s="8">
        <v>1</v>
      </c>
      <c r="U1002" s="8">
        <v>2</v>
      </c>
      <c r="AG1002" s="8" t="str">
        <f t="shared" si="61"/>
        <v/>
      </c>
      <c r="AI1002" s="8" t="str">
        <f t="shared" si="62"/>
        <v/>
      </c>
      <c r="AJ1002" s="8" t="str">
        <f t="shared" si="63"/>
        <v/>
      </c>
      <c r="AL1002" s="8" t="str">
        <f t="shared" si="64"/>
        <v/>
      </c>
    </row>
    <row r="1003" spans="1:38" x14ac:dyDescent="0.25">
      <c r="A1003" s="8" t="s">
        <v>5080</v>
      </c>
      <c r="B1003" s="8" t="s">
        <v>5081</v>
      </c>
      <c r="C1003" s="8">
        <v>30891801</v>
      </c>
      <c r="D1003" s="8">
        <v>5</v>
      </c>
      <c r="E1003" s="11">
        <v>43111</v>
      </c>
      <c r="F1003" s="8" t="s">
        <v>58</v>
      </c>
      <c r="G1003" s="11">
        <v>43112</v>
      </c>
      <c r="H1003" s="8" t="s">
        <v>25</v>
      </c>
      <c r="I1003" s="11">
        <v>43112</v>
      </c>
      <c r="J1003" s="8" t="s">
        <v>25</v>
      </c>
      <c r="N1003" s="8" t="s">
        <v>58</v>
      </c>
      <c r="O1003" s="8" t="s">
        <v>59</v>
      </c>
      <c r="P1003" s="8" t="s">
        <v>59</v>
      </c>
      <c r="R1003" s="8">
        <v>0</v>
      </c>
      <c r="S1003" s="8">
        <v>0</v>
      </c>
      <c r="T1003" s="8">
        <v>1</v>
      </c>
      <c r="U1003" s="8">
        <v>2</v>
      </c>
      <c r="X1003" s="8">
        <v>5</v>
      </c>
      <c r="AG1003" s="8" t="str">
        <f t="shared" si="61"/>
        <v/>
      </c>
      <c r="AI1003" s="8" t="str">
        <f t="shared" si="62"/>
        <v/>
      </c>
      <c r="AJ1003" s="8" t="str">
        <f t="shared" si="63"/>
        <v/>
      </c>
      <c r="AL1003" s="8" t="str">
        <f t="shared" si="64"/>
        <v/>
      </c>
    </row>
    <row r="1004" spans="1:38" x14ac:dyDescent="0.25">
      <c r="A1004" s="8" t="s">
        <v>3594</v>
      </c>
      <c r="B1004" s="8" t="s">
        <v>3595</v>
      </c>
      <c r="C1004" s="8">
        <v>30891951</v>
      </c>
      <c r="D1004" s="8">
        <v>5</v>
      </c>
      <c r="E1004" s="11">
        <v>43111</v>
      </c>
      <c r="F1004" s="8" t="s">
        <v>58</v>
      </c>
      <c r="G1004" s="11">
        <v>43111</v>
      </c>
      <c r="H1004" s="8" t="s">
        <v>25</v>
      </c>
      <c r="I1004" s="11">
        <v>43112</v>
      </c>
      <c r="J1004" s="8" t="s">
        <v>25</v>
      </c>
      <c r="N1004" s="8" t="s">
        <v>58</v>
      </c>
      <c r="O1004" s="8" t="s">
        <v>59</v>
      </c>
      <c r="P1004" s="8" t="s">
        <v>59</v>
      </c>
      <c r="R1004" s="8">
        <v>0</v>
      </c>
      <c r="S1004" s="8">
        <v>0</v>
      </c>
      <c r="T1004" s="8">
        <v>1</v>
      </c>
      <c r="U1004" s="8">
        <v>2</v>
      </c>
      <c r="X1004" s="8">
        <v>5</v>
      </c>
      <c r="AG1004" s="8" t="str">
        <f t="shared" si="61"/>
        <v/>
      </c>
      <c r="AI1004" s="8" t="str">
        <f t="shared" si="62"/>
        <v/>
      </c>
      <c r="AJ1004" s="8" t="str">
        <f t="shared" si="63"/>
        <v/>
      </c>
      <c r="AL1004" s="8" t="str">
        <f t="shared" si="64"/>
        <v/>
      </c>
    </row>
    <row r="1005" spans="1:38" x14ac:dyDescent="0.25">
      <c r="A1005" s="8" t="s">
        <v>6978</v>
      </c>
      <c r="B1005" s="8" t="s">
        <v>6979</v>
      </c>
      <c r="C1005" s="8">
        <v>30903675</v>
      </c>
      <c r="D1005" s="8">
        <v>5</v>
      </c>
      <c r="E1005" s="11">
        <v>43111</v>
      </c>
      <c r="F1005" s="8" t="s">
        <v>57</v>
      </c>
      <c r="G1005" s="11">
        <v>43115</v>
      </c>
      <c r="H1005" s="8" t="s">
        <v>25</v>
      </c>
      <c r="J1005" s="8" t="s">
        <v>25</v>
      </c>
      <c r="N1005" s="8" t="s">
        <v>58</v>
      </c>
      <c r="O1005" s="8" t="s">
        <v>59</v>
      </c>
      <c r="P1005" s="8" t="s">
        <v>59</v>
      </c>
      <c r="R1005" s="8">
        <v>0</v>
      </c>
      <c r="S1005" s="8">
        <v>0</v>
      </c>
      <c r="T1005" s="8">
        <v>1</v>
      </c>
      <c r="U1005" s="8">
        <v>2</v>
      </c>
      <c r="AG1005" s="8" t="str">
        <f t="shared" si="61"/>
        <v/>
      </c>
      <c r="AI1005" s="8" t="str">
        <f t="shared" si="62"/>
        <v/>
      </c>
      <c r="AJ1005" s="8" t="str">
        <f t="shared" si="63"/>
        <v/>
      </c>
      <c r="AL1005" s="8" t="str">
        <f t="shared" si="64"/>
        <v/>
      </c>
    </row>
    <row r="1006" spans="1:38" x14ac:dyDescent="0.25">
      <c r="A1006" s="8" t="s">
        <v>1044</v>
      </c>
      <c r="B1006" s="8" t="s">
        <v>1045</v>
      </c>
      <c r="C1006" s="8">
        <v>30842134</v>
      </c>
      <c r="D1006" s="8">
        <v>5</v>
      </c>
      <c r="E1006" s="11">
        <v>43109</v>
      </c>
      <c r="F1006" s="8" t="s">
        <v>58</v>
      </c>
      <c r="G1006" s="11">
        <v>43109</v>
      </c>
      <c r="H1006" s="8" t="s">
        <v>25</v>
      </c>
      <c r="I1006" s="11">
        <v>43109</v>
      </c>
      <c r="J1006" s="8" t="s">
        <v>25</v>
      </c>
      <c r="N1006" s="8" t="s">
        <v>58</v>
      </c>
      <c r="O1006" s="8" t="s">
        <v>59</v>
      </c>
      <c r="P1006" s="8" t="s">
        <v>59</v>
      </c>
      <c r="R1006" s="8">
        <v>0</v>
      </c>
      <c r="S1006" s="8">
        <v>0</v>
      </c>
      <c r="T1006" s="8">
        <v>1</v>
      </c>
      <c r="U1006" s="8">
        <v>2</v>
      </c>
      <c r="X1006" s="8">
        <v>5</v>
      </c>
      <c r="AG1006" s="8" t="str">
        <f t="shared" si="61"/>
        <v/>
      </c>
      <c r="AI1006" s="8" t="str">
        <f t="shared" si="62"/>
        <v/>
      </c>
      <c r="AJ1006" s="8" t="str">
        <f t="shared" si="63"/>
        <v/>
      </c>
      <c r="AL1006" s="8" t="str">
        <f t="shared" si="64"/>
        <v/>
      </c>
    </row>
    <row r="1007" spans="1:38" x14ac:dyDescent="0.25">
      <c r="A1007" s="8" t="s">
        <v>1046</v>
      </c>
      <c r="B1007" s="8" t="s">
        <v>1047</v>
      </c>
      <c r="C1007" s="8">
        <v>30847057</v>
      </c>
      <c r="D1007" s="8">
        <v>5</v>
      </c>
      <c r="E1007" s="11">
        <v>43109</v>
      </c>
      <c r="F1007" s="8" t="s">
        <v>58</v>
      </c>
      <c r="G1007" s="11">
        <v>43109</v>
      </c>
      <c r="H1007" s="8" t="s">
        <v>25</v>
      </c>
      <c r="I1007" s="11">
        <v>43109</v>
      </c>
      <c r="J1007" s="8" t="s">
        <v>25</v>
      </c>
      <c r="N1007" s="8" t="s">
        <v>58</v>
      </c>
      <c r="O1007" s="8" t="s">
        <v>59</v>
      </c>
      <c r="P1007" s="8" t="s">
        <v>59</v>
      </c>
      <c r="R1007" s="8">
        <v>0</v>
      </c>
      <c r="S1007" s="8">
        <v>0</v>
      </c>
      <c r="T1007" s="8">
        <v>1</v>
      </c>
      <c r="U1007" s="8">
        <v>2</v>
      </c>
      <c r="X1007" s="8">
        <v>5</v>
      </c>
      <c r="AG1007" s="8" t="str">
        <f t="shared" si="61"/>
        <v/>
      </c>
      <c r="AI1007" s="8" t="str">
        <f t="shared" si="62"/>
        <v/>
      </c>
      <c r="AJ1007" s="8" t="str">
        <f t="shared" si="63"/>
        <v/>
      </c>
      <c r="AL1007" s="8" t="str">
        <f t="shared" si="64"/>
        <v/>
      </c>
    </row>
    <row r="1008" spans="1:38" x14ac:dyDescent="0.25">
      <c r="A1008" s="8" t="s">
        <v>1998</v>
      </c>
      <c r="B1008" s="8" t="s">
        <v>1999</v>
      </c>
      <c r="C1008" s="8">
        <v>30869194</v>
      </c>
      <c r="D1008" s="8">
        <v>5</v>
      </c>
      <c r="E1008" s="11">
        <v>43110</v>
      </c>
      <c r="F1008" s="8" t="s">
        <v>58</v>
      </c>
      <c r="G1008" s="11">
        <v>43110</v>
      </c>
      <c r="H1008" s="8" t="s">
        <v>25</v>
      </c>
      <c r="I1008" s="11">
        <v>43110</v>
      </c>
      <c r="J1008" s="8" t="s">
        <v>25</v>
      </c>
      <c r="N1008" s="8" t="s">
        <v>58</v>
      </c>
      <c r="O1008" s="8" t="s">
        <v>59</v>
      </c>
      <c r="P1008" s="8" t="s">
        <v>59</v>
      </c>
      <c r="R1008" s="8">
        <v>0</v>
      </c>
      <c r="S1008" s="8">
        <v>0</v>
      </c>
      <c r="T1008" s="8">
        <v>1</v>
      </c>
      <c r="U1008" s="8">
        <v>2</v>
      </c>
      <c r="X1008" s="8">
        <v>5</v>
      </c>
      <c r="AG1008" s="8" t="str">
        <f t="shared" si="61"/>
        <v/>
      </c>
      <c r="AI1008" s="8" t="str">
        <f t="shared" si="62"/>
        <v/>
      </c>
      <c r="AJ1008" s="8" t="str">
        <f t="shared" si="63"/>
        <v/>
      </c>
      <c r="AL1008" s="8" t="str">
        <f t="shared" si="64"/>
        <v/>
      </c>
    </row>
    <row r="1009" spans="1:38" x14ac:dyDescent="0.25">
      <c r="A1009" s="8" t="s">
        <v>2000</v>
      </c>
      <c r="B1009" s="8" t="s">
        <v>2001</v>
      </c>
      <c r="C1009" s="8">
        <v>30867966</v>
      </c>
      <c r="D1009" s="8">
        <v>4</v>
      </c>
      <c r="E1009" s="11">
        <v>43110</v>
      </c>
      <c r="F1009" s="8" t="s">
        <v>58</v>
      </c>
      <c r="G1009" s="11">
        <v>43110</v>
      </c>
      <c r="H1009" s="8" t="s">
        <v>25</v>
      </c>
      <c r="I1009" s="11">
        <v>43112</v>
      </c>
      <c r="J1009" s="8" t="s">
        <v>25</v>
      </c>
      <c r="N1009" s="8" t="s">
        <v>58</v>
      </c>
      <c r="O1009" s="8" t="s">
        <v>59</v>
      </c>
      <c r="P1009" s="8" t="s">
        <v>59</v>
      </c>
      <c r="R1009" s="8">
        <v>0</v>
      </c>
      <c r="S1009" s="8">
        <v>0</v>
      </c>
      <c r="T1009" s="8">
        <v>1</v>
      </c>
      <c r="U1009" s="8">
        <v>2</v>
      </c>
      <c r="X1009" s="8">
        <v>5</v>
      </c>
      <c r="AG1009" s="8" t="str">
        <f t="shared" si="61"/>
        <v/>
      </c>
      <c r="AI1009" s="8" t="str">
        <f t="shared" si="62"/>
        <v/>
      </c>
      <c r="AJ1009" s="8" t="str">
        <f t="shared" si="63"/>
        <v/>
      </c>
      <c r="AL1009" s="8" t="str">
        <f t="shared" si="64"/>
        <v/>
      </c>
    </row>
    <row r="1010" spans="1:38" x14ac:dyDescent="0.25">
      <c r="A1010" s="8" t="s">
        <v>5082</v>
      </c>
      <c r="B1010" s="8" t="s">
        <v>5083</v>
      </c>
      <c r="C1010" s="8">
        <v>30874755</v>
      </c>
      <c r="D1010" s="8">
        <v>5</v>
      </c>
      <c r="E1010" s="11">
        <v>43110</v>
      </c>
      <c r="F1010" s="8" t="s">
        <v>58</v>
      </c>
      <c r="G1010" s="11">
        <v>43112</v>
      </c>
      <c r="H1010" s="8" t="s">
        <v>25</v>
      </c>
      <c r="I1010" s="11">
        <v>43115</v>
      </c>
      <c r="J1010" s="8" t="s">
        <v>25</v>
      </c>
      <c r="N1010" s="8" t="s">
        <v>58</v>
      </c>
      <c r="O1010" s="8" t="s">
        <v>59</v>
      </c>
      <c r="P1010" s="8" t="s">
        <v>59</v>
      </c>
      <c r="R1010" s="8">
        <v>0</v>
      </c>
      <c r="S1010" s="8">
        <v>0</v>
      </c>
      <c r="T1010" s="8">
        <v>1</v>
      </c>
      <c r="U1010" s="8">
        <v>2</v>
      </c>
      <c r="X1010" s="8">
        <v>5</v>
      </c>
      <c r="AG1010" s="8" t="str">
        <f t="shared" si="61"/>
        <v/>
      </c>
      <c r="AI1010" s="8" t="str">
        <f t="shared" si="62"/>
        <v/>
      </c>
      <c r="AJ1010" s="8" t="str">
        <f t="shared" si="63"/>
        <v/>
      </c>
      <c r="AL1010" s="8" t="str">
        <f t="shared" si="64"/>
        <v/>
      </c>
    </row>
    <row r="1011" spans="1:38" x14ac:dyDescent="0.25">
      <c r="A1011" s="8" t="s">
        <v>1048</v>
      </c>
      <c r="B1011" s="8" t="s">
        <v>1049</v>
      </c>
      <c r="C1011" s="8">
        <v>30850339</v>
      </c>
      <c r="D1011" s="8">
        <v>4</v>
      </c>
      <c r="E1011" s="11">
        <v>43109</v>
      </c>
      <c r="F1011" s="8" t="s">
        <v>57</v>
      </c>
      <c r="G1011" s="11">
        <v>43109</v>
      </c>
      <c r="H1011" s="8" t="s">
        <v>25</v>
      </c>
      <c r="J1011" s="8" t="s">
        <v>25</v>
      </c>
      <c r="N1011" s="8" t="s">
        <v>58</v>
      </c>
      <c r="O1011" s="8" t="s">
        <v>59</v>
      </c>
      <c r="P1011" s="8" t="s">
        <v>59</v>
      </c>
      <c r="R1011" s="8">
        <v>0</v>
      </c>
      <c r="S1011" s="8">
        <v>0</v>
      </c>
      <c r="T1011" s="8">
        <v>1</v>
      </c>
      <c r="U1011" s="8">
        <v>2</v>
      </c>
      <c r="AG1011" s="8" t="str">
        <f t="shared" si="61"/>
        <v/>
      </c>
      <c r="AI1011" s="8" t="str">
        <f t="shared" si="62"/>
        <v/>
      </c>
      <c r="AJ1011" s="8" t="str">
        <f t="shared" si="63"/>
        <v/>
      </c>
      <c r="AL1011" s="8" t="str">
        <f t="shared" si="64"/>
        <v/>
      </c>
    </row>
    <row r="1012" spans="1:38" x14ac:dyDescent="0.25">
      <c r="A1012" s="8" t="s">
        <v>5084</v>
      </c>
      <c r="B1012" s="8" t="s">
        <v>5085</v>
      </c>
      <c r="C1012" s="8">
        <v>30921833</v>
      </c>
      <c r="D1012" s="8">
        <v>5</v>
      </c>
      <c r="E1012" s="11">
        <v>43112</v>
      </c>
      <c r="F1012" s="8" t="s">
        <v>57</v>
      </c>
      <c r="G1012" s="11">
        <v>43112</v>
      </c>
      <c r="H1012" s="8" t="s">
        <v>25</v>
      </c>
      <c r="J1012" s="8" t="s">
        <v>25</v>
      </c>
      <c r="N1012" s="8" t="s">
        <v>58</v>
      </c>
      <c r="O1012" s="8" t="s">
        <v>59</v>
      </c>
      <c r="P1012" s="8" t="s">
        <v>59</v>
      </c>
      <c r="R1012" s="8">
        <v>0</v>
      </c>
      <c r="S1012" s="8">
        <v>0</v>
      </c>
      <c r="T1012" s="8">
        <v>1</v>
      </c>
      <c r="U1012" s="8">
        <v>2</v>
      </c>
      <c r="AG1012" s="8" t="str">
        <f t="shared" si="61"/>
        <v/>
      </c>
      <c r="AI1012" s="8" t="str">
        <f t="shared" si="62"/>
        <v/>
      </c>
      <c r="AJ1012" s="8" t="str">
        <f t="shared" si="63"/>
        <v/>
      </c>
      <c r="AL1012" s="8" t="str">
        <f t="shared" si="64"/>
        <v/>
      </c>
    </row>
    <row r="1013" spans="1:38" x14ac:dyDescent="0.25">
      <c r="A1013" s="8" t="s">
        <v>6980</v>
      </c>
      <c r="B1013" s="8" t="s">
        <v>6981</v>
      </c>
      <c r="C1013" s="8">
        <v>30935687</v>
      </c>
      <c r="D1013" s="8">
        <v>5</v>
      </c>
      <c r="E1013" s="11">
        <v>43115</v>
      </c>
      <c r="F1013" s="8" t="s">
        <v>58</v>
      </c>
      <c r="G1013" s="11">
        <v>43115</v>
      </c>
      <c r="H1013" s="8" t="s">
        <v>25</v>
      </c>
      <c r="I1013" s="11">
        <v>43115</v>
      </c>
      <c r="J1013" s="8" t="s">
        <v>25</v>
      </c>
      <c r="N1013" s="8" t="s">
        <v>58</v>
      </c>
      <c r="O1013" s="8" t="s">
        <v>59</v>
      </c>
      <c r="P1013" s="8" t="s">
        <v>59</v>
      </c>
      <c r="R1013" s="8">
        <v>0</v>
      </c>
      <c r="S1013" s="8">
        <v>0</v>
      </c>
      <c r="T1013" s="8">
        <v>1</v>
      </c>
      <c r="U1013" s="8">
        <v>2</v>
      </c>
      <c r="X1013" s="8">
        <v>5</v>
      </c>
      <c r="AG1013" s="8" t="str">
        <f t="shared" si="61"/>
        <v/>
      </c>
      <c r="AI1013" s="8" t="str">
        <f t="shared" si="62"/>
        <v/>
      </c>
      <c r="AJ1013" s="8" t="str">
        <f t="shared" si="63"/>
        <v/>
      </c>
      <c r="AL1013" s="8" t="str">
        <f t="shared" si="64"/>
        <v/>
      </c>
    </row>
    <row r="1014" spans="1:38" x14ac:dyDescent="0.25">
      <c r="A1014" s="8" t="s">
        <v>6982</v>
      </c>
      <c r="B1014" s="8" t="s">
        <v>6983</v>
      </c>
      <c r="C1014" s="8">
        <v>30902997</v>
      </c>
      <c r="D1014" s="8">
        <v>5</v>
      </c>
      <c r="E1014" s="11">
        <v>43111</v>
      </c>
      <c r="F1014" s="8" t="s">
        <v>58</v>
      </c>
      <c r="G1014" s="11">
        <v>43115</v>
      </c>
      <c r="H1014" s="8" t="s">
        <v>25</v>
      </c>
      <c r="I1014" s="11">
        <v>43115</v>
      </c>
      <c r="J1014" s="8" t="s">
        <v>25</v>
      </c>
      <c r="N1014" s="8" t="s">
        <v>58</v>
      </c>
      <c r="O1014" s="8" t="s">
        <v>59</v>
      </c>
      <c r="P1014" s="8" t="s">
        <v>59</v>
      </c>
      <c r="R1014" s="8">
        <v>0</v>
      </c>
      <c r="S1014" s="8">
        <v>0</v>
      </c>
      <c r="T1014" s="8">
        <v>1</v>
      </c>
      <c r="U1014" s="8">
        <v>2</v>
      </c>
      <c r="X1014" s="8">
        <v>5</v>
      </c>
      <c r="AG1014" s="8" t="str">
        <f t="shared" si="61"/>
        <v/>
      </c>
      <c r="AI1014" s="8" t="str">
        <f t="shared" si="62"/>
        <v/>
      </c>
      <c r="AJ1014" s="8" t="str">
        <f t="shared" si="63"/>
        <v/>
      </c>
      <c r="AL1014" s="8" t="str">
        <f t="shared" si="64"/>
        <v/>
      </c>
    </row>
    <row r="1015" spans="1:38" x14ac:dyDescent="0.25">
      <c r="A1015" s="8" t="s">
        <v>5086</v>
      </c>
      <c r="B1015" s="8" t="s">
        <v>5087</v>
      </c>
      <c r="C1015" s="8">
        <v>30912843</v>
      </c>
      <c r="D1015" s="8">
        <v>5</v>
      </c>
      <c r="E1015" s="11">
        <v>43112</v>
      </c>
      <c r="F1015" s="8" t="s">
        <v>58</v>
      </c>
      <c r="G1015" s="11">
        <v>43112</v>
      </c>
      <c r="H1015" s="8" t="s">
        <v>25</v>
      </c>
      <c r="I1015" s="11">
        <v>43112</v>
      </c>
      <c r="J1015" s="8" t="s">
        <v>25</v>
      </c>
      <c r="N1015" s="8" t="s">
        <v>58</v>
      </c>
      <c r="O1015" s="8" t="s">
        <v>59</v>
      </c>
      <c r="P1015" s="8" t="s">
        <v>59</v>
      </c>
      <c r="R1015" s="8">
        <v>0</v>
      </c>
      <c r="S1015" s="8">
        <v>0</v>
      </c>
      <c r="T1015" s="8">
        <v>1</v>
      </c>
      <c r="U1015" s="8">
        <v>2</v>
      </c>
      <c r="X1015" s="8">
        <v>5</v>
      </c>
      <c r="AG1015" s="8" t="str">
        <f t="shared" si="61"/>
        <v/>
      </c>
      <c r="AI1015" s="8" t="str">
        <f t="shared" si="62"/>
        <v/>
      </c>
      <c r="AJ1015" s="8" t="str">
        <f t="shared" si="63"/>
        <v/>
      </c>
      <c r="AL1015" s="8" t="str">
        <f t="shared" si="64"/>
        <v/>
      </c>
    </row>
    <row r="1016" spans="1:38" x14ac:dyDescent="0.25">
      <c r="A1016" s="8" t="s">
        <v>3596</v>
      </c>
      <c r="B1016" s="8" t="s">
        <v>3597</v>
      </c>
      <c r="C1016" s="8">
        <v>30902409</v>
      </c>
      <c r="D1016" s="8">
        <v>5</v>
      </c>
      <c r="E1016" s="11">
        <v>43111</v>
      </c>
      <c r="F1016" s="8" t="s">
        <v>61</v>
      </c>
      <c r="G1016" s="11">
        <v>43111</v>
      </c>
      <c r="H1016" s="8" t="s">
        <v>25</v>
      </c>
      <c r="J1016" s="8" t="s">
        <v>25</v>
      </c>
      <c r="K1016" s="11">
        <v>43111</v>
      </c>
      <c r="N1016" s="8" t="s">
        <v>58</v>
      </c>
      <c r="O1016" s="8" t="s">
        <v>59</v>
      </c>
      <c r="P1016" s="8" t="s">
        <v>59</v>
      </c>
      <c r="R1016" s="8">
        <v>0</v>
      </c>
      <c r="S1016" s="8">
        <v>0</v>
      </c>
      <c r="T1016" s="8">
        <v>1</v>
      </c>
      <c r="U1016" s="8">
        <v>2</v>
      </c>
      <c r="Y1016" s="8">
        <v>6</v>
      </c>
      <c r="Z1016" s="8">
        <v>7</v>
      </c>
      <c r="AG1016" s="8" t="str">
        <f t="shared" si="61"/>
        <v/>
      </c>
      <c r="AI1016" s="8" t="str">
        <f t="shared" si="62"/>
        <v/>
      </c>
      <c r="AJ1016" s="8" t="str">
        <f t="shared" si="63"/>
        <v/>
      </c>
      <c r="AL1016" s="8" t="str">
        <f t="shared" si="64"/>
        <v/>
      </c>
    </row>
    <row r="1017" spans="1:38" x14ac:dyDescent="0.25">
      <c r="A1017" s="8" t="s">
        <v>5088</v>
      </c>
      <c r="B1017" s="8" t="s">
        <v>3597</v>
      </c>
      <c r="C1017" s="8">
        <v>30912709</v>
      </c>
      <c r="D1017" s="8">
        <v>5</v>
      </c>
      <c r="E1017" s="11">
        <v>43112</v>
      </c>
      <c r="F1017" s="8" t="s">
        <v>58</v>
      </c>
      <c r="G1017" s="11">
        <v>43112</v>
      </c>
      <c r="H1017" s="8" t="s">
        <v>25</v>
      </c>
      <c r="I1017" s="11">
        <v>43115</v>
      </c>
      <c r="J1017" s="8" t="s">
        <v>25</v>
      </c>
      <c r="N1017" s="8" t="s">
        <v>58</v>
      </c>
      <c r="O1017" s="8" t="s">
        <v>59</v>
      </c>
      <c r="P1017" s="8" t="s">
        <v>59</v>
      </c>
      <c r="R1017" s="8">
        <v>0</v>
      </c>
      <c r="S1017" s="8">
        <v>0</v>
      </c>
      <c r="T1017" s="8">
        <v>1</v>
      </c>
      <c r="U1017" s="8">
        <v>2</v>
      </c>
      <c r="X1017" s="8">
        <v>5</v>
      </c>
      <c r="AG1017" s="8" t="str">
        <f t="shared" si="61"/>
        <v/>
      </c>
      <c r="AI1017" s="8" t="str">
        <f t="shared" si="62"/>
        <v/>
      </c>
      <c r="AJ1017" s="8" t="str">
        <f t="shared" si="63"/>
        <v/>
      </c>
      <c r="AL1017" s="8" t="str">
        <f t="shared" si="64"/>
        <v/>
      </c>
    </row>
    <row r="1018" spans="1:38" x14ac:dyDescent="0.25">
      <c r="A1018" s="8" t="s">
        <v>2002</v>
      </c>
      <c r="B1018" s="8" t="s">
        <v>2003</v>
      </c>
      <c r="C1018" s="8">
        <v>30859613</v>
      </c>
      <c r="D1018" s="8">
        <v>5</v>
      </c>
      <c r="E1018" s="11">
        <v>43110</v>
      </c>
      <c r="F1018" s="8" t="s">
        <v>58</v>
      </c>
      <c r="G1018" s="11">
        <v>43110</v>
      </c>
      <c r="H1018" s="8" t="s">
        <v>25</v>
      </c>
      <c r="I1018" s="11">
        <v>43112</v>
      </c>
      <c r="J1018" s="8" t="s">
        <v>25</v>
      </c>
      <c r="N1018" s="8" t="s">
        <v>58</v>
      </c>
      <c r="O1018" s="8" t="s">
        <v>59</v>
      </c>
      <c r="P1018" s="8" t="s">
        <v>59</v>
      </c>
      <c r="R1018" s="8">
        <v>0</v>
      </c>
      <c r="S1018" s="8">
        <v>0</v>
      </c>
      <c r="T1018" s="8">
        <v>1</v>
      </c>
      <c r="U1018" s="8">
        <v>2</v>
      </c>
      <c r="X1018" s="8">
        <v>5</v>
      </c>
      <c r="AG1018" s="8" t="str">
        <f t="shared" si="61"/>
        <v/>
      </c>
      <c r="AI1018" s="8" t="str">
        <f t="shared" si="62"/>
        <v/>
      </c>
      <c r="AJ1018" s="8" t="str">
        <f t="shared" si="63"/>
        <v/>
      </c>
      <c r="AL1018" s="8" t="str">
        <f t="shared" si="64"/>
        <v/>
      </c>
    </row>
    <row r="1019" spans="1:38" x14ac:dyDescent="0.25">
      <c r="A1019" s="8" t="s">
        <v>333</v>
      </c>
      <c r="B1019" s="8" t="s">
        <v>334</v>
      </c>
      <c r="C1019" s="8">
        <v>30827813</v>
      </c>
      <c r="D1019" s="8">
        <v>5</v>
      </c>
      <c r="E1019" s="11">
        <v>43108</v>
      </c>
      <c r="F1019" s="8" t="s">
        <v>58</v>
      </c>
      <c r="G1019" s="11">
        <v>43108</v>
      </c>
      <c r="H1019" s="8" t="s">
        <v>25</v>
      </c>
      <c r="I1019" s="11">
        <v>43110</v>
      </c>
      <c r="J1019" s="8" t="s">
        <v>25</v>
      </c>
      <c r="N1019" s="8" t="s">
        <v>58</v>
      </c>
      <c r="O1019" s="8" t="s">
        <v>59</v>
      </c>
      <c r="P1019" s="8" t="s">
        <v>59</v>
      </c>
      <c r="R1019" s="8">
        <v>0</v>
      </c>
      <c r="S1019" s="8">
        <v>0</v>
      </c>
      <c r="T1019" s="8">
        <v>1</v>
      </c>
      <c r="U1019" s="8">
        <v>2</v>
      </c>
      <c r="X1019" s="8">
        <v>5</v>
      </c>
      <c r="AG1019" s="8" t="str">
        <f t="shared" si="61"/>
        <v/>
      </c>
      <c r="AI1019" s="8" t="str">
        <f t="shared" si="62"/>
        <v/>
      </c>
      <c r="AJ1019" s="8" t="str">
        <f t="shared" si="63"/>
        <v/>
      </c>
      <c r="AL1019" s="8" t="str">
        <f t="shared" si="64"/>
        <v/>
      </c>
    </row>
    <row r="1020" spans="1:38" x14ac:dyDescent="0.25">
      <c r="A1020" s="8" t="s">
        <v>3598</v>
      </c>
      <c r="B1020" s="8" t="s">
        <v>3599</v>
      </c>
      <c r="C1020" s="8">
        <v>30894954</v>
      </c>
      <c r="D1020" s="8">
        <v>5</v>
      </c>
      <c r="E1020" s="11">
        <v>43111</v>
      </c>
      <c r="F1020" s="8" t="s">
        <v>57</v>
      </c>
      <c r="G1020" s="11">
        <v>43111</v>
      </c>
      <c r="H1020" s="8" t="s">
        <v>25</v>
      </c>
      <c r="J1020" s="8" t="s">
        <v>25</v>
      </c>
      <c r="N1020" s="8" t="s">
        <v>58</v>
      </c>
      <c r="O1020" s="8" t="s">
        <v>59</v>
      </c>
      <c r="P1020" s="8" t="s">
        <v>59</v>
      </c>
      <c r="R1020" s="8">
        <v>0</v>
      </c>
      <c r="S1020" s="8">
        <v>0</v>
      </c>
      <c r="T1020" s="8">
        <v>1</v>
      </c>
      <c r="U1020" s="8">
        <v>2</v>
      </c>
      <c r="AG1020" s="8" t="str">
        <f t="shared" si="61"/>
        <v/>
      </c>
      <c r="AI1020" s="8" t="str">
        <f t="shared" si="62"/>
        <v/>
      </c>
      <c r="AJ1020" s="8" t="str">
        <f t="shared" si="63"/>
        <v/>
      </c>
      <c r="AL1020" s="8" t="str">
        <f t="shared" si="64"/>
        <v/>
      </c>
    </row>
    <row r="1021" spans="1:38" x14ac:dyDescent="0.25">
      <c r="A1021" s="8" t="s">
        <v>335</v>
      </c>
      <c r="B1021" s="8" t="s">
        <v>336</v>
      </c>
      <c r="C1021" s="8">
        <v>30828838</v>
      </c>
      <c r="D1021" s="8">
        <v>5</v>
      </c>
      <c r="E1021" s="11">
        <v>43108</v>
      </c>
      <c r="F1021" s="8" t="s">
        <v>58</v>
      </c>
      <c r="G1021" s="11">
        <v>43108</v>
      </c>
      <c r="H1021" s="8" t="s">
        <v>25</v>
      </c>
      <c r="I1021" s="11">
        <v>43109</v>
      </c>
      <c r="J1021" s="8" t="s">
        <v>25</v>
      </c>
      <c r="N1021" s="8" t="s">
        <v>58</v>
      </c>
      <c r="O1021" s="8" t="s">
        <v>59</v>
      </c>
      <c r="P1021" s="8" t="s">
        <v>59</v>
      </c>
      <c r="R1021" s="8">
        <v>0</v>
      </c>
      <c r="S1021" s="8">
        <v>0</v>
      </c>
      <c r="T1021" s="8">
        <v>1</v>
      </c>
      <c r="U1021" s="8">
        <v>2</v>
      </c>
      <c r="X1021" s="8">
        <v>5</v>
      </c>
      <c r="AG1021" s="8" t="str">
        <f t="shared" si="61"/>
        <v/>
      </c>
      <c r="AI1021" s="8" t="str">
        <f t="shared" si="62"/>
        <v/>
      </c>
      <c r="AJ1021" s="8" t="str">
        <f t="shared" si="63"/>
        <v/>
      </c>
      <c r="AL1021" s="8" t="str">
        <f t="shared" si="64"/>
        <v/>
      </c>
    </row>
    <row r="1022" spans="1:38" x14ac:dyDescent="0.25">
      <c r="A1022" s="8" t="s">
        <v>3600</v>
      </c>
      <c r="B1022" s="8" t="s">
        <v>3601</v>
      </c>
      <c r="C1022" s="8">
        <v>30890865</v>
      </c>
      <c r="D1022" s="8">
        <v>5</v>
      </c>
      <c r="E1022" s="11">
        <v>43111</v>
      </c>
      <c r="F1022" s="8" t="s">
        <v>58</v>
      </c>
      <c r="G1022" s="11">
        <v>43111</v>
      </c>
      <c r="H1022" s="8" t="s">
        <v>25</v>
      </c>
      <c r="I1022" s="11">
        <v>43112</v>
      </c>
      <c r="J1022" s="8" t="s">
        <v>25</v>
      </c>
      <c r="N1022" s="8" t="s">
        <v>58</v>
      </c>
      <c r="O1022" s="8" t="s">
        <v>59</v>
      </c>
      <c r="P1022" s="8" t="s">
        <v>59</v>
      </c>
      <c r="R1022" s="8">
        <v>0</v>
      </c>
      <c r="S1022" s="8">
        <v>0</v>
      </c>
      <c r="T1022" s="8">
        <v>1</v>
      </c>
      <c r="U1022" s="8">
        <v>2</v>
      </c>
      <c r="X1022" s="8">
        <v>5</v>
      </c>
      <c r="AG1022" s="8" t="str">
        <f t="shared" si="61"/>
        <v/>
      </c>
      <c r="AI1022" s="8" t="str">
        <f t="shared" si="62"/>
        <v/>
      </c>
      <c r="AJ1022" s="8" t="str">
        <f t="shared" si="63"/>
        <v/>
      </c>
      <c r="AL1022" s="8" t="str">
        <f t="shared" si="64"/>
        <v/>
      </c>
    </row>
    <row r="1023" spans="1:38" x14ac:dyDescent="0.25">
      <c r="A1023" s="8" t="s">
        <v>6984</v>
      </c>
      <c r="B1023" s="8" t="s">
        <v>6985</v>
      </c>
      <c r="C1023" s="8">
        <v>30942009</v>
      </c>
      <c r="D1023" s="8">
        <v>5</v>
      </c>
      <c r="E1023" s="11">
        <v>43115</v>
      </c>
      <c r="F1023" s="8" t="s">
        <v>57</v>
      </c>
      <c r="G1023" s="11">
        <v>43115</v>
      </c>
      <c r="H1023" s="8" t="s">
        <v>25</v>
      </c>
      <c r="J1023" s="8" t="s">
        <v>25</v>
      </c>
      <c r="N1023" s="8" t="s">
        <v>58</v>
      </c>
      <c r="O1023" s="8" t="s">
        <v>59</v>
      </c>
      <c r="P1023" s="8" t="s">
        <v>59</v>
      </c>
      <c r="R1023" s="8">
        <v>0</v>
      </c>
      <c r="S1023" s="8">
        <v>0</v>
      </c>
      <c r="T1023" s="8">
        <v>1</v>
      </c>
      <c r="U1023" s="8">
        <v>2</v>
      </c>
      <c r="AG1023" s="8" t="str">
        <f t="shared" si="61"/>
        <v/>
      </c>
      <c r="AI1023" s="8" t="str">
        <f t="shared" si="62"/>
        <v/>
      </c>
      <c r="AJ1023" s="8" t="str">
        <f t="shared" si="63"/>
        <v/>
      </c>
      <c r="AL1023" s="8" t="str">
        <f t="shared" si="64"/>
        <v/>
      </c>
    </row>
    <row r="1024" spans="1:38" x14ac:dyDescent="0.25">
      <c r="A1024" s="8" t="s">
        <v>2004</v>
      </c>
      <c r="B1024" s="8" t="s">
        <v>2005</v>
      </c>
      <c r="C1024" s="8">
        <v>30811278</v>
      </c>
      <c r="D1024" s="8">
        <v>5</v>
      </c>
      <c r="E1024" s="11">
        <v>43108</v>
      </c>
      <c r="F1024" s="8" t="s">
        <v>58</v>
      </c>
      <c r="G1024" s="11">
        <v>43110</v>
      </c>
      <c r="H1024" s="8" t="s">
        <v>25</v>
      </c>
      <c r="I1024" s="11">
        <v>43110</v>
      </c>
      <c r="J1024" s="8" t="s">
        <v>25</v>
      </c>
      <c r="N1024" s="8" t="s">
        <v>58</v>
      </c>
      <c r="O1024" s="8" t="s">
        <v>59</v>
      </c>
      <c r="P1024" s="8" t="s">
        <v>59</v>
      </c>
      <c r="R1024" s="8">
        <v>0</v>
      </c>
      <c r="S1024" s="8">
        <v>0</v>
      </c>
      <c r="T1024" s="8">
        <v>1</v>
      </c>
      <c r="U1024" s="8">
        <v>2</v>
      </c>
      <c r="X1024" s="8">
        <v>5</v>
      </c>
      <c r="AG1024" s="8" t="str">
        <f t="shared" si="61"/>
        <v/>
      </c>
      <c r="AI1024" s="8" t="str">
        <f t="shared" si="62"/>
        <v/>
      </c>
      <c r="AJ1024" s="8" t="str">
        <f t="shared" si="63"/>
        <v/>
      </c>
      <c r="AL1024" s="8" t="str">
        <f t="shared" si="64"/>
        <v/>
      </c>
    </row>
    <row r="1025" spans="1:38" x14ac:dyDescent="0.25">
      <c r="A1025" s="8" t="s">
        <v>5089</v>
      </c>
      <c r="B1025" s="8" t="s">
        <v>5090</v>
      </c>
      <c r="C1025" s="8">
        <v>30882684</v>
      </c>
      <c r="D1025" s="8">
        <v>5</v>
      </c>
      <c r="E1025" s="11">
        <v>43111</v>
      </c>
      <c r="F1025" s="8" t="s">
        <v>57</v>
      </c>
      <c r="G1025" s="11">
        <v>43112</v>
      </c>
      <c r="H1025" s="8" t="s">
        <v>25</v>
      </c>
      <c r="J1025" s="8" t="s">
        <v>25</v>
      </c>
      <c r="N1025" s="8" t="s">
        <v>58</v>
      </c>
      <c r="O1025" s="8" t="s">
        <v>59</v>
      </c>
      <c r="P1025" s="8" t="s">
        <v>59</v>
      </c>
      <c r="R1025" s="8">
        <v>0</v>
      </c>
      <c r="S1025" s="8">
        <v>0</v>
      </c>
      <c r="T1025" s="8">
        <v>1</v>
      </c>
      <c r="U1025" s="8">
        <v>2</v>
      </c>
      <c r="AG1025" s="8" t="str">
        <f t="shared" si="61"/>
        <v/>
      </c>
      <c r="AI1025" s="8" t="str">
        <f t="shared" si="62"/>
        <v/>
      </c>
      <c r="AJ1025" s="8" t="str">
        <f t="shared" si="63"/>
        <v/>
      </c>
      <c r="AL1025" s="8" t="str">
        <f t="shared" si="64"/>
        <v/>
      </c>
    </row>
    <row r="1026" spans="1:38" x14ac:dyDescent="0.25">
      <c r="A1026" s="8" t="s">
        <v>1050</v>
      </c>
      <c r="B1026" s="8" t="s">
        <v>1051</v>
      </c>
      <c r="C1026" s="8">
        <v>30840789</v>
      </c>
      <c r="D1026" s="8">
        <v>5</v>
      </c>
      <c r="E1026" s="11">
        <v>43109</v>
      </c>
      <c r="F1026" s="8" t="s">
        <v>58</v>
      </c>
      <c r="G1026" s="11">
        <v>43109</v>
      </c>
      <c r="H1026" s="8" t="s">
        <v>25</v>
      </c>
      <c r="I1026" s="11">
        <v>43109</v>
      </c>
      <c r="J1026" s="8" t="s">
        <v>25</v>
      </c>
      <c r="N1026" s="8" t="s">
        <v>58</v>
      </c>
      <c r="O1026" s="8" t="s">
        <v>59</v>
      </c>
      <c r="P1026" s="8" t="s">
        <v>59</v>
      </c>
      <c r="R1026" s="8">
        <v>0</v>
      </c>
      <c r="S1026" s="8">
        <v>0</v>
      </c>
      <c r="T1026" s="8">
        <v>1</v>
      </c>
      <c r="U1026" s="8">
        <v>2</v>
      </c>
      <c r="X1026" s="8">
        <v>5</v>
      </c>
      <c r="AG1026" s="8" t="str">
        <f t="shared" si="61"/>
        <v/>
      </c>
      <c r="AI1026" s="8" t="str">
        <f t="shared" si="62"/>
        <v/>
      </c>
      <c r="AJ1026" s="8" t="str">
        <f t="shared" si="63"/>
        <v/>
      </c>
      <c r="AL1026" s="8" t="str">
        <f t="shared" si="64"/>
        <v/>
      </c>
    </row>
    <row r="1027" spans="1:38" x14ac:dyDescent="0.25">
      <c r="A1027" s="8" t="s">
        <v>2006</v>
      </c>
      <c r="B1027" s="8" t="s">
        <v>2007</v>
      </c>
      <c r="C1027" s="8">
        <v>30845384</v>
      </c>
      <c r="D1027" s="8">
        <v>5</v>
      </c>
      <c r="E1027" s="11">
        <v>43109</v>
      </c>
      <c r="F1027" s="8" t="s">
        <v>57</v>
      </c>
      <c r="G1027" s="11">
        <v>43110</v>
      </c>
      <c r="H1027" s="8" t="s">
        <v>25</v>
      </c>
      <c r="J1027" s="8" t="s">
        <v>25</v>
      </c>
      <c r="N1027" s="8" t="s">
        <v>58</v>
      </c>
      <c r="O1027" s="8" t="s">
        <v>59</v>
      </c>
      <c r="P1027" s="8" t="s">
        <v>59</v>
      </c>
      <c r="R1027" s="8">
        <v>0</v>
      </c>
      <c r="S1027" s="8">
        <v>0</v>
      </c>
      <c r="T1027" s="8">
        <v>1</v>
      </c>
      <c r="U1027" s="8">
        <v>2</v>
      </c>
      <c r="AG1027" s="8" t="str">
        <f t="shared" ref="AG1027:AG1090" si="65">IF(AND(U1027="",G1027&lt;&gt;"",NOT(OR(R1027,S1027))),IF(NETWORKDAYS.INTL(G1027,TODAY(),11)&lt;5,"En Plazo",IF(NETWORKDAYS.INTL(G1027,TODAY(),11)=5,"Riesgo Incumplimiento","FALTA_02")),"")</f>
        <v/>
      </c>
      <c r="AI1027" s="8" t="str">
        <f t="shared" ref="AI1027:AI1090" si="66">IF(AND(O1027&lt;&gt;"B1",F1027="Rejected"),IF(W1027="","FALTA_04",""),"")</f>
        <v/>
      </c>
      <c r="AJ1027" s="8" t="str">
        <f t="shared" ref="AJ1027:AJ1090" si="67">IF(AND(X1027="",I1027&lt;&gt;"",NOT(OR(R1027,S1027))),IF(NETWORKDAYS.INTL(G1027,TODAY(),11)&lt;=1,"En Plazo",IF(OR(AND(X1027="",O1027&lt;&gt;"M1"),AND(O1027="M1",(OR(Q1027="S - S",Q1027="S - T",)))),"FALTA_05","")),"")</f>
        <v/>
      </c>
      <c r="AL1027" s="8" t="str">
        <f t="shared" ref="AL1027:AL1090" si="68">IF(AND(O1027="B1",F1027="Rejected"),IF(Z1027="","FALTA_07",""),"")</f>
        <v/>
      </c>
    </row>
    <row r="1028" spans="1:38" x14ac:dyDescent="0.25">
      <c r="A1028" s="8" t="s">
        <v>6986</v>
      </c>
      <c r="B1028" s="8" t="s">
        <v>6987</v>
      </c>
      <c r="C1028" s="8">
        <v>30945255</v>
      </c>
      <c r="D1028" s="8">
        <v>5</v>
      </c>
      <c r="E1028" s="11">
        <v>43115</v>
      </c>
      <c r="F1028" s="8" t="s">
        <v>57</v>
      </c>
      <c r="G1028" s="11">
        <v>43115</v>
      </c>
      <c r="H1028" s="8" t="s">
        <v>25</v>
      </c>
      <c r="J1028" s="8" t="s">
        <v>25</v>
      </c>
      <c r="N1028" s="8" t="s">
        <v>58</v>
      </c>
      <c r="O1028" s="8" t="s">
        <v>59</v>
      </c>
      <c r="P1028" s="8" t="s">
        <v>59</v>
      </c>
      <c r="R1028" s="8">
        <v>0</v>
      </c>
      <c r="S1028" s="8">
        <v>0</v>
      </c>
      <c r="T1028" s="8">
        <v>1</v>
      </c>
      <c r="U1028" s="8">
        <v>2</v>
      </c>
      <c r="AG1028" s="8" t="str">
        <f t="shared" si="65"/>
        <v/>
      </c>
      <c r="AI1028" s="8" t="str">
        <f t="shared" si="66"/>
        <v/>
      </c>
      <c r="AJ1028" s="8" t="str">
        <f t="shared" si="67"/>
        <v/>
      </c>
      <c r="AL1028" s="8" t="str">
        <f t="shared" si="68"/>
        <v/>
      </c>
    </row>
    <row r="1029" spans="1:38" x14ac:dyDescent="0.25">
      <c r="A1029" s="8" t="s">
        <v>5091</v>
      </c>
      <c r="B1029" s="8" t="s">
        <v>5092</v>
      </c>
      <c r="C1029" s="8">
        <v>30891792</v>
      </c>
      <c r="D1029" s="8">
        <v>5</v>
      </c>
      <c r="E1029" s="11">
        <v>43111</v>
      </c>
      <c r="F1029" s="8" t="s">
        <v>58</v>
      </c>
      <c r="G1029" s="11">
        <v>43112</v>
      </c>
      <c r="H1029" s="8" t="s">
        <v>25</v>
      </c>
      <c r="I1029" s="11">
        <v>43112</v>
      </c>
      <c r="J1029" s="8" t="s">
        <v>25</v>
      </c>
      <c r="N1029" s="8" t="s">
        <v>58</v>
      </c>
      <c r="O1029" s="8" t="s">
        <v>59</v>
      </c>
      <c r="P1029" s="8" t="s">
        <v>59</v>
      </c>
      <c r="R1029" s="8">
        <v>0</v>
      </c>
      <c r="S1029" s="8">
        <v>0</v>
      </c>
      <c r="T1029" s="8">
        <v>1</v>
      </c>
      <c r="U1029" s="8">
        <v>2</v>
      </c>
      <c r="X1029" s="8">
        <v>5</v>
      </c>
      <c r="AG1029" s="8" t="str">
        <f t="shared" si="65"/>
        <v/>
      </c>
      <c r="AI1029" s="8" t="str">
        <f t="shared" si="66"/>
        <v/>
      </c>
      <c r="AJ1029" s="8" t="str">
        <f t="shared" si="67"/>
        <v/>
      </c>
      <c r="AL1029" s="8" t="str">
        <f t="shared" si="68"/>
        <v/>
      </c>
    </row>
    <row r="1030" spans="1:38" x14ac:dyDescent="0.25">
      <c r="A1030" s="8" t="s">
        <v>5093</v>
      </c>
      <c r="B1030" s="8" t="s">
        <v>337</v>
      </c>
      <c r="C1030" s="8">
        <v>30916371</v>
      </c>
      <c r="D1030" s="8">
        <v>5</v>
      </c>
      <c r="E1030" s="11">
        <v>43112</v>
      </c>
      <c r="F1030" s="8" t="s">
        <v>58</v>
      </c>
      <c r="G1030" s="11">
        <v>43112</v>
      </c>
      <c r="H1030" s="8" t="s">
        <v>25</v>
      </c>
      <c r="I1030" s="11">
        <v>43113</v>
      </c>
      <c r="J1030" s="8" t="s">
        <v>25</v>
      </c>
      <c r="N1030" s="8" t="s">
        <v>58</v>
      </c>
      <c r="O1030" s="8" t="s">
        <v>59</v>
      </c>
      <c r="P1030" s="8" t="s">
        <v>59</v>
      </c>
      <c r="R1030" s="8">
        <v>0</v>
      </c>
      <c r="S1030" s="8">
        <v>0</v>
      </c>
      <c r="T1030" s="8">
        <v>1</v>
      </c>
      <c r="U1030" s="8">
        <v>2</v>
      </c>
      <c r="X1030" s="8">
        <v>5</v>
      </c>
      <c r="AG1030" s="8" t="str">
        <f t="shared" si="65"/>
        <v/>
      </c>
      <c r="AI1030" s="8" t="str">
        <f t="shared" si="66"/>
        <v/>
      </c>
      <c r="AJ1030" s="8" t="str">
        <f t="shared" si="67"/>
        <v/>
      </c>
      <c r="AL1030" s="8" t="str">
        <f t="shared" si="68"/>
        <v/>
      </c>
    </row>
    <row r="1031" spans="1:38" x14ac:dyDescent="0.25">
      <c r="A1031" s="8" t="s">
        <v>2008</v>
      </c>
      <c r="B1031" s="8" t="s">
        <v>2009</v>
      </c>
      <c r="C1031" s="8">
        <v>30861955</v>
      </c>
      <c r="D1031" s="8">
        <v>5</v>
      </c>
      <c r="E1031" s="11">
        <v>43110</v>
      </c>
      <c r="F1031" s="8" t="s">
        <v>57</v>
      </c>
      <c r="G1031" s="11">
        <v>43110</v>
      </c>
      <c r="H1031" s="8" t="s">
        <v>25</v>
      </c>
      <c r="J1031" s="8" t="s">
        <v>25</v>
      </c>
      <c r="N1031" s="8" t="s">
        <v>58</v>
      </c>
      <c r="O1031" s="8" t="s">
        <v>59</v>
      </c>
      <c r="P1031" s="8" t="s">
        <v>59</v>
      </c>
      <c r="R1031" s="8">
        <v>0</v>
      </c>
      <c r="S1031" s="8">
        <v>0</v>
      </c>
      <c r="T1031" s="8">
        <v>1</v>
      </c>
      <c r="U1031" s="8">
        <v>2</v>
      </c>
      <c r="AG1031" s="8" t="str">
        <f t="shared" si="65"/>
        <v/>
      </c>
      <c r="AI1031" s="8" t="str">
        <f t="shared" si="66"/>
        <v/>
      </c>
      <c r="AJ1031" s="8" t="str">
        <f t="shared" si="67"/>
        <v/>
      </c>
      <c r="AL1031" s="8" t="str">
        <f t="shared" si="68"/>
        <v/>
      </c>
    </row>
    <row r="1032" spans="1:38" x14ac:dyDescent="0.25">
      <c r="A1032" s="8" t="s">
        <v>1052</v>
      </c>
      <c r="B1032" s="8" t="s">
        <v>1053</v>
      </c>
      <c r="C1032" s="8">
        <v>30819035</v>
      </c>
      <c r="D1032" s="8">
        <v>5</v>
      </c>
      <c r="E1032" s="11">
        <v>43108</v>
      </c>
      <c r="F1032" s="8" t="s">
        <v>57</v>
      </c>
      <c r="G1032" s="11">
        <v>43109</v>
      </c>
      <c r="H1032" s="8" t="s">
        <v>25</v>
      </c>
      <c r="J1032" s="8" t="s">
        <v>25</v>
      </c>
      <c r="N1032" s="8" t="s">
        <v>58</v>
      </c>
      <c r="O1032" s="8" t="s">
        <v>59</v>
      </c>
      <c r="P1032" s="8" t="s">
        <v>59</v>
      </c>
      <c r="R1032" s="8">
        <v>0</v>
      </c>
      <c r="S1032" s="8">
        <v>0</v>
      </c>
      <c r="T1032" s="8">
        <v>1</v>
      </c>
      <c r="U1032" s="8">
        <v>2</v>
      </c>
      <c r="AG1032" s="8" t="str">
        <f t="shared" si="65"/>
        <v/>
      </c>
      <c r="AI1032" s="8" t="str">
        <f t="shared" si="66"/>
        <v/>
      </c>
      <c r="AJ1032" s="8" t="str">
        <f t="shared" si="67"/>
        <v/>
      </c>
      <c r="AL1032" s="8" t="str">
        <f t="shared" si="68"/>
        <v/>
      </c>
    </row>
    <row r="1033" spans="1:38" x14ac:dyDescent="0.25">
      <c r="A1033" s="8" t="s">
        <v>5094</v>
      </c>
      <c r="B1033" s="8" t="s">
        <v>5095</v>
      </c>
      <c r="C1033" s="8">
        <v>30916929</v>
      </c>
      <c r="D1033" s="8">
        <v>5</v>
      </c>
      <c r="E1033" s="11">
        <v>43112</v>
      </c>
      <c r="F1033" s="8" t="s">
        <v>58</v>
      </c>
      <c r="G1033" s="11">
        <v>43112</v>
      </c>
      <c r="H1033" s="8" t="s">
        <v>25</v>
      </c>
      <c r="I1033" s="11">
        <v>43112</v>
      </c>
      <c r="J1033" s="8" t="s">
        <v>25</v>
      </c>
      <c r="N1033" s="8" t="s">
        <v>58</v>
      </c>
      <c r="O1033" s="8" t="s">
        <v>59</v>
      </c>
      <c r="P1033" s="8" t="s">
        <v>59</v>
      </c>
      <c r="R1033" s="8">
        <v>0</v>
      </c>
      <c r="S1033" s="8">
        <v>0</v>
      </c>
      <c r="T1033" s="8">
        <v>1</v>
      </c>
      <c r="U1033" s="8">
        <v>2</v>
      </c>
      <c r="X1033" s="8">
        <v>5</v>
      </c>
      <c r="AG1033" s="8" t="str">
        <f t="shared" si="65"/>
        <v/>
      </c>
      <c r="AI1033" s="8" t="str">
        <f t="shared" si="66"/>
        <v/>
      </c>
      <c r="AJ1033" s="8" t="str">
        <f t="shared" si="67"/>
        <v/>
      </c>
      <c r="AL1033" s="8" t="str">
        <f t="shared" si="68"/>
        <v/>
      </c>
    </row>
    <row r="1034" spans="1:38" x14ac:dyDescent="0.25">
      <c r="A1034" s="8" t="s">
        <v>5096</v>
      </c>
      <c r="B1034" s="8" t="s">
        <v>5097</v>
      </c>
      <c r="C1034" s="8">
        <v>30924529</v>
      </c>
      <c r="D1034" s="8">
        <v>5</v>
      </c>
      <c r="E1034" s="11">
        <v>43112</v>
      </c>
      <c r="F1034" s="8" t="s">
        <v>58</v>
      </c>
      <c r="G1034" s="11">
        <v>43113</v>
      </c>
      <c r="H1034" s="8" t="s">
        <v>25</v>
      </c>
      <c r="I1034" s="11">
        <v>43113</v>
      </c>
      <c r="J1034" s="8" t="s">
        <v>25</v>
      </c>
      <c r="N1034" s="8" t="s">
        <v>58</v>
      </c>
      <c r="O1034" s="8" t="s">
        <v>59</v>
      </c>
      <c r="P1034" s="8" t="s">
        <v>59</v>
      </c>
      <c r="R1034" s="8">
        <v>0</v>
      </c>
      <c r="S1034" s="8">
        <v>0</v>
      </c>
      <c r="T1034" s="8">
        <v>1</v>
      </c>
      <c r="U1034" s="8">
        <v>2</v>
      </c>
      <c r="X1034" s="8">
        <v>5</v>
      </c>
      <c r="AG1034" s="8" t="str">
        <f t="shared" si="65"/>
        <v/>
      </c>
      <c r="AI1034" s="8" t="str">
        <f t="shared" si="66"/>
        <v/>
      </c>
      <c r="AJ1034" s="8" t="str">
        <f t="shared" si="67"/>
        <v/>
      </c>
      <c r="AL1034" s="8" t="str">
        <f t="shared" si="68"/>
        <v/>
      </c>
    </row>
    <row r="1035" spans="1:38" x14ac:dyDescent="0.25">
      <c r="A1035" s="8" t="s">
        <v>2010</v>
      </c>
      <c r="B1035" s="8" t="s">
        <v>2011</v>
      </c>
      <c r="C1035" s="8">
        <v>30857094</v>
      </c>
      <c r="D1035" s="8">
        <v>5</v>
      </c>
      <c r="E1035" s="11">
        <v>43110</v>
      </c>
      <c r="F1035" s="8" t="s">
        <v>58</v>
      </c>
      <c r="G1035" s="11">
        <v>43110</v>
      </c>
      <c r="H1035" s="8" t="s">
        <v>25</v>
      </c>
      <c r="I1035" s="11">
        <v>43110</v>
      </c>
      <c r="J1035" s="8" t="s">
        <v>25</v>
      </c>
      <c r="N1035" s="8" t="s">
        <v>58</v>
      </c>
      <c r="O1035" s="8" t="s">
        <v>59</v>
      </c>
      <c r="P1035" s="8" t="s">
        <v>59</v>
      </c>
      <c r="R1035" s="8">
        <v>0</v>
      </c>
      <c r="S1035" s="8">
        <v>0</v>
      </c>
      <c r="T1035" s="8">
        <v>1</v>
      </c>
      <c r="U1035" s="8">
        <v>2</v>
      </c>
      <c r="X1035" s="8">
        <v>5</v>
      </c>
      <c r="AG1035" s="8" t="str">
        <f t="shared" si="65"/>
        <v/>
      </c>
      <c r="AI1035" s="8" t="str">
        <f t="shared" si="66"/>
        <v/>
      </c>
      <c r="AJ1035" s="8" t="str">
        <f t="shared" si="67"/>
        <v/>
      </c>
      <c r="AL1035" s="8" t="str">
        <f t="shared" si="68"/>
        <v/>
      </c>
    </row>
    <row r="1036" spans="1:38" x14ac:dyDescent="0.25">
      <c r="A1036" s="8" t="s">
        <v>2012</v>
      </c>
      <c r="B1036" s="8" t="s">
        <v>2013</v>
      </c>
      <c r="C1036" s="8">
        <v>30837360</v>
      </c>
      <c r="D1036" s="8">
        <v>5</v>
      </c>
      <c r="E1036" s="11">
        <v>43109</v>
      </c>
      <c r="F1036" s="8" t="s">
        <v>58</v>
      </c>
      <c r="G1036" s="11">
        <v>43110</v>
      </c>
      <c r="H1036" s="8" t="s">
        <v>25</v>
      </c>
      <c r="I1036" s="11">
        <v>43111</v>
      </c>
      <c r="J1036" s="8" t="s">
        <v>25</v>
      </c>
      <c r="N1036" s="8" t="s">
        <v>58</v>
      </c>
      <c r="O1036" s="8" t="s">
        <v>59</v>
      </c>
      <c r="P1036" s="8" t="s">
        <v>59</v>
      </c>
      <c r="R1036" s="8">
        <v>0</v>
      </c>
      <c r="S1036" s="8">
        <v>0</v>
      </c>
      <c r="T1036" s="8">
        <v>1</v>
      </c>
      <c r="U1036" s="8">
        <v>2</v>
      </c>
      <c r="X1036" s="8">
        <v>5</v>
      </c>
      <c r="AG1036" s="8" t="str">
        <f t="shared" si="65"/>
        <v/>
      </c>
      <c r="AI1036" s="8" t="str">
        <f t="shared" si="66"/>
        <v/>
      </c>
      <c r="AJ1036" s="8" t="str">
        <f t="shared" si="67"/>
        <v/>
      </c>
      <c r="AL1036" s="8" t="str">
        <f t="shared" si="68"/>
        <v/>
      </c>
    </row>
    <row r="1037" spans="1:38" x14ac:dyDescent="0.25">
      <c r="A1037" s="8" t="s">
        <v>2014</v>
      </c>
      <c r="B1037" s="8" t="s">
        <v>2015</v>
      </c>
      <c r="C1037" s="8">
        <v>30869606</v>
      </c>
      <c r="D1037" s="8">
        <v>5</v>
      </c>
      <c r="E1037" s="11">
        <v>43110</v>
      </c>
      <c r="F1037" s="8" t="s">
        <v>57</v>
      </c>
      <c r="G1037" s="11">
        <v>43110</v>
      </c>
      <c r="H1037" s="8" t="s">
        <v>25</v>
      </c>
      <c r="J1037" s="8" t="s">
        <v>25</v>
      </c>
      <c r="N1037" s="8" t="s">
        <v>58</v>
      </c>
      <c r="O1037" s="8" t="s">
        <v>59</v>
      </c>
      <c r="P1037" s="8" t="s">
        <v>59</v>
      </c>
      <c r="R1037" s="8">
        <v>0</v>
      </c>
      <c r="S1037" s="8">
        <v>0</v>
      </c>
      <c r="T1037" s="8">
        <v>1</v>
      </c>
      <c r="U1037" s="8">
        <v>2</v>
      </c>
      <c r="AG1037" s="8" t="str">
        <f t="shared" si="65"/>
        <v/>
      </c>
      <c r="AI1037" s="8" t="str">
        <f t="shared" si="66"/>
        <v/>
      </c>
      <c r="AJ1037" s="8" t="str">
        <f t="shared" si="67"/>
        <v/>
      </c>
      <c r="AL1037" s="8" t="str">
        <f t="shared" si="68"/>
        <v/>
      </c>
    </row>
    <row r="1038" spans="1:38" x14ac:dyDescent="0.25">
      <c r="A1038" s="8" t="s">
        <v>5098</v>
      </c>
      <c r="B1038" s="8" t="s">
        <v>5099</v>
      </c>
      <c r="C1038" s="8">
        <v>30915874</v>
      </c>
      <c r="D1038" s="8">
        <v>5</v>
      </c>
      <c r="E1038" s="11">
        <v>43112</v>
      </c>
      <c r="F1038" s="8" t="s">
        <v>58</v>
      </c>
      <c r="G1038" s="11">
        <v>43112</v>
      </c>
      <c r="H1038" s="8" t="s">
        <v>25</v>
      </c>
      <c r="I1038" s="11">
        <v>43112</v>
      </c>
      <c r="J1038" s="8" t="s">
        <v>25</v>
      </c>
      <c r="N1038" s="8" t="s">
        <v>58</v>
      </c>
      <c r="O1038" s="8" t="s">
        <v>59</v>
      </c>
      <c r="P1038" s="8" t="s">
        <v>59</v>
      </c>
      <c r="R1038" s="8">
        <v>0</v>
      </c>
      <c r="S1038" s="8">
        <v>0</v>
      </c>
      <c r="T1038" s="8">
        <v>1</v>
      </c>
      <c r="U1038" s="8">
        <v>2</v>
      </c>
      <c r="X1038" s="8">
        <v>5</v>
      </c>
      <c r="AG1038" s="8" t="str">
        <f t="shared" si="65"/>
        <v/>
      </c>
      <c r="AI1038" s="8" t="str">
        <f t="shared" si="66"/>
        <v/>
      </c>
      <c r="AJ1038" s="8" t="str">
        <f t="shared" si="67"/>
        <v/>
      </c>
      <c r="AL1038" s="8" t="str">
        <f t="shared" si="68"/>
        <v/>
      </c>
    </row>
    <row r="1039" spans="1:38" x14ac:dyDescent="0.25">
      <c r="A1039" s="8" t="s">
        <v>5100</v>
      </c>
      <c r="B1039" s="8" t="s">
        <v>5101</v>
      </c>
      <c r="C1039" s="8">
        <v>30893032</v>
      </c>
      <c r="D1039" s="8">
        <v>5</v>
      </c>
      <c r="E1039" s="11">
        <v>43111</v>
      </c>
      <c r="F1039" s="8" t="s">
        <v>57</v>
      </c>
      <c r="G1039" s="11">
        <v>43112</v>
      </c>
      <c r="H1039" s="8" t="s">
        <v>25</v>
      </c>
      <c r="J1039" s="8" t="s">
        <v>25</v>
      </c>
      <c r="N1039" s="8" t="s">
        <v>58</v>
      </c>
      <c r="O1039" s="8" t="s">
        <v>59</v>
      </c>
      <c r="P1039" s="8" t="s">
        <v>59</v>
      </c>
      <c r="R1039" s="8">
        <v>0</v>
      </c>
      <c r="S1039" s="8">
        <v>0</v>
      </c>
      <c r="T1039" s="8">
        <v>1</v>
      </c>
      <c r="U1039" s="8">
        <v>2</v>
      </c>
      <c r="AG1039" s="8" t="str">
        <f t="shared" si="65"/>
        <v/>
      </c>
      <c r="AI1039" s="8" t="str">
        <f t="shared" si="66"/>
        <v/>
      </c>
      <c r="AJ1039" s="8" t="str">
        <f t="shared" si="67"/>
        <v/>
      </c>
      <c r="AL1039" s="8" t="str">
        <f t="shared" si="68"/>
        <v/>
      </c>
    </row>
    <row r="1040" spans="1:38" x14ac:dyDescent="0.25">
      <c r="A1040" s="8" t="s">
        <v>6988</v>
      </c>
      <c r="B1040" s="8" t="s">
        <v>6989</v>
      </c>
      <c r="C1040" s="8">
        <v>30914722</v>
      </c>
      <c r="D1040" s="8">
        <v>5</v>
      </c>
      <c r="E1040" s="11">
        <v>43112</v>
      </c>
      <c r="F1040" s="8" t="s">
        <v>57</v>
      </c>
      <c r="G1040" s="11">
        <v>43115</v>
      </c>
      <c r="H1040" s="8" t="s">
        <v>25</v>
      </c>
      <c r="J1040" s="8" t="s">
        <v>25</v>
      </c>
      <c r="N1040" s="8" t="s">
        <v>58</v>
      </c>
      <c r="O1040" s="8" t="s">
        <v>59</v>
      </c>
      <c r="P1040" s="8" t="s">
        <v>59</v>
      </c>
      <c r="R1040" s="8">
        <v>0</v>
      </c>
      <c r="S1040" s="8">
        <v>0</v>
      </c>
      <c r="T1040" s="8">
        <v>1</v>
      </c>
      <c r="U1040" s="8">
        <v>2</v>
      </c>
      <c r="AG1040" s="8" t="str">
        <f t="shared" si="65"/>
        <v/>
      </c>
      <c r="AI1040" s="8" t="str">
        <f t="shared" si="66"/>
        <v/>
      </c>
      <c r="AJ1040" s="8" t="str">
        <f t="shared" si="67"/>
        <v/>
      </c>
      <c r="AL1040" s="8" t="str">
        <f t="shared" si="68"/>
        <v/>
      </c>
    </row>
    <row r="1041" spans="1:38" x14ac:dyDescent="0.25">
      <c r="A1041" s="8" t="s">
        <v>3602</v>
      </c>
      <c r="B1041" s="8" t="s">
        <v>3603</v>
      </c>
      <c r="C1041" s="8">
        <v>30895776</v>
      </c>
      <c r="D1041" s="8">
        <v>5</v>
      </c>
      <c r="E1041" s="11">
        <v>43111</v>
      </c>
      <c r="F1041" s="8" t="s">
        <v>58</v>
      </c>
      <c r="G1041" s="11">
        <v>43111</v>
      </c>
      <c r="H1041" s="8" t="s">
        <v>25</v>
      </c>
      <c r="I1041" s="11">
        <v>43111</v>
      </c>
      <c r="J1041" s="8" t="s">
        <v>25</v>
      </c>
      <c r="N1041" s="8" t="s">
        <v>58</v>
      </c>
      <c r="O1041" s="8" t="s">
        <v>59</v>
      </c>
      <c r="P1041" s="8" t="s">
        <v>59</v>
      </c>
      <c r="R1041" s="8">
        <v>0</v>
      </c>
      <c r="S1041" s="8">
        <v>0</v>
      </c>
      <c r="T1041" s="8">
        <v>1</v>
      </c>
      <c r="U1041" s="8">
        <v>2</v>
      </c>
      <c r="X1041" s="8">
        <v>5</v>
      </c>
      <c r="AG1041" s="8" t="str">
        <f t="shared" si="65"/>
        <v/>
      </c>
      <c r="AI1041" s="8" t="str">
        <f t="shared" si="66"/>
        <v/>
      </c>
      <c r="AJ1041" s="8" t="str">
        <f t="shared" si="67"/>
        <v/>
      </c>
      <c r="AL1041" s="8" t="str">
        <f t="shared" si="68"/>
        <v/>
      </c>
    </row>
    <row r="1042" spans="1:38" x14ac:dyDescent="0.25">
      <c r="A1042" s="8" t="s">
        <v>2016</v>
      </c>
      <c r="B1042" s="8" t="s">
        <v>2017</v>
      </c>
      <c r="C1042" s="8">
        <v>30846683</v>
      </c>
      <c r="D1042" s="8">
        <v>5</v>
      </c>
      <c r="E1042" s="11">
        <v>43109</v>
      </c>
      <c r="F1042" s="8" t="s">
        <v>57</v>
      </c>
      <c r="G1042" s="11">
        <v>43110</v>
      </c>
      <c r="H1042" s="8" t="s">
        <v>25</v>
      </c>
      <c r="J1042" s="8" t="s">
        <v>25</v>
      </c>
      <c r="N1042" s="8" t="s">
        <v>58</v>
      </c>
      <c r="O1042" s="8" t="s">
        <v>59</v>
      </c>
      <c r="P1042" s="8" t="s">
        <v>59</v>
      </c>
      <c r="R1042" s="8">
        <v>0</v>
      </c>
      <c r="S1042" s="8">
        <v>0</v>
      </c>
      <c r="T1042" s="8">
        <v>1</v>
      </c>
      <c r="U1042" s="8">
        <v>2</v>
      </c>
      <c r="AG1042" s="8" t="str">
        <f t="shared" si="65"/>
        <v/>
      </c>
      <c r="AI1042" s="8" t="str">
        <f t="shared" si="66"/>
        <v/>
      </c>
      <c r="AJ1042" s="8" t="str">
        <f t="shared" si="67"/>
        <v/>
      </c>
      <c r="AL1042" s="8" t="str">
        <f t="shared" si="68"/>
        <v/>
      </c>
    </row>
    <row r="1043" spans="1:38" x14ac:dyDescent="0.25">
      <c r="A1043" s="8" t="s">
        <v>2018</v>
      </c>
      <c r="B1043" s="8" t="s">
        <v>2019</v>
      </c>
      <c r="C1043" s="8">
        <v>30827962</v>
      </c>
      <c r="D1043" s="8">
        <v>5</v>
      </c>
      <c r="E1043" s="11">
        <v>43108</v>
      </c>
      <c r="F1043" s="8" t="s">
        <v>58</v>
      </c>
      <c r="G1043" s="11">
        <v>43110</v>
      </c>
      <c r="H1043" s="8" t="s">
        <v>25</v>
      </c>
      <c r="I1043" s="11">
        <v>43115</v>
      </c>
      <c r="J1043" s="8" t="s">
        <v>145</v>
      </c>
      <c r="N1043" s="8" t="s">
        <v>58</v>
      </c>
      <c r="O1043" s="8" t="s">
        <v>59</v>
      </c>
      <c r="P1043" s="8" t="s">
        <v>59</v>
      </c>
      <c r="R1043" s="8">
        <v>0</v>
      </c>
      <c r="S1043" s="8">
        <v>0</v>
      </c>
      <c r="T1043" s="8">
        <v>1</v>
      </c>
      <c r="U1043" s="8">
        <v>2</v>
      </c>
      <c r="X1043" s="8">
        <v>5</v>
      </c>
      <c r="AG1043" s="8" t="str">
        <f t="shared" si="65"/>
        <v/>
      </c>
      <c r="AI1043" s="8" t="str">
        <f t="shared" si="66"/>
        <v/>
      </c>
      <c r="AJ1043" s="8" t="str">
        <f t="shared" si="67"/>
        <v/>
      </c>
      <c r="AL1043" s="8" t="str">
        <f t="shared" si="68"/>
        <v/>
      </c>
    </row>
    <row r="1044" spans="1:38" x14ac:dyDescent="0.25">
      <c r="A1044" s="8" t="s">
        <v>5102</v>
      </c>
      <c r="B1044" s="8" t="s">
        <v>5103</v>
      </c>
      <c r="C1044" s="8">
        <v>30924099</v>
      </c>
      <c r="D1044" s="8">
        <v>5</v>
      </c>
      <c r="E1044" s="11">
        <v>43112</v>
      </c>
      <c r="F1044" s="8" t="s">
        <v>57</v>
      </c>
      <c r="G1044" s="11">
        <v>43112</v>
      </c>
      <c r="H1044" s="8" t="s">
        <v>25</v>
      </c>
      <c r="J1044" s="8" t="s">
        <v>25</v>
      </c>
      <c r="N1044" s="8" t="s">
        <v>58</v>
      </c>
      <c r="O1044" s="8" t="s">
        <v>59</v>
      </c>
      <c r="P1044" s="8" t="s">
        <v>59</v>
      </c>
      <c r="R1044" s="8">
        <v>0</v>
      </c>
      <c r="S1044" s="8">
        <v>0</v>
      </c>
      <c r="T1044" s="8">
        <v>1</v>
      </c>
      <c r="U1044" s="8">
        <v>2</v>
      </c>
      <c r="AG1044" s="8" t="str">
        <f t="shared" si="65"/>
        <v/>
      </c>
      <c r="AI1044" s="8" t="str">
        <f t="shared" si="66"/>
        <v/>
      </c>
      <c r="AJ1044" s="8" t="str">
        <f t="shared" si="67"/>
        <v/>
      </c>
      <c r="AL1044" s="8" t="str">
        <f t="shared" si="68"/>
        <v/>
      </c>
    </row>
    <row r="1045" spans="1:38" x14ac:dyDescent="0.25">
      <c r="A1045" s="8" t="s">
        <v>3604</v>
      </c>
      <c r="B1045" s="8" t="s">
        <v>3605</v>
      </c>
      <c r="C1045" s="8">
        <v>30858019</v>
      </c>
      <c r="D1045" s="8">
        <v>5</v>
      </c>
      <c r="E1045" s="11">
        <v>43110</v>
      </c>
      <c r="F1045" s="8" t="s">
        <v>58</v>
      </c>
      <c r="G1045" s="11">
        <v>43111</v>
      </c>
      <c r="H1045" s="8" t="s">
        <v>25</v>
      </c>
      <c r="I1045" s="11">
        <v>43112</v>
      </c>
      <c r="J1045" s="8" t="s">
        <v>25</v>
      </c>
      <c r="N1045" s="8" t="s">
        <v>58</v>
      </c>
      <c r="O1045" s="8" t="s">
        <v>59</v>
      </c>
      <c r="P1045" s="8" t="s">
        <v>59</v>
      </c>
      <c r="R1045" s="8">
        <v>0</v>
      </c>
      <c r="S1045" s="8">
        <v>0</v>
      </c>
      <c r="T1045" s="8">
        <v>1</v>
      </c>
      <c r="U1045" s="8">
        <v>2</v>
      </c>
      <c r="X1045" s="8">
        <v>5</v>
      </c>
      <c r="AG1045" s="8" t="str">
        <f t="shared" si="65"/>
        <v/>
      </c>
      <c r="AI1045" s="8" t="str">
        <f t="shared" si="66"/>
        <v/>
      </c>
      <c r="AJ1045" s="8" t="str">
        <f t="shared" si="67"/>
        <v/>
      </c>
      <c r="AL1045" s="8" t="str">
        <f t="shared" si="68"/>
        <v/>
      </c>
    </row>
    <row r="1046" spans="1:38" x14ac:dyDescent="0.25">
      <c r="A1046" s="8" t="s">
        <v>2020</v>
      </c>
      <c r="B1046" s="8" t="s">
        <v>2021</v>
      </c>
      <c r="C1046" s="8">
        <v>30846141</v>
      </c>
      <c r="D1046" s="8">
        <v>5</v>
      </c>
      <c r="E1046" s="11">
        <v>43109</v>
      </c>
      <c r="F1046" s="8" t="s">
        <v>57</v>
      </c>
      <c r="G1046" s="11">
        <v>43110</v>
      </c>
      <c r="H1046" s="8" t="s">
        <v>25</v>
      </c>
      <c r="J1046" s="8" t="s">
        <v>25</v>
      </c>
      <c r="N1046" s="8" t="s">
        <v>58</v>
      </c>
      <c r="O1046" s="8" t="s">
        <v>59</v>
      </c>
      <c r="P1046" s="8" t="s">
        <v>59</v>
      </c>
      <c r="R1046" s="8">
        <v>0</v>
      </c>
      <c r="S1046" s="8">
        <v>0</v>
      </c>
      <c r="T1046" s="8">
        <v>1</v>
      </c>
      <c r="U1046" s="8">
        <v>2</v>
      </c>
      <c r="AG1046" s="8" t="str">
        <f t="shared" si="65"/>
        <v/>
      </c>
      <c r="AI1046" s="8" t="str">
        <f t="shared" si="66"/>
        <v/>
      </c>
      <c r="AJ1046" s="8" t="str">
        <f t="shared" si="67"/>
        <v/>
      </c>
      <c r="AL1046" s="8" t="str">
        <f t="shared" si="68"/>
        <v/>
      </c>
    </row>
    <row r="1047" spans="1:38" x14ac:dyDescent="0.25">
      <c r="A1047" s="8" t="s">
        <v>2022</v>
      </c>
      <c r="B1047" s="8" t="s">
        <v>2023</v>
      </c>
      <c r="C1047" s="8">
        <v>30841469</v>
      </c>
      <c r="D1047" s="8">
        <v>5</v>
      </c>
      <c r="E1047" s="11">
        <v>43109</v>
      </c>
      <c r="F1047" s="8" t="s">
        <v>58</v>
      </c>
      <c r="G1047" s="11">
        <v>43110</v>
      </c>
      <c r="H1047" s="8" t="s">
        <v>25</v>
      </c>
      <c r="I1047" s="11">
        <v>43115</v>
      </c>
      <c r="J1047" s="8" t="s">
        <v>145</v>
      </c>
      <c r="N1047" s="8" t="s">
        <v>58</v>
      </c>
      <c r="O1047" s="8" t="s">
        <v>59</v>
      </c>
      <c r="P1047" s="8" t="s">
        <v>59</v>
      </c>
      <c r="R1047" s="8">
        <v>0</v>
      </c>
      <c r="S1047" s="8">
        <v>0</v>
      </c>
      <c r="T1047" s="8">
        <v>1</v>
      </c>
      <c r="U1047" s="8">
        <v>2</v>
      </c>
      <c r="X1047" s="8">
        <v>5</v>
      </c>
      <c r="AG1047" s="8" t="str">
        <f t="shared" si="65"/>
        <v/>
      </c>
      <c r="AI1047" s="8" t="str">
        <f t="shared" si="66"/>
        <v/>
      </c>
      <c r="AJ1047" s="8" t="str">
        <f t="shared" si="67"/>
        <v/>
      </c>
      <c r="AL1047" s="8" t="str">
        <f t="shared" si="68"/>
        <v/>
      </c>
    </row>
    <row r="1048" spans="1:38" x14ac:dyDescent="0.25">
      <c r="A1048" s="8" t="s">
        <v>1054</v>
      </c>
      <c r="B1048" s="8" t="s">
        <v>1055</v>
      </c>
      <c r="C1048" s="8">
        <v>30843327</v>
      </c>
      <c r="D1048" s="8">
        <v>5</v>
      </c>
      <c r="E1048" s="11">
        <v>43109</v>
      </c>
      <c r="F1048" s="8" t="s">
        <v>57</v>
      </c>
      <c r="G1048" s="11">
        <v>43109</v>
      </c>
      <c r="H1048" s="8" t="s">
        <v>25</v>
      </c>
      <c r="J1048" s="8" t="s">
        <v>25</v>
      </c>
      <c r="N1048" s="8" t="s">
        <v>58</v>
      </c>
      <c r="O1048" s="8" t="s">
        <v>59</v>
      </c>
      <c r="P1048" s="8" t="s">
        <v>59</v>
      </c>
      <c r="R1048" s="8">
        <v>0</v>
      </c>
      <c r="S1048" s="8">
        <v>0</v>
      </c>
      <c r="T1048" s="8">
        <v>1</v>
      </c>
      <c r="U1048" s="8">
        <v>2</v>
      </c>
      <c r="AG1048" s="8" t="str">
        <f t="shared" si="65"/>
        <v/>
      </c>
      <c r="AI1048" s="8" t="str">
        <f t="shared" si="66"/>
        <v/>
      </c>
      <c r="AJ1048" s="8" t="str">
        <f t="shared" si="67"/>
        <v/>
      </c>
      <c r="AL1048" s="8" t="str">
        <f t="shared" si="68"/>
        <v/>
      </c>
    </row>
    <row r="1049" spans="1:38" x14ac:dyDescent="0.25">
      <c r="A1049" s="8" t="s">
        <v>6990</v>
      </c>
      <c r="B1049" s="8" t="s">
        <v>6991</v>
      </c>
      <c r="C1049" s="8">
        <v>30930538</v>
      </c>
      <c r="D1049" s="8">
        <v>5</v>
      </c>
      <c r="E1049" s="11">
        <v>43115</v>
      </c>
      <c r="F1049" s="8" t="s">
        <v>57</v>
      </c>
      <c r="G1049" s="11">
        <v>43115</v>
      </c>
      <c r="H1049" s="8" t="s">
        <v>25</v>
      </c>
      <c r="J1049" s="8" t="s">
        <v>25</v>
      </c>
      <c r="N1049" s="8" t="s">
        <v>58</v>
      </c>
      <c r="O1049" s="8" t="s">
        <v>59</v>
      </c>
      <c r="P1049" s="8" t="s">
        <v>59</v>
      </c>
      <c r="R1049" s="8">
        <v>0</v>
      </c>
      <c r="S1049" s="8">
        <v>0</v>
      </c>
      <c r="T1049" s="8">
        <v>1</v>
      </c>
      <c r="U1049" s="8">
        <v>2</v>
      </c>
      <c r="AG1049" s="8" t="str">
        <f t="shared" si="65"/>
        <v/>
      </c>
      <c r="AI1049" s="8" t="str">
        <f t="shared" si="66"/>
        <v/>
      </c>
      <c r="AJ1049" s="8" t="str">
        <f t="shared" si="67"/>
        <v/>
      </c>
      <c r="AL1049" s="8" t="str">
        <f t="shared" si="68"/>
        <v/>
      </c>
    </row>
    <row r="1050" spans="1:38" x14ac:dyDescent="0.25">
      <c r="A1050" s="8" t="s">
        <v>2024</v>
      </c>
      <c r="B1050" s="8" t="s">
        <v>2025</v>
      </c>
      <c r="C1050" s="8">
        <v>30872085</v>
      </c>
      <c r="D1050" s="8">
        <v>5</v>
      </c>
      <c r="E1050" s="11">
        <v>43110</v>
      </c>
      <c r="F1050" s="8" t="s">
        <v>57</v>
      </c>
      <c r="G1050" s="11">
        <v>43110</v>
      </c>
      <c r="H1050" s="8" t="s">
        <v>25</v>
      </c>
      <c r="J1050" s="8" t="s">
        <v>25</v>
      </c>
      <c r="N1050" s="8" t="s">
        <v>58</v>
      </c>
      <c r="O1050" s="8" t="s">
        <v>59</v>
      </c>
      <c r="P1050" s="8" t="s">
        <v>59</v>
      </c>
      <c r="R1050" s="8">
        <v>0</v>
      </c>
      <c r="S1050" s="8">
        <v>0</v>
      </c>
      <c r="T1050" s="8">
        <v>1</v>
      </c>
      <c r="U1050" s="8">
        <v>2</v>
      </c>
      <c r="AG1050" s="8" t="str">
        <f t="shared" si="65"/>
        <v/>
      </c>
      <c r="AI1050" s="8" t="str">
        <f t="shared" si="66"/>
        <v/>
      </c>
      <c r="AJ1050" s="8" t="str">
        <f t="shared" si="67"/>
        <v/>
      </c>
      <c r="AL1050" s="8" t="str">
        <f t="shared" si="68"/>
        <v/>
      </c>
    </row>
    <row r="1051" spans="1:38" x14ac:dyDescent="0.25">
      <c r="A1051" s="8" t="s">
        <v>338</v>
      </c>
      <c r="B1051" s="8" t="s">
        <v>339</v>
      </c>
      <c r="C1051" s="8">
        <v>30824270</v>
      </c>
      <c r="D1051" s="8">
        <v>5</v>
      </c>
      <c r="E1051" s="11">
        <v>43108</v>
      </c>
      <c r="F1051" s="8" t="s">
        <v>57</v>
      </c>
      <c r="G1051" s="11">
        <v>43108</v>
      </c>
      <c r="H1051" s="8" t="s">
        <v>25</v>
      </c>
      <c r="J1051" s="8" t="s">
        <v>25</v>
      </c>
      <c r="N1051" s="8" t="s">
        <v>58</v>
      </c>
      <c r="O1051" s="8" t="s">
        <v>59</v>
      </c>
      <c r="P1051" s="8" t="s">
        <v>59</v>
      </c>
      <c r="R1051" s="8">
        <v>0</v>
      </c>
      <c r="S1051" s="8">
        <v>0</v>
      </c>
      <c r="T1051" s="8">
        <v>1</v>
      </c>
      <c r="U1051" s="8">
        <v>2</v>
      </c>
      <c r="AG1051" s="8" t="str">
        <f t="shared" si="65"/>
        <v/>
      </c>
      <c r="AI1051" s="8" t="str">
        <f t="shared" si="66"/>
        <v/>
      </c>
      <c r="AJ1051" s="8" t="str">
        <f t="shared" si="67"/>
        <v/>
      </c>
      <c r="AL1051" s="8" t="str">
        <f t="shared" si="68"/>
        <v/>
      </c>
    </row>
    <row r="1052" spans="1:38" x14ac:dyDescent="0.25">
      <c r="A1052" s="8" t="s">
        <v>6992</v>
      </c>
      <c r="B1052" s="8" t="s">
        <v>6993</v>
      </c>
      <c r="C1052" s="8">
        <v>30943024</v>
      </c>
      <c r="D1052" s="8">
        <v>5</v>
      </c>
      <c r="E1052" s="11">
        <v>43115</v>
      </c>
      <c r="F1052" s="8" t="s">
        <v>58</v>
      </c>
      <c r="G1052" s="11">
        <v>43115</v>
      </c>
      <c r="H1052" s="8" t="s">
        <v>25</v>
      </c>
      <c r="I1052" s="11">
        <v>43115</v>
      </c>
      <c r="J1052" s="8" t="s">
        <v>25</v>
      </c>
      <c r="N1052" s="8" t="s">
        <v>58</v>
      </c>
      <c r="O1052" s="8" t="s">
        <v>59</v>
      </c>
      <c r="P1052" s="8" t="s">
        <v>59</v>
      </c>
      <c r="R1052" s="8">
        <v>0</v>
      </c>
      <c r="S1052" s="8">
        <v>0</v>
      </c>
      <c r="T1052" s="8">
        <v>1</v>
      </c>
      <c r="U1052" s="8">
        <v>2</v>
      </c>
      <c r="X1052" s="8">
        <v>5</v>
      </c>
      <c r="AG1052" s="8" t="str">
        <f t="shared" si="65"/>
        <v/>
      </c>
      <c r="AI1052" s="8" t="str">
        <f t="shared" si="66"/>
        <v/>
      </c>
      <c r="AJ1052" s="8" t="str">
        <f t="shared" si="67"/>
        <v/>
      </c>
      <c r="AL1052" s="8" t="str">
        <f t="shared" si="68"/>
        <v/>
      </c>
    </row>
    <row r="1053" spans="1:38" x14ac:dyDescent="0.25">
      <c r="A1053" s="8" t="s">
        <v>2026</v>
      </c>
      <c r="B1053" s="8" t="s">
        <v>2027</v>
      </c>
      <c r="C1053" s="8">
        <v>30820423</v>
      </c>
      <c r="D1053" s="8">
        <v>5</v>
      </c>
      <c r="E1053" s="11">
        <v>43108</v>
      </c>
      <c r="F1053" s="8" t="s">
        <v>58</v>
      </c>
      <c r="G1053" s="11">
        <v>43110</v>
      </c>
      <c r="H1053" s="8" t="s">
        <v>25</v>
      </c>
      <c r="I1053" s="11">
        <v>43112</v>
      </c>
      <c r="J1053" s="8" t="s">
        <v>25</v>
      </c>
      <c r="N1053" s="8" t="s">
        <v>58</v>
      </c>
      <c r="O1053" s="8" t="s">
        <v>59</v>
      </c>
      <c r="P1053" s="8" t="s">
        <v>59</v>
      </c>
      <c r="R1053" s="8">
        <v>0</v>
      </c>
      <c r="S1053" s="8">
        <v>0</v>
      </c>
      <c r="T1053" s="8">
        <v>1</v>
      </c>
      <c r="U1053" s="8">
        <v>2</v>
      </c>
      <c r="X1053" s="8">
        <v>5</v>
      </c>
      <c r="AG1053" s="8" t="str">
        <f t="shared" si="65"/>
        <v/>
      </c>
      <c r="AI1053" s="8" t="str">
        <f t="shared" si="66"/>
        <v/>
      </c>
      <c r="AJ1053" s="8" t="str">
        <f t="shared" si="67"/>
        <v/>
      </c>
      <c r="AL1053" s="8" t="str">
        <f t="shared" si="68"/>
        <v/>
      </c>
    </row>
    <row r="1054" spans="1:38" x14ac:dyDescent="0.25">
      <c r="A1054" s="8" t="s">
        <v>5104</v>
      </c>
      <c r="B1054" s="8" t="s">
        <v>5105</v>
      </c>
      <c r="C1054" s="8">
        <v>30912830</v>
      </c>
      <c r="D1054" s="8">
        <v>5</v>
      </c>
      <c r="E1054" s="11">
        <v>43112</v>
      </c>
      <c r="F1054" s="8" t="s">
        <v>57</v>
      </c>
      <c r="G1054" s="11">
        <v>43112</v>
      </c>
      <c r="H1054" s="8" t="s">
        <v>25</v>
      </c>
      <c r="J1054" s="8" t="s">
        <v>25</v>
      </c>
      <c r="N1054" s="8" t="s">
        <v>58</v>
      </c>
      <c r="O1054" s="8" t="s">
        <v>59</v>
      </c>
      <c r="P1054" s="8" t="s">
        <v>59</v>
      </c>
      <c r="R1054" s="8">
        <v>0</v>
      </c>
      <c r="S1054" s="8">
        <v>0</v>
      </c>
      <c r="T1054" s="8">
        <v>1</v>
      </c>
      <c r="U1054" s="8">
        <v>2</v>
      </c>
      <c r="AG1054" s="8" t="str">
        <f t="shared" si="65"/>
        <v/>
      </c>
      <c r="AI1054" s="8" t="str">
        <f t="shared" si="66"/>
        <v/>
      </c>
      <c r="AJ1054" s="8" t="str">
        <f t="shared" si="67"/>
        <v/>
      </c>
      <c r="AL1054" s="8" t="str">
        <f t="shared" si="68"/>
        <v/>
      </c>
    </row>
    <row r="1055" spans="1:38" x14ac:dyDescent="0.25">
      <c r="A1055" s="8" t="s">
        <v>5106</v>
      </c>
      <c r="B1055" s="8" t="s">
        <v>5107</v>
      </c>
      <c r="C1055" s="8">
        <v>30883534</v>
      </c>
      <c r="D1055" s="8">
        <v>5</v>
      </c>
      <c r="E1055" s="11">
        <v>43111</v>
      </c>
      <c r="F1055" s="8" t="s">
        <v>57</v>
      </c>
      <c r="G1055" s="11">
        <v>43112</v>
      </c>
      <c r="H1055" s="8" t="s">
        <v>25</v>
      </c>
      <c r="J1055" s="8" t="s">
        <v>25</v>
      </c>
      <c r="N1055" s="8" t="s">
        <v>58</v>
      </c>
      <c r="O1055" s="8" t="s">
        <v>59</v>
      </c>
      <c r="P1055" s="8" t="s">
        <v>59</v>
      </c>
      <c r="R1055" s="8">
        <v>0</v>
      </c>
      <c r="S1055" s="8">
        <v>0</v>
      </c>
      <c r="T1055" s="8">
        <v>1</v>
      </c>
      <c r="U1055" s="8">
        <v>2</v>
      </c>
      <c r="AG1055" s="8" t="str">
        <f t="shared" si="65"/>
        <v/>
      </c>
      <c r="AI1055" s="8" t="str">
        <f t="shared" si="66"/>
        <v/>
      </c>
      <c r="AJ1055" s="8" t="str">
        <f t="shared" si="67"/>
        <v/>
      </c>
      <c r="AL1055" s="8" t="str">
        <f t="shared" si="68"/>
        <v/>
      </c>
    </row>
    <row r="1056" spans="1:38" x14ac:dyDescent="0.25">
      <c r="A1056" s="8" t="s">
        <v>5108</v>
      </c>
      <c r="B1056" s="8" t="s">
        <v>5109</v>
      </c>
      <c r="C1056" s="8">
        <v>30920885</v>
      </c>
      <c r="D1056" s="8">
        <v>5</v>
      </c>
      <c r="E1056" s="11">
        <v>43112</v>
      </c>
      <c r="F1056" s="8" t="s">
        <v>58</v>
      </c>
      <c r="G1056" s="11">
        <v>43112</v>
      </c>
      <c r="H1056" s="8" t="s">
        <v>25</v>
      </c>
      <c r="I1056" s="11">
        <v>43115</v>
      </c>
      <c r="J1056" s="8" t="s">
        <v>25</v>
      </c>
      <c r="N1056" s="8" t="s">
        <v>58</v>
      </c>
      <c r="O1056" s="8" t="s">
        <v>59</v>
      </c>
      <c r="P1056" s="8" t="s">
        <v>59</v>
      </c>
      <c r="R1056" s="8">
        <v>0</v>
      </c>
      <c r="S1056" s="8">
        <v>0</v>
      </c>
      <c r="T1056" s="8">
        <v>1</v>
      </c>
      <c r="U1056" s="8">
        <v>2</v>
      </c>
      <c r="X1056" s="8">
        <v>5</v>
      </c>
      <c r="AG1056" s="8" t="str">
        <f t="shared" si="65"/>
        <v/>
      </c>
      <c r="AI1056" s="8" t="str">
        <f t="shared" si="66"/>
        <v/>
      </c>
      <c r="AJ1056" s="8" t="str">
        <f t="shared" si="67"/>
        <v/>
      </c>
      <c r="AL1056" s="8" t="str">
        <f t="shared" si="68"/>
        <v/>
      </c>
    </row>
    <row r="1057" spans="1:38" x14ac:dyDescent="0.25">
      <c r="A1057" s="8" t="s">
        <v>2028</v>
      </c>
      <c r="B1057" s="8" t="s">
        <v>100</v>
      </c>
      <c r="C1057" s="8">
        <v>30860240</v>
      </c>
      <c r="D1057" s="8">
        <v>5</v>
      </c>
      <c r="E1057" s="11">
        <v>43110</v>
      </c>
      <c r="F1057" s="8" t="s">
        <v>57</v>
      </c>
      <c r="G1057" s="11">
        <v>43110</v>
      </c>
      <c r="H1057" s="8" t="s">
        <v>25</v>
      </c>
      <c r="J1057" s="8" t="s">
        <v>25</v>
      </c>
      <c r="N1057" s="8" t="s">
        <v>58</v>
      </c>
      <c r="O1057" s="8" t="s">
        <v>59</v>
      </c>
      <c r="P1057" s="8" t="s">
        <v>59</v>
      </c>
      <c r="R1057" s="8">
        <v>0</v>
      </c>
      <c r="S1057" s="8">
        <v>0</v>
      </c>
      <c r="T1057" s="8">
        <v>1</v>
      </c>
      <c r="U1057" s="8">
        <v>2</v>
      </c>
      <c r="AG1057" s="8" t="str">
        <f t="shared" si="65"/>
        <v/>
      </c>
      <c r="AI1057" s="8" t="str">
        <f t="shared" si="66"/>
        <v/>
      </c>
      <c r="AJ1057" s="8" t="str">
        <f t="shared" si="67"/>
        <v/>
      </c>
      <c r="AL1057" s="8" t="str">
        <f t="shared" si="68"/>
        <v/>
      </c>
    </row>
    <row r="1058" spans="1:38" x14ac:dyDescent="0.25">
      <c r="A1058" s="8" t="s">
        <v>1056</v>
      </c>
      <c r="B1058" s="8" t="s">
        <v>1057</v>
      </c>
      <c r="C1058" s="8">
        <v>30836170</v>
      </c>
      <c r="D1058" s="8">
        <v>5</v>
      </c>
      <c r="E1058" s="11">
        <v>43109</v>
      </c>
      <c r="F1058" s="8" t="s">
        <v>60</v>
      </c>
      <c r="G1058" s="11">
        <v>43109</v>
      </c>
      <c r="H1058" s="8" t="s">
        <v>25</v>
      </c>
      <c r="J1058" s="8" t="s">
        <v>145</v>
      </c>
      <c r="L1058" s="8" t="s">
        <v>6525</v>
      </c>
      <c r="N1058" s="8" t="s">
        <v>58</v>
      </c>
      <c r="O1058" s="8" t="s">
        <v>59</v>
      </c>
      <c r="P1058" s="8" t="s">
        <v>59</v>
      </c>
      <c r="R1058" s="8">
        <v>0</v>
      </c>
      <c r="S1058" s="8">
        <v>0</v>
      </c>
      <c r="T1058" s="8">
        <v>1</v>
      </c>
      <c r="U1058" s="8">
        <v>2</v>
      </c>
      <c r="W1058" s="8">
        <v>4</v>
      </c>
      <c r="AG1058" s="8" t="str">
        <f t="shared" si="65"/>
        <v/>
      </c>
      <c r="AI1058" s="8" t="str">
        <f t="shared" si="66"/>
        <v/>
      </c>
      <c r="AJ1058" s="8" t="str">
        <f t="shared" si="67"/>
        <v/>
      </c>
      <c r="AL1058" s="8" t="str">
        <f t="shared" si="68"/>
        <v/>
      </c>
    </row>
    <row r="1059" spans="1:38" x14ac:dyDescent="0.25">
      <c r="A1059" s="8" t="s">
        <v>5110</v>
      </c>
      <c r="B1059" s="8" t="s">
        <v>5111</v>
      </c>
      <c r="C1059" s="8">
        <v>30904170</v>
      </c>
      <c r="D1059" s="8">
        <v>5</v>
      </c>
      <c r="E1059" s="11">
        <v>43111</v>
      </c>
      <c r="F1059" s="8" t="s">
        <v>58</v>
      </c>
      <c r="G1059" s="11">
        <v>43112</v>
      </c>
      <c r="H1059" s="8" t="s">
        <v>25</v>
      </c>
      <c r="I1059" s="11">
        <v>43112</v>
      </c>
      <c r="J1059" s="8" t="s">
        <v>25</v>
      </c>
      <c r="N1059" s="8" t="s">
        <v>58</v>
      </c>
      <c r="O1059" s="8" t="s">
        <v>59</v>
      </c>
      <c r="P1059" s="8" t="s">
        <v>59</v>
      </c>
      <c r="R1059" s="8">
        <v>0</v>
      </c>
      <c r="S1059" s="8">
        <v>0</v>
      </c>
      <c r="T1059" s="8">
        <v>1</v>
      </c>
      <c r="U1059" s="8">
        <v>2</v>
      </c>
      <c r="X1059" s="8">
        <v>5</v>
      </c>
      <c r="AG1059" s="8" t="str">
        <f t="shared" si="65"/>
        <v/>
      </c>
      <c r="AI1059" s="8" t="str">
        <f t="shared" si="66"/>
        <v/>
      </c>
      <c r="AJ1059" s="8" t="str">
        <f t="shared" si="67"/>
        <v/>
      </c>
      <c r="AL1059" s="8" t="str">
        <f t="shared" si="68"/>
        <v/>
      </c>
    </row>
    <row r="1060" spans="1:38" x14ac:dyDescent="0.25">
      <c r="A1060" s="8" t="s">
        <v>3606</v>
      </c>
      <c r="B1060" s="8" t="s">
        <v>3607</v>
      </c>
      <c r="C1060" s="8">
        <v>30877794</v>
      </c>
      <c r="D1060" s="8">
        <v>5</v>
      </c>
      <c r="E1060" s="11">
        <v>43110</v>
      </c>
      <c r="F1060" s="8" t="s">
        <v>58</v>
      </c>
      <c r="G1060" s="11">
        <v>43111</v>
      </c>
      <c r="H1060" s="8" t="s">
        <v>25</v>
      </c>
      <c r="I1060" s="11">
        <v>43111</v>
      </c>
      <c r="J1060" s="8" t="s">
        <v>25</v>
      </c>
      <c r="N1060" s="8" t="s">
        <v>58</v>
      </c>
      <c r="O1060" s="8" t="s">
        <v>59</v>
      </c>
      <c r="P1060" s="8" t="s">
        <v>59</v>
      </c>
      <c r="R1060" s="8">
        <v>0</v>
      </c>
      <c r="S1060" s="8">
        <v>0</v>
      </c>
      <c r="T1060" s="8">
        <v>1</v>
      </c>
      <c r="U1060" s="8">
        <v>2</v>
      </c>
      <c r="X1060" s="8">
        <v>5</v>
      </c>
      <c r="AG1060" s="8" t="str">
        <f t="shared" si="65"/>
        <v/>
      </c>
      <c r="AI1060" s="8" t="str">
        <f t="shared" si="66"/>
        <v/>
      </c>
      <c r="AJ1060" s="8" t="str">
        <f t="shared" si="67"/>
        <v/>
      </c>
      <c r="AL1060" s="8" t="str">
        <f t="shared" si="68"/>
        <v/>
      </c>
    </row>
    <row r="1061" spans="1:38" x14ac:dyDescent="0.25">
      <c r="A1061" s="8" t="s">
        <v>340</v>
      </c>
      <c r="B1061" s="8" t="s">
        <v>341</v>
      </c>
      <c r="C1061" s="8">
        <v>30821196</v>
      </c>
      <c r="D1061" s="8">
        <v>5</v>
      </c>
      <c r="E1061" s="11">
        <v>43108</v>
      </c>
      <c r="F1061" s="8" t="s">
        <v>58</v>
      </c>
      <c r="G1061" s="11">
        <v>43108</v>
      </c>
      <c r="H1061" s="8" t="s">
        <v>25</v>
      </c>
      <c r="I1061" s="11">
        <v>43108</v>
      </c>
      <c r="J1061" s="8" t="s">
        <v>25</v>
      </c>
      <c r="N1061" s="8" t="s">
        <v>58</v>
      </c>
      <c r="O1061" s="8" t="s">
        <v>59</v>
      </c>
      <c r="P1061" s="8" t="s">
        <v>59</v>
      </c>
      <c r="R1061" s="8">
        <v>0</v>
      </c>
      <c r="S1061" s="8">
        <v>0</v>
      </c>
      <c r="T1061" s="8">
        <v>1</v>
      </c>
      <c r="U1061" s="8">
        <v>2</v>
      </c>
      <c r="X1061" s="8">
        <v>5</v>
      </c>
      <c r="AG1061" s="8" t="str">
        <f t="shared" si="65"/>
        <v/>
      </c>
      <c r="AI1061" s="8" t="str">
        <f t="shared" si="66"/>
        <v/>
      </c>
      <c r="AJ1061" s="8" t="str">
        <f t="shared" si="67"/>
        <v/>
      </c>
      <c r="AL1061" s="8" t="str">
        <f t="shared" si="68"/>
        <v/>
      </c>
    </row>
    <row r="1062" spans="1:38" x14ac:dyDescent="0.25">
      <c r="A1062" s="8" t="s">
        <v>3608</v>
      </c>
      <c r="B1062" s="8" t="s">
        <v>3609</v>
      </c>
      <c r="C1062" s="8">
        <v>30861222</v>
      </c>
      <c r="D1062" s="8">
        <v>5</v>
      </c>
      <c r="E1062" s="11">
        <v>43110</v>
      </c>
      <c r="F1062" s="8" t="s">
        <v>57</v>
      </c>
      <c r="G1062" s="11">
        <v>43111</v>
      </c>
      <c r="H1062" s="8" t="s">
        <v>25</v>
      </c>
      <c r="J1062" s="8" t="s">
        <v>25</v>
      </c>
      <c r="N1062" s="8" t="s">
        <v>58</v>
      </c>
      <c r="O1062" s="8" t="s">
        <v>59</v>
      </c>
      <c r="P1062" s="8" t="s">
        <v>59</v>
      </c>
      <c r="R1062" s="8">
        <v>0</v>
      </c>
      <c r="S1062" s="8">
        <v>0</v>
      </c>
      <c r="T1062" s="8">
        <v>1</v>
      </c>
      <c r="U1062" s="8">
        <v>2</v>
      </c>
      <c r="AG1062" s="8" t="str">
        <f t="shared" si="65"/>
        <v/>
      </c>
      <c r="AI1062" s="8" t="str">
        <f t="shared" si="66"/>
        <v/>
      </c>
      <c r="AJ1062" s="8" t="str">
        <f t="shared" si="67"/>
        <v/>
      </c>
      <c r="AL1062" s="8" t="str">
        <f t="shared" si="68"/>
        <v/>
      </c>
    </row>
    <row r="1063" spans="1:38" x14ac:dyDescent="0.25">
      <c r="A1063" s="8" t="s">
        <v>6994</v>
      </c>
      <c r="B1063" s="8" t="s">
        <v>6995</v>
      </c>
      <c r="C1063" s="8">
        <v>30932720</v>
      </c>
      <c r="D1063" s="8">
        <v>5</v>
      </c>
      <c r="E1063" s="11">
        <v>43115</v>
      </c>
      <c r="F1063" s="8" t="s">
        <v>57</v>
      </c>
      <c r="G1063" s="11">
        <v>43115</v>
      </c>
      <c r="H1063" s="8" t="s">
        <v>25</v>
      </c>
      <c r="J1063" s="8" t="s">
        <v>25</v>
      </c>
      <c r="N1063" s="8" t="s">
        <v>58</v>
      </c>
      <c r="O1063" s="8" t="s">
        <v>59</v>
      </c>
      <c r="P1063" s="8" t="s">
        <v>59</v>
      </c>
      <c r="R1063" s="8">
        <v>0</v>
      </c>
      <c r="S1063" s="8">
        <v>0</v>
      </c>
      <c r="T1063" s="8">
        <v>1</v>
      </c>
      <c r="U1063" s="8">
        <v>2</v>
      </c>
      <c r="AG1063" s="8" t="str">
        <f t="shared" si="65"/>
        <v/>
      </c>
      <c r="AI1063" s="8" t="str">
        <f t="shared" si="66"/>
        <v/>
      </c>
      <c r="AJ1063" s="8" t="str">
        <f t="shared" si="67"/>
        <v/>
      </c>
      <c r="AL1063" s="8" t="str">
        <f t="shared" si="68"/>
        <v/>
      </c>
    </row>
    <row r="1064" spans="1:38" x14ac:dyDescent="0.25">
      <c r="A1064" s="8" t="s">
        <v>3610</v>
      </c>
      <c r="B1064" s="8" t="s">
        <v>3611</v>
      </c>
      <c r="C1064" s="8">
        <v>30867159</v>
      </c>
      <c r="D1064" s="8">
        <v>5</v>
      </c>
      <c r="E1064" s="11">
        <v>43110</v>
      </c>
      <c r="F1064" s="8" t="s">
        <v>57</v>
      </c>
      <c r="G1064" s="11">
        <v>43111</v>
      </c>
      <c r="H1064" s="8" t="s">
        <v>25</v>
      </c>
      <c r="J1064" s="8" t="s">
        <v>25</v>
      </c>
      <c r="N1064" s="8" t="s">
        <v>58</v>
      </c>
      <c r="O1064" s="8" t="s">
        <v>59</v>
      </c>
      <c r="P1064" s="8" t="s">
        <v>59</v>
      </c>
      <c r="R1064" s="8">
        <v>0</v>
      </c>
      <c r="S1064" s="8">
        <v>0</v>
      </c>
      <c r="T1064" s="8">
        <v>1</v>
      </c>
      <c r="U1064" s="8">
        <v>2</v>
      </c>
      <c r="AG1064" s="8" t="str">
        <f t="shared" si="65"/>
        <v/>
      </c>
      <c r="AI1064" s="8" t="str">
        <f t="shared" si="66"/>
        <v/>
      </c>
      <c r="AJ1064" s="8" t="str">
        <f t="shared" si="67"/>
        <v/>
      </c>
      <c r="AL1064" s="8" t="str">
        <f t="shared" si="68"/>
        <v/>
      </c>
    </row>
    <row r="1065" spans="1:38" x14ac:dyDescent="0.25">
      <c r="A1065" s="8" t="s">
        <v>3612</v>
      </c>
      <c r="B1065" s="8" t="s">
        <v>3613</v>
      </c>
      <c r="C1065" s="8">
        <v>30893393</v>
      </c>
      <c r="D1065" s="8">
        <v>5</v>
      </c>
      <c r="E1065" s="11">
        <v>43111</v>
      </c>
      <c r="F1065" s="8" t="s">
        <v>58</v>
      </c>
      <c r="G1065" s="11">
        <v>43111</v>
      </c>
      <c r="H1065" s="8" t="s">
        <v>25</v>
      </c>
      <c r="I1065" s="11">
        <v>43115</v>
      </c>
      <c r="J1065" s="8" t="s">
        <v>25</v>
      </c>
      <c r="N1065" s="8" t="s">
        <v>58</v>
      </c>
      <c r="O1065" s="8" t="s">
        <v>59</v>
      </c>
      <c r="P1065" s="8" t="s">
        <v>59</v>
      </c>
      <c r="R1065" s="8">
        <v>0</v>
      </c>
      <c r="S1065" s="8">
        <v>0</v>
      </c>
      <c r="T1065" s="8">
        <v>1</v>
      </c>
      <c r="U1065" s="8">
        <v>2</v>
      </c>
      <c r="X1065" s="8">
        <v>5</v>
      </c>
      <c r="AG1065" s="8" t="str">
        <f t="shared" si="65"/>
        <v/>
      </c>
      <c r="AI1065" s="8" t="str">
        <f t="shared" si="66"/>
        <v/>
      </c>
      <c r="AJ1065" s="8" t="str">
        <f t="shared" si="67"/>
        <v/>
      </c>
      <c r="AL1065" s="8" t="str">
        <f t="shared" si="68"/>
        <v/>
      </c>
    </row>
    <row r="1066" spans="1:38" x14ac:dyDescent="0.25">
      <c r="A1066" s="8" t="s">
        <v>342</v>
      </c>
      <c r="B1066" s="8" t="s">
        <v>343</v>
      </c>
      <c r="C1066" s="8">
        <v>30817620</v>
      </c>
      <c r="D1066" s="8">
        <v>5</v>
      </c>
      <c r="E1066" s="11">
        <v>43108</v>
      </c>
      <c r="F1066" s="8" t="s">
        <v>58</v>
      </c>
      <c r="G1066" s="11">
        <v>43108</v>
      </c>
      <c r="H1066" s="8" t="s">
        <v>25</v>
      </c>
      <c r="I1066" s="11">
        <v>43109</v>
      </c>
      <c r="J1066" s="8" t="s">
        <v>25</v>
      </c>
      <c r="N1066" s="8" t="s">
        <v>58</v>
      </c>
      <c r="O1066" s="8" t="s">
        <v>59</v>
      </c>
      <c r="P1066" s="8" t="s">
        <v>59</v>
      </c>
      <c r="R1066" s="8">
        <v>0</v>
      </c>
      <c r="S1066" s="8">
        <v>0</v>
      </c>
      <c r="T1066" s="8">
        <v>1</v>
      </c>
      <c r="U1066" s="8">
        <v>2</v>
      </c>
      <c r="X1066" s="8">
        <v>5</v>
      </c>
      <c r="AG1066" s="8" t="str">
        <f t="shared" si="65"/>
        <v/>
      </c>
      <c r="AI1066" s="8" t="str">
        <f t="shared" si="66"/>
        <v/>
      </c>
      <c r="AJ1066" s="8" t="str">
        <f t="shared" si="67"/>
        <v/>
      </c>
      <c r="AL1066" s="8" t="str">
        <f t="shared" si="68"/>
        <v/>
      </c>
    </row>
    <row r="1067" spans="1:38" x14ac:dyDescent="0.25">
      <c r="A1067" s="8" t="s">
        <v>3614</v>
      </c>
      <c r="B1067" s="8" t="s">
        <v>3615</v>
      </c>
      <c r="C1067" s="8">
        <v>30888924</v>
      </c>
      <c r="D1067" s="8">
        <v>5</v>
      </c>
      <c r="E1067" s="11">
        <v>43111</v>
      </c>
      <c r="F1067" s="8" t="s">
        <v>58</v>
      </c>
      <c r="G1067" s="11">
        <v>43111</v>
      </c>
      <c r="H1067" s="8" t="s">
        <v>25</v>
      </c>
      <c r="I1067" s="11">
        <v>43111</v>
      </c>
      <c r="J1067" s="8" t="s">
        <v>25</v>
      </c>
      <c r="N1067" s="8" t="s">
        <v>58</v>
      </c>
      <c r="O1067" s="8" t="s">
        <v>59</v>
      </c>
      <c r="P1067" s="8" t="s">
        <v>59</v>
      </c>
      <c r="R1067" s="8">
        <v>0</v>
      </c>
      <c r="S1067" s="8">
        <v>0</v>
      </c>
      <c r="T1067" s="8">
        <v>1</v>
      </c>
      <c r="U1067" s="8">
        <v>2</v>
      </c>
      <c r="X1067" s="8">
        <v>5</v>
      </c>
      <c r="AG1067" s="8" t="str">
        <f t="shared" si="65"/>
        <v/>
      </c>
      <c r="AI1067" s="8" t="str">
        <f t="shared" si="66"/>
        <v/>
      </c>
      <c r="AJ1067" s="8" t="str">
        <f t="shared" si="67"/>
        <v/>
      </c>
      <c r="AL1067" s="8" t="str">
        <f t="shared" si="68"/>
        <v/>
      </c>
    </row>
    <row r="1068" spans="1:38" x14ac:dyDescent="0.25">
      <c r="A1068" s="8" t="s">
        <v>2029</v>
      </c>
      <c r="B1068" s="8" t="s">
        <v>2030</v>
      </c>
      <c r="C1068" s="8">
        <v>30841138</v>
      </c>
      <c r="D1068" s="8">
        <v>5</v>
      </c>
      <c r="E1068" s="11">
        <v>43109</v>
      </c>
      <c r="F1068" s="8" t="s">
        <v>57</v>
      </c>
      <c r="G1068" s="11">
        <v>43110</v>
      </c>
      <c r="H1068" s="8" t="s">
        <v>25</v>
      </c>
      <c r="J1068" s="8" t="s">
        <v>25</v>
      </c>
      <c r="N1068" s="8" t="s">
        <v>58</v>
      </c>
      <c r="O1068" s="8" t="s">
        <v>59</v>
      </c>
      <c r="P1068" s="8" t="s">
        <v>59</v>
      </c>
      <c r="R1068" s="8">
        <v>0</v>
      </c>
      <c r="S1068" s="8">
        <v>0</v>
      </c>
      <c r="T1068" s="8">
        <v>1</v>
      </c>
      <c r="U1068" s="8">
        <v>2</v>
      </c>
      <c r="AG1068" s="8" t="str">
        <f t="shared" si="65"/>
        <v/>
      </c>
      <c r="AI1068" s="8" t="str">
        <f t="shared" si="66"/>
        <v/>
      </c>
      <c r="AJ1068" s="8" t="str">
        <f t="shared" si="67"/>
        <v/>
      </c>
      <c r="AL1068" s="8" t="str">
        <f t="shared" si="68"/>
        <v/>
      </c>
    </row>
    <row r="1069" spans="1:38" x14ac:dyDescent="0.25">
      <c r="A1069" s="8" t="s">
        <v>5112</v>
      </c>
      <c r="B1069" s="8" t="s">
        <v>5113</v>
      </c>
      <c r="C1069" s="8">
        <v>30892893</v>
      </c>
      <c r="D1069" s="8">
        <v>5</v>
      </c>
      <c r="E1069" s="11">
        <v>43111</v>
      </c>
      <c r="F1069" s="8" t="s">
        <v>58</v>
      </c>
      <c r="G1069" s="11">
        <v>43112</v>
      </c>
      <c r="H1069" s="8" t="s">
        <v>25</v>
      </c>
      <c r="I1069" s="11">
        <v>43112</v>
      </c>
      <c r="J1069" s="8" t="s">
        <v>25</v>
      </c>
      <c r="N1069" s="8" t="s">
        <v>58</v>
      </c>
      <c r="O1069" s="8" t="s">
        <v>59</v>
      </c>
      <c r="P1069" s="8" t="s">
        <v>59</v>
      </c>
      <c r="R1069" s="8">
        <v>0</v>
      </c>
      <c r="S1069" s="8">
        <v>0</v>
      </c>
      <c r="T1069" s="8">
        <v>1</v>
      </c>
      <c r="U1069" s="8">
        <v>2</v>
      </c>
      <c r="X1069" s="8">
        <v>5</v>
      </c>
      <c r="AG1069" s="8" t="str">
        <f t="shared" si="65"/>
        <v/>
      </c>
      <c r="AI1069" s="8" t="str">
        <f t="shared" si="66"/>
        <v/>
      </c>
      <c r="AJ1069" s="8" t="str">
        <f t="shared" si="67"/>
        <v/>
      </c>
      <c r="AL1069" s="8" t="str">
        <f t="shared" si="68"/>
        <v/>
      </c>
    </row>
    <row r="1070" spans="1:38" x14ac:dyDescent="0.25">
      <c r="A1070" s="8" t="s">
        <v>2031</v>
      </c>
      <c r="B1070" s="8" t="s">
        <v>2032</v>
      </c>
      <c r="C1070" s="8">
        <v>30862948</v>
      </c>
      <c r="D1070" s="8">
        <v>5</v>
      </c>
      <c r="E1070" s="11">
        <v>43110</v>
      </c>
      <c r="F1070" s="8" t="s">
        <v>58</v>
      </c>
      <c r="G1070" s="11">
        <v>43110</v>
      </c>
      <c r="H1070" s="8" t="s">
        <v>25</v>
      </c>
      <c r="I1070" s="11">
        <v>43110</v>
      </c>
      <c r="J1070" s="8" t="s">
        <v>25</v>
      </c>
      <c r="N1070" s="8" t="s">
        <v>58</v>
      </c>
      <c r="O1070" s="8" t="s">
        <v>59</v>
      </c>
      <c r="P1070" s="8" t="s">
        <v>59</v>
      </c>
      <c r="R1070" s="8">
        <v>0</v>
      </c>
      <c r="S1070" s="8">
        <v>0</v>
      </c>
      <c r="T1070" s="8">
        <v>1</v>
      </c>
      <c r="U1070" s="8">
        <v>2</v>
      </c>
      <c r="X1070" s="8">
        <v>5</v>
      </c>
      <c r="AG1070" s="8" t="str">
        <f t="shared" si="65"/>
        <v/>
      </c>
      <c r="AI1070" s="8" t="str">
        <f t="shared" si="66"/>
        <v/>
      </c>
      <c r="AJ1070" s="8" t="str">
        <f t="shared" si="67"/>
        <v/>
      </c>
      <c r="AL1070" s="8" t="str">
        <f t="shared" si="68"/>
        <v/>
      </c>
    </row>
    <row r="1071" spans="1:38" x14ac:dyDescent="0.25">
      <c r="A1071" s="8" t="s">
        <v>6996</v>
      </c>
      <c r="B1071" s="8" t="s">
        <v>6997</v>
      </c>
      <c r="C1071" s="8">
        <v>30945799</v>
      </c>
      <c r="D1071" s="8">
        <v>5</v>
      </c>
      <c r="E1071" s="11">
        <v>43115</v>
      </c>
      <c r="F1071" s="8" t="s">
        <v>57</v>
      </c>
      <c r="G1071" s="11">
        <v>43115</v>
      </c>
      <c r="H1071" s="8" t="s">
        <v>25</v>
      </c>
      <c r="J1071" s="8" t="s">
        <v>25</v>
      </c>
      <c r="N1071" s="8" t="s">
        <v>58</v>
      </c>
      <c r="O1071" s="8" t="s">
        <v>59</v>
      </c>
      <c r="P1071" s="8" t="s">
        <v>59</v>
      </c>
      <c r="R1071" s="8">
        <v>0</v>
      </c>
      <c r="S1071" s="8">
        <v>0</v>
      </c>
      <c r="T1071" s="8">
        <v>1</v>
      </c>
      <c r="U1071" s="8">
        <v>2</v>
      </c>
      <c r="AG1071" s="8" t="str">
        <f t="shared" si="65"/>
        <v/>
      </c>
      <c r="AI1071" s="8" t="str">
        <f t="shared" si="66"/>
        <v/>
      </c>
      <c r="AJ1071" s="8" t="str">
        <f t="shared" si="67"/>
        <v/>
      </c>
      <c r="AL1071" s="8" t="str">
        <f t="shared" si="68"/>
        <v/>
      </c>
    </row>
    <row r="1072" spans="1:38" x14ac:dyDescent="0.25">
      <c r="A1072" s="8" t="s">
        <v>5114</v>
      </c>
      <c r="B1072" s="8" t="s">
        <v>5115</v>
      </c>
      <c r="C1072" s="8">
        <v>30882988</v>
      </c>
      <c r="D1072" s="8">
        <v>5</v>
      </c>
      <c r="E1072" s="11">
        <v>43111</v>
      </c>
      <c r="F1072" s="8" t="s">
        <v>57</v>
      </c>
      <c r="G1072" s="11">
        <v>43112</v>
      </c>
      <c r="H1072" s="8" t="s">
        <v>25</v>
      </c>
      <c r="J1072" s="8" t="s">
        <v>25</v>
      </c>
      <c r="N1072" s="8" t="s">
        <v>58</v>
      </c>
      <c r="O1072" s="8" t="s">
        <v>59</v>
      </c>
      <c r="P1072" s="8" t="s">
        <v>59</v>
      </c>
      <c r="R1072" s="8">
        <v>0</v>
      </c>
      <c r="S1072" s="8">
        <v>0</v>
      </c>
      <c r="T1072" s="8">
        <v>1</v>
      </c>
      <c r="U1072" s="8">
        <v>2</v>
      </c>
      <c r="AG1072" s="8" t="str">
        <f t="shared" si="65"/>
        <v/>
      </c>
      <c r="AI1072" s="8" t="str">
        <f t="shared" si="66"/>
        <v/>
      </c>
      <c r="AJ1072" s="8" t="str">
        <f t="shared" si="67"/>
        <v/>
      </c>
      <c r="AL1072" s="8" t="str">
        <f t="shared" si="68"/>
        <v/>
      </c>
    </row>
    <row r="1073" spans="1:38" x14ac:dyDescent="0.25">
      <c r="A1073" s="8" t="s">
        <v>6998</v>
      </c>
      <c r="B1073" s="8" t="s">
        <v>6999</v>
      </c>
      <c r="C1073" s="8">
        <v>30933154</v>
      </c>
      <c r="D1073" s="8">
        <v>5</v>
      </c>
      <c r="E1073" s="11">
        <v>43115</v>
      </c>
      <c r="F1073" s="8" t="s">
        <v>58</v>
      </c>
      <c r="G1073" s="11">
        <v>43115</v>
      </c>
      <c r="H1073" s="8" t="s">
        <v>25</v>
      </c>
      <c r="I1073" s="11">
        <v>43115</v>
      </c>
      <c r="J1073" s="8" t="s">
        <v>25</v>
      </c>
      <c r="N1073" s="8" t="s">
        <v>58</v>
      </c>
      <c r="O1073" s="8" t="s">
        <v>59</v>
      </c>
      <c r="P1073" s="8" t="s">
        <v>59</v>
      </c>
      <c r="R1073" s="8">
        <v>0</v>
      </c>
      <c r="S1073" s="8">
        <v>0</v>
      </c>
      <c r="T1073" s="8">
        <v>1</v>
      </c>
      <c r="U1073" s="8">
        <v>2</v>
      </c>
      <c r="X1073" s="8">
        <v>5</v>
      </c>
      <c r="AG1073" s="8" t="str">
        <f t="shared" si="65"/>
        <v/>
      </c>
      <c r="AI1073" s="8" t="str">
        <f t="shared" si="66"/>
        <v/>
      </c>
      <c r="AJ1073" s="8" t="str">
        <f t="shared" si="67"/>
        <v/>
      </c>
      <c r="AL1073" s="8" t="str">
        <f t="shared" si="68"/>
        <v/>
      </c>
    </row>
    <row r="1074" spans="1:38" x14ac:dyDescent="0.25">
      <c r="A1074" s="8" t="s">
        <v>5116</v>
      </c>
      <c r="B1074" s="8" t="s">
        <v>5117</v>
      </c>
      <c r="C1074" s="8">
        <v>30916546</v>
      </c>
      <c r="D1074" s="8">
        <v>5</v>
      </c>
      <c r="E1074" s="11">
        <v>43112</v>
      </c>
      <c r="F1074" s="8" t="s">
        <v>58</v>
      </c>
      <c r="G1074" s="11">
        <v>43112</v>
      </c>
      <c r="H1074" s="8" t="s">
        <v>25</v>
      </c>
      <c r="I1074" s="11">
        <v>43112</v>
      </c>
      <c r="J1074" s="8" t="s">
        <v>25</v>
      </c>
      <c r="N1074" s="8" t="s">
        <v>58</v>
      </c>
      <c r="O1074" s="8" t="s">
        <v>59</v>
      </c>
      <c r="P1074" s="8" t="s">
        <v>59</v>
      </c>
      <c r="R1074" s="8">
        <v>0</v>
      </c>
      <c r="S1074" s="8">
        <v>0</v>
      </c>
      <c r="T1074" s="8">
        <v>1</v>
      </c>
      <c r="U1074" s="8">
        <v>2</v>
      </c>
      <c r="X1074" s="8">
        <v>5</v>
      </c>
      <c r="AG1074" s="8" t="str">
        <f t="shared" si="65"/>
        <v/>
      </c>
      <c r="AI1074" s="8" t="str">
        <f t="shared" si="66"/>
        <v/>
      </c>
      <c r="AJ1074" s="8" t="str">
        <f t="shared" si="67"/>
        <v/>
      </c>
      <c r="AL1074" s="8" t="str">
        <f t="shared" si="68"/>
        <v/>
      </c>
    </row>
    <row r="1075" spans="1:38" x14ac:dyDescent="0.25">
      <c r="A1075" s="8" t="s">
        <v>5118</v>
      </c>
      <c r="B1075" s="8" t="s">
        <v>5119</v>
      </c>
      <c r="C1075" s="8">
        <v>30923539</v>
      </c>
      <c r="D1075" s="8">
        <v>5</v>
      </c>
      <c r="E1075" s="11">
        <v>43112</v>
      </c>
      <c r="F1075" s="8" t="s">
        <v>57</v>
      </c>
      <c r="G1075" s="11">
        <v>43112</v>
      </c>
      <c r="H1075" s="8" t="s">
        <v>25</v>
      </c>
      <c r="J1075" s="8" t="s">
        <v>25</v>
      </c>
      <c r="N1075" s="8" t="s">
        <v>58</v>
      </c>
      <c r="O1075" s="8" t="s">
        <v>59</v>
      </c>
      <c r="P1075" s="8" t="s">
        <v>59</v>
      </c>
      <c r="R1075" s="8">
        <v>0</v>
      </c>
      <c r="S1075" s="8">
        <v>0</v>
      </c>
      <c r="T1075" s="8">
        <v>1</v>
      </c>
      <c r="U1075" s="8">
        <v>2</v>
      </c>
      <c r="AG1075" s="8" t="str">
        <f t="shared" si="65"/>
        <v/>
      </c>
      <c r="AI1075" s="8" t="str">
        <f t="shared" si="66"/>
        <v/>
      </c>
      <c r="AJ1075" s="8" t="str">
        <f t="shared" si="67"/>
        <v/>
      </c>
      <c r="AL1075" s="8" t="str">
        <f t="shared" si="68"/>
        <v/>
      </c>
    </row>
    <row r="1076" spans="1:38" x14ac:dyDescent="0.25">
      <c r="A1076" s="8" t="s">
        <v>344</v>
      </c>
      <c r="B1076" s="8" t="s">
        <v>345</v>
      </c>
      <c r="C1076" s="8">
        <v>30821911</v>
      </c>
      <c r="D1076" s="8">
        <v>5</v>
      </c>
      <c r="E1076" s="11">
        <v>43108</v>
      </c>
      <c r="F1076" s="8" t="s">
        <v>58</v>
      </c>
      <c r="G1076" s="11">
        <v>43108</v>
      </c>
      <c r="H1076" s="8" t="s">
        <v>25</v>
      </c>
      <c r="I1076" s="11">
        <v>43109</v>
      </c>
      <c r="J1076" s="8" t="s">
        <v>25</v>
      </c>
      <c r="N1076" s="8" t="s">
        <v>58</v>
      </c>
      <c r="O1076" s="8" t="s">
        <v>59</v>
      </c>
      <c r="P1076" s="8" t="s">
        <v>59</v>
      </c>
      <c r="R1076" s="8">
        <v>0</v>
      </c>
      <c r="S1076" s="8">
        <v>0</v>
      </c>
      <c r="T1076" s="8">
        <v>1</v>
      </c>
      <c r="U1076" s="8">
        <v>2</v>
      </c>
      <c r="X1076" s="8">
        <v>5</v>
      </c>
      <c r="AG1076" s="8" t="str">
        <f t="shared" si="65"/>
        <v/>
      </c>
      <c r="AI1076" s="8" t="str">
        <f t="shared" si="66"/>
        <v/>
      </c>
      <c r="AJ1076" s="8" t="str">
        <f t="shared" si="67"/>
        <v/>
      </c>
      <c r="AL1076" s="8" t="str">
        <f t="shared" si="68"/>
        <v/>
      </c>
    </row>
    <row r="1077" spans="1:38" x14ac:dyDescent="0.25">
      <c r="A1077" s="8" t="s">
        <v>5120</v>
      </c>
      <c r="B1077" s="8" t="s">
        <v>5121</v>
      </c>
      <c r="C1077" s="8">
        <v>30909638</v>
      </c>
      <c r="D1077" s="8">
        <v>5</v>
      </c>
      <c r="E1077" s="11">
        <v>43112</v>
      </c>
      <c r="F1077" s="8" t="s">
        <v>57</v>
      </c>
      <c r="G1077" s="11">
        <v>43112</v>
      </c>
      <c r="H1077" s="8" t="s">
        <v>25</v>
      </c>
      <c r="J1077" s="8" t="s">
        <v>25</v>
      </c>
      <c r="N1077" s="8" t="s">
        <v>58</v>
      </c>
      <c r="O1077" s="8" t="s">
        <v>59</v>
      </c>
      <c r="P1077" s="8" t="s">
        <v>59</v>
      </c>
      <c r="R1077" s="8">
        <v>0</v>
      </c>
      <c r="S1077" s="8">
        <v>0</v>
      </c>
      <c r="T1077" s="8">
        <v>1</v>
      </c>
      <c r="U1077" s="8">
        <v>2</v>
      </c>
      <c r="AG1077" s="8" t="str">
        <f t="shared" si="65"/>
        <v/>
      </c>
      <c r="AI1077" s="8" t="str">
        <f t="shared" si="66"/>
        <v/>
      </c>
      <c r="AJ1077" s="8" t="str">
        <f t="shared" si="67"/>
        <v/>
      </c>
      <c r="AL1077" s="8" t="str">
        <f t="shared" si="68"/>
        <v/>
      </c>
    </row>
    <row r="1078" spans="1:38" x14ac:dyDescent="0.25">
      <c r="A1078" s="8" t="s">
        <v>1058</v>
      </c>
      <c r="B1078" s="8" t="s">
        <v>1059</v>
      </c>
      <c r="C1078" s="8">
        <v>30839708</v>
      </c>
      <c r="D1078" s="8">
        <v>5</v>
      </c>
      <c r="E1078" s="11">
        <v>43109</v>
      </c>
      <c r="F1078" s="8" t="s">
        <v>58</v>
      </c>
      <c r="G1078" s="11">
        <v>43109</v>
      </c>
      <c r="H1078" s="8" t="s">
        <v>25</v>
      </c>
      <c r="I1078" s="11">
        <v>43112</v>
      </c>
      <c r="J1078" s="8" t="s">
        <v>25</v>
      </c>
      <c r="N1078" s="8" t="s">
        <v>58</v>
      </c>
      <c r="O1078" s="8" t="s">
        <v>59</v>
      </c>
      <c r="P1078" s="8" t="s">
        <v>59</v>
      </c>
      <c r="R1078" s="8">
        <v>0</v>
      </c>
      <c r="S1078" s="8">
        <v>0</v>
      </c>
      <c r="T1078" s="8">
        <v>1</v>
      </c>
      <c r="U1078" s="8">
        <v>2</v>
      </c>
      <c r="X1078" s="8">
        <v>5</v>
      </c>
      <c r="AG1078" s="8" t="str">
        <f t="shared" si="65"/>
        <v/>
      </c>
      <c r="AI1078" s="8" t="str">
        <f t="shared" si="66"/>
        <v/>
      </c>
      <c r="AJ1078" s="8" t="str">
        <f t="shared" si="67"/>
        <v/>
      </c>
      <c r="AL1078" s="8" t="str">
        <f t="shared" si="68"/>
        <v/>
      </c>
    </row>
    <row r="1079" spans="1:38" x14ac:dyDescent="0.25">
      <c r="A1079" s="8" t="s">
        <v>7000</v>
      </c>
      <c r="B1079" s="8" t="s">
        <v>7001</v>
      </c>
      <c r="C1079" s="8">
        <v>30929952</v>
      </c>
      <c r="D1079" s="8">
        <v>5</v>
      </c>
      <c r="E1079" s="11">
        <v>43115</v>
      </c>
      <c r="F1079" s="8" t="s">
        <v>57</v>
      </c>
      <c r="G1079" s="11">
        <v>43115</v>
      </c>
      <c r="H1079" s="8" t="s">
        <v>25</v>
      </c>
      <c r="J1079" s="8" t="s">
        <v>25</v>
      </c>
      <c r="N1079" s="8" t="s">
        <v>58</v>
      </c>
      <c r="O1079" s="8" t="s">
        <v>59</v>
      </c>
      <c r="P1079" s="8" t="s">
        <v>59</v>
      </c>
      <c r="R1079" s="8">
        <v>0</v>
      </c>
      <c r="S1079" s="8">
        <v>0</v>
      </c>
      <c r="T1079" s="8">
        <v>1</v>
      </c>
      <c r="U1079" s="8">
        <v>2</v>
      </c>
      <c r="AG1079" s="8" t="str">
        <f t="shared" si="65"/>
        <v/>
      </c>
      <c r="AI1079" s="8" t="str">
        <f t="shared" si="66"/>
        <v/>
      </c>
      <c r="AJ1079" s="8" t="str">
        <f t="shared" si="67"/>
        <v/>
      </c>
      <c r="AL1079" s="8" t="str">
        <f t="shared" si="68"/>
        <v/>
      </c>
    </row>
    <row r="1080" spans="1:38" x14ac:dyDescent="0.25">
      <c r="A1080" s="8" t="s">
        <v>5122</v>
      </c>
      <c r="B1080" s="8" t="s">
        <v>5123</v>
      </c>
      <c r="C1080" s="8">
        <v>30915196</v>
      </c>
      <c r="D1080" s="8">
        <v>5</v>
      </c>
      <c r="E1080" s="11">
        <v>43112</v>
      </c>
      <c r="F1080" s="8" t="s">
        <v>58</v>
      </c>
      <c r="G1080" s="11">
        <v>43112</v>
      </c>
      <c r="H1080" s="8" t="s">
        <v>25</v>
      </c>
      <c r="I1080" s="11">
        <v>43112</v>
      </c>
      <c r="J1080" s="8" t="s">
        <v>25</v>
      </c>
      <c r="N1080" s="8" t="s">
        <v>58</v>
      </c>
      <c r="O1080" s="8" t="s">
        <v>59</v>
      </c>
      <c r="P1080" s="8" t="s">
        <v>59</v>
      </c>
      <c r="R1080" s="8">
        <v>0</v>
      </c>
      <c r="S1080" s="8">
        <v>0</v>
      </c>
      <c r="T1080" s="8">
        <v>1</v>
      </c>
      <c r="U1080" s="8">
        <v>2</v>
      </c>
      <c r="X1080" s="8">
        <v>5</v>
      </c>
      <c r="AG1080" s="8" t="str">
        <f t="shared" si="65"/>
        <v/>
      </c>
      <c r="AI1080" s="8" t="str">
        <f t="shared" si="66"/>
        <v/>
      </c>
      <c r="AJ1080" s="8" t="str">
        <f t="shared" si="67"/>
        <v/>
      </c>
      <c r="AL1080" s="8" t="str">
        <f t="shared" si="68"/>
        <v/>
      </c>
    </row>
    <row r="1081" spans="1:38" x14ac:dyDescent="0.25">
      <c r="A1081" s="8" t="s">
        <v>3616</v>
      </c>
      <c r="B1081" s="8" t="s">
        <v>3617</v>
      </c>
      <c r="C1081" s="8">
        <v>30893235</v>
      </c>
      <c r="D1081" s="8">
        <v>5</v>
      </c>
      <c r="E1081" s="11">
        <v>43111</v>
      </c>
      <c r="F1081" s="8" t="s">
        <v>58</v>
      </c>
      <c r="G1081" s="11">
        <v>43111</v>
      </c>
      <c r="H1081" s="8" t="s">
        <v>25</v>
      </c>
      <c r="I1081" s="11">
        <v>43111</v>
      </c>
      <c r="J1081" s="8" t="s">
        <v>25</v>
      </c>
      <c r="N1081" s="8" t="s">
        <v>58</v>
      </c>
      <c r="O1081" s="8" t="s">
        <v>59</v>
      </c>
      <c r="P1081" s="8" t="s">
        <v>59</v>
      </c>
      <c r="R1081" s="8">
        <v>0</v>
      </c>
      <c r="S1081" s="8">
        <v>0</v>
      </c>
      <c r="T1081" s="8">
        <v>1</v>
      </c>
      <c r="U1081" s="8">
        <v>2</v>
      </c>
      <c r="X1081" s="8">
        <v>5</v>
      </c>
      <c r="AG1081" s="8" t="str">
        <f t="shared" si="65"/>
        <v/>
      </c>
      <c r="AI1081" s="8" t="str">
        <f t="shared" si="66"/>
        <v/>
      </c>
      <c r="AJ1081" s="8" t="str">
        <f t="shared" si="67"/>
        <v/>
      </c>
      <c r="AL1081" s="8" t="str">
        <f t="shared" si="68"/>
        <v/>
      </c>
    </row>
    <row r="1082" spans="1:38" x14ac:dyDescent="0.25">
      <c r="A1082" s="8" t="s">
        <v>7002</v>
      </c>
      <c r="B1082" s="8" t="s">
        <v>7003</v>
      </c>
      <c r="C1082" s="8">
        <v>30939054</v>
      </c>
      <c r="D1082" s="8">
        <v>5</v>
      </c>
      <c r="E1082" s="11">
        <v>43115</v>
      </c>
      <c r="F1082" s="8" t="s">
        <v>58</v>
      </c>
      <c r="G1082" s="11">
        <v>43115</v>
      </c>
      <c r="H1082" s="8" t="s">
        <v>25</v>
      </c>
      <c r="I1082" s="11">
        <v>43115</v>
      </c>
      <c r="J1082" s="8" t="s">
        <v>25</v>
      </c>
      <c r="N1082" s="8" t="s">
        <v>58</v>
      </c>
      <c r="O1082" s="8" t="s">
        <v>59</v>
      </c>
      <c r="P1082" s="8" t="s">
        <v>59</v>
      </c>
      <c r="R1082" s="8">
        <v>0</v>
      </c>
      <c r="S1082" s="8">
        <v>0</v>
      </c>
      <c r="T1082" s="8">
        <v>1</v>
      </c>
      <c r="U1082" s="8">
        <v>2</v>
      </c>
      <c r="X1082" s="8">
        <v>5</v>
      </c>
      <c r="AG1082" s="8" t="str">
        <f t="shared" si="65"/>
        <v/>
      </c>
      <c r="AI1082" s="8" t="str">
        <f t="shared" si="66"/>
        <v/>
      </c>
      <c r="AJ1082" s="8" t="str">
        <f t="shared" si="67"/>
        <v/>
      </c>
      <c r="AL1082" s="8" t="str">
        <f t="shared" si="68"/>
        <v/>
      </c>
    </row>
    <row r="1083" spans="1:38" x14ac:dyDescent="0.25">
      <c r="A1083" s="8" t="s">
        <v>2033</v>
      </c>
      <c r="B1083" s="8" t="s">
        <v>2034</v>
      </c>
      <c r="C1083" s="8">
        <v>30837250</v>
      </c>
      <c r="D1083" s="8">
        <v>5</v>
      </c>
      <c r="E1083" s="11">
        <v>43109</v>
      </c>
      <c r="F1083" s="8" t="s">
        <v>58</v>
      </c>
      <c r="G1083" s="11">
        <v>43110</v>
      </c>
      <c r="H1083" s="8" t="s">
        <v>25</v>
      </c>
      <c r="I1083" s="11">
        <v>43110</v>
      </c>
      <c r="J1083" s="8" t="s">
        <v>25</v>
      </c>
      <c r="N1083" s="8" t="s">
        <v>58</v>
      </c>
      <c r="O1083" s="8" t="s">
        <v>59</v>
      </c>
      <c r="P1083" s="8" t="s">
        <v>59</v>
      </c>
      <c r="R1083" s="8">
        <v>0</v>
      </c>
      <c r="S1083" s="8">
        <v>0</v>
      </c>
      <c r="T1083" s="8">
        <v>1</v>
      </c>
      <c r="U1083" s="8">
        <v>2</v>
      </c>
      <c r="X1083" s="8">
        <v>5</v>
      </c>
      <c r="AG1083" s="8" t="str">
        <f t="shared" si="65"/>
        <v/>
      </c>
      <c r="AI1083" s="8" t="str">
        <f t="shared" si="66"/>
        <v/>
      </c>
      <c r="AJ1083" s="8" t="str">
        <f t="shared" si="67"/>
        <v/>
      </c>
      <c r="AL1083" s="8" t="str">
        <f t="shared" si="68"/>
        <v/>
      </c>
    </row>
    <row r="1084" spans="1:38" x14ac:dyDescent="0.25">
      <c r="A1084" s="8" t="s">
        <v>7004</v>
      </c>
      <c r="B1084" s="8" t="s">
        <v>7005</v>
      </c>
      <c r="C1084" s="8">
        <v>30942779</v>
      </c>
      <c r="D1084" s="8">
        <v>5</v>
      </c>
      <c r="E1084" s="11">
        <v>43115</v>
      </c>
      <c r="F1084" s="8" t="s">
        <v>58</v>
      </c>
      <c r="G1084" s="11">
        <v>43115</v>
      </c>
      <c r="H1084" s="8" t="s">
        <v>25</v>
      </c>
      <c r="I1084" s="11">
        <v>43115</v>
      </c>
      <c r="J1084" s="8" t="s">
        <v>25</v>
      </c>
      <c r="N1084" s="8" t="s">
        <v>58</v>
      </c>
      <c r="O1084" s="8" t="s">
        <v>59</v>
      </c>
      <c r="P1084" s="8" t="s">
        <v>59</v>
      </c>
      <c r="R1084" s="8">
        <v>0</v>
      </c>
      <c r="S1084" s="8">
        <v>0</v>
      </c>
      <c r="T1084" s="8">
        <v>1</v>
      </c>
      <c r="U1084" s="8">
        <v>2</v>
      </c>
      <c r="X1084" s="8">
        <v>5</v>
      </c>
      <c r="AG1084" s="8" t="str">
        <f t="shared" si="65"/>
        <v/>
      </c>
      <c r="AI1084" s="8" t="str">
        <f t="shared" si="66"/>
        <v/>
      </c>
      <c r="AJ1084" s="8" t="str">
        <f t="shared" si="67"/>
        <v/>
      </c>
      <c r="AL1084" s="8" t="str">
        <f t="shared" si="68"/>
        <v/>
      </c>
    </row>
    <row r="1085" spans="1:38" x14ac:dyDescent="0.25">
      <c r="A1085" s="8" t="s">
        <v>3618</v>
      </c>
      <c r="B1085" s="8" t="s">
        <v>3619</v>
      </c>
      <c r="C1085" s="8">
        <v>30889609</v>
      </c>
      <c r="D1085" s="8">
        <v>5</v>
      </c>
      <c r="E1085" s="11">
        <v>43111</v>
      </c>
      <c r="F1085" s="8" t="s">
        <v>57</v>
      </c>
      <c r="G1085" s="11">
        <v>43111</v>
      </c>
      <c r="H1085" s="8" t="s">
        <v>25</v>
      </c>
      <c r="J1085" s="8" t="s">
        <v>25</v>
      </c>
      <c r="N1085" s="8" t="s">
        <v>58</v>
      </c>
      <c r="O1085" s="8" t="s">
        <v>59</v>
      </c>
      <c r="P1085" s="8" t="s">
        <v>59</v>
      </c>
      <c r="R1085" s="8">
        <v>0</v>
      </c>
      <c r="S1085" s="8">
        <v>0</v>
      </c>
      <c r="T1085" s="8">
        <v>1</v>
      </c>
      <c r="U1085" s="8">
        <v>2</v>
      </c>
      <c r="AG1085" s="8" t="str">
        <f t="shared" si="65"/>
        <v/>
      </c>
      <c r="AI1085" s="8" t="str">
        <f t="shared" si="66"/>
        <v/>
      </c>
      <c r="AJ1085" s="8" t="str">
        <f t="shared" si="67"/>
        <v/>
      </c>
      <c r="AL1085" s="8" t="str">
        <f t="shared" si="68"/>
        <v/>
      </c>
    </row>
    <row r="1086" spans="1:38" x14ac:dyDescent="0.25">
      <c r="A1086" s="8" t="s">
        <v>5124</v>
      </c>
      <c r="B1086" s="8" t="s">
        <v>5125</v>
      </c>
      <c r="C1086" s="8">
        <v>30915446</v>
      </c>
      <c r="D1086" s="8">
        <v>5</v>
      </c>
      <c r="E1086" s="11">
        <v>43112</v>
      </c>
      <c r="F1086" s="8" t="s">
        <v>58</v>
      </c>
      <c r="G1086" s="11">
        <v>43112</v>
      </c>
      <c r="H1086" s="8" t="s">
        <v>25</v>
      </c>
      <c r="I1086" s="11">
        <v>43112</v>
      </c>
      <c r="J1086" s="8" t="s">
        <v>25</v>
      </c>
      <c r="N1086" s="8" t="s">
        <v>58</v>
      </c>
      <c r="O1086" s="8" t="s">
        <v>59</v>
      </c>
      <c r="P1086" s="8" t="s">
        <v>59</v>
      </c>
      <c r="R1086" s="8">
        <v>0</v>
      </c>
      <c r="S1086" s="8">
        <v>0</v>
      </c>
      <c r="T1086" s="8">
        <v>1</v>
      </c>
      <c r="U1086" s="8">
        <v>2</v>
      </c>
      <c r="X1086" s="8">
        <v>5</v>
      </c>
      <c r="AG1086" s="8" t="str">
        <f t="shared" si="65"/>
        <v/>
      </c>
      <c r="AI1086" s="8" t="str">
        <f t="shared" si="66"/>
        <v/>
      </c>
      <c r="AJ1086" s="8" t="str">
        <f t="shared" si="67"/>
        <v/>
      </c>
      <c r="AL1086" s="8" t="str">
        <f t="shared" si="68"/>
        <v/>
      </c>
    </row>
    <row r="1087" spans="1:38" x14ac:dyDescent="0.25">
      <c r="A1087" s="8" t="s">
        <v>346</v>
      </c>
      <c r="B1087" s="8" t="s">
        <v>347</v>
      </c>
      <c r="C1087" s="8">
        <v>30814246</v>
      </c>
      <c r="D1087" s="8">
        <v>5</v>
      </c>
      <c r="E1087" s="11">
        <v>43108</v>
      </c>
      <c r="F1087" s="8" t="s">
        <v>58</v>
      </c>
      <c r="G1087" s="11">
        <v>43108</v>
      </c>
      <c r="H1087" s="8" t="s">
        <v>25</v>
      </c>
      <c r="I1087" s="11">
        <v>43115</v>
      </c>
      <c r="J1087" s="8" t="s">
        <v>856</v>
      </c>
      <c r="N1087" s="8" t="s">
        <v>58</v>
      </c>
      <c r="O1087" s="8" t="s">
        <v>59</v>
      </c>
      <c r="P1087" s="8" t="s">
        <v>59</v>
      </c>
      <c r="R1087" s="8">
        <v>0</v>
      </c>
      <c r="S1087" s="8">
        <v>0</v>
      </c>
      <c r="T1087" s="8">
        <v>1</v>
      </c>
      <c r="U1087" s="8">
        <v>2</v>
      </c>
      <c r="X1087" s="8">
        <v>5</v>
      </c>
      <c r="AG1087" s="8" t="str">
        <f t="shared" si="65"/>
        <v/>
      </c>
      <c r="AI1087" s="8" t="str">
        <f t="shared" si="66"/>
        <v/>
      </c>
      <c r="AJ1087" s="8" t="str">
        <f t="shared" si="67"/>
        <v/>
      </c>
      <c r="AL1087" s="8" t="str">
        <f t="shared" si="68"/>
        <v/>
      </c>
    </row>
    <row r="1088" spans="1:38" x14ac:dyDescent="0.25">
      <c r="A1088" s="8" t="s">
        <v>7006</v>
      </c>
      <c r="B1088" s="8" t="s">
        <v>7007</v>
      </c>
      <c r="C1088" s="8">
        <v>30929793</v>
      </c>
      <c r="D1088" s="8">
        <v>5</v>
      </c>
      <c r="E1088" s="11">
        <v>43115</v>
      </c>
      <c r="F1088" s="8" t="s">
        <v>58</v>
      </c>
      <c r="G1088" s="11">
        <v>43115</v>
      </c>
      <c r="H1088" s="8" t="s">
        <v>25</v>
      </c>
      <c r="I1088" s="11">
        <v>43115</v>
      </c>
      <c r="J1088" s="8" t="s">
        <v>25</v>
      </c>
      <c r="N1088" s="8" t="s">
        <v>58</v>
      </c>
      <c r="O1088" s="8" t="s">
        <v>59</v>
      </c>
      <c r="P1088" s="8" t="s">
        <v>59</v>
      </c>
      <c r="R1088" s="8">
        <v>0</v>
      </c>
      <c r="S1088" s="8">
        <v>0</v>
      </c>
      <c r="T1088" s="8">
        <v>1</v>
      </c>
      <c r="U1088" s="8">
        <v>2</v>
      </c>
      <c r="X1088" s="8">
        <v>5</v>
      </c>
      <c r="AG1088" s="8" t="str">
        <f t="shared" si="65"/>
        <v/>
      </c>
      <c r="AI1088" s="8" t="str">
        <f t="shared" si="66"/>
        <v/>
      </c>
      <c r="AJ1088" s="8" t="str">
        <f t="shared" si="67"/>
        <v/>
      </c>
      <c r="AL1088" s="8" t="str">
        <f t="shared" si="68"/>
        <v/>
      </c>
    </row>
    <row r="1089" spans="1:38" x14ac:dyDescent="0.25">
      <c r="A1089" s="8" t="s">
        <v>5126</v>
      </c>
      <c r="B1089" s="8" t="s">
        <v>5127</v>
      </c>
      <c r="C1089" s="8">
        <v>30919335</v>
      </c>
      <c r="D1089" s="8">
        <v>5</v>
      </c>
      <c r="E1089" s="11">
        <v>43112</v>
      </c>
      <c r="F1089" s="8" t="s">
        <v>58</v>
      </c>
      <c r="G1089" s="11">
        <v>43112</v>
      </c>
      <c r="H1089" s="8" t="s">
        <v>25</v>
      </c>
      <c r="I1089" s="11">
        <v>43112</v>
      </c>
      <c r="J1089" s="8" t="s">
        <v>25</v>
      </c>
      <c r="N1089" s="8" t="s">
        <v>58</v>
      </c>
      <c r="O1089" s="8" t="s">
        <v>59</v>
      </c>
      <c r="P1089" s="8" t="s">
        <v>59</v>
      </c>
      <c r="R1089" s="8">
        <v>0</v>
      </c>
      <c r="S1089" s="8">
        <v>0</v>
      </c>
      <c r="T1089" s="8">
        <v>1</v>
      </c>
      <c r="U1089" s="8">
        <v>2</v>
      </c>
      <c r="X1089" s="8">
        <v>5</v>
      </c>
      <c r="AG1089" s="8" t="str">
        <f t="shared" si="65"/>
        <v/>
      </c>
      <c r="AI1089" s="8" t="str">
        <f t="shared" si="66"/>
        <v/>
      </c>
      <c r="AJ1089" s="8" t="str">
        <f t="shared" si="67"/>
        <v/>
      </c>
      <c r="AL1089" s="8" t="str">
        <f t="shared" si="68"/>
        <v/>
      </c>
    </row>
    <row r="1090" spans="1:38" x14ac:dyDescent="0.25">
      <c r="A1090" s="8" t="s">
        <v>1060</v>
      </c>
      <c r="B1090" s="8" t="s">
        <v>1061</v>
      </c>
      <c r="C1090" s="8">
        <v>30842029</v>
      </c>
      <c r="D1090" s="8">
        <v>5</v>
      </c>
      <c r="E1090" s="11">
        <v>43109</v>
      </c>
      <c r="F1090" s="8" t="s">
        <v>58</v>
      </c>
      <c r="G1090" s="11">
        <v>43109</v>
      </c>
      <c r="H1090" s="8" t="s">
        <v>25</v>
      </c>
      <c r="I1090" s="11">
        <v>43110</v>
      </c>
      <c r="J1090" s="8" t="s">
        <v>25</v>
      </c>
      <c r="N1090" s="8" t="s">
        <v>58</v>
      </c>
      <c r="O1090" s="8" t="s">
        <v>59</v>
      </c>
      <c r="P1090" s="8" t="s">
        <v>59</v>
      </c>
      <c r="R1090" s="8">
        <v>0</v>
      </c>
      <c r="S1090" s="8">
        <v>0</v>
      </c>
      <c r="T1090" s="8">
        <v>1</v>
      </c>
      <c r="U1090" s="8">
        <v>2</v>
      </c>
      <c r="X1090" s="8">
        <v>5</v>
      </c>
      <c r="AG1090" s="8" t="str">
        <f t="shared" si="65"/>
        <v/>
      </c>
      <c r="AI1090" s="8" t="str">
        <f t="shared" si="66"/>
        <v/>
      </c>
      <c r="AJ1090" s="8" t="str">
        <f t="shared" si="67"/>
        <v/>
      </c>
      <c r="AL1090" s="8" t="str">
        <f t="shared" si="68"/>
        <v/>
      </c>
    </row>
    <row r="1091" spans="1:38" x14ac:dyDescent="0.25">
      <c r="A1091" s="8" t="s">
        <v>5128</v>
      </c>
      <c r="B1091" s="8" t="s">
        <v>5129</v>
      </c>
      <c r="C1091" s="8">
        <v>30926276</v>
      </c>
      <c r="D1091" s="8">
        <v>5</v>
      </c>
      <c r="E1091" s="11">
        <v>43113</v>
      </c>
      <c r="F1091" s="8" t="s">
        <v>58</v>
      </c>
      <c r="G1091" s="11">
        <v>43113</v>
      </c>
      <c r="H1091" s="8" t="s">
        <v>25</v>
      </c>
      <c r="I1091" s="11">
        <v>43113</v>
      </c>
      <c r="J1091" s="8" t="s">
        <v>25</v>
      </c>
      <c r="N1091" s="8" t="s">
        <v>58</v>
      </c>
      <c r="O1091" s="8" t="s">
        <v>59</v>
      </c>
      <c r="P1091" s="8" t="s">
        <v>59</v>
      </c>
      <c r="R1091" s="8">
        <v>0</v>
      </c>
      <c r="S1091" s="8">
        <v>0</v>
      </c>
      <c r="T1091" s="8">
        <v>1</v>
      </c>
      <c r="U1091" s="8">
        <v>2</v>
      </c>
      <c r="X1091" s="8">
        <v>5</v>
      </c>
      <c r="AG1091" s="8" t="str">
        <f t="shared" ref="AG1091:AG1154" si="69">IF(AND(U1091="",G1091&lt;&gt;"",NOT(OR(R1091,S1091))),IF(NETWORKDAYS.INTL(G1091,TODAY(),11)&lt;5,"En Plazo",IF(NETWORKDAYS.INTL(G1091,TODAY(),11)=5,"Riesgo Incumplimiento","FALTA_02")),"")</f>
        <v/>
      </c>
      <c r="AI1091" s="8" t="str">
        <f t="shared" ref="AI1091:AI1154" si="70">IF(AND(O1091&lt;&gt;"B1",F1091="Rejected"),IF(W1091="","FALTA_04",""),"")</f>
        <v/>
      </c>
      <c r="AJ1091" s="8" t="str">
        <f t="shared" ref="AJ1091:AJ1154" si="71">IF(AND(X1091="",I1091&lt;&gt;"",NOT(OR(R1091,S1091))),IF(NETWORKDAYS.INTL(G1091,TODAY(),11)&lt;=1,"En Plazo",IF(OR(AND(X1091="",O1091&lt;&gt;"M1"),AND(O1091="M1",(OR(Q1091="S - S",Q1091="S - T",)))),"FALTA_05","")),"")</f>
        <v/>
      </c>
      <c r="AL1091" s="8" t="str">
        <f t="shared" ref="AL1091:AL1154" si="72">IF(AND(O1091="B1",F1091="Rejected"),IF(Z1091="","FALTA_07",""),"")</f>
        <v/>
      </c>
    </row>
    <row r="1092" spans="1:38" x14ac:dyDescent="0.25">
      <c r="A1092" s="8" t="s">
        <v>2035</v>
      </c>
      <c r="B1092" s="8" t="s">
        <v>2036</v>
      </c>
      <c r="C1092" s="8">
        <v>30839936</v>
      </c>
      <c r="D1092" s="8">
        <v>5</v>
      </c>
      <c r="E1092" s="11">
        <v>43109</v>
      </c>
      <c r="F1092" s="8" t="s">
        <v>58</v>
      </c>
      <c r="G1092" s="11">
        <v>43110</v>
      </c>
      <c r="H1092" s="8" t="s">
        <v>25</v>
      </c>
      <c r="I1092" s="11">
        <v>43111</v>
      </c>
      <c r="J1092" s="8" t="s">
        <v>25</v>
      </c>
      <c r="N1092" s="8" t="s">
        <v>58</v>
      </c>
      <c r="O1092" s="8" t="s">
        <v>59</v>
      </c>
      <c r="P1092" s="8" t="s">
        <v>59</v>
      </c>
      <c r="R1092" s="8">
        <v>0</v>
      </c>
      <c r="S1092" s="8">
        <v>0</v>
      </c>
      <c r="T1092" s="8">
        <v>1</v>
      </c>
      <c r="U1092" s="8">
        <v>2</v>
      </c>
      <c r="X1092" s="8">
        <v>5</v>
      </c>
      <c r="AG1092" s="8" t="str">
        <f t="shared" si="69"/>
        <v/>
      </c>
      <c r="AI1092" s="8" t="str">
        <f t="shared" si="70"/>
        <v/>
      </c>
      <c r="AJ1092" s="8" t="str">
        <f t="shared" si="71"/>
        <v/>
      </c>
      <c r="AL1092" s="8" t="str">
        <f t="shared" si="72"/>
        <v/>
      </c>
    </row>
    <row r="1093" spans="1:38" x14ac:dyDescent="0.25">
      <c r="A1093" s="8" t="s">
        <v>7008</v>
      </c>
      <c r="B1093" s="8" t="s">
        <v>7009</v>
      </c>
      <c r="C1093" s="8">
        <v>30898518</v>
      </c>
      <c r="D1093" s="8">
        <v>5</v>
      </c>
      <c r="E1093" s="11">
        <v>43111</v>
      </c>
      <c r="F1093" s="8" t="s">
        <v>57</v>
      </c>
      <c r="G1093" s="11">
        <v>43115</v>
      </c>
      <c r="H1093" s="8" t="s">
        <v>25</v>
      </c>
      <c r="J1093" s="8" t="s">
        <v>25</v>
      </c>
      <c r="N1093" s="8" t="s">
        <v>58</v>
      </c>
      <c r="O1093" s="8" t="s">
        <v>59</v>
      </c>
      <c r="P1093" s="8" t="s">
        <v>59</v>
      </c>
      <c r="R1093" s="8">
        <v>0</v>
      </c>
      <c r="S1093" s="8">
        <v>0</v>
      </c>
      <c r="T1093" s="8">
        <v>1</v>
      </c>
      <c r="U1093" s="8">
        <v>2</v>
      </c>
      <c r="AG1093" s="8" t="str">
        <f t="shared" si="69"/>
        <v/>
      </c>
      <c r="AI1093" s="8" t="str">
        <f t="shared" si="70"/>
        <v/>
      </c>
      <c r="AJ1093" s="8" t="str">
        <f t="shared" si="71"/>
        <v/>
      </c>
      <c r="AL1093" s="8" t="str">
        <f t="shared" si="72"/>
        <v/>
      </c>
    </row>
    <row r="1094" spans="1:38" x14ac:dyDescent="0.25">
      <c r="A1094" s="8" t="s">
        <v>7010</v>
      </c>
      <c r="B1094" s="8" t="s">
        <v>7011</v>
      </c>
      <c r="C1094" s="8">
        <v>30915977</v>
      </c>
      <c r="D1094" s="8">
        <v>5</v>
      </c>
      <c r="E1094" s="11">
        <v>43112</v>
      </c>
      <c r="F1094" s="8" t="s">
        <v>57</v>
      </c>
      <c r="G1094" s="11">
        <v>43115</v>
      </c>
      <c r="H1094" s="8" t="s">
        <v>25</v>
      </c>
      <c r="J1094" s="8" t="s">
        <v>25</v>
      </c>
      <c r="N1094" s="8" t="s">
        <v>58</v>
      </c>
      <c r="O1094" s="8" t="s">
        <v>59</v>
      </c>
      <c r="P1094" s="8" t="s">
        <v>59</v>
      </c>
      <c r="R1094" s="8">
        <v>0</v>
      </c>
      <c r="S1094" s="8">
        <v>0</v>
      </c>
      <c r="T1094" s="8">
        <v>1</v>
      </c>
      <c r="U1094" s="8">
        <v>2</v>
      </c>
      <c r="AG1094" s="8" t="str">
        <f t="shared" si="69"/>
        <v/>
      </c>
      <c r="AI1094" s="8" t="str">
        <f t="shared" si="70"/>
        <v/>
      </c>
      <c r="AJ1094" s="8" t="str">
        <f t="shared" si="71"/>
        <v/>
      </c>
      <c r="AL1094" s="8" t="str">
        <f t="shared" si="72"/>
        <v/>
      </c>
    </row>
    <row r="1095" spans="1:38" x14ac:dyDescent="0.25">
      <c r="A1095" s="8" t="s">
        <v>7012</v>
      </c>
      <c r="B1095" s="8" t="s">
        <v>7013</v>
      </c>
      <c r="C1095" s="8">
        <v>30916116</v>
      </c>
      <c r="D1095" s="8">
        <v>5</v>
      </c>
      <c r="E1095" s="11">
        <v>43112</v>
      </c>
      <c r="F1095" s="8" t="s">
        <v>57</v>
      </c>
      <c r="G1095" s="11">
        <v>43115</v>
      </c>
      <c r="H1095" s="8" t="s">
        <v>25</v>
      </c>
      <c r="J1095" s="8" t="s">
        <v>25</v>
      </c>
      <c r="N1095" s="8" t="s">
        <v>58</v>
      </c>
      <c r="O1095" s="8" t="s">
        <v>59</v>
      </c>
      <c r="P1095" s="8" t="s">
        <v>59</v>
      </c>
      <c r="R1095" s="8">
        <v>0</v>
      </c>
      <c r="S1095" s="8">
        <v>0</v>
      </c>
      <c r="T1095" s="8">
        <v>1</v>
      </c>
      <c r="U1095" s="8">
        <v>2</v>
      </c>
      <c r="AG1095" s="8" t="str">
        <f t="shared" si="69"/>
        <v/>
      </c>
      <c r="AI1095" s="8" t="str">
        <f t="shared" si="70"/>
        <v/>
      </c>
      <c r="AJ1095" s="8" t="str">
        <f t="shared" si="71"/>
        <v/>
      </c>
      <c r="AL1095" s="8" t="str">
        <f t="shared" si="72"/>
        <v/>
      </c>
    </row>
    <row r="1096" spans="1:38" x14ac:dyDescent="0.25">
      <c r="A1096" s="8" t="s">
        <v>3620</v>
      </c>
      <c r="B1096" s="8" t="s">
        <v>3621</v>
      </c>
      <c r="C1096" s="8">
        <v>30862008</v>
      </c>
      <c r="D1096" s="8">
        <v>5</v>
      </c>
      <c r="E1096" s="11">
        <v>43110</v>
      </c>
      <c r="F1096" s="8" t="s">
        <v>58</v>
      </c>
      <c r="G1096" s="11">
        <v>43111</v>
      </c>
      <c r="H1096" s="8" t="s">
        <v>25</v>
      </c>
      <c r="I1096" s="11">
        <v>43112</v>
      </c>
      <c r="J1096" s="8" t="s">
        <v>25</v>
      </c>
      <c r="N1096" s="8" t="s">
        <v>58</v>
      </c>
      <c r="O1096" s="8" t="s">
        <v>59</v>
      </c>
      <c r="P1096" s="8" t="s">
        <v>59</v>
      </c>
      <c r="R1096" s="8">
        <v>0</v>
      </c>
      <c r="S1096" s="8">
        <v>0</v>
      </c>
      <c r="T1096" s="8">
        <v>1</v>
      </c>
      <c r="U1096" s="8">
        <v>2</v>
      </c>
      <c r="X1096" s="8">
        <v>5</v>
      </c>
      <c r="AG1096" s="8" t="str">
        <f t="shared" si="69"/>
        <v/>
      </c>
      <c r="AI1096" s="8" t="str">
        <f t="shared" si="70"/>
        <v/>
      </c>
      <c r="AJ1096" s="8" t="str">
        <f t="shared" si="71"/>
        <v/>
      </c>
      <c r="AL1096" s="8" t="str">
        <f t="shared" si="72"/>
        <v/>
      </c>
    </row>
    <row r="1097" spans="1:38" x14ac:dyDescent="0.25">
      <c r="A1097" s="8" t="s">
        <v>7014</v>
      </c>
      <c r="B1097" s="8" t="s">
        <v>7015</v>
      </c>
      <c r="C1097" s="8">
        <v>30916408</v>
      </c>
      <c r="D1097" s="8">
        <v>5</v>
      </c>
      <c r="E1097" s="11">
        <v>43112</v>
      </c>
      <c r="F1097" s="8" t="s">
        <v>57</v>
      </c>
      <c r="G1097" s="11">
        <v>43115</v>
      </c>
      <c r="H1097" s="8" t="s">
        <v>25</v>
      </c>
      <c r="J1097" s="8" t="s">
        <v>25</v>
      </c>
      <c r="N1097" s="8" t="s">
        <v>58</v>
      </c>
      <c r="O1097" s="8" t="s">
        <v>59</v>
      </c>
      <c r="P1097" s="8" t="s">
        <v>59</v>
      </c>
      <c r="R1097" s="8">
        <v>0</v>
      </c>
      <c r="S1097" s="8">
        <v>0</v>
      </c>
      <c r="T1097" s="8">
        <v>1</v>
      </c>
      <c r="U1097" s="8">
        <v>2</v>
      </c>
      <c r="AG1097" s="8" t="str">
        <f t="shared" si="69"/>
        <v/>
      </c>
      <c r="AI1097" s="8" t="str">
        <f t="shared" si="70"/>
        <v/>
      </c>
      <c r="AJ1097" s="8" t="str">
        <f t="shared" si="71"/>
        <v/>
      </c>
      <c r="AL1097" s="8" t="str">
        <f t="shared" si="72"/>
        <v/>
      </c>
    </row>
    <row r="1098" spans="1:38" x14ac:dyDescent="0.25">
      <c r="A1098" s="8" t="s">
        <v>5130</v>
      </c>
      <c r="B1098" s="8" t="s">
        <v>5131</v>
      </c>
      <c r="C1098" s="8">
        <v>30882277</v>
      </c>
      <c r="D1098" s="8">
        <v>5</v>
      </c>
      <c r="E1098" s="11">
        <v>43111</v>
      </c>
      <c r="F1098" s="8" t="s">
        <v>58</v>
      </c>
      <c r="G1098" s="11">
        <v>43112</v>
      </c>
      <c r="H1098" s="8" t="s">
        <v>25</v>
      </c>
      <c r="I1098" s="11">
        <v>43115</v>
      </c>
      <c r="J1098" s="8" t="s">
        <v>25</v>
      </c>
      <c r="N1098" s="8" t="s">
        <v>58</v>
      </c>
      <c r="O1098" s="8" t="s">
        <v>59</v>
      </c>
      <c r="P1098" s="8" t="s">
        <v>59</v>
      </c>
      <c r="R1098" s="8">
        <v>0</v>
      </c>
      <c r="S1098" s="8">
        <v>0</v>
      </c>
      <c r="T1098" s="8">
        <v>1</v>
      </c>
      <c r="U1098" s="8">
        <v>2</v>
      </c>
      <c r="X1098" s="8">
        <v>5</v>
      </c>
      <c r="AG1098" s="8" t="str">
        <f t="shared" si="69"/>
        <v/>
      </c>
      <c r="AI1098" s="8" t="str">
        <f t="shared" si="70"/>
        <v/>
      </c>
      <c r="AJ1098" s="8" t="str">
        <f t="shared" si="71"/>
        <v/>
      </c>
      <c r="AL1098" s="8" t="str">
        <f t="shared" si="72"/>
        <v/>
      </c>
    </row>
    <row r="1099" spans="1:38" x14ac:dyDescent="0.25">
      <c r="A1099" s="8" t="s">
        <v>7016</v>
      </c>
      <c r="B1099" s="8" t="s">
        <v>7017</v>
      </c>
      <c r="C1099" s="8">
        <v>30916246</v>
      </c>
      <c r="D1099" s="8">
        <v>5</v>
      </c>
      <c r="E1099" s="11">
        <v>43112</v>
      </c>
      <c r="F1099" s="8" t="s">
        <v>57</v>
      </c>
      <c r="G1099" s="11">
        <v>43115</v>
      </c>
      <c r="H1099" s="8" t="s">
        <v>25</v>
      </c>
      <c r="J1099" s="8" t="s">
        <v>25</v>
      </c>
      <c r="N1099" s="8" t="s">
        <v>58</v>
      </c>
      <c r="O1099" s="8" t="s">
        <v>59</v>
      </c>
      <c r="P1099" s="8" t="s">
        <v>59</v>
      </c>
      <c r="R1099" s="8">
        <v>0</v>
      </c>
      <c r="S1099" s="8">
        <v>0</v>
      </c>
      <c r="T1099" s="8">
        <v>1</v>
      </c>
      <c r="U1099" s="8">
        <v>2</v>
      </c>
      <c r="AG1099" s="8" t="str">
        <f t="shared" si="69"/>
        <v/>
      </c>
      <c r="AI1099" s="8" t="str">
        <f t="shared" si="70"/>
        <v/>
      </c>
      <c r="AJ1099" s="8" t="str">
        <f t="shared" si="71"/>
        <v/>
      </c>
      <c r="AL1099" s="8" t="str">
        <f t="shared" si="72"/>
        <v/>
      </c>
    </row>
    <row r="1100" spans="1:38" x14ac:dyDescent="0.25">
      <c r="A1100" s="8" t="s">
        <v>7018</v>
      </c>
      <c r="B1100" s="8" t="s">
        <v>7019</v>
      </c>
      <c r="C1100" s="8">
        <v>30915490</v>
      </c>
      <c r="D1100" s="8">
        <v>5</v>
      </c>
      <c r="E1100" s="11">
        <v>43112</v>
      </c>
      <c r="F1100" s="8" t="s">
        <v>57</v>
      </c>
      <c r="G1100" s="11">
        <v>43115</v>
      </c>
      <c r="H1100" s="8" t="s">
        <v>25</v>
      </c>
      <c r="J1100" s="8" t="s">
        <v>25</v>
      </c>
      <c r="N1100" s="8" t="s">
        <v>58</v>
      </c>
      <c r="O1100" s="8" t="s">
        <v>59</v>
      </c>
      <c r="P1100" s="8" t="s">
        <v>59</v>
      </c>
      <c r="R1100" s="8">
        <v>0</v>
      </c>
      <c r="S1100" s="8">
        <v>0</v>
      </c>
      <c r="T1100" s="8">
        <v>1</v>
      </c>
      <c r="U1100" s="8">
        <v>2</v>
      </c>
      <c r="AG1100" s="8" t="str">
        <f t="shared" si="69"/>
        <v/>
      </c>
      <c r="AI1100" s="8" t="str">
        <f t="shared" si="70"/>
        <v/>
      </c>
      <c r="AJ1100" s="8" t="str">
        <f t="shared" si="71"/>
        <v/>
      </c>
      <c r="AL1100" s="8" t="str">
        <f t="shared" si="72"/>
        <v/>
      </c>
    </row>
    <row r="1101" spans="1:38" x14ac:dyDescent="0.25">
      <c r="A1101" s="8" t="s">
        <v>5132</v>
      </c>
      <c r="B1101" s="8" t="s">
        <v>5133</v>
      </c>
      <c r="C1101" s="8">
        <v>30893268</v>
      </c>
      <c r="D1101" s="8">
        <v>5</v>
      </c>
      <c r="E1101" s="11">
        <v>43111</v>
      </c>
      <c r="F1101" s="8" t="s">
        <v>57</v>
      </c>
      <c r="G1101" s="11">
        <v>43112</v>
      </c>
      <c r="H1101" s="8" t="s">
        <v>25</v>
      </c>
      <c r="J1101" s="8" t="s">
        <v>25</v>
      </c>
      <c r="N1101" s="8" t="s">
        <v>58</v>
      </c>
      <c r="O1101" s="8" t="s">
        <v>59</v>
      </c>
      <c r="P1101" s="8" t="s">
        <v>59</v>
      </c>
      <c r="R1101" s="8">
        <v>0</v>
      </c>
      <c r="S1101" s="8">
        <v>0</v>
      </c>
      <c r="T1101" s="8">
        <v>1</v>
      </c>
      <c r="U1101" s="8">
        <v>2</v>
      </c>
      <c r="AG1101" s="8" t="str">
        <f t="shared" si="69"/>
        <v/>
      </c>
      <c r="AI1101" s="8" t="str">
        <f t="shared" si="70"/>
        <v/>
      </c>
      <c r="AJ1101" s="8" t="str">
        <f t="shared" si="71"/>
        <v/>
      </c>
      <c r="AL1101" s="8" t="str">
        <f t="shared" si="72"/>
        <v/>
      </c>
    </row>
    <row r="1102" spans="1:38" x14ac:dyDescent="0.25">
      <c r="A1102" s="8" t="s">
        <v>1062</v>
      </c>
      <c r="B1102" s="8" t="s">
        <v>1063</v>
      </c>
      <c r="C1102" s="8">
        <v>30837849</v>
      </c>
      <c r="D1102" s="8">
        <v>5</v>
      </c>
      <c r="E1102" s="11">
        <v>43109</v>
      </c>
      <c r="F1102" s="8" t="s">
        <v>57</v>
      </c>
      <c r="G1102" s="11">
        <v>43109</v>
      </c>
      <c r="H1102" s="8" t="s">
        <v>25</v>
      </c>
      <c r="J1102" s="8" t="s">
        <v>25</v>
      </c>
      <c r="N1102" s="8" t="s">
        <v>58</v>
      </c>
      <c r="O1102" s="8" t="s">
        <v>59</v>
      </c>
      <c r="P1102" s="8" t="s">
        <v>59</v>
      </c>
      <c r="R1102" s="8">
        <v>0</v>
      </c>
      <c r="S1102" s="8">
        <v>0</v>
      </c>
      <c r="T1102" s="8">
        <v>1</v>
      </c>
      <c r="U1102" s="8">
        <v>2</v>
      </c>
      <c r="AG1102" s="8" t="str">
        <f t="shared" si="69"/>
        <v/>
      </c>
      <c r="AI1102" s="8" t="str">
        <f t="shared" si="70"/>
        <v/>
      </c>
      <c r="AJ1102" s="8" t="str">
        <f t="shared" si="71"/>
        <v/>
      </c>
      <c r="AL1102" s="8" t="str">
        <f t="shared" si="72"/>
        <v/>
      </c>
    </row>
    <row r="1103" spans="1:38" x14ac:dyDescent="0.25">
      <c r="A1103" s="8" t="s">
        <v>348</v>
      </c>
      <c r="B1103" s="8" t="s">
        <v>349</v>
      </c>
      <c r="C1103" s="8">
        <v>30827666</v>
      </c>
      <c r="D1103" s="8">
        <v>5</v>
      </c>
      <c r="E1103" s="11">
        <v>43108</v>
      </c>
      <c r="F1103" s="8" t="s">
        <v>58</v>
      </c>
      <c r="G1103" s="11">
        <v>43108</v>
      </c>
      <c r="H1103" s="8" t="s">
        <v>25</v>
      </c>
      <c r="I1103" s="11">
        <v>43108</v>
      </c>
      <c r="J1103" s="8" t="s">
        <v>25</v>
      </c>
      <c r="N1103" s="8" t="s">
        <v>58</v>
      </c>
      <c r="O1103" s="8" t="s">
        <v>59</v>
      </c>
      <c r="P1103" s="8" t="s">
        <v>59</v>
      </c>
      <c r="R1103" s="8">
        <v>0</v>
      </c>
      <c r="S1103" s="8">
        <v>0</v>
      </c>
      <c r="T1103" s="8">
        <v>1</v>
      </c>
      <c r="U1103" s="8">
        <v>2</v>
      </c>
      <c r="X1103" s="8">
        <v>5</v>
      </c>
      <c r="AG1103" s="8" t="str">
        <f t="shared" si="69"/>
        <v/>
      </c>
      <c r="AI1103" s="8" t="str">
        <f t="shared" si="70"/>
        <v/>
      </c>
      <c r="AJ1103" s="8" t="str">
        <f t="shared" si="71"/>
        <v/>
      </c>
      <c r="AL1103" s="8" t="str">
        <f t="shared" si="72"/>
        <v/>
      </c>
    </row>
    <row r="1104" spans="1:38" x14ac:dyDescent="0.25">
      <c r="A1104" s="8" t="s">
        <v>350</v>
      </c>
      <c r="B1104" s="8" t="s">
        <v>351</v>
      </c>
      <c r="C1104" s="8">
        <v>30817729</v>
      </c>
      <c r="D1104" s="8">
        <v>5</v>
      </c>
      <c r="E1104" s="11">
        <v>43108</v>
      </c>
      <c r="F1104" s="8" t="s">
        <v>58</v>
      </c>
      <c r="G1104" s="11">
        <v>43108</v>
      </c>
      <c r="H1104" s="8" t="s">
        <v>25</v>
      </c>
      <c r="I1104" s="11">
        <v>43108</v>
      </c>
      <c r="J1104" s="8" t="s">
        <v>25</v>
      </c>
      <c r="N1104" s="8" t="s">
        <v>58</v>
      </c>
      <c r="O1104" s="8" t="s">
        <v>59</v>
      </c>
      <c r="P1104" s="8" t="s">
        <v>59</v>
      </c>
      <c r="R1104" s="8">
        <v>0</v>
      </c>
      <c r="S1104" s="8">
        <v>0</v>
      </c>
      <c r="T1104" s="8">
        <v>1</v>
      </c>
      <c r="U1104" s="8">
        <v>2</v>
      </c>
      <c r="X1104" s="8">
        <v>5</v>
      </c>
      <c r="AG1104" s="8" t="str">
        <f t="shared" si="69"/>
        <v/>
      </c>
      <c r="AI1104" s="8" t="str">
        <f t="shared" si="70"/>
        <v/>
      </c>
      <c r="AJ1104" s="8" t="str">
        <f t="shared" si="71"/>
        <v/>
      </c>
      <c r="AL1104" s="8" t="str">
        <f t="shared" si="72"/>
        <v/>
      </c>
    </row>
    <row r="1105" spans="1:38" x14ac:dyDescent="0.25">
      <c r="A1105" s="8" t="s">
        <v>7020</v>
      </c>
      <c r="B1105" s="8" t="s">
        <v>7021</v>
      </c>
      <c r="C1105" s="8">
        <v>30899879</v>
      </c>
      <c r="D1105" s="8">
        <v>4</v>
      </c>
      <c r="E1105" s="11">
        <v>43111</v>
      </c>
      <c r="F1105" s="8" t="s">
        <v>57</v>
      </c>
      <c r="G1105" s="11">
        <v>43115</v>
      </c>
      <c r="H1105" s="8" t="s">
        <v>25</v>
      </c>
      <c r="J1105" s="8" t="s">
        <v>25</v>
      </c>
      <c r="N1105" s="8" t="s">
        <v>58</v>
      </c>
      <c r="O1105" s="8" t="s">
        <v>59</v>
      </c>
      <c r="P1105" s="8" t="s">
        <v>59</v>
      </c>
      <c r="R1105" s="8">
        <v>0</v>
      </c>
      <c r="S1105" s="8">
        <v>0</v>
      </c>
      <c r="T1105" s="8">
        <v>1</v>
      </c>
      <c r="U1105" s="8">
        <v>2</v>
      </c>
      <c r="AG1105" s="8" t="str">
        <f t="shared" si="69"/>
        <v/>
      </c>
      <c r="AI1105" s="8" t="str">
        <f t="shared" si="70"/>
        <v/>
      </c>
      <c r="AJ1105" s="8" t="str">
        <f t="shared" si="71"/>
        <v/>
      </c>
      <c r="AL1105" s="8" t="str">
        <f t="shared" si="72"/>
        <v/>
      </c>
    </row>
    <row r="1106" spans="1:38" x14ac:dyDescent="0.25">
      <c r="A1106" s="8" t="s">
        <v>3622</v>
      </c>
      <c r="B1106" s="8" t="s">
        <v>3623</v>
      </c>
      <c r="C1106" s="8">
        <v>30894135</v>
      </c>
      <c r="D1106" s="8">
        <v>5</v>
      </c>
      <c r="E1106" s="11">
        <v>43111</v>
      </c>
      <c r="F1106" s="8" t="s">
        <v>57</v>
      </c>
      <c r="G1106" s="11">
        <v>43111</v>
      </c>
      <c r="H1106" s="8" t="s">
        <v>25</v>
      </c>
      <c r="J1106" s="8" t="s">
        <v>25</v>
      </c>
      <c r="N1106" s="8" t="s">
        <v>58</v>
      </c>
      <c r="O1106" s="8" t="s">
        <v>59</v>
      </c>
      <c r="P1106" s="8" t="s">
        <v>59</v>
      </c>
      <c r="R1106" s="8">
        <v>0</v>
      </c>
      <c r="S1106" s="8">
        <v>0</v>
      </c>
      <c r="T1106" s="8">
        <v>1</v>
      </c>
      <c r="U1106" s="8">
        <v>2</v>
      </c>
      <c r="AG1106" s="8" t="str">
        <f t="shared" si="69"/>
        <v/>
      </c>
      <c r="AI1106" s="8" t="str">
        <f t="shared" si="70"/>
        <v/>
      </c>
      <c r="AJ1106" s="8" t="str">
        <f t="shared" si="71"/>
        <v/>
      </c>
      <c r="AL1106" s="8" t="str">
        <f t="shared" si="72"/>
        <v/>
      </c>
    </row>
    <row r="1107" spans="1:38" x14ac:dyDescent="0.25">
      <c r="A1107" s="8" t="s">
        <v>7022</v>
      </c>
      <c r="B1107" s="8" t="s">
        <v>7023</v>
      </c>
      <c r="C1107" s="8">
        <v>30914585</v>
      </c>
      <c r="D1107" s="8">
        <v>5</v>
      </c>
      <c r="E1107" s="11">
        <v>43112</v>
      </c>
      <c r="F1107" s="8" t="s">
        <v>57</v>
      </c>
      <c r="G1107" s="11">
        <v>43115</v>
      </c>
      <c r="H1107" s="8" t="s">
        <v>25</v>
      </c>
      <c r="J1107" s="8" t="s">
        <v>25</v>
      </c>
      <c r="N1107" s="8" t="s">
        <v>58</v>
      </c>
      <c r="O1107" s="8" t="s">
        <v>59</v>
      </c>
      <c r="P1107" s="8" t="s">
        <v>59</v>
      </c>
      <c r="R1107" s="8">
        <v>0</v>
      </c>
      <c r="S1107" s="8">
        <v>0</v>
      </c>
      <c r="T1107" s="8">
        <v>1</v>
      </c>
      <c r="U1107" s="8">
        <v>2</v>
      </c>
      <c r="AG1107" s="8" t="str">
        <f t="shared" si="69"/>
        <v/>
      </c>
      <c r="AI1107" s="8" t="str">
        <f t="shared" si="70"/>
        <v/>
      </c>
      <c r="AJ1107" s="8" t="str">
        <f t="shared" si="71"/>
        <v/>
      </c>
      <c r="AL1107" s="8" t="str">
        <f t="shared" si="72"/>
        <v/>
      </c>
    </row>
    <row r="1108" spans="1:38" x14ac:dyDescent="0.25">
      <c r="A1108" s="8" t="s">
        <v>3624</v>
      </c>
      <c r="B1108" s="8" t="s">
        <v>3625</v>
      </c>
      <c r="C1108" s="8">
        <v>30893219</v>
      </c>
      <c r="D1108" s="8">
        <v>5</v>
      </c>
      <c r="E1108" s="11">
        <v>43111</v>
      </c>
      <c r="F1108" s="8" t="s">
        <v>57</v>
      </c>
      <c r="G1108" s="11">
        <v>43111</v>
      </c>
      <c r="H1108" s="8" t="s">
        <v>25</v>
      </c>
      <c r="J1108" s="8" t="s">
        <v>25</v>
      </c>
      <c r="N1108" s="8" t="s">
        <v>58</v>
      </c>
      <c r="O1108" s="8" t="s">
        <v>59</v>
      </c>
      <c r="P1108" s="8" t="s">
        <v>59</v>
      </c>
      <c r="R1108" s="8">
        <v>0</v>
      </c>
      <c r="S1108" s="8">
        <v>0</v>
      </c>
      <c r="T1108" s="8">
        <v>1</v>
      </c>
      <c r="U1108" s="8">
        <v>2</v>
      </c>
      <c r="AG1108" s="8" t="str">
        <f t="shared" si="69"/>
        <v/>
      </c>
      <c r="AI1108" s="8" t="str">
        <f t="shared" si="70"/>
        <v/>
      </c>
      <c r="AJ1108" s="8" t="str">
        <f t="shared" si="71"/>
        <v/>
      </c>
      <c r="AL1108" s="8" t="str">
        <f t="shared" si="72"/>
        <v/>
      </c>
    </row>
    <row r="1109" spans="1:38" x14ac:dyDescent="0.25">
      <c r="A1109" s="8" t="s">
        <v>3626</v>
      </c>
      <c r="B1109" s="8" t="s">
        <v>3627</v>
      </c>
      <c r="C1109" s="8">
        <v>30887147</v>
      </c>
      <c r="D1109" s="8">
        <v>4</v>
      </c>
      <c r="E1109" s="11">
        <v>43111</v>
      </c>
      <c r="F1109" s="8" t="s">
        <v>57</v>
      </c>
      <c r="G1109" s="11">
        <v>43111</v>
      </c>
      <c r="H1109" s="8" t="s">
        <v>25</v>
      </c>
      <c r="J1109" s="8" t="s">
        <v>25</v>
      </c>
      <c r="N1109" s="8" t="s">
        <v>58</v>
      </c>
      <c r="O1109" s="8" t="s">
        <v>59</v>
      </c>
      <c r="P1109" s="8" t="s">
        <v>59</v>
      </c>
      <c r="R1109" s="8">
        <v>0</v>
      </c>
      <c r="S1109" s="8">
        <v>0</v>
      </c>
      <c r="T1109" s="8">
        <v>1</v>
      </c>
      <c r="U1109" s="8">
        <v>2</v>
      </c>
      <c r="AG1109" s="8" t="str">
        <f t="shared" si="69"/>
        <v/>
      </c>
      <c r="AI1109" s="8" t="str">
        <f t="shared" si="70"/>
        <v/>
      </c>
      <c r="AJ1109" s="8" t="str">
        <f t="shared" si="71"/>
        <v/>
      </c>
      <c r="AL1109" s="8" t="str">
        <f t="shared" si="72"/>
        <v/>
      </c>
    </row>
    <row r="1110" spans="1:38" x14ac:dyDescent="0.25">
      <c r="A1110" s="8" t="s">
        <v>7024</v>
      </c>
      <c r="B1110" s="8" t="s">
        <v>7025</v>
      </c>
      <c r="C1110" s="8">
        <v>30902055</v>
      </c>
      <c r="D1110" s="8">
        <v>5</v>
      </c>
      <c r="E1110" s="11">
        <v>43111</v>
      </c>
      <c r="F1110" s="8" t="s">
        <v>57</v>
      </c>
      <c r="G1110" s="11">
        <v>43115</v>
      </c>
      <c r="H1110" s="8" t="s">
        <v>25</v>
      </c>
      <c r="J1110" s="8" t="s">
        <v>25</v>
      </c>
      <c r="N1110" s="8" t="s">
        <v>58</v>
      </c>
      <c r="O1110" s="8" t="s">
        <v>59</v>
      </c>
      <c r="P1110" s="8" t="s">
        <v>59</v>
      </c>
      <c r="R1110" s="8">
        <v>0</v>
      </c>
      <c r="S1110" s="8">
        <v>0</v>
      </c>
      <c r="T1110" s="8">
        <v>1</v>
      </c>
      <c r="U1110" s="8">
        <v>2</v>
      </c>
      <c r="AG1110" s="8" t="str">
        <f t="shared" si="69"/>
        <v/>
      </c>
      <c r="AI1110" s="8" t="str">
        <f t="shared" si="70"/>
        <v/>
      </c>
      <c r="AJ1110" s="8" t="str">
        <f t="shared" si="71"/>
        <v/>
      </c>
      <c r="AL1110" s="8" t="str">
        <f t="shared" si="72"/>
        <v/>
      </c>
    </row>
    <row r="1111" spans="1:38" x14ac:dyDescent="0.25">
      <c r="A1111" s="8" t="s">
        <v>5134</v>
      </c>
      <c r="B1111" s="8" t="s">
        <v>5135</v>
      </c>
      <c r="C1111" s="8">
        <v>30891793</v>
      </c>
      <c r="D1111" s="8">
        <v>5</v>
      </c>
      <c r="E1111" s="11">
        <v>43111</v>
      </c>
      <c r="F1111" s="8" t="s">
        <v>57</v>
      </c>
      <c r="G1111" s="11">
        <v>43112</v>
      </c>
      <c r="H1111" s="8" t="s">
        <v>25</v>
      </c>
      <c r="J1111" s="8" t="s">
        <v>25</v>
      </c>
      <c r="N1111" s="8" t="s">
        <v>58</v>
      </c>
      <c r="O1111" s="8" t="s">
        <v>59</v>
      </c>
      <c r="P1111" s="8" t="s">
        <v>59</v>
      </c>
      <c r="R1111" s="8">
        <v>0</v>
      </c>
      <c r="S1111" s="8">
        <v>0</v>
      </c>
      <c r="T1111" s="8">
        <v>1</v>
      </c>
      <c r="U1111" s="8">
        <v>2</v>
      </c>
      <c r="AG1111" s="8" t="str">
        <f t="shared" si="69"/>
        <v/>
      </c>
      <c r="AI1111" s="8" t="str">
        <f t="shared" si="70"/>
        <v/>
      </c>
      <c r="AJ1111" s="8" t="str">
        <f t="shared" si="71"/>
        <v/>
      </c>
      <c r="AL1111" s="8" t="str">
        <f t="shared" si="72"/>
        <v/>
      </c>
    </row>
    <row r="1112" spans="1:38" x14ac:dyDescent="0.25">
      <c r="A1112" s="8" t="s">
        <v>1064</v>
      </c>
      <c r="B1112" s="8" t="s">
        <v>1065</v>
      </c>
      <c r="C1112" s="8">
        <v>30850764</v>
      </c>
      <c r="D1112" s="8">
        <v>5</v>
      </c>
      <c r="E1112" s="11">
        <v>43109</v>
      </c>
      <c r="F1112" s="8" t="s">
        <v>58</v>
      </c>
      <c r="G1112" s="11">
        <v>43109</v>
      </c>
      <c r="H1112" s="8" t="s">
        <v>25</v>
      </c>
      <c r="I1112" s="11">
        <v>43111</v>
      </c>
      <c r="J1112" s="8" t="s">
        <v>25</v>
      </c>
      <c r="N1112" s="8" t="s">
        <v>58</v>
      </c>
      <c r="O1112" s="8" t="s">
        <v>59</v>
      </c>
      <c r="P1112" s="8" t="s">
        <v>59</v>
      </c>
      <c r="R1112" s="8">
        <v>0</v>
      </c>
      <c r="S1112" s="8">
        <v>0</v>
      </c>
      <c r="T1112" s="8">
        <v>1</v>
      </c>
      <c r="U1112" s="8">
        <v>2</v>
      </c>
      <c r="X1112" s="8">
        <v>5</v>
      </c>
      <c r="AG1112" s="8" t="str">
        <f t="shared" si="69"/>
        <v/>
      </c>
      <c r="AI1112" s="8" t="str">
        <f t="shared" si="70"/>
        <v/>
      </c>
      <c r="AJ1112" s="8" t="str">
        <f t="shared" si="71"/>
        <v/>
      </c>
      <c r="AL1112" s="8" t="str">
        <f t="shared" si="72"/>
        <v/>
      </c>
    </row>
    <row r="1113" spans="1:38" x14ac:dyDescent="0.25">
      <c r="A1113" s="8" t="s">
        <v>7026</v>
      </c>
      <c r="B1113" s="8" t="s">
        <v>7027</v>
      </c>
      <c r="C1113" s="8">
        <v>30940315</v>
      </c>
      <c r="D1113" s="8">
        <v>5</v>
      </c>
      <c r="E1113" s="11">
        <v>43115</v>
      </c>
      <c r="F1113" s="8" t="s">
        <v>57</v>
      </c>
      <c r="G1113" s="11">
        <v>43115</v>
      </c>
      <c r="H1113" s="8" t="s">
        <v>25</v>
      </c>
      <c r="J1113" s="8" t="s">
        <v>25</v>
      </c>
      <c r="N1113" s="8" t="s">
        <v>58</v>
      </c>
      <c r="O1113" s="8" t="s">
        <v>59</v>
      </c>
      <c r="P1113" s="8" t="s">
        <v>59</v>
      </c>
      <c r="R1113" s="8">
        <v>0</v>
      </c>
      <c r="S1113" s="8">
        <v>0</v>
      </c>
      <c r="T1113" s="8">
        <v>1</v>
      </c>
      <c r="U1113" s="8">
        <v>2</v>
      </c>
      <c r="AG1113" s="8" t="str">
        <f t="shared" si="69"/>
        <v/>
      </c>
      <c r="AI1113" s="8" t="str">
        <f t="shared" si="70"/>
        <v/>
      </c>
      <c r="AJ1113" s="8" t="str">
        <f t="shared" si="71"/>
        <v/>
      </c>
      <c r="AL1113" s="8" t="str">
        <f t="shared" si="72"/>
        <v/>
      </c>
    </row>
    <row r="1114" spans="1:38" x14ac:dyDescent="0.25">
      <c r="A1114" s="8" t="s">
        <v>5136</v>
      </c>
      <c r="B1114" s="8" t="s">
        <v>5137</v>
      </c>
      <c r="C1114" s="8">
        <v>30913466</v>
      </c>
      <c r="D1114" s="8">
        <v>5</v>
      </c>
      <c r="E1114" s="11">
        <v>43112</v>
      </c>
      <c r="F1114" s="8" t="s">
        <v>58</v>
      </c>
      <c r="G1114" s="11">
        <v>43112</v>
      </c>
      <c r="H1114" s="8" t="s">
        <v>25</v>
      </c>
      <c r="I1114" s="11">
        <v>43112</v>
      </c>
      <c r="J1114" s="8" t="s">
        <v>25</v>
      </c>
      <c r="N1114" s="8" t="s">
        <v>58</v>
      </c>
      <c r="O1114" s="8" t="s">
        <v>59</v>
      </c>
      <c r="P1114" s="8" t="s">
        <v>59</v>
      </c>
      <c r="R1114" s="8">
        <v>0</v>
      </c>
      <c r="S1114" s="8">
        <v>0</v>
      </c>
      <c r="T1114" s="8">
        <v>1</v>
      </c>
      <c r="U1114" s="8">
        <v>2</v>
      </c>
      <c r="X1114" s="8">
        <v>5</v>
      </c>
      <c r="AG1114" s="8" t="str">
        <f t="shared" si="69"/>
        <v/>
      </c>
      <c r="AI1114" s="8" t="str">
        <f t="shared" si="70"/>
        <v/>
      </c>
      <c r="AJ1114" s="8" t="str">
        <f t="shared" si="71"/>
        <v/>
      </c>
      <c r="AL1114" s="8" t="str">
        <f t="shared" si="72"/>
        <v/>
      </c>
    </row>
    <row r="1115" spans="1:38" x14ac:dyDescent="0.25">
      <c r="A1115" s="8" t="s">
        <v>1066</v>
      </c>
      <c r="B1115" s="8" t="s">
        <v>1067</v>
      </c>
      <c r="C1115" s="8">
        <v>30842538</v>
      </c>
      <c r="D1115" s="8">
        <v>5</v>
      </c>
      <c r="E1115" s="11">
        <v>43109</v>
      </c>
      <c r="F1115" s="8" t="s">
        <v>57</v>
      </c>
      <c r="G1115" s="11">
        <v>43109</v>
      </c>
      <c r="H1115" s="8" t="s">
        <v>25</v>
      </c>
      <c r="J1115" s="8" t="s">
        <v>25</v>
      </c>
      <c r="N1115" s="8" t="s">
        <v>58</v>
      </c>
      <c r="O1115" s="8" t="s">
        <v>59</v>
      </c>
      <c r="P1115" s="8" t="s">
        <v>59</v>
      </c>
      <c r="R1115" s="8">
        <v>0</v>
      </c>
      <c r="S1115" s="8">
        <v>0</v>
      </c>
      <c r="T1115" s="8">
        <v>1</v>
      </c>
      <c r="U1115" s="8">
        <v>2</v>
      </c>
      <c r="AG1115" s="8" t="str">
        <f t="shared" si="69"/>
        <v/>
      </c>
      <c r="AI1115" s="8" t="str">
        <f t="shared" si="70"/>
        <v/>
      </c>
      <c r="AJ1115" s="8" t="str">
        <f t="shared" si="71"/>
        <v/>
      </c>
      <c r="AL1115" s="8" t="str">
        <f t="shared" si="72"/>
        <v/>
      </c>
    </row>
    <row r="1116" spans="1:38" x14ac:dyDescent="0.25">
      <c r="A1116" s="8" t="s">
        <v>3628</v>
      </c>
      <c r="B1116" s="8" t="s">
        <v>3629</v>
      </c>
      <c r="C1116" s="8">
        <v>30870603</v>
      </c>
      <c r="D1116" s="8">
        <v>5</v>
      </c>
      <c r="E1116" s="11">
        <v>43110</v>
      </c>
      <c r="F1116" s="8" t="s">
        <v>58</v>
      </c>
      <c r="G1116" s="11">
        <v>43111</v>
      </c>
      <c r="H1116" s="8" t="s">
        <v>25</v>
      </c>
      <c r="I1116" s="11">
        <v>43111</v>
      </c>
      <c r="J1116" s="8" t="s">
        <v>25</v>
      </c>
      <c r="N1116" s="8" t="s">
        <v>58</v>
      </c>
      <c r="O1116" s="8" t="s">
        <v>59</v>
      </c>
      <c r="P1116" s="8" t="s">
        <v>59</v>
      </c>
      <c r="R1116" s="8">
        <v>0</v>
      </c>
      <c r="S1116" s="8">
        <v>0</v>
      </c>
      <c r="T1116" s="8">
        <v>1</v>
      </c>
      <c r="U1116" s="8">
        <v>2</v>
      </c>
      <c r="X1116" s="8">
        <v>5</v>
      </c>
      <c r="AG1116" s="8" t="str">
        <f t="shared" si="69"/>
        <v/>
      </c>
      <c r="AI1116" s="8" t="str">
        <f t="shared" si="70"/>
        <v/>
      </c>
      <c r="AJ1116" s="8" t="str">
        <f t="shared" si="71"/>
        <v/>
      </c>
      <c r="AL1116" s="8" t="str">
        <f t="shared" si="72"/>
        <v/>
      </c>
    </row>
    <row r="1117" spans="1:38" x14ac:dyDescent="0.25">
      <c r="A1117" s="8" t="s">
        <v>1068</v>
      </c>
      <c r="B1117" s="8" t="s">
        <v>1069</v>
      </c>
      <c r="C1117" s="8">
        <v>30842920</v>
      </c>
      <c r="D1117" s="8">
        <v>4</v>
      </c>
      <c r="E1117" s="11">
        <v>43109</v>
      </c>
      <c r="F1117" s="8" t="s">
        <v>57</v>
      </c>
      <c r="G1117" s="11">
        <v>43109</v>
      </c>
      <c r="H1117" s="8" t="s">
        <v>25</v>
      </c>
      <c r="J1117" s="8" t="s">
        <v>25</v>
      </c>
      <c r="N1117" s="8" t="s">
        <v>58</v>
      </c>
      <c r="O1117" s="8" t="s">
        <v>59</v>
      </c>
      <c r="P1117" s="8" t="s">
        <v>59</v>
      </c>
      <c r="R1117" s="8">
        <v>0</v>
      </c>
      <c r="S1117" s="8">
        <v>0</v>
      </c>
      <c r="T1117" s="8">
        <v>1</v>
      </c>
      <c r="U1117" s="8">
        <v>2</v>
      </c>
      <c r="AG1117" s="8" t="str">
        <f t="shared" si="69"/>
        <v/>
      </c>
      <c r="AI1117" s="8" t="str">
        <f t="shared" si="70"/>
        <v/>
      </c>
      <c r="AJ1117" s="8" t="str">
        <f t="shared" si="71"/>
        <v/>
      </c>
      <c r="AL1117" s="8" t="str">
        <f t="shared" si="72"/>
        <v/>
      </c>
    </row>
    <row r="1118" spans="1:38" x14ac:dyDescent="0.25">
      <c r="A1118" s="8" t="s">
        <v>3630</v>
      </c>
      <c r="B1118" s="8" t="s">
        <v>3631</v>
      </c>
      <c r="C1118" s="8">
        <v>30891269</v>
      </c>
      <c r="D1118" s="8">
        <v>5</v>
      </c>
      <c r="E1118" s="11">
        <v>43111</v>
      </c>
      <c r="F1118" s="8" t="s">
        <v>57</v>
      </c>
      <c r="G1118" s="11">
        <v>43111</v>
      </c>
      <c r="H1118" s="8" t="s">
        <v>25</v>
      </c>
      <c r="J1118" s="8" t="s">
        <v>25</v>
      </c>
      <c r="N1118" s="8" t="s">
        <v>58</v>
      </c>
      <c r="O1118" s="8" t="s">
        <v>59</v>
      </c>
      <c r="P1118" s="8" t="s">
        <v>59</v>
      </c>
      <c r="R1118" s="8">
        <v>0</v>
      </c>
      <c r="S1118" s="8">
        <v>0</v>
      </c>
      <c r="T1118" s="8">
        <v>1</v>
      </c>
      <c r="U1118" s="8">
        <v>2</v>
      </c>
      <c r="AG1118" s="8" t="str">
        <f t="shared" si="69"/>
        <v/>
      </c>
      <c r="AI1118" s="8" t="str">
        <f t="shared" si="70"/>
        <v/>
      </c>
      <c r="AJ1118" s="8" t="str">
        <f t="shared" si="71"/>
        <v/>
      </c>
      <c r="AL1118" s="8" t="str">
        <f t="shared" si="72"/>
        <v/>
      </c>
    </row>
    <row r="1119" spans="1:38" x14ac:dyDescent="0.25">
      <c r="A1119" s="8" t="s">
        <v>1070</v>
      </c>
      <c r="B1119" s="8" t="s">
        <v>1071</v>
      </c>
      <c r="C1119" s="8">
        <v>30832355</v>
      </c>
      <c r="D1119" s="8">
        <v>5</v>
      </c>
      <c r="E1119" s="11">
        <v>43109</v>
      </c>
      <c r="F1119" s="8" t="s">
        <v>57</v>
      </c>
      <c r="G1119" s="11">
        <v>43109</v>
      </c>
      <c r="H1119" s="8" t="s">
        <v>25</v>
      </c>
      <c r="J1119" s="8" t="s">
        <v>25</v>
      </c>
      <c r="N1119" s="8" t="s">
        <v>58</v>
      </c>
      <c r="O1119" s="8" t="s">
        <v>59</v>
      </c>
      <c r="P1119" s="8" t="s">
        <v>59</v>
      </c>
      <c r="R1119" s="8">
        <v>0</v>
      </c>
      <c r="S1119" s="8">
        <v>0</v>
      </c>
      <c r="T1119" s="8">
        <v>1</v>
      </c>
      <c r="U1119" s="8">
        <v>2</v>
      </c>
      <c r="AG1119" s="8" t="str">
        <f t="shared" si="69"/>
        <v/>
      </c>
      <c r="AI1119" s="8" t="str">
        <f t="shared" si="70"/>
        <v/>
      </c>
      <c r="AJ1119" s="8" t="str">
        <f t="shared" si="71"/>
        <v/>
      </c>
      <c r="AL1119" s="8" t="str">
        <f t="shared" si="72"/>
        <v/>
      </c>
    </row>
    <row r="1120" spans="1:38" x14ac:dyDescent="0.25">
      <c r="A1120" s="8" t="s">
        <v>7028</v>
      </c>
      <c r="B1120" s="8" t="s">
        <v>7029</v>
      </c>
      <c r="C1120" s="8">
        <v>30931205</v>
      </c>
      <c r="D1120" s="8">
        <v>5</v>
      </c>
      <c r="E1120" s="11">
        <v>43115</v>
      </c>
      <c r="F1120" s="8" t="s">
        <v>57</v>
      </c>
      <c r="G1120" s="11">
        <v>43115</v>
      </c>
      <c r="H1120" s="8" t="s">
        <v>25</v>
      </c>
      <c r="J1120" s="8" t="s">
        <v>25</v>
      </c>
      <c r="N1120" s="8" t="s">
        <v>58</v>
      </c>
      <c r="O1120" s="8" t="s">
        <v>59</v>
      </c>
      <c r="P1120" s="8" t="s">
        <v>59</v>
      </c>
      <c r="R1120" s="8">
        <v>0</v>
      </c>
      <c r="S1120" s="8">
        <v>0</v>
      </c>
      <c r="T1120" s="8">
        <v>1</v>
      </c>
      <c r="U1120" s="8">
        <v>2</v>
      </c>
      <c r="AG1120" s="8" t="str">
        <f t="shared" si="69"/>
        <v/>
      </c>
      <c r="AI1120" s="8" t="str">
        <f t="shared" si="70"/>
        <v/>
      </c>
      <c r="AJ1120" s="8" t="str">
        <f t="shared" si="71"/>
        <v/>
      </c>
      <c r="AL1120" s="8" t="str">
        <f t="shared" si="72"/>
        <v/>
      </c>
    </row>
    <row r="1121" spans="1:38" x14ac:dyDescent="0.25">
      <c r="A1121" s="8" t="s">
        <v>352</v>
      </c>
      <c r="B1121" s="8" t="s">
        <v>353</v>
      </c>
      <c r="C1121" s="8">
        <v>30822858</v>
      </c>
      <c r="D1121" s="8">
        <v>5</v>
      </c>
      <c r="E1121" s="11">
        <v>43108</v>
      </c>
      <c r="F1121" s="8" t="s">
        <v>58</v>
      </c>
      <c r="G1121" s="11">
        <v>43108</v>
      </c>
      <c r="H1121" s="8" t="s">
        <v>25</v>
      </c>
      <c r="I1121" s="11">
        <v>43112</v>
      </c>
      <c r="J1121" s="8" t="s">
        <v>145</v>
      </c>
      <c r="N1121" s="8" t="s">
        <v>58</v>
      </c>
      <c r="O1121" s="8" t="s">
        <v>59</v>
      </c>
      <c r="P1121" s="8" t="s">
        <v>59</v>
      </c>
      <c r="R1121" s="8">
        <v>0</v>
      </c>
      <c r="S1121" s="8">
        <v>0</v>
      </c>
      <c r="T1121" s="8">
        <v>1</v>
      </c>
      <c r="U1121" s="8">
        <v>2</v>
      </c>
      <c r="X1121" s="8">
        <v>5</v>
      </c>
      <c r="AG1121" s="8" t="str">
        <f t="shared" si="69"/>
        <v/>
      </c>
      <c r="AI1121" s="8" t="str">
        <f t="shared" si="70"/>
        <v/>
      </c>
      <c r="AJ1121" s="8" t="str">
        <f t="shared" si="71"/>
        <v/>
      </c>
      <c r="AL1121" s="8" t="str">
        <f t="shared" si="72"/>
        <v/>
      </c>
    </row>
    <row r="1122" spans="1:38" x14ac:dyDescent="0.25">
      <c r="A1122" s="8" t="s">
        <v>354</v>
      </c>
      <c r="B1122" s="8" t="s">
        <v>355</v>
      </c>
      <c r="C1122" s="8">
        <v>30808242</v>
      </c>
      <c r="D1122" s="8">
        <v>5</v>
      </c>
      <c r="E1122" s="11">
        <v>43108</v>
      </c>
      <c r="F1122" s="8" t="s">
        <v>58</v>
      </c>
      <c r="G1122" s="11">
        <v>43108</v>
      </c>
      <c r="H1122" s="8" t="s">
        <v>25</v>
      </c>
      <c r="I1122" s="11">
        <v>43108</v>
      </c>
      <c r="J1122" s="8" t="s">
        <v>25</v>
      </c>
      <c r="N1122" s="8" t="s">
        <v>58</v>
      </c>
      <c r="O1122" s="8" t="s">
        <v>59</v>
      </c>
      <c r="P1122" s="8" t="s">
        <v>59</v>
      </c>
      <c r="R1122" s="8">
        <v>0</v>
      </c>
      <c r="S1122" s="8">
        <v>0</v>
      </c>
      <c r="T1122" s="8">
        <v>1</v>
      </c>
      <c r="U1122" s="8">
        <v>2</v>
      </c>
      <c r="X1122" s="8">
        <v>5</v>
      </c>
      <c r="AG1122" s="8" t="str">
        <f t="shared" si="69"/>
        <v/>
      </c>
      <c r="AI1122" s="8" t="str">
        <f t="shared" si="70"/>
        <v/>
      </c>
      <c r="AJ1122" s="8" t="str">
        <f t="shared" si="71"/>
        <v/>
      </c>
      <c r="AL1122" s="8" t="str">
        <f t="shared" si="72"/>
        <v/>
      </c>
    </row>
    <row r="1123" spans="1:38" x14ac:dyDescent="0.25">
      <c r="A1123" s="8" t="s">
        <v>2037</v>
      </c>
      <c r="B1123" s="8" t="s">
        <v>2038</v>
      </c>
      <c r="C1123" s="8">
        <v>30862391</v>
      </c>
      <c r="D1123" s="8">
        <v>5</v>
      </c>
      <c r="E1123" s="11">
        <v>43110</v>
      </c>
      <c r="F1123" s="8" t="s">
        <v>58</v>
      </c>
      <c r="G1123" s="11">
        <v>43110</v>
      </c>
      <c r="H1123" s="8" t="s">
        <v>25</v>
      </c>
      <c r="I1123" s="11">
        <v>43110</v>
      </c>
      <c r="J1123" s="8" t="s">
        <v>25</v>
      </c>
      <c r="N1123" s="8" t="s">
        <v>58</v>
      </c>
      <c r="O1123" s="8" t="s">
        <v>59</v>
      </c>
      <c r="P1123" s="8" t="s">
        <v>59</v>
      </c>
      <c r="R1123" s="8">
        <v>0</v>
      </c>
      <c r="S1123" s="8">
        <v>0</v>
      </c>
      <c r="T1123" s="8">
        <v>1</v>
      </c>
      <c r="U1123" s="8">
        <v>2</v>
      </c>
      <c r="X1123" s="8">
        <v>5</v>
      </c>
      <c r="AG1123" s="8" t="str">
        <f t="shared" si="69"/>
        <v/>
      </c>
      <c r="AI1123" s="8" t="str">
        <f t="shared" si="70"/>
        <v/>
      </c>
      <c r="AJ1123" s="8" t="str">
        <f t="shared" si="71"/>
        <v/>
      </c>
      <c r="AL1123" s="8" t="str">
        <f t="shared" si="72"/>
        <v/>
      </c>
    </row>
    <row r="1124" spans="1:38" x14ac:dyDescent="0.25">
      <c r="A1124" s="8" t="s">
        <v>1072</v>
      </c>
      <c r="B1124" s="8" t="s">
        <v>1073</v>
      </c>
      <c r="C1124" s="8">
        <v>30819917</v>
      </c>
      <c r="D1124" s="8">
        <v>5</v>
      </c>
      <c r="E1124" s="11">
        <v>43108</v>
      </c>
      <c r="F1124" s="8" t="s">
        <v>58</v>
      </c>
      <c r="G1124" s="11">
        <v>43109</v>
      </c>
      <c r="H1124" s="8" t="s">
        <v>25</v>
      </c>
      <c r="I1124" s="11">
        <v>43115</v>
      </c>
      <c r="J1124" s="8" t="s">
        <v>145</v>
      </c>
      <c r="N1124" s="8" t="s">
        <v>58</v>
      </c>
      <c r="O1124" s="8" t="s">
        <v>59</v>
      </c>
      <c r="P1124" s="8" t="s">
        <v>59</v>
      </c>
      <c r="R1124" s="8">
        <v>0</v>
      </c>
      <c r="S1124" s="8">
        <v>0</v>
      </c>
      <c r="T1124" s="8">
        <v>1</v>
      </c>
      <c r="U1124" s="8">
        <v>2</v>
      </c>
      <c r="X1124" s="8">
        <v>5</v>
      </c>
      <c r="AG1124" s="8" t="str">
        <f t="shared" si="69"/>
        <v/>
      </c>
      <c r="AI1124" s="8" t="str">
        <f t="shared" si="70"/>
        <v/>
      </c>
      <c r="AJ1124" s="8" t="str">
        <f t="shared" si="71"/>
        <v/>
      </c>
      <c r="AL1124" s="8" t="str">
        <f t="shared" si="72"/>
        <v/>
      </c>
    </row>
    <row r="1125" spans="1:38" x14ac:dyDescent="0.25">
      <c r="A1125" s="8" t="s">
        <v>2039</v>
      </c>
      <c r="B1125" s="8" t="s">
        <v>2040</v>
      </c>
      <c r="C1125" s="8">
        <v>30832310</v>
      </c>
      <c r="D1125" s="8">
        <v>5</v>
      </c>
      <c r="E1125" s="11">
        <v>43109</v>
      </c>
      <c r="F1125" s="8" t="s">
        <v>58</v>
      </c>
      <c r="G1125" s="11">
        <v>43110</v>
      </c>
      <c r="H1125" s="8" t="s">
        <v>25</v>
      </c>
      <c r="I1125" s="11">
        <v>43111</v>
      </c>
      <c r="J1125" s="8" t="s">
        <v>25</v>
      </c>
      <c r="N1125" s="8" t="s">
        <v>58</v>
      </c>
      <c r="O1125" s="8" t="s">
        <v>59</v>
      </c>
      <c r="P1125" s="8" t="s">
        <v>59</v>
      </c>
      <c r="R1125" s="8">
        <v>0</v>
      </c>
      <c r="S1125" s="8">
        <v>0</v>
      </c>
      <c r="T1125" s="8">
        <v>1</v>
      </c>
      <c r="U1125" s="8">
        <v>2</v>
      </c>
      <c r="X1125" s="8">
        <v>5</v>
      </c>
      <c r="AG1125" s="8" t="str">
        <f t="shared" si="69"/>
        <v/>
      </c>
      <c r="AI1125" s="8" t="str">
        <f t="shared" si="70"/>
        <v/>
      </c>
      <c r="AJ1125" s="8" t="str">
        <f t="shared" si="71"/>
        <v/>
      </c>
      <c r="AL1125" s="8" t="str">
        <f t="shared" si="72"/>
        <v/>
      </c>
    </row>
    <row r="1126" spans="1:38" x14ac:dyDescent="0.25">
      <c r="A1126" s="8" t="s">
        <v>7030</v>
      </c>
      <c r="B1126" s="8" t="s">
        <v>7031</v>
      </c>
      <c r="C1126" s="8">
        <v>30929593</v>
      </c>
      <c r="D1126" s="8">
        <v>5</v>
      </c>
      <c r="E1126" s="11">
        <v>43115</v>
      </c>
      <c r="F1126" s="8" t="s">
        <v>58</v>
      </c>
      <c r="G1126" s="11">
        <v>43115</v>
      </c>
      <c r="H1126" s="8" t="s">
        <v>25</v>
      </c>
      <c r="I1126" s="11">
        <v>43115</v>
      </c>
      <c r="J1126" s="8" t="s">
        <v>25</v>
      </c>
      <c r="N1126" s="8" t="s">
        <v>58</v>
      </c>
      <c r="O1126" s="8" t="s">
        <v>59</v>
      </c>
      <c r="P1126" s="8" t="s">
        <v>59</v>
      </c>
      <c r="R1126" s="8">
        <v>0</v>
      </c>
      <c r="S1126" s="8">
        <v>0</v>
      </c>
      <c r="T1126" s="8">
        <v>1</v>
      </c>
      <c r="U1126" s="8">
        <v>2</v>
      </c>
      <c r="X1126" s="8">
        <v>5</v>
      </c>
      <c r="AG1126" s="8" t="str">
        <f t="shared" si="69"/>
        <v/>
      </c>
      <c r="AI1126" s="8" t="str">
        <f t="shared" si="70"/>
        <v/>
      </c>
      <c r="AJ1126" s="8" t="str">
        <f t="shared" si="71"/>
        <v/>
      </c>
      <c r="AL1126" s="8" t="str">
        <f t="shared" si="72"/>
        <v/>
      </c>
    </row>
    <row r="1127" spans="1:38" x14ac:dyDescent="0.25">
      <c r="A1127" s="8" t="s">
        <v>1074</v>
      </c>
      <c r="B1127" s="8" t="s">
        <v>1075</v>
      </c>
      <c r="C1127" s="8">
        <v>30818371</v>
      </c>
      <c r="D1127" s="8">
        <v>5</v>
      </c>
      <c r="E1127" s="11">
        <v>43108</v>
      </c>
      <c r="F1127" s="8" t="s">
        <v>58</v>
      </c>
      <c r="G1127" s="11">
        <v>43109</v>
      </c>
      <c r="H1127" s="8" t="s">
        <v>25</v>
      </c>
      <c r="I1127" s="11">
        <v>43110</v>
      </c>
      <c r="J1127" s="8" t="s">
        <v>25</v>
      </c>
      <c r="N1127" s="8" t="s">
        <v>58</v>
      </c>
      <c r="O1127" s="8" t="s">
        <v>59</v>
      </c>
      <c r="P1127" s="8" t="s">
        <v>59</v>
      </c>
      <c r="R1127" s="8">
        <v>0</v>
      </c>
      <c r="S1127" s="8">
        <v>0</v>
      </c>
      <c r="T1127" s="8">
        <v>1</v>
      </c>
      <c r="U1127" s="8">
        <v>2</v>
      </c>
      <c r="X1127" s="8">
        <v>5</v>
      </c>
      <c r="AG1127" s="8" t="str">
        <f t="shared" si="69"/>
        <v/>
      </c>
      <c r="AI1127" s="8" t="str">
        <f t="shared" si="70"/>
        <v/>
      </c>
      <c r="AJ1127" s="8" t="str">
        <f t="shared" si="71"/>
        <v/>
      </c>
      <c r="AL1127" s="8" t="str">
        <f t="shared" si="72"/>
        <v/>
      </c>
    </row>
    <row r="1128" spans="1:38" x14ac:dyDescent="0.25">
      <c r="A1128" s="8" t="s">
        <v>1076</v>
      </c>
      <c r="B1128" s="8" t="s">
        <v>1077</v>
      </c>
      <c r="C1128" s="8">
        <v>30845402</v>
      </c>
      <c r="D1128" s="8">
        <v>5</v>
      </c>
      <c r="E1128" s="11">
        <v>43109</v>
      </c>
      <c r="F1128" s="8" t="s">
        <v>60</v>
      </c>
      <c r="G1128" s="11">
        <v>43109</v>
      </c>
      <c r="H1128" s="8" t="s">
        <v>25</v>
      </c>
      <c r="J1128" s="8" t="s">
        <v>25</v>
      </c>
      <c r="L1128" s="8" t="s">
        <v>3287</v>
      </c>
      <c r="N1128" s="8" t="s">
        <v>58</v>
      </c>
      <c r="O1128" s="8" t="s">
        <v>59</v>
      </c>
      <c r="P1128" s="8" t="s">
        <v>59</v>
      </c>
      <c r="R1128" s="8">
        <v>0</v>
      </c>
      <c r="S1128" s="8">
        <v>0</v>
      </c>
      <c r="T1128" s="8">
        <v>1</v>
      </c>
      <c r="U1128" s="8">
        <v>2</v>
      </c>
      <c r="W1128" s="8">
        <v>4</v>
      </c>
      <c r="AG1128" s="8" t="str">
        <f t="shared" si="69"/>
        <v/>
      </c>
      <c r="AI1128" s="8" t="str">
        <f t="shared" si="70"/>
        <v/>
      </c>
      <c r="AJ1128" s="8" t="str">
        <f t="shared" si="71"/>
        <v/>
      </c>
      <c r="AL1128" s="8" t="str">
        <f t="shared" si="72"/>
        <v/>
      </c>
    </row>
    <row r="1129" spans="1:38" x14ac:dyDescent="0.25">
      <c r="A1129" s="8" t="s">
        <v>7032</v>
      </c>
      <c r="B1129" s="8" t="s">
        <v>7033</v>
      </c>
      <c r="C1129" s="8">
        <v>30940547</v>
      </c>
      <c r="D1129" s="8">
        <v>5</v>
      </c>
      <c r="E1129" s="11">
        <v>43115</v>
      </c>
      <c r="F1129" s="8" t="s">
        <v>58</v>
      </c>
      <c r="G1129" s="11">
        <v>43115</v>
      </c>
      <c r="H1129" s="8" t="s">
        <v>25</v>
      </c>
      <c r="I1129" s="11">
        <v>43115</v>
      </c>
      <c r="J1129" s="8" t="s">
        <v>25</v>
      </c>
      <c r="N1129" s="8" t="s">
        <v>58</v>
      </c>
      <c r="O1129" s="8" t="s">
        <v>59</v>
      </c>
      <c r="P1129" s="8" t="s">
        <v>59</v>
      </c>
      <c r="R1129" s="8">
        <v>0</v>
      </c>
      <c r="S1129" s="8">
        <v>0</v>
      </c>
      <c r="T1129" s="8">
        <v>1</v>
      </c>
      <c r="U1129" s="8">
        <v>2</v>
      </c>
      <c r="X1129" s="8">
        <v>5</v>
      </c>
      <c r="AG1129" s="8" t="str">
        <f t="shared" si="69"/>
        <v/>
      </c>
      <c r="AI1129" s="8" t="str">
        <f t="shared" si="70"/>
        <v/>
      </c>
      <c r="AJ1129" s="8" t="str">
        <f t="shared" si="71"/>
        <v/>
      </c>
      <c r="AL1129" s="8" t="str">
        <f t="shared" si="72"/>
        <v/>
      </c>
    </row>
    <row r="1130" spans="1:38" x14ac:dyDescent="0.25">
      <c r="A1130" s="8" t="s">
        <v>2041</v>
      </c>
      <c r="B1130" s="8" t="s">
        <v>2042</v>
      </c>
      <c r="C1130" s="8">
        <v>30840351</v>
      </c>
      <c r="D1130" s="8">
        <v>5</v>
      </c>
      <c r="E1130" s="11">
        <v>43109</v>
      </c>
      <c r="F1130" s="8" t="s">
        <v>57</v>
      </c>
      <c r="G1130" s="11">
        <v>43110</v>
      </c>
      <c r="H1130" s="8" t="s">
        <v>25</v>
      </c>
      <c r="J1130" s="8" t="s">
        <v>25</v>
      </c>
      <c r="N1130" s="8" t="s">
        <v>58</v>
      </c>
      <c r="O1130" s="8" t="s">
        <v>59</v>
      </c>
      <c r="P1130" s="8" t="s">
        <v>59</v>
      </c>
      <c r="R1130" s="8">
        <v>0</v>
      </c>
      <c r="S1130" s="8">
        <v>0</v>
      </c>
      <c r="T1130" s="8">
        <v>1</v>
      </c>
      <c r="U1130" s="8">
        <v>2</v>
      </c>
      <c r="AG1130" s="8" t="str">
        <f t="shared" si="69"/>
        <v/>
      </c>
      <c r="AI1130" s="8" t="str">
        <f t="shared" si="70"/>
        <v/>
      </c>
      <c r="AJ1130" s="8" t="str">
        <f t="shared" si="71"/>
        <v/>
      </c>
      <c r="AL1130" s="8" t="str">
        <f t="shared" si="72"/>
        <v/>
      </c>
    </row>
    <row r="1131" spans="1:38" x14ac:dyDescent="0.25">
      <c r="A1131" s="8" t="s">
        <v>3632</v>
      </c>
      <c r="B1131" s="8" t="s">
        <v>3633</v>
      </c>
      <c r="C1131" s="8">
        <v>30898804</v>
      </c>
      <c r="D1131" s="8">
        <v>5</v>
      </c>
      <c r="E1131" s="11">
        <v>43111</v>
      </c>
      <c r="F1131" s="8" t="s">
        <v>57</v>
      </c>
      <c r="G1131" s="11">
        <v>43111</v>
      </c>
      <c r="H1131" s="8" t="s">
        <v>25</v>
      </c>
      <c r="J1131" s="8" t="s">
        <v>25</v>
      </c>
      <c r="N1131" s="8" t="s">
        <v>58</v>
      </c>
      <c r="O1131" s="8" t="s">
        <v>59</v>
      </c>
      <c r="P1131" s="8" t="s">
        <v>59</v>
      </c>
      <c r="R1131" s="8">
        <v>0</v>
      </c>
      <c r="S1131" s="8">
        <v>0</v>
      </c>
      <c r="T1131" s="8">
        <v>1</v>
      </c>
      <c r="U1131" s="8">
        <v>2</v>
      </c>
      <c r="AG1131" s="8" t="str">
        <f t="shared" si="69"/>
        <v/>
      </c>
      <c r="AI1131" s="8" t="str">
        <f t="shared" si="70"/>
        <v/>
      </c>
      <c r="AJ1131" s="8" t="str">
        <f t="shared" si="71"/>
        <v/>
      </c>
      <c r="AL1131" s="8" t="str">
        <f t="shared" si="72"/>
        <v/>
      </c>
    </row>
    <row r="1132" spans="1:38" x14ac:dyDescent="0.25">
      <c r="A1132" s="8" t="s">
        <v>2043</v>
      </c>
      <c r="B1132" s="8" t="s">
        <v>2044</v>
      </c>
      <c r="C1132" s="8">
        <v>30832136</v>
      </c>
      <c r="D1132" s="8">
        <v>5</v>
      </c>
      <c r="E1132" s="11">
        <v>43109</v>
      </c>
      <c r="F1132" s="8" t="s">
        <v>58</v>
      </c>
      <c r="G1132" s="11">
        <v>43110</v>
      </c>
      <c r="H1132" s="8" t="s">
        <v>25</v>
      </c>
      <c r="I1132" s="11">
        <v>43111</v>
      </c>
      <c r="J1132" s="8" t="s">
        <v>25</v>
      </c>
      <c r="N1132" s="8" t="s">
        <v>58</v>
      </c>
      <c r="O1132" s="8" t="s">
        <v>59</v>
      </c>
      <c r="P1132" s="8" t="s">
        <v>59</v>
      </c>
      <c r="R1132" s="8">
        <v>0</v>
      </c>
      <c r="S1132" s="8">
        <v>0</v>
      </c>
      <c r="T1132" s="8">
        <v>1</v>
      </c>
      <c r="U1132" s="8">
        <v>2</v>
      </c>
      <c r="X1132" s="8">
        <v>5</v>
      </c>
      <c r="AG1132" s="8" t="str">
        <f t="shared" si="69"/>
        <v/>
      </c>
      <c r="AI1132" s="8" t="str">
        <f t="shared" si="70"/>
        <v/>
      </c>
      <c r="AJ1132" s="8" t="str">
        <f t="shared" si="71"/>
        <v/>
      </c>
      <c r="AL1132" s="8" t="str">
        <f t="shared" si="72"/>
        <v/>
      </c>
    </row>
    <row r="1133" spans="1:38" x14ac:dyDescent="0.25">
      <c r="A1133" s="8" t="s">
        <v>5138</v>
      </c>
      <c r="B1133" s="8" t="s">
        <v>5139</v>
      </c>
      <c r="C1133" s="8">
        <v>30885140</v>
      </c>
      <c r="D1133" s="8">
        <v>5</v>
      </c>
      <c r="E1133" s="11">
        <v>43111</v>
      </c>
      <c r="F1133" s="8" t="s">
        <v>57</v>
      </c>
      <c r="G1133" s="11">
        <v>43112</v>
      </c>
      <c r="H1133" s="8" t="s">
        <v>25</v>
      </c>
      <c r="J1133" s="8" t="s">
        <v>25</v>
      </c>
      <c r="N1133" s="8" t="s">
        <v>58</v>
      </c>
      <c r="O1133" s="8" t="s">
        <v>59</v>
      </c>
      <c r="P1133" s="8" t="s">
        <v>59</v>
      </c>
      <c r="R1133" s="8">
        <v>0</v>
      </c>
      <c r="S1133" s="8">
        <v>0</v>
      </c>
      <c r="T1133" s="8">
        <v>1</v>
      </c>
      <c r="U1133" s="8">
        <v>2</v>
      </c>
      <c r="AG1133" s="8" t="str">
        <f t="shared" si="69"/>
        <v/>
      </c>
      <c r="AI1133" s="8" t="str">
        <f t="shared" si="70"/>
        <v/>
      </c>
      <c r="AJ1133" s="8" t="str">
        <f t="shared" si="71"/>
        <v/>
      </c>
      <c r="AL1133" s="8" t="str">
        <f t="shared" si="72"/>
        <v/>
      </c>
    </row>
    <row r="1134" spans="1:38" x14ac:dyDescent="0.25">
      <c r="A1134" s="8" t="s">
        <v>5140</v>
      </c>
      <c r="B1134" s="8" t="s">
        <v>5141</v>
      </c>
      <c r="C1134" s="8">
        <v>30878630</v>
      </c>
      <c r="D1134" s="8">
        <v>5</v>
      </c>
      <c r="E1134" s="11">
        <v>43110</v>
      </c>
      <c r="F1134" s="8" t="s">
        <v>57</v>
      </c>
      <c r="G1134" s="11">
        <v>43112</v>
      </c>
      <c r="H1134" s="8" t="s">
        <v>25</v>
      </c>
      <c r="J1134" s="8" t="s">
        <v>25</v>
      </c>
      <c r="N1134" s="8" t="s">
        <v>58</v>
      </c>
      <c r="O1134" s="8" t="s">
        <v>59</v>
      </c>
      <c r="P1134" s="8" t="s">
        <v>59</v>
      </c>
      <c r="R1134" s="8">
        <v>0</v>
      </c>
      <c r="S1134" s="8">
        <v>0</v>
      </c>
      <c r="T1134" s="8">
        <v>1</v>
      </c>
      <c r="U1134" s="8">
        <v>2</v>
      </c>
      <c r="AG1134" s="8" t="str">
        <f t="shared" si="69"/>
        <v/>
      </c>
      <c r="AI1134" s="8" t="str">
        <f t="shared" si="70"/>
        <v/>
      </c>
      <c r="AJ1134" s="8" t="str">
        <f t="shared" si="71"/>
        <v/>
      </c>
      <c r="AL1134" s="8" t="str">
        <f t="shared" si="72"/>
        <v/>
      </c>
    </row>
    <row r="1135" spans="1:38" x14ac:dyDescent="0.25">
      <c r="A1135" s="8" t="s">
        <v>2045</v>
      </c>
      <c r="B1135" s="8" t="s">
        <v>2046</v>
      </c>
      <c r="C1135" s="8">
        <v>30815234</v>
      </c>
      <c r="D1135" s="8">
        <v>5</v>
      </c>
      <c r="E1135" s="11">
        <v>43108</v>
      </c>
      <c r="F1135" s="8" t="s">
        <v>58</v>
      </c>
      <c r="G1135" s="11">
        <v>43110</v>
      </c>
      <c r="H1135" s="8" t="s">
        <v>25</v>
      </c>
      <c r="I1135" s="11">
        <v>43110</v>
      </c>
      <c r="J1135" s="8" t="s">
        <v>25</v>
      </c>
      <c r="N1135" s="8" t="s">
        <v>58</v>
      </c>
      <c r="O1135" s="8" t="s">
        <v>59</v>
      </c>
      <c r="P1135" s="8" t="s">
        <v>59</v>
      </c>
      <c r="R1135" s="8">
        <v>0</v>
      </c>
      <c r="S1135" s="8">
        <v>0</v>
      </c>
      <c r="T1135" s="8">
        <v>1</v>
      </c>
      <c r="U1135" s="8">
        <v>2</v>
      </c>
      <c r="X1135" s="8">
        <v>5</v>
      </c>
      <c r="AG1135" s="8" t="str">
        <f t="shared" si="69"/>
        <v/>
      </c>
      <c r="AI1135" s="8" t="str">
        <f t="shared" si="70"/>
        <v/>
      </c>
      <c r="AJ1135" s="8" t="str">
        <f t="shared" si="71"/>
        <v/>
      </c>
      <c r="AL1135" s="8" t="str">
        <f t="shared" si="72"/>
        <v/>
      </c>
    </row>
    <row r="1136" spans="1:38" x14ac:dyDescent="0.25">
      <c r="A1136" s="8" t="s">
        <v>1078</v>
      </c>
      <c r="B1136" s="8" t="s">
        <v>1079</v>
      </c>
      <c r="C1136" s="8">
        <v>30842107</v>
      </c>
      <c r="D1136" s="8">
        <v>5</v>
      </c>
      <c r="E1136" s="11">
        <v>43109</v>
      </c>
      <c r="F1136" s="8" t="s">
        <v>58</v>
      </c>
      <c r="G1136" s="11">
        <v>43109</v>
      </c>
      <c r="H1136" s="8" t="s">
        <v>25</v>
      </c>
      <c r="I1136" s="11">
        <v>43109</v>
      </c>
      <c r="J1136" s="8" t="s">
        <v>25</v>
      </c>
      <c r="N1136" s="8" t="s">
        <v>58</v>
      </c>
      <c r="O1136" s="8" t="s">
        <v>59</v>
      </c>
      <c r="P1136" s="8" t="s">
        <v>59</v>
      </c>
      <c r="R1136" s="8">
        <v>0</v>
      </c>
      <c r="S1136" s="8">
        <v>0</v>
      </c>
      <c r="T1136" s="8">
        <v>1</v>
      </c>
      <c r="U1136" s="8">
        <v>2</v>
      </c>
      <c r="X1136" s="8">
        <v>5</v>
      </c>
      <c r="AG1136" s="8" t="str">
        <f t="shared" si="69"/>
        <v/>
      </c>
      <c r="AI1136" s="8" t="str">
        <f t="shared" si="70"/>
        <v/>
      </c>
      <c r="AJ1136" s="8" t="str">
        <f t="shared" si="71"/>
        <v/>
      </c>
      <c r="AL1136" s="8" t="str">
        <f t="shared" si="72"/>
        <v/>
      </c>
    </row>
    <row r="1137" spans="1:38" x14ac:dyDescent="0.25">
      <c r="A1137" s="8" t="s">
        <v>1080</v>
      </c>
      <c r="B1137" s="8" t="s">
        <v>1081</v>
      </c>
      <c r="C1137" s="8">
        <v>30840809</v>
      </c>
      <c r="D1137" s="8">
        <v>5</v>
      </c>
      <c r="E1137" s="11">
        <v>43109</v>
      </c>
      <c r="F1137" s="8" t="s">
        <v>58</v>
      </c>
      <c r="G1137" s="11">
        <v>43109</v>
      </c>
      <c r="H1137" s="8" t="s">
        <v>25</v>
      </c>
      <c r="I1137" s="11">
        <v>43109</v>
      </c>
      <c r="J1137" s="8" t="s">
        <v>25</v>
      </c>
      <c r="N1137" s="8" t="s">
        <v>58</v>
      </c>
      <c r="O1137" s="8" t="s">
        <v>59</v>
      </c>
      <c r="P1137" s="8" t="s">
        <v>59</v>
      </c>
      <c r="R1137" s="8">
        <v>0</v>
      </c>
      <c r="S1137" s="8">
        <v>0</v>
      </c>
      <c r="T1137" s="8">
        <v>1</v>
      </c>
      <c r="U1137" s="8">
        <v>2</v>
      </c>
      <c r="X1137" s="8">
        <v>5</v>
      </c>
      <c r="AG1137" s="8" t="str">
        <f t="shared" si="69"/>
        <v/>
      </c>
      <c r="AI1137" s="8" t="str">
        <f t="shared" si="70"/>
        <v/>
      </c>
      <c r="AJ1137" s="8" t="str">
        <f t="shared" si="71"/>
        <v/>
      </c>
      <c r="AL1137" s="8" t="str">
        <f t="shared" si="72"/>
        <v/>
      </c>
    </row>
    <row r="1138" spans="1:38" x14ac:dyDescent="0.25">
      <c r="A1138" s="8" t="s">
        <v>356</v>
      </c>
      <c r="B1138" s="8" t="s">
        <v>357</v>
      </c>
      <c r="C1138" s="8">
        <v>30809151</v>
      </c>
      <c r="D1138" s="8">
        <v>5</v>
      </c>
      <c r="E1138" s="11">
        <v>43108</v>
      </c>
      <c r="F1138" s="8" t="s">
        <v>58</v>
      </c>
      <c r="G1138" s="11">
        <v>43108</v>
      </c>
      <c r="H1138" s="8" t="s">
        <v>25</v>
      </c>
      <c r="I1138" s="11">
        <v>43108</v>
      </c>
      <c r="J1138" s="8" t="s">
        <v>25</v>
      </c>
      <c r="N1138" s="8" t="s">
        <v>58</v>
      </c>
      <c r="O1138" s="8" t="s">
        <v>59</v>
      </c>
      <c r="P1138" s="8" t="s">
        <v>59</v>
      </c>
      <c r="R1138" s="8">
        <v>0</v>
      </c>
      <c r="S1138" s="8">
        <v>0</v>
      </c>
      <c r="T1138" s="8">
        <v>1</v>
      </c>
      <c r="U1138" s="8">
        <v>2</v>
      </c>
      <c r="X1138" s="8">
        <v>5</v>
      </c>
      <c r="AG1138" s="8" t="str">
        <f t="shared" si="69"/>
        <v/>
      </c>
      <c r="AI1138" s="8" t="str">
        <f t="shared" si="70"/>
        <v/>
      </c>
      <c r="AJ1138" s="8" t="str">
        <f t="shared" si="71"/>
        <v/>
      </c>
      <c r="AL1138" s="8" t="str">
        <f t="shared" si="72"/>
        <v/>
      </c>
    </row>
    <row r="1139" spans="1:38" x14ac:dyDescent="0.25">
      <c r="A1139" s="8" t="s">
        <v>2047</v>
      </c>
      <c r="B1139" s="8" t="s">
        <v>2048</v>
      </c>
      <c r="C1139" s="8">
        <v>30871860</v>
      </c>
      <c r="D1139" s="8">
        <v>5</v>
      </c>
      <c r="E1139" s="11">
        <v>43110</v>
      </c>
      <c r="F1139" s="8" t="s">
        <v>58</v>
      </c>
      <c r="G1139" s="11">
        <v>43110</v>
      </c>
      <c r="H1139" s="8" t="s">
        <v>25</v>
      </c>
      <c r="I1139" s="11">
        <v>43111</v>
      </c>
      <c r="J1139" s="8" t="s">
        <v>25</v>
      </c>
      <c r="N1139" s="8" t="s">
        <v>58</v>
      </c>
      <c r="O1139" s="8" t="s">
        <v>59</v>
      </c>
      <c r="P1139" s="8" t="s">
        <v>59</v>
      </c>
      <c r="R1139" s="8">
        <v>0</v>
      </c>
      <c r="S1139" s="8">
        <v>0</v>
      </c>
      <c r="T1139" s="8">
        <v>1</v>
      </c>
      <c r="U1139" s="8">
        <v>2</v>
      </c>
      <c r="X1139" s="8">
        <v>5</v>
      </c>
      <c r="AG1139" s="8" t="str">
        <f t="shared" si="69"/>
        <v/>
      </c>
      <c r="AI1139" s="8" t="str">
        <f t="shared" si="70"/>
        <v/>
      </c>
      <c r="AJ1139" s="8" t="str">
        <f t="shared" si="71"/>
        <v/>
      </c>
      <c r="AL1139" s="8" t="str">
        <f t="shared" si="72"/>
        <v/>
      </c>
    </row>
    <row r="1140" spans="1:38" x14ac:dyDescent="0.25">
      <c r="A1140" s="8" t="s">
        <v>3634</v>
      </c>
      <c r="B1140" s="8" t="s">
        <v>3635</v>
      </c>
      <c r="C1140" s="8">
        <v>30882968</v>
      </c>
      <c r="D1140" s="8">
        <v>4</v>
      </c>
      <c r="E1140" s="11">
        <v>43111</v>
      </c>
      <c r="F1140" s="8" t="s">
        <v>57</v>
      </c>
      <c r="G1140" s="11">
        <v>43111</v>
      </c>
      <c r="H1140" s="8" t="s">
        <v>25</v>
      </c>
      <c r="J1140" s="8" t="s">
        <v>25</v>
      </c>
      <c r="N1140" s="8" t="s">
        <v>58</v>
      </c>
      <c r="O1140" s="8" t="s">
        <v>59</v>
      </c>
      <c r="P1140" s="8" t="s">
        <v>59</v>
      </c>
      <c r="R1140" s="8">
        <v>0</v>
      </c>
      <c r="S1140" s="8">
        <v>0</v>
      </c>
      <c r="T1140" s="8">
        <v>1</v>
      </c>
      <c r="U1140" s="8">
        <v>2</v>
      </c>
      <c r="AG1140" s="8" t="str">
        <f t="shared" si="69"/>
        <v/>
      </c>
      <c r="AI1140" s="8" t="str">
        <f t="shared" si="70"/>
        <v/>
      </c>
      <c r="AJ1140" s="8" t="str">
        <f t="shared" si="71"/>
        <v/>
      </c>
      <c r="AL1140" s="8" t="str">
        <f t="shared" si="72"/>
        <v/>
      </c>
    </row>
    <row r="1141" spans="1:38" x14ac:dyDescent="0.25">
      <c r="A1141" s="8" t="s">
        <v>1082</v>
      </c>
      <c r="B1141" s="8" t="s">
        <v>1083</v>
      </c>
      <c r="C1141" s="8">
        <v>30836605</v>
      </c>
      <c r="D1141" s="8">
        <v>5</v>
      </c>
      <c r="E1141" s="11">
        <v>43109</v>
      </c>
      <c r="F1141" s="8" t="s">
        <v>58</v>
      </c>
      <c r="G1141" s="11">
        <v>43109</v>
      </c>
      <c r="H1141" s="8" t="s">
        <v>25</v>
      </c>
      <c r="I1141" s="11">
        <v>43110</v>
      </c>
      <c r="J1141" s="8" t="s">
        <v>25</v>
      </c>
      <c r="N1141" s="8" t="s">
        <v>58</v>
      </c>
      <c r="O1141" s="8" t="s">
        <v>59</v>
      </c>
      <c r="P1141" s="8" t="s">
        <v>59</v>
      </c>
      <c r="R1141" s="8">
        <v>0</v>
      </c>
      <c r="S1141" s="8">
        <v>0</v>
      </c>
      <c r="T1141" s="8">
        <v>1</v>
      </c>
      <c r="U1141" s="8">
        <v>2</v>
      </c>
      <c r="X1141" s="8">
        <v>5</v>
      </c>
      <c r="AG1141" s="8" t="str">
        <f t="shared" si="69"/>
        <v/>
      </c>
      <c r="AI1141" s="8" t="str">
        <f t="shared" si="70"/>
        <v/>
      </c>
      <c r="AJ1141" s="8" t="str">
        <f t="shared" si="71"/>
        <v/>
      </c>
      <c r="AL1141" s="8" t="str">
        <f t="shared" si="72"/>
        <v/>
      </c>
    </row>
    <row r="1142" spans="1:38" x14ac:dyDescent="0.25">
      <c r="A1142" s="8" t="s">
        <v>5142</v>
      </c>
      <c r="B1142" s="8" t="s">
        <v>5143</v>
      </c>
      <c r="C1142" s="8">
        <v>30885636</v>
      </c>
      <c r="D1142" s="8">
        <v>5</v>
      </c>
      <c r="E1142" s="11">
        <v>43111</v>
      </c>
      <c r="F1142" s="8" t="s">
        <v>57</v>
      </c>
      <c r="G1142" s="11">
        <v>43112</v>
      </c>
      <c r="H1142" s="8" t="s">
        <v>25</v>
      </c>
      <c r="J1142" s="8" t="s">
        <v>25</v>
      </c>
      <c r="N1142" s="8" t="s">
        <v>58</v>
      </c>
      <c r="O1142" s="8" t="s">
        <v>59</v>
      </c>
      <c r="P1142" s="8" t="s">
        <v>59</v>
      </c>
      <c r="R1142" s="8">
        <v>0</v>
      </c>
      <c r="S1142" s="8">
        <v>0</v>
      </c>
      <c r="T1142" s="8">
        <v>1</v>
      </c>
      <c r="U1142" s="8">
        <v>2</v>
      </c>
      <c r="AG1142" s="8" t="str">
        <f t="shared" si="69"/>
        <v/>
      </c>
      <c r="AI1142" s="8" t="str">
        <f t="shared" si="70"/>
        <v/>
      </c>
      <c r="AJ1142" s="8" t="str">
        <f t="shared" si="71"/>
        <v/>
      </c>
      <c r="AL1142" s="8" t="str">
        <f t="shared" si="72"/>
        <v/>
      </c>
    </row>
    <row r="1143" spans="1:38" x14ac:dyDescent="0.25">
      <c r="A1143" s="8" t="s">
        <v>5144</v>
      </c>
      <c r="B1143" s="8" t="s">
        <v>5145</v>
      </c>
      <c r="C1143" s="8">
        <v>30885295</v>
      </c>
      <c r="D1143" s="8">
        <v>5</v>
      </c>
      <c r="E1143" s="11">
        <v>43111</v>
      </c>
      <c r="F1143" s="8" t="s">
        <v>57</v>
      </c>
      <c r="G1143" s="11">
        <v>43112</v>
      </c>
      <c r="H1143" s="8" t="s">
        <v>25</v>
      </c>
      <c r="J1143" s="8" t="s">
        <v>25</v>
      </c>
      <c r="N1143" s="8" t="s">
        <v>58</v>
      </c>
      <c r="O1143" s="8" t="s">
        <v>59</v>
      </c>
      <c r="P1143" s="8" t="s">
        <v>59</v>
      </c>
      <c r="R1143" s="8">
        <v>0</v>
      </c>
      <c r="S1143" s="8">
        <v>0</v>
      </c>
      <c r="T1143" s="8">
        <v>1</v>
      </c>
      <c r="U1143" s="8">
        <v>2</v>
      </c>
      <c r="AG1143" s="8" t="str">
        <f t="shared" si="69"/>
        <v/>
      </c>
      <c r="AI1143" s="8" t="str">
        <f t="shared" si="70"/>
        <v/>
      </c>
      <c r="AJ1143" s="8" t="str">
        <f t="shared" si="71"/>
        <v/>
      </c>
      <c r="AL1143" s="8" t="str">
        <f t="shared" si="72"/>
        <v/>
      </c>
    </row>
    <row r="1144" spans="1:38" x14ac:dyDescent="0.25">
      <c r="A1144" s="8" t="s">
        <v>2049</v>
      </c>
      <c r="B1144" s="8" t="s">
        <v>2050</v>
      </c>
      <c r="C1144" s="8">
        <v>30875239</v>
      </c>
      <c r="D1144" s="8">
        <v>5</v>
      </c>
      <c r="E1144" s="11">
        <v>43110</v>
      </c>
      <c r="F1144" s="8" t="s">
        <v>58</v>
      </c>
      <c r="G1144" s="11">
        <v>43110</v>
      </c>
      <c r="H1144" s="8" t="s">
        <v>25</v>
      </c>
      <c r="I1144" s="11">
        <v>43112</v>
      </c>
      <c r="J1144" s="8" t="s">
        <v>25</v>
      </c>
      <c r="N1144" s="8" t="s">
        <v>58</v>
      </c>
      <c r="O1144" s="8" t="s">
        <v>59</v>
      </c>
      <c r="P1144" s="8" t="s">
        <v>59</v>
      </c>
      <c r="R1144" s="8">
        <v>0</v>
      </c>
      <c r="S1144" s="8">
        <v>0</v>
      </c>
      <c r="T1144" s="8">
        <v>1</v>
      </c>
      <c r="U1144" s="8">
        <v>2</v>
      </c>
      <c r="X1144" s="8">
        <v>5</v>
      </c>
      <c r="AG1144" s="8" t="str">
        <f t="shared" si="69"/>
        <v/>
      </c>
      <c r="AI1144" s="8" t="str">
        <f t="shared" si="70"/>
        <v/>
      </c>
      <c r="AJ1144" s="8" t="str">
        <f t="shared" si="71"/>
        <v/>
      </c>
      <c r="AL1144" s="8" t="str">
        <f t="shared" si="72"/>
        <v/>
      </c>
    </row>
    <row r="1145" spans="1:38" x14ac:dyDescent="0.25">
      <c r="A1145" s="8" t="s">
        <v>1084</v>
      </c>
      <c r="B1145" s="8" t="s">
        <v>1085</v>
      </c>
      <c r="C1145" s="8">
        <v>30844957</v>
      </c>
      <c r="D1145" s="8">
        <v>5</v>
      </c>
      <c r="E1145" s="11">
        <v>43109</v>
      </c>
      <c r="F1145" s="8" t="s">
        <v>58</v>
      </c>
      <c r="G1145" s="11">
        <v>43109</v>
      </c>
      <c r="H1145" s="8" t="s">
        <v>25</v>
      </c>
      <c r="I1145" s="11">
        <v>43111</v>
      </c>
      <c r="J1145" s="8" t="s">
        <v>25</v>
      </c>
      <c r="N1145" s="8" t="s">
        <v>58</v>
      </c>
      <c r="O1145" s="8" t="s">
        <v>59</v>
      </c>
      <c r="P1145" s="8" t="s">
        <v>59</v>
      </c>
      <c r="R1145" s="8">
        <v>0</v>
      </c>
      <c r="S1145" s="8">
        <v>0</v>
      </c>
      <c r="T1145" s="8">
        <v>1</v>
      </c>
      <c r="U1145" s="8">
        <v>2</v>
      </c>
      <c r="X1145" s="8">
        <v>5</v>
      </c>
      <c r="AG1145" s="8" t="str">
        <f t="shared" si="69"/>
        <v/>
      </c>
      <c r="AI1145" s="8" t="str">
        <f t="shared" si="70"/>
        <v/>
      </c>
      <c r="AJ1145" s="8" t="str">
        <f t="shared" si="71"/>
        <v/>
      </c>
      <c r="AL1145" s="8" t="str">
        <f t="shared" si="72"/>
        <v/>
      </c>
    </row>
    <row r="1146" spans="1:38" x14ac:dyDescent="0.25">
      <c r="A1146" s="8" t="s">
        <v>2051</v>
      </c>
      <c r="B1146" s="8" t="s">
        <v>2052</v>
      </c>
      <c r="C1146" s="8">
        <v>30850837</v>
      </c>
      <c r="D1146" s="8">
        <v>5</v>
      </c>
      <c r="E1146" s="11">
        <v>43109</v>
      </c>
      <c r="F1146" s="8" t="s">
        <v>58</v>
      </c>
      <c r="G1146" s="11">
        <v>43110</v>
      </c>
      <c r="H1146" s="8" t="s">
        <v>25</v>
      </c>
      <c r="I1146" s="11">
        <v>43111</v>
      </c>
      <c r="J1146" s="8" t="s">
        <v>25</v>
      </c>
      <c r="N1146" s="8" t="s">
        <v>58</v>
      </c>
      <c r="O1146" s="8" t="s">
        <v>59</v>
      </c>
      <c r="P1146" s="8" t="s">
        <v>59</v>
      </c>
      <c r="R1146" s="8">
        <v>0</v>
      </c>
      <c r="S1146" s="8">
        <v>0</v>
      </c>
      <c r="T1146" s="8">
        <v>1</v>
      </c>
      <c r="U1146" s="8">
        <v>2</v>
      </c>
      <c r="X1146" s="8">
        <v>5</v>
      </c>
      <c r="AG1146" s="8" t="str">
        <f t="shared" si="69"/>
        <v/>
      </c>
      <c r="AI1146" s="8" t="str">
        <f t="shared" si="70"/>
        <v/>
      </c>
      <c r="AJ1146" s="8" t="str">
        <f t="shared" si="71"/>
        <v/>
      </c>
      <c r="AL1146" s="8" t="str">
        <f t="shared" si="72"/>
        <v/>
      </c>
    </row>
    <row r="1147" spans="1:38" x14ac:dyDescent="0.25">
      <c r="A1147" s="8" t="s">
        <v>358</v>
      </c>
      <c r="B1147" s="8" t="s">
        <v>359</v>
      </c>
      <c r="C1147" s="8">
        <v>30825469</v>
      </c>
      <c r="D1147" s="8">
        <v>5</v>
      </c>
      <c r="E1147" s="11">
        <v>43108</v>
      </c>
      <c r="F1147" s="8" t="s">
        <v>58</v>
      </c>
      <c r="G1147" s="11">
        <v>43111</v>
      </c>
      <c r="H1147" s="8" t="s">
        <v>25</v>
      </c>
      <c r="I1147" s="11">
        <v>43111</v>
      </c>
      <c r="J1147" s="8" t="s">
        <v>25</v>
      </c>
      <c r="M1147" s="8" t="s">
        <v>66</v>
      </c>
      <c r="N1147" s="8" t="s">
        <v>58</v>
      </c>
      <c r="O1147" s="8" t="s">
        <v>59</v>
      </c>
      <c r="P1147" s="8" t="s">
        <v>59</v>
      </c>
      <c r="R1147" s="8">
        <v>0</v>
      </c>
      <c r="S1147" s="8">
        <v>0</v>
      </c>
      <c r="T1147" s="8">
        <v>1</v>
      </c>
      <c r="U1147" s="8">
        <v>2</v>
      </c>
      <c r="X1147" s="8">
        <v>5</v>
      </c>
      <c r="AG1147" s="8" t="str">
        <f t="shared" si="69"/>
        <v/>
      </c>
      <c r="AI1147" s="8" t="str">
        <f t="shared" si="70"/>
        <v/>
      </c>
      <c r="AJ1147" s="8" t="str">
        <f t="shared" si="71"/>
        <v/>
      </c>
      <c r="AL1147" s="8" t="str">
        <f t="shared" si="72"/>
        <v/>
      </c>
    </row>
    <row r="1148" spans="1:38" x14ac:dyDescent="0.25">
      <c r="A1148" s="8" t="s">
        <v>2053</v>
      </c>
      <c r="B1148" s="8" t="s">
        <v>2054</v>
      </c>
      <c r="C1148" s="8">
        <v>30807019</v>
      </c>
      <c r="D1148" s="8">
        <v>5</v>
      </c>
      <c r="E1148" s="11">
        <v>43108</v>
      </c>
      <c r="F1148" s="8" t="s">
        <v>57</v>
      </c>
      <c r="G1148" s="11">
        <v>43110</v>
      </c>
      <c r="H1148" s="8" t="s">
        <v>25</v>
      </c>
      <c r="J1148" s="8" t="s">
        <v>25</v>
      </c>
      <c r="N1148" s="8" t="s">
        <v>58</v>
      </c>
      <c r="O1148" s="8" t="s">
        <v>59</v>
      </c>
      <c r="P1148" s="8" t="s">
        <v>59</v>
      </c>
      <c r="R1148" s="8">
        <v>0</v>
      </c>
      <c r="S1148" s="8">
        <v>0</v>
      </c>
      <c r="T1148" s="8">
        <v>1</v>
      </c>
      <c r="U1148" s="8">
        <v>2</v>
      </c>
      <c r="AG1148" s="8" t="str">
        <f t="shared" si="69"/>
        <v/>
      </c>
      <c r="AI1148" s="8" t="str">
        <f t="shared" si="70"/>
        <v/>
      </c>
      <c r="AJ1148" s="8" t="str">
        <f t="shared" si="71"/>
        <v/>
      </c>
      <c r="AL1148" s="8" t="str">
        <f t="shared" si="72"/>
        <v/>
      </c>
    </row>
    <row r="1149" spans="1:38" x14ac:dyDescent="0.25">
      <c r="A1149" s="8" t="s">
        <v>2055</v>
      </c>
      <c r="B1149" s="8" t="s">
        <v>2056</v>
      </c>
      <c r="C1149" s="8">
        <v>30822385</v>
      </c>
      <c r="D1149" s="8">
        <v>5</v>
      </c>
      <c r="E1149" s="11">
        <v>43108</v>
      </c>
      <c r="F1149" s="8" t="s">
        <v>58</v>
      </c>
      <c r="G1149" s="11">
        <v>43110</v>
      </c>
      <c r="H1149" s="8" t="s">
        <v>25</v>
      </c>
      <c r="I1149" s="11">
        <v>43110</v>
      </c>
      <c r="J1149" s="8" t="s">
        <v>25</v>
      </c>
      <c r="N1149" s="8" t="s">
        <v>58</v>
      </c>
      <c r="O1149" s="8" t="s">
        <v>59</v>
      </c>
      <c r="P1149" s="8" t="s">
        <v>59</v>
      </c>
      <c r="R1149" s="8">
        <v>0</v>
      </c>
      <c r="S1149" s="8">
        <v>0</v>
      </c>
      <c r="T1149" s="8">
        <v>1</v>
      </c>
      <c r="U1149" s="8">
        <v>2</v>
      </c>
      <c r="X1149" s="8">
        <v>5</v>
      </c>
      <c r="AG1149" s="8" t="str">
        <f t="shared" si="69"/>
        <v/>
      </c>
      <c r="AI1149" s="8" t="str">
        <f t="shared" si="70"/>
        <v/>
      </c>
      <c r="AJ1149" s="8" t="str">
        <f t="shared" si="71"/>
        <v/>
      </c>
      <c r="AL1149" s="8" t="str">
        <f t="shared" si="72"/>
        <v/>
      </c>
    </row>
    <row r="1150" spans="1:38" x14ac:dyDescent="0.25">
      <c r="A1150" s="8" t="s">
        <v>7034</v>
      </c>
      <c r="B1150" s="8" t="s">
        <v>7035</v>
      </c>
      <c r="C1150" s="8">
        <v>30934554</v>
      </c>
      <c r="D1150" s="8">
        <v>5</v>
      </c>
      <c r="E1150" s="11">
        <v>43115</v>
      </c>
      <c r="F1150" s="8" t="s">
        <v>57</v>
      </c>
      <c r="G1150" s="11">
        <v>43115</v>
      </c>
      <c r="H1150" s="8" t="s">
        <v>25</v>
      </c>
      <c r="J1150" s="8" t="s">
        <v>25</v>
      </c>
      <c r="N1150" s="8" t="s">
        <v>58</v>
      </c>
      <c r="O1150" s="8" t="s">
        <v>59</v>
      </c>
      <c r="P1150" s="8" t="s">
        <v>59</v>
      </c>
      <c r="R1150" s="8">
        <v>0</v>
      </c>
      <c r="S1150" s="8">
        <v>0</v>
      </c>
      <c r="T1150" s="8">
        <v>1</v>
      </c>
      <c r="U1150" s="8">
        <v>2</v>
      </c>
      <c r="AG1150" s="8" t="str">
        <f t="shared" si="69"/>
        <v/>
      </c>
      <c r="AI1150" s="8" t="str">
        <f t="shared" si="70"/>
        <v/>
      </c>
      <c r="AJ1150" s="8" t="str">
        <f t="shared" si="71"/>
        <v/>
      </c>
      <c r="AL1150" s="8" t="str">
        <f t="shared" si="72"/>
        <v/>
      </c>
    </row>
    <row r="1151" spans="1:38" x14ac:dyDescent="0.25">
      <c r="A1151" s="8" t="s">
        <v>7036</v>
      </c>
      <c r="B1151" s="8" t="s">
        <v>7037</v>
      </c>
      <c r="C1151" s="8">
        <v>30931678</v>
      </c>
      <c r="D1151" s="8">
        <v>5</v>
      </c>
      <c r="E1151" s="11">
        <v>43115</v>
      </c>
      <c r="F1151" s="8" t="s">
        <v>58</v>
      </c>
      <c r="G1151" s="11">
        <v>43115</v>
      </c>
      <c r="H1151" s="8" t="s">
        <v>25</v>
      </c>
      <c r="I1151" s="11">
        <v>43115</v>
      </c>
      <c r="J1151" s="8" t="s">
        <v>25</v>
      </c>
      <c r="N1151" s="8" t="s">
        <v>58</v>
      </c>
      <c r="O1151" s="8" t="s">
        <v>59</v>
      </c>
      <c r="P1151" s="8" t="s">
        <v>59</v>
      </c>
      <c r="R1151" s="8">
        <v>0</v>
      </c>
      <c r="S1151" s="8">
        <v>0</v>
      </c>
      <c r="T1151" s="8">
        <v>1</v>
      </c>
      <c r="U1151" s="8">
        <v>2</v>
      </c>
      <c r="X1151" s="8">
        <v>5</v>
      </c>
      <c r="AG1151" s="8" t="str">
        <f t="shared" si="69"/>
        <v/>
      </c>
      <c r="AI1151" s="8" t="str">
        <f t="shared" si="70"/>
        <v/>
      </c>
      <c r="AJ1151" s="8" t="str">
        <f t="shared" si="71"/>
        <v/>
      </c>
      <c r="AL1151" s="8" t="str">
        <f t="shared" si="72"/>
        <v/>
      </c>
    </row>
    <row r="1152" spans="1:38" x14ac:dyDescent="0.25">
      <c r="A1152" s="8" t="s">
        <v>360</v>
      </c>
      <c r="B1152" s="8" t="s">
        <v>361</v>
      </c>
      <c r="C1152" s="8">
        <v>30825532</v>
      </c>
      <c r="D1152" s="8">
        <v>5</v>
      </c>
      <c r="E1152" s="11">
        <v>43108</v>
      </c>
      <c r="F1152" s="8" t="s">
        <v>58</v>
      </c>
      <c r="G1152" s="11">
        <v>43108</v>
      </c>
      <c r="H1152" s="8" t="s">
        <v>25</v>
      </c>
      <c r="I1152" s="11">
        <v>43108</v>
      </c>
      <c r="J1152" s="8" t="s">
        <v>25</v>
      </c>
      <c r="N1152" s="8" t="s">
        <v>58</v>
      </c>
      <c r="O1152" s="8" t="s">
        <v>59</v>
      </c>
      <c r="P1152" s="8" t="s">
        <v>59</v>
      </c>
      <c r="R1152" s="8">
        <v>0</v>
      </c>
      <c r="S1152" s="8">
        <v>0</v>
      </c>
      <c r="T1152" s="8">
        <v>1</v>
      </c>
      <c r="U1152" s="8">
        <v>2</v>
      </c>
      <c r="X1152" s="8">
        <v>5</v>
      </c>
      <c r="AG1152" s="8" t="str">
        <f t="shared" si="69"/>
        <v/>
      </c>
      <c r="AI1152" s="8" t="str">
        <f t="shared" si="70"/>
        <v/>
      </c>
      <c r="AJ1152" s="8" t="str">
        <f t="shared" si="71"/>
        <v/>
      </c>
      <c r="AL1152" s="8" t="str">
        <f t="shared" si="72"/>
        <v/>
      </c>
    </row>
    <row r="1153" spans="1:38" x14ac:dyDescent="0.25">
      <c r="A1153" s="8" t="s">
        <v>362</v>
      </c>
      <c r="B1153" s="8" t="s">
        <v>363</v>
      </c>
      <c r="C1153" s="8">
        <v>30818923</v>
      </c>
      <c r="D1153" s="8">
        <v>5</v>
      </c>
      <c r="E1153" s="11">
        <v>43108</v>
      </c>
      <c r="F1153" s="8" t="s">
        <v>58</v>
      </c>
      <c r="G1153" s="11">
        <v>43108</v>
      </c>
      <c r="H1153" s="8" t="s">
        <v>25</v>
      </c>
      <c r="I1153" s="11">
        <v>43108</v>
      </c>
      <c r="J1153" s="8" t="s">
        <v>25</v>
      </c>
      <c r="N1153" s="8" t="s">
        <v>58</v>
      </c>
      <c r="O1153" s="8" t="s">
        <v>59</v>
      </c>
      <c r="P1153" s="8" t="s">
        <v>59</v>
      </c>
      <c r="R1153" s="8">
        <v>0</v>
      </c>
      <c r="S1153" s="8">
        <v>0</v>
      </c>
      <c r="T1153" s="8">
        <v>1</v>
      </c>
      <c r="U1153" s="8">
        <v>2</v>
      </c>
      <c r="X1153" s="8">
        <v>5</v>
      </c>
      <c r="AG1153" s="8" t="str">
        <f t="shared" si="69"/>
        <v/>
      </c>
      <c r="AI1153" s="8" t="str">
        <f t="shared" si="70"/>
        <v/>
      </c>
      <c r="AJ1153" s="8" t="str">
        <f t="shared" si="71"/>
        <v/>
      </c>
      <c r="AL1153" s="8" t="str">
        <f t="shared" si="72"/>
        <v/>
      </c>
    </row>
    <row r="1154" spans="1:38" x14ac:dyDescent="0.25">
      <c r="A1154" s="8" t="s">
        <v>2057</v>
      </c>
      <c r="B1154" s="8" t="s">
        <v>2058</v>
      </c>
      <c r="C1154" s="8">
        <v>30832395</v>
      </c>
      <c r="D1154" s="8">
        <v>5</v>
      </c>
      <c r="E1154" s="11">
        <v>43109</v>
      </c>
      <c r="F1154" s="8" t="s">
        <v>58</v>
      </c>
      <c r="G1154" s="11">
        <v>43110</v>
      </c>
      <c r="H1154" s="8" t="s">
        <v>25</v>
      </c>
      <c r="I1154" s="11">
        <v>43115</v>
      </c>
      <c r="J1154" s="8" t="s">
        <v>145</v>
      </c>
      <c r="N1154" s="8" t="s">
        <v>58</v>
      </c>
      <c r="O1154" s="8" t="s">
        <v>59</v>
      </c>
      <c r="P1154" s="8" t="s">
        <v>59</v>
      </c>
      <c r="R1154" s="8">
        <v>0</v>
      </c>
      <c r="S1154" s="8">
        <v>0</v>
      </c>
      <c r="T1154" s="8">
        <v>1</v>
      </c>
      <c r="U1154" s="8">
        <v>2</v>
      </c>
      <c r="X1154" s="8">
        <v>5</v>
      </c>
      <c r="AG1154" s="8" t="str">
        <f t="shared" si="69"/>
        <v/>
      </c>
      <c r="AI1154" s="8" t="str">
        <f t="shared" si="70"/>
        <v/>
      </c>
      <c r="AJ1154" s="8" t="str">
        <f t="shared" si="71"/>
        <v/>
      </c>
      <c r="AL1154" s="8" t="str">
        <f t="shared" si="72"/>
        <v/>
      </c>
    </row>
    <row r="1155" spans="1:38" x14ac:dyDescent="0.25">
      <c r="A1155" s="8" t="s">
        <v>7038</v>
      </c>
      <c r="B1155" s="8" t="s">
        <v>7039</v>
      </c>
      <c r="C1155" s="8">
        <v>30917996</v>
      </c>
      <c r="D1155" s="8">
        <v>5</v>
      </c>
      <c r="E1155" s="11">
        <v>43112</v>
      </c>
      <c r="F1155" s="8" t="s">
        <v>57</v>
      </c>
      <c r="G1155" s="11">
        <v>43115</v>
      </c>
      <c r="H1155" s="8" t="s">
        <v>25</v>
      </c>
      <c r="J1155" s="8" t="s">
        <v>25</v>
      </c>
      <c r="N1155" s="8" t="s">
        <v>58</v>
      </c>
      <c r="O1155" s="8" t="s">
        <v>59</v>
      </c>
      <c r="P1155" s="8" t="s">
        <v>59</v>
      </c>
      <c r="R1155" s="8">
        <v>0</v>
      </c>
      <c r="S1155" s="8">
        <v>0</v>
      </c>
      <c r="T1155" s="8">
        <v>1</v>
      </c>
      <c r="U1155" s="8">
        <v>2</v>
      </c>
      <c r="AG1155" s="8" t="str">
        <f t="shared" ref="AG1155:AG1218" si="73">IF(AND(U1155="",G1155&lt;&gt;"",NOT(OR(R1155,S1155))),IF(NETWORKDAYS.INTL(G1155,TODAY(),11)&lt;5,"En Plazo",IF(NETWORKDAYS.INTL(G1155,TODAY(),11)=5,"Riesgo Incumplimiento","FALTA_02")),"")</f>
        <v/>
      </c>
      <c r="AI1155" s="8" t="str">
        <f t="shared" ref="AI1155:AI1218" si="74">IF(AND(O1155&lt;&gt;"B1",F1155="Rejected"),IF(W1155="","FALTA_04",""),"")</f>
        <v/>
      </c>
      <c r="AJ1155" s="8" t="str">
        <f t="shared" ref="AJ1155:AJ1218" si="75">IF(AND(X1155="",I1155&lt;&gt;"",NOT(OR(R1155,S1155))),IF(NETWORKDAYS.INTL(G1155,TODAY(),11)&lt;=1,"En Plazo",IF(OR(AND(X1155="",O1155&lt;&gt;"M1"),AND(O1155="M1",(OR(Q1155="S - S",Q1155="S - T",)))),"FALTA_05","")),"")</f>
        <v/>
      </c>
      <c r="AL1155" s="8" t="str">
        <f t="shared" ref="AL1155:AL1218" si="76">IF(AND(O1155="B1",F1155="Rejected"),IF(Z1155="","FALTA_07",""),"")</f>
        <v/>
      </c>
    </row>
    <row r="1156" spans="1:38" x14ac:dyDescent="0.25">
      <c r="A1156" s="8" t="s">
        <v>3636</v>
      </c>
      <c r="B1156" s="8" t="s">
        <v>3637</v>
      </c>
      <c r="C1156" s="8">
        <v>30883510</v>
      </c>
      <c r="D1156" s="8">
        <v>5</v>
      </c>
      <c r="E1156" s="11">
        <v>43111</v>
      </c>
      <c r="F1156" s="8" t="s">
        <v>57</v>
      </c>
      <c r="G1156" s="11">
        <v>43111</v>
      </c>
      <c r="H1156" s="8" t="s">
        <v>25</v>
      </c>
      <c r="J1156" s="8" t="s">
        <v>25</v>
      </c>
      <c r="N1156" s="8" t="s">
        <v>58</v>
      </c>
      <c r="O1156" s="8" t="s">
        <v>59</v>
      </c>
      <c r="P1156" s="8" t="s">
        <v>59</v>
      </c>
      <c r="R1156" s="8">
        <v>0</v>
      </c>
      <c r="S1156" s="8">
        <v>0</v>
      </c>
      <c r="T1156" s="8">
        <v>1</v>
      </c>
      <c r="U1156" s="8">
        <v>2</v>
      </c>
      <c r="AG1156" s="8" t="str">
        <f t="shared" si="73"/>
        <v/>
      </c>
      <c r="AI1156" s="8" t="str">
        <f t="shared" si="74"/>
        <v/>
      </c>
      <c r="AJ1156" s="8" t="str">
        <f t="shared" si="75"/>
        <v/>
      </c>
      <c r="AL1156" s="8" t="str">
        <f t="shared" si="76"/>
        <v/>
      </c>
    </row>
    <row r="1157" spans="1:38" x14ac:dyDescent="0.25">
      <c r="A1157" s="8" t="s">
        <v>2059</v>
      </c>
      <c r="B1157" s="8" t="s">
        <v>2060</v>
      </c>
      <c r="C1157" s="8">
        <v>30872639</v>
      </c>
      <c r="D1157" s="8">
        <v>5</v>
      </c>
      <c r="E1157" s="11">
        <v>43110</v>
      </c>
      <c r="F1157" s="8" t="s">
        <v>58</v>
      </c>
      <c r="G1157" s="11">
        <v>43110</v>
      </c>
      <c r="H1157" s="8" t="s">
        <v>25</v>
      </c>
      <c r="I1157" s="11">
        <v>43110</v>
      </c>
      <c r="J1157" s="8" t="s">
        <v>25</v>
      </c>
      <c r="N1157" s="8" t="s">
        <v>58</v>
      </c>
      <c r="O1157" s="8" t="s">
        <v>59</v>
      </c>
      <c r="P1157" s="8" t="s">
        <v>59</v>
      </c>
      <c r="R1157" s="8">
        <v>0</v>
      </c>
      <c r="S1157" s="8">
        <v>0</v>
      </c>
      <c r="T1157" s="8">
        <v>1</v>
      </c>
      <c r="U1157" s="8">
        <v>2</v>
      </c>
      <c r="X1157" s="8">
        <v>5</v>
      </c>
      <c r="AG1157" s="8" t="str">
        <f t="shared" si="73"/>
        <v/>
      </c>
      <c r="AI1157" s="8" t="str">
        <f t="shared" si="74"/>
        <v/>
      </c>
      <c r="AJ1157" s="8" t="str">
        <f t="shared" si="75"/>
        <v/>
      </c>
      <c r="AL1157" s="8" t="str">
        <f t="shared" si="76"/>
        <v/>
      </c>
    </row>
    <row r="1158" spans="1:38" x14ac:dyDescent="0.25">
      <c r="A1158" s="8" t="s">
        <v>2061</v>
      </c>
      <c r="B1158" s="8" t="s">
        <v>2062</v>
      </c>
      <c r="C1158" s="8">
        <v>30810295</v>
      </c>
      <c r="D1158" s="8">
        <v>5</v>
      </c>
      <c r="E1158" s="11">
        <v>43108</v>
      </c>
      <c r="F1158" s="8" t="s">
        <v>58</v>
      </c>
      <c r="G1158" s="11">
        <v>43110</v>
      </c>
      <c r="H1158" s="8" t="s">
        <v>25</v>
      </c>
      <c r="I1158" s="11">
        <v>43115</v>
      </c>
      <c r="J1158" s="8" t="s">
        <v>145</v>
      </c>
      <c r="N1158" s="8" t="s">
        <v>58</v>
      </c>
      <c r="O1158" s="8" t="s">
        <v>59</v>
      </c>
      <c r="P1158" s="8" t="s">
        <v>59</v>
      </c>
      <c r="R1158" s="8">
        <v>0</v>
      </c>
      <c r="S1158" s="8">
        <v>0</v>
      </c>
      <c r="T1158" s="8">
        <v>1</v>
      </c>
      <c r="U1158" s="8">
        <v>2</v>
      </c>
      <c r="X1158" s="8">
        <v>5</v>
      </c>
      <c r="AG1158" s="8" t="str">
        <f t="shared" si="73"/>
        <v/>
      </c>
      <c r="AI1158" s="8" t="str">
        <f t="shared" si="74"/>
        <v/>
      </c>
      <c r="AJ1158" s="8" t="str">
        <f t="shared" si="75"/>
        <v/>
      </c>
      <c r="AL1158" s="8" t="str">
        <f t="shared" si="76"/>
        <v/>
      </c>
    </row>
    <row r="1159" spans="1:38" x14ac:dyDescent="0.25">
      <c r="A1159" s="8" t="s">
        <v>5146</v>
      </c>
      <c r="B1159" s="8" t="s">
        <v>5147</v>
      </c>
      <c r="C1159" s="8">
        <v>30887671</v>
      </c>
      <c r="D1159" s="8">
        <v>5</v>
      </c>
      <c r="E1159" s="11">
        <v>43111</v>
      </c>
      <c r="F1159" s="8" t="s">
        <v>58</v>
      </c>
      <c r="G1159" s="11">
        <v>43112</v>
      </c>
      <c r="H1159" s="8" t="s">
        <v>25</v>
      </c>
      <c r="I1159" s="11">
        <v>43115</v>
      </c>
      <c r="J1159" s="8" t="s">
        <v>25</v>
      </c>
      <c r="N1159" s="8" t="s">
        <v>58</v>
      </c>
      <c r="O1159" s="8" t="s">
        <v>59</v>
      </c>
      <c r="P1159" s="8" t="s">
        <v>59</v>
      </c>
      <c r="R1159" s="8">
        <v>0</v>
      </c>
      <c r="S1159" s="8">
        <v>0</v>
      </c>
      <c r="T1159" s="8">
        <v>1</v>
      </c>
      <c r="U1159" s="8">
        <v>2</v>
      </c>
      <c r="X1159" s="8">
        <v>5</v>
      </c>
      <c r="AG1159" s="8" t="str">
        <f t="shared" si="73"/>
        <v/>
      </c>
      <c r="AI1159" s="8" t="str">
        <f t="shared" si="74"/>
        <v/>
      </c>
      <c r="AJ1159" s="8" t="str">
        <f t="shared" si="75"/>
        <v/>
      </c>
      <c r="AL1159" s="8" t="str">
        <f t="shared" si="76"/>
        <v/>
      </c>
    </row>
    <row r="1160" spans="1:38" x14ac:dyDescent="0.25">
      <c r="A1160" s="8" t="s">
        <v>2063</v>
      </c>
      <c r="B1160" s="8" t="s">
        <v>2064</v>
      </c>
      <c r="C1160" s="8">
        <v>30865201</v>
      </c>
      <c r="D1160" s="8">
        <v>5</v>
      </c>
      <c r="E1160" s="11">
        <v>43110</v>
      </c>
      <c r="F1160" s="8" t="s">
        <v>58</v>
      </c>
      <c r="G1160" s="11">
        <v>43110</v>
      </c>
      <c r="H1160" s="8" t="s">
        <v>25</v>
      </c>
      <c r="I1160" s="11">
        <v>43112</v>
      </c>
      <c r="J1160" s="8" t="s">
        <v>25</v>
      </c>
      <c r="N1160" s="8" t="s">
        <v>58</v>
      </c>
      <c r="O1160" s="8" t="s">
        <v>59</v>
      </c>
      <c r="P1160" s="8" t="s">
        <v>59</v>
      </c>
      <c r="R1160" s="8">
        <v>0</v>
      </c>
      <c r="S1160" s="8">
        <v>0</v>
      </c>
      <c r="T1160" s="8">
        <v>1</v>
      </c>
      <c r="U1160" s="8">
        <v>2</v>
      </c>
      <c r="X1160" s="8">
        <v>5</v>
      </c>
      <c r="AG1160" s="8" t="str">
        <f t="shared" si="73"/>
        <v/>
      </c>
      <c r="AI1160" s="8" t="str">
        <f t="shared" si="74"/>
        <v/>
      </c>
      <c r="AJ1160" s="8" t="str">
        <f t="shared" si="75"/>
        <v/>
      </c>
      <c r="AL1160" s="8" t="str">
        <f t="shared" si="76"/>
        <v/>
      </c>
    </row>
    <row r="1161" spans="1:38" x14ac:dyDescent="0.25">
      <c r="A1161" s="8" t="s">
        <v>3638</v>
      </c>
      <c r="B1161" s="8" t="s">
        <v>3639</v>
      </c>
      <c r="C1161" s="8">
        <v>30890699</v>
      </c>
      <c r="D1161" s="8">
        <v>5</v>
      </c>
      <c r="E1161" s="11">
        <v>43111</v>
      </c>
      <c r="F1161" s="8" t="s">
        <v>58</v>
      </c>
      <c r="G1161" s="11">
        <v>43111</v>
      </c>
      <c r="H1161" s="8" t="s">
        <v>25</v>
      </c>
      <c r="I1161" s="11">
        <v>43111</v>
      </c>
      <c r="J1161" s="8" t="s">
        <v>25</v>
      </c>
      <c r="N1161" s="8" t="s">
        <v>58</v>
      </c>
      <c r="O1161" s="8" t="s">
        <v>59</v>
      </c>
      <c r="P1161" s="8" t="s">
        <v>59</v>
      </c>
      <c r="R1161" s="8">
        <v>0</v>
      </c>
      <c r="S1161" s="8">
        <v>0</v>
      </c>
      <c r="T1161" s="8">
        <v>1</v>
      </c>
      <c r="U1161" s="8">
        <v>2</v>
      </c>
      <c r="X1161" s="8">
        <v>5</v>
      </c>
      <c r="AG1161" s="8" t="str">
        <f t="shared" si="73"/>
        <v/>
      </c>
      <c r="AI1161" s="8" t="str">
        <f t="shared" si="74"/>
        <v/>
      </c>
      <c r="AJ1161" s="8" t="str">
        <f t="shared" si="75"/>
        <v/>
      </c>
      <c r="AL1161" s="8" t="str">
        <f t="shared" si="76"/>
        <v/>
      </c>
    </row>
    <row r="1162" spans="1:38" x14ac:dyDescent="0.25">
      <c r="A1162" s="8" t="s">
        <v>7040</v>
      </c>
      <c r="B1162" s="8" t="s">
        <v>7041</v>
      </c>
      <c r="C1162" s="8">
        <v>30908978</v>
      </c>
      <c r="D1162" s="8">
        <v>5</v>
      </c>
      <c r="E1162" s="11">
        <v>43112</v>
      </c>
      <c r="F1162" s="8" t="s">
        <v>57</v>
      </c>
      <c r="G1162" s="11">
        <v>43115</v>
      </c>
      <c r="H1162" s="8" t="s">
        <v>25</v>
      </c>
      <c r="J1162" s="8" t="s">
        <v>25</v>
      </c>
      <c r="N1162" s="8" t="s">
        <v>58</v>
      </c>
      <c r="O1162" s="8" t="s">
        <v>59</v>
      </c>
      <c r="P1162" s="8" t="s">
        <v>59</v>
      </c>
      <c r="R1162" s="8">
        <v>0</v>
      </c>
      <c r="S1162" s="8">
        <v>0</v>
      </c>
      <c r="T1162" s="8">
        <v>1</v>
      </c>
      <c r="U1162" s="8">
        <v>2</v>
      </c>
      <c r="AG1162" s="8" t="str">
        <f t="shared" si="73"/>
        <v/>
      </c>
      <c r="AI1162" s="8" t="str">
        <f t="shared" si="74"/>
        <v/>
      </c>
      <c r="AJ1162" s="8" t="str">
        <f t="shared" si="75"/>
        <v/>
      </c>
      <c r="AL1162" s="8" t="str">
        <f t="shared" si="76"/>
        <v/>
      </c>
    </row>
    <row r="1163" spans="1:38" x14ac:dyDescent="0.25">
      <c r="A1163" s="8" t="s">
        <v>2065</v>
      </c>
      <c r="B1163" s="8" t="s">
        <v>2066</v>
      </c>
      <c r="C1163" s="8">
        <v>30861044</v>
      </c>
      <c r="D1163" s="8">
        <v>5</v>
      </c>
      <c r="E1163" s="11">
        <v>43110</v>
      </c>
      <c r="F1163" s="8" t="s">
        <v>58</v>
      </c>
      <c r="G1163" s="11">
        <v>43110</v>
      </c>
      <c r="H1163" s="8" t="s">
        <v>25</v>
      </c>
      <c r="I1163" s="11">
        <v>43110</v>
      </c>
      <c r="J1163" s="8" t="s">
        <v>25</v>
      </c>
      <c r="N1163" s="8" t="s">
        <v>58</v>
      </c>
      <c r="O1163" s="8" t="s">
        <v>59</v>
      </c>
      <c r="P1163" s="8" t="s">
        <v>59</v>
      </c>
      <c r="R1163" s="8">
        <v>0</v>
      </c>
      <c r="S1163" s="8">
        <v>0</v>
      </c>
      <c r="T1163" s="8">
        <v>1</v>
      </c>
      <c r="U1163" s="8">
        <v>2</v>
      </c>
      <c r="X1163" s="8">
        <v>5</v>
      </c>
      <c r="AG1163" s="8" t="str">
        <f t="shared" si="73"/>
        <v/>
      </c>
      <c r="AI1163" s="8" t="str">
        <f t="shared" si="74"/>
        <v/>
      </c>
      <c r="AJ1163" s="8" t="str">
        <f t="shared" si="75"/>
        <v/>
      </c>
      <c r="AL1163" s="8" t="str">
        <f t="shared" si="76"/>
        <v/>
      </c>
    </row>
    <row r="1164" spans="1:38" x14ac:dyDescent="0.25">
      <c r="A1164" s="8" t="s">
        <v>2067</v>
      </c>
      <c r="B1164" s="8" t="s">
        <v>2068</v>
      </c>
      <c r="C1164" s="8">
        <v>30876154</v>
      </c>
      <c r="D1164" s="8">
        <v>5</v>
      </c>
      <c r="E1164" s="11">
        <v>43110</v>
      </c>
      <c r="F1164" s="8" t="s">
        <v>58</v>
      </c>
      <c r="G1164" s="11">
        <v>43110</v>
      </c>
      <c r="H1164" s="8" t="s">
        <v>25</v>
      </c>
      <c r="I1164" s="11">
        <v>43115</v>
      </c>
      <c r="J1164" s="8" t="s">
        <v>145</v>
      </c>
      <c r="N1164" s="8" t="s">
        <v>58</v>
      </c>
      <c r="O1164" s="8" t="s">
        <v>59</v>
      </c>
      <c r="P1164" s="8" t="s">
        <v>59</v>
      </c>
      <c r="R1164" s="8">
        <v>0</v>
      </c>
      <c r="S1164" s="8">
        <v>0</v>
      </c>
      <c r="T1164" s="8">
        <v>1</v>
      </c>
      <c r="U1164" s="8">
        <v>2</v>
      </c>
      <c r="X1164" s="8">
        <v>5</v>
      </c>
      <c r="AG1164" s="8" t="str">
        <f t="shared" si="73"/>
        <v/>
      </c>
      <c r="AI1164" s="8" t="str">
        <f t="shared" si="74"/>
        <v/>
      </c>
      <c r="AJ1164" s="8" t="str">
        <f t="shared" si="75"/>
        <v/>
      </c>
      <c r="AL1164" s="8" t="str">
        <f t="shared" si="76"/>
        <v/>
      </c>
    </row>
    <row r="1165" spans="1:38" x14ac:dyDescent="0.25">
      <c r="A1165" s="8" t="s">
        <v>1086</v>
      </c>
      <c r="B1165" s="8" t="s">
        <v>134</v>
      </c>
      <c r="C1165" s="8">
        <v>30844900</v>
      </c>
      <c r="D1165" s="8">
        <v>5</v>
      </c>
      <c r="E1165" s="11">
        <v>43109</v>
      </c>
      <c r="F1165" s="8" t="s">
        <v>58</v>
      </c>
      <c r="G1165" s="11">
        <v>43109</v>
      </c>
      <c r="H1165" s="8" t="s">
        <v>25</v>
      </c>
      <c r="I1165" s="11">
        <v>43111</v>
      </c>
      <c r="J1165" s="8" t="s">
        <v>25</v>
      </c>
      <c r="N1165" s="8" t="s">
        <v>58</v>
      </c>
      <c r="O1165" s="8" t="s">
        <v>59</v>
      </c>
      <c r="P1165" s="8" t="s">
        <v>59</v>
      </c>
      <c r="R1165" s="8">
        <v>0</v>
      </c>
      <c r="S1165" s="8">
        <v>0</v>
      </c>
      <c r="T1165" s="8">
        <v>1</v>
      </c>
      <c r="U1165" s="8">
        <v>2</v>
      </c>
      <c r="X1165" s="8">
        <v>5</v>
      </c>
      <c r="AG1165" s="8" t="str">
        <f t="shared" si="73"/>
        <v/>
      </c>
      <c r="AI1165" s="8" t="str">
        <f t="shared" si="74"/>
        <v/>
      </c>
      <c r="AJ1165" s="8" t="str">
        <f t="shared" si="75"/>
        <v/>
      </c>
      <c r="AL1165" s="8" t="str">
        <f t="shared" si="76"/>
        <v/>
      </c>
    </row>
    <row r="1166" spans="1:38" x14ac:dyDescent="0.25">
      <c r="A1166" s="8" t="s">
        <v>5148</v>
      </c>
      <c r="B1166" s="8" t="s">
        <v>5149</v>
      </c>
      <c r="C1166" s="8">
        <v>30887583</v>
      </c>
      <c r="D1166" s="8">
        <v>4</v>
      </c>
      <c r="E1166" s="11">
        <v>43111</v>
      </c>
      <c r="F1166" s="8" t="s">
        <v>57</v>
      </c>
      <c r="G1166" s="11">
        <v>43112</v>
      </c>
      <c r="H1166" s="8" t="s">
        <v>25</v>
      </c>
      <c r="J1166" s="8" t="s">
        <v>25</v>
      </c>
      <c r="N1166" s="8" t="s">
        <v>58</v>
      </c>
      <c r="O1166" s="8" t="s">
        <v>59</v>
      </c>
      <c r="P1166" s="8" t="s">
        <v>59</v>
      </c>
      <c r="R1166" s="8">
        <v>0</v>
      </c>
      <c r="S1166" s="8">
        <v>0</v>
      </c>
      <c r="T1166" s="8">
        <v>1</v>
      </c>
      <c r="U1166" s="8">
        <v>2</v>
      </c>
      <c r="AG1166" s="8" t="str">
        <f t="shared" si="73"/>
        <v/>
      </c>
      <c r="AI1166" s="8" t="str">
        <f t="shared" si="74"/>
        <v/>
      </c>
      <c r="AJ1166" s="8" t="str">
        <f t="shared" si="75"/>
        <v/>
      </c>
      <c r="AL1166" s="8" t="str">
        <f t="shared" si="76"/>
        <v/>
      </c>
    </row>
    <row r="1167" spans="1:38" x14ac:dyDescent="0.25">
      <c r="A1167" s="8" t="s">
        <v>1087</v>
      </c>
      <c r="B1167" s="8" t="s">
        <v>1088</v>
      </c>
      <c r="C1167" s="8">
        <v>30845918</v>
      </c>
      <c r="D1167" s="8">
        <v>5</v>
      </c>
      <c r="E1167" s="11">
        <v>43109</v>
      </c>
      <c r="F1167" s="8" t="s">
        <v>58</v>
      </c>
      <c r="G1167" s="11">
        <v>43109</v>
      </c>
      <c r="H1167" s="8" t="s">
        <v>25</v>
      </c>
      <c r="I1167" s="11">
        <v>43109</v>
      </c>
      <c r="J1167" s="8" t="s">
        <v>25</v>
      </c>
      <c r="N1167" s="8" t="s">
        <v>58</v>
      </c>
      <c r="O1167" s="8" t="s">
        <v>59</v>
      </c>
      <c r="P1167" s="8" t="s">
        <v>59</v>
      </c>
      <c r="R1167" s="8">
        <v>0</v>
      </c>
      <c r="S1167" s="8">
        <v>0</v>
      </c>
      <c r="T1167" s="8">
        <v>1</v>
      </c>
      <c r="U1167" s="8">
        <v>2</v>
      </c>
      <c r="X1167" s="8">
        <v>5</v>
      </c>
      <c r="AG1167" s="8" t="str">
        <f t="shared" si="73"/>
        <v/>
      </c>
      <c r="AI1167" s="8" t="str">
        <f t="shared" si="74"/>
        <v/>
      </c>
      <c r="AJ1167" s="8" t="str">
        <f t="shared" si="75"/>
        <v/>
      </c>
      <c r="AL1167" s="8" t="str">
        <f t="shared" si="76"/>
        <v/>
      </c>
    </row>
    <row r="1168" spans="1:38" x14ac:dyDescent="0.25">
      <c r="A1168" s="8" t="s">
        <v>3640</v>
      </c>
      <c r="B1168" s="8" t="s">
        <v>3641</v>
      </c>
      <c r="C1168" s="8">
        <v>30843727</v>
      </c>
      <c r="D1168" s="8">
        <v>5</v>
      </c>
      <c r="E1168" s="11">
        <v>43109</v>
      </c>
      <c r="F1168" s="8" t="s">
        <v>58</v>
      </c>
      <c r="G1168" s="11">
        <v>43111</v>
      </c>
      <c r="H1168" s="8" t="s">
        <v>25</v>
      </c>
      <c r="I1168" s="11">
        <v>43112</v>
      </c>
      <c r="J1168" s="8" t="s">
        <v>25</v>
      </c>
      <c r="N1168" s="8" t="s">
        <v>58</v>
      </c>
      <c r="O1168" s="8" t="s">
        <v>59</v>
      </c>
      <c r="P1168" s="8" t="s">
        <v>59</v>
      </c>
      <c r="R1168" s="8">
        <v>0</v>
      </c>
      <c r="S1168" s="8">
        <v>0</v>
      </c>
      <c r="T1168" s="8">
        <v>1</v>
      </c>
      <c r="U1168" s="8">
        <v>2</v>
      </c>
      <c r="X1168" s="8">
        <v>5</v>
      </c>
      <c r="AG1168" s="8" t="str">
        <f t="shared" si="73"/>
        <v/>
      </c>
      <c r="AI1168" s="8" t="str">
        <f t="shared" si="74"/>
        <v/>
      </c>
      <c r="AJ1168" s="8" t="str">
        <f t="shared" si="75"/>
        <v/>
      </c>
      <c r="AL1168" s="8" t="str">
        <f t="shared" si="76"/>
        <v/>
      </c>
    </row>
    <row r="1169" spans="1:38" x14ac:dyDescent="0.25">
      <c r="A1169" s="8" t="s">
        <v>5150</v>
      </c>
      <c r="B1169" s="8" t="s">
        <v>5151</v>
      </c>
      <c r="C1169" s="8">
        <v>30881549</v>
      </c>
      <c r="D1169" s="8">
        <v>5</v>
      </c>
      <c r="E1169" s="11">
        <v>43111</v>
      </c>
      <c r="F1169" s="8" t="s">
        <v>58</v>
      </c>
      <c r="G1169" s="11">
        <v>43112</v>
      </c>
      <c r="H1169" s="8" t="s">
        <v>25</v>
      </c>
      <c r="I1169" s="11">
        <v>43112</v>
      </c>
      <c r="J1169" s="8" t="s">
        <v>25</v>
      </c>
      <c r="N1169" s="8" t="s">
        <v>58</v>
      </c>
      <c r="O1169" s="8" t="s">
        <v>59</v>
      </c>
      <c r="P1169" s="8" t="s">
        <v>59</v>
      </c>
      <c r="R1169" s="8">
        <v>0</v>
      </c>
      <c r="S1169" s="8">
        <v>0</v>
      </c>
      <c r="T1169" s="8">
        <v>1</v>
      </c>
      <c r="U1169" s="8">
        <v>2</v>
      </c>
      <c r="X1169" s="8">
        <v>5</v>
      </c>
      <c r="AG1169" s="8" t="str">
        <f t="shared" si="73"/>
        <v/>
      </c>
      <c r="AI1169" s="8" t="str">
        <f t="shared" si="74"/>
        <v/>
      </c>
      <c r="AJ1169" s="8" t="str">
        <f t="shared" si="75"/>
        <v/>
      </c>
      <c r="AL1169" s="8" t="str">
        <f t="shared" si="76"/>
        <v/>
      </c>
    </row>
    <row r="1170" spans="1:38" x14ac:dyDescent="0.25">
      <c r="A1170" s="8" t="s">
        <v>5152</v>
      </c>
      <c r="B1170" s="8" t="s">
        <v>5153</v>
      </c>
      <c r="C1170" s="8">
        <v>30881432</v>
      </c>
      <c r="D1170" s="8">
        <v>5</v>
      </c>
      <c r="E1170" s="11">
        <v>43111</v>
      </c>
      <c r="F1170" s="8" t="s">
        <v>57</v>
      </c>
      <c r="G1170" s="11">
        <v>43112</v>
      </c>
      <c r="H1170" s="8" t="s">
        <v>25</v>
      </c>
      <c r="J1170" s="8" t="s">
        <v>25</v>
      </c>
      <c r="N1170" s="8" t="s">
        <v>58</v>
      </c>
      <c r="O1170" s="8" t="s">
        <v>59</v>
      </c>
      <c r="P1170" s="8" t="s">
        <v>59</v>
      </c>
      <c r="R1170" s="8">
        <v>0</v>
      </c>
      <c r="S1170" s="8">
        <v>0</v>
      </c>
      <c r="T1170" s="8">
        <v>1</v>
      </c>
      <c r="U1170" s="8">
        <v>2</v>
      </c>
      <c r="AG1170" s="8" t="str">
        <f t="shared" si="73"/>
        <v/>
      </c>
      <c r="AI1170" s="8" t="str">
        <f t="shared" si="74"/>
        <v/>
      </c>
      <c r="AJ1170" s="8" t="str">
        <f t="shared" si="75"/>
        <v/>
      </c>
      <c r="AL1170" s="8" t="str">
        <f t="shared" si="76"/>
        <v/>
      </c>
    </row>
    <row r="1171" spans="1:38" x14ac:dyDescent="0.25">
      <c r="A1171" s="8" t="s">
        <v>3642</v>
      </c>
      <c r="B1171" s="8" t="s">
        <v>3643</v>
      </c>
      <c r="C1171" s="8">
        <v>30896435</v>
      </c>
      <c r="D1171" s="8">
        <v>5</v>
      </c>
      <c r="E1171" s="11">
        <v>43111</v>
      </c>
      <c r="F1171" s="8" t="s">
        <v>58</v>
      </c>
      <c r="G1171" s="11">
        <v>43111</v>
      </c>
      <c r="H1171" s="8" t="s">
        <v>25</v>
      </c>
      <c r="I1171" s="11">
        <v>43112</v>
      </c>
      <c r="J1171" s="8" t="s">
        <v>25</v>
      </c>
      <c r="N1171" s="8" t="s">
        <v>58</v>
      </c>
      <c r="O1171" s="8" t="s">
        <v>59</v>
      </c>
      <c r="P1171" s="8" t="s">
        <v>59</v>
      </c>
      <c r="R1171" s="8">
        <v>0</v>
      </c>
      <c r="S1171" s="8">
        <v>0</v>
      </c>
      <c r="T1171" s="8">
        <v>1</v>
      </c>
      <c r="U1171" s="8">
        <v>2</v>
      </c>
      <c r="X1171" s="8">
        <v>5</v>
      </c>
      <c r="AG1171" s="8" t="str">
        <f t="shared" si="73"/>
        <v/>
      </c>
      <c r="AI1171" s="8" t="str">
        <f t="shared" si="74"/>
        <v/>
      </c>
      <c r="AJ1171" s="8" t="str">
        <f t="shared" si="75"/>
        <v/>
      </c>
      <c r="AL1171" s="8" t="str">
        <f t="shared" si="76"/>
        <v/>
      </c>
    </row>
    <row r="1172" spans="1:38" x14ac:dyDescent="0.25">
      <c r="A1172" s="8" t="s">
        <v>3644</v>
      </c>
      <c r="B1172" s="8" t="s">
        <v>3645</v>
      </c>
      <c r="C1172" s="8">
        <v>30882911</v>
      </c>
      <c r="D1172" s="8">
        <v>5</v>
      </c>
      <c r="E1172" s="11">
        <v>43111</v>
      </c>
      <c r="F1172" s="8" t="s">
        <v>58</v>
      </c>
      <c r="G1172" s="11">
        <v>43111</v>
      </c>
      <c r="H1172" s="8" t="s">
        <v>25</v>
      </c>
      <c r="I1172" s="11">
        <v>43111</v>
      </c>
      <c r="J1172" s="8" t="s">
        <v>25</v>
      </c>
      <c r="N1172" s="8" t="s">
        <v>58</v>
      </c>
      <c r="O1172" s="8" t="s">
        <v>59</v>
      </c>
      <c r="P1172" s="8" t="s">
        <v>59</v>
      </c>
      <c r="R1172" s="8">
        <v>0</v>
      </c>
      <c r="S1172" s="8">
        <v>0</v>
      </c>
      <c r="T1172" s="8">
        <v>1</v>
      </c>
      <c r="U1172" s="8">
        <v>2</v>
      </c>
      <c r="X1172" s="8">
        <v>5</v>
      </c>
      <c r="AG1172" s="8" t="str">
        <f t="shared" si="73"/>
        <v/>
      </c>
      <c r="AI1172" s="8" t="str">
        <f t="shared" si="74"/>
        <v/>
      </c>
      <c r="AJ1172" s="8" t="str">
        <f t="shared" si="75"/>
        <v/>
      </c>
      <c r="AL1172" s="8" t="str">
        <f t="shared" si="76"/>
        <v/>
      </c>
    </row>
    <row r="1173" spans="1:38" x14ac:dyDescent="0.25">
      <c r="A1173" s="8" t="s">
        <v>364</v>
      </c>
      <c r="B1173" s="8" t="s">
        <v>365</v>
      </c>
      <c r="C1173" s="8">
        <v>30827469</v>
      </c>
      <c r="D1173" s="8">
        <v>5</v>
      </c>
      <c r="E1173" s="11">
        <v>43108</v>
      </c>
      <c r="F1173" s="8" t="s">
        <v>58</v>
      </c>
      <c r="G1173" s="11">
        <v>43108</v>
      </c>
      <c r="H1173" s="8" t="s">
        <v>25</v>
      </c>
      <c r="I1173" s="11">
        <v>43111</v>
      </c>
      <c r="J1173" s="8" t="s">
        <v>25</v>
      </c>
      <c r="N1173" s="8" t="s">
        <v>58</v>
      </c>
      <c r="O1173" s="8" t="s">
        <v>59</v>
      </c>
      <c r="P1173" s="8" t="s">
        <v>59</v>
      </c>
      <c r="R1173" s="8">
        <v>0</v>
      </c>
      <c r="S1173" s="8">
        <v>0</v>
      </c>
      <c r="T1173" s="8">
        <v>1</v>
      </c>
      <c r="U1173" s="8">
        <v>2</v>
      </c>
      <c r="X1173" s="8">
        <v>5</v>
      </c>
      <c r="AG1173" s="8" t="str">
        <f t="shared" si="73"/>
        <v/>
      </c>
      <c r="AI1173" s="8" t="str">
        <f t="shared" si="74"/>
        <v/>
      </c>
      <c r="AJ1173" s="8" t="str">
        <f t="shared" si="75"/>
        <v/>
      </c>
      <c r="AL1173" s="8" t="str">
        <f t="shared" si="76"/>
        <v/>
      </c>
    </row>
    <row r="1174" spans="1:38" x14ac:dyDescent="0.25">
      <c r="A1174" s="8" t="s">
        <v>2069</v>
      </c>
      <c r="B1174" s="8" t="s">
        <v>2070</v>
      </c>
      <c r="C1174" s="8">
        <v>30827271</v>
      </c>
      <c r="D1174" s="8">
        <v>5</v>
      </c>
      <c r="E1174" s="11">
        <v>43108</v>
      </c>
      <c r="F1174" s="8" t="s">
        <v>58</v>
      </c>
      <c r="G1174" s="11">
        <v>43110</v>
      </c>
      <c r="H1174" s="8" t="s">
        <v>25</v>
      </c>
      <c r="I1174" s="11">
        <v>43111</v>
      </c>
      <c r="J1174" s="8" t="s">
        <v>25</v>
      </c>
      <c r="N1174" s="8" t="s">
        <v>58</v>
      </c>
      <c r="O1174" s="8" t="s">
        <v>59</v>
      </c>
      <c r="P1174" s="8" t="s">
        <v>59</v>
      </c>
      <c r="R1174" s="8">
        <v>0</v>
      </c>
      <c r="S1174" s="8">
        <v>0</v>
      </c>
      <c r="T1174" s="8">
        <v>1</v>
      </c>
      <c r="U1174" s="8">
        <v>2</v>
      </c>
      <c r="X1174" s="8">
        <v>5</v>
      </c>
      <c r="AG1174" s="8" t="str">
        <f t="shared" si="73"/>
        <v/>
      </c>
      <c r="AI1174" s="8" t="str">
        <f t="shared" si="74"/>
        <v/>
      </c>
      <c r="AJ1174" s="8" t="str">
        <f t="shared" si="75"/>
        <v/>
      </c>
      <c r="AL1174" s="8" t="str">
        <f t="shared" si="76"/>
        <v/>
      </c>
    </row>
    <row r="1175" spans="1:38" x14ac:dyDescent="0.25">
      <c r="A1175" s="8" t="s">
        <v>5154</v>
      </c>
      <c r="B1175" s="8" t="s">
        <v>5155</v>
      </c>
      <c r="C1175" s="8">
        <v>30910474</v>
      </c>
      <c r="D1175" s="8">
        <v>5</v>
      </c>
      <c r="E1175" s="11">
        <v>43112</v>
      </c>
      <c r="F1175" s="8" t="s">
        <v>58</v>
      </c>
      <c r="G1175" s="11">
        <v>43112</v>
      </c>
      <c r="H1175" s="8" t="s">
        <v>25</v>
      </c>
      <c r="I1175" s="11">
        <v>43112</v>
      </c>
      <c r="J1175" s="8" t="s">
        <v>25</v>
      </c>
      <c r="N1175" s="8" t="s">
        <v>58</v>
      </c>
      <c r="O1175" s="8" t="s">
        <v>59</v>
      </c>
      <c r="P1175" s="8" t="s">
        <v>59</v>
      </c>
      <c r="R1175" s="8">
        <v>0</v>
      </c>
      <c r="S1175" s="8">
        <v>0</v>
      </c>
      <c r="T1175" s="8">
        <v>1</v>
      </c>
      <c r="U1175" s="8">
        <v>2</v>
      </c>
      <c r="X1175" s="8">
        <v>5</v>
      </c>
      <c r="AG1175" s="8" t="str">
        <f t="shared" si="73"/>
        <v/>
      </c>
      <c r="AI1175" s="8" t="str">
        <f t="shared" si="74"/>
        <v/>
      </c>
      <c r="AJ1175" s="8" t="str">
        <f t="shared" si="75"/>
        <v/>
      </c>
      <c r="AL1175" s="8" t="str">
        <f t="shared" si="76"/>
        <v/>
      </c>
    </row>
    <row r="1176" spans="1:38" x14ac:dyDescent="0.25">
      <c r="A1176" s="8" t="s">
        <v>3646</v>
      </c>
      <c r="B1176" s="8" t="s">
        <v>3647</v>
      </c>
      <c r="C1176" s="8">
        <v>30850464</v>
      </c>
      <c r="D1176" s="8">
        <v>5</v>
      </c>
      <c r="E1176" s="11">
        <v>43109</v>
      </c>
      <c r="F1176" s="8" t="s">
        <v>57</v>
      </c>
      <c r="G1176" s="11">
        <v>43111</v>
      </c>
      <c r="H1176" s="8" t="s">
        <v>25</v>
      </c>
      <c r="J1176" s="8" t="s">
        <v>25</v>
      </c>
      <c r="N1176" s="8" t="s">
        <v>58</v>
      </c>
      <c r="O1176" s="8" t="s">
        <v>59</v>
      </c>
      <c r="P1176" s="8" t="s">
        <v>59</v>
      </c>
      <c r="R1176" s="8">
        <v>0</v>
      </c>
      <c r="S1176" s="8">
        <v>0</v>
      </c>
      <c r="T1176" s="8">
        <v>1</v>
      </c>
      <c r="U1176" s="8">
        <v>2</v>
      </c>
      <c r="AG1176" s="8" t="str">
        <f t="shared" si="73"/>
        <v/>
      </c>
      <c r="AI1176" s="8" t="str">
        <f t="shared" si="74"/>
        <v/>
      </c>
      <c r="AJ1176" s="8" t="str">
        <f t="shared" si="75"/>
        <v/>
      </c>
      <c r="AL1176" s="8" t="str">
        <f t="shared" si="76"/>
        <v/>
      </c>
    </row>
    <row r="1177" spans="1:38" x14ac:dyDescent="0.25">
      <c r="A1177" s="8" t="s">
        <v>2071</v>
      </c>
      <c r="B1177" s="8" t="s">
        <v>2072</v>
      </c>
      <c r="C1177" s="8">
        <v>30864373</v>
      </c>
      <c r="D1177" s="8">
        <v>5</v>
      </c>
      <c r="E1177" s="11">
        <v>43110</v>
      </c>
      <c r="F1177" s="8" t="s">
        <v>58</v>
      </c>
      <c r="G1177" s="11">
        <v>43110</v>
      </c>
      <c r="H1177" s="8" t="s">
        <v>25</v>
      </c>
      <c r="I1177" s="11">
        <v>43110</v>
      </c>
      <c r="J1177" s="8" t="s">
        <v>25</v>
      </c>
      <c r="N1177" s="8" t="s">
        <v>58</v>
      </c>
      <c r="O1177" s="8" t="s">
        <v>59</v>
      </c>
      <c r="P1177" s="8" t="s">
        <v>59</v>
      </c>
      <c r="R1177" s="8">
        <v>0</v>
      </c>
      <c r="S1177" s="8">
        <v>0</v>
      </c>
      <c r="T1177" s="8">
        <v>1</v>
      </c>
      <c r="U1177" s="8">
        <v>2</v>
      </c>
      <c r="X1177" s="8">
        <v>5</v>
      </c>
      <c r="AG1177" s="8" t="str">
        <f t="shared" si="73"/>
        <v/>
      </c>
      <c r="AI1177" s="8" t="str">
        <f t="shared" si="74"/>
        <v/>
      </c>
      <c r="AJ1177" s="8" t="str">
        <f t="shared" si="75"/>
        <v/>
      </c>
      <c r="AL1177" s="8" t="str">
        <f t="shared" si="76"/>
        <v/>
      </c>
    </row>
    <row r="1178" spans="1:38" x14ac:dyDescent="0.25">
      <c r="A1178" s="8" t="s">
        <v>2073</v>
      </c>
      <c r="B1178" s="8" t="s">
        <v>2074</v>
      </c>
      <c r="C1178" s="8">
        <v>30822620</v>
      </c>
      <c r="D1178" s="8">
        <v>3</v>
      </c>
      <c r="E1178" s="11">
        <v>43108</v>
      </c>
      <c r="F1178" s="8" t="s">
        <v>57</v>
      </c>
      <c r="G1178" s="11">
        <v>43110</v>
      </c>
      <c r="H1178" s="8" t="s">
        <v>25</v>
      </c>
      <c r="J1178" s="8" t="s">
        <v>25</v>
      </c>
      <c r="N1178" s="8" t="s">
        <v>58</v>
      </c>
      <c r="O1178" s="8" t="s">
        <v>59</v>
      </c>
      <c r="P1178" s="8" t="s">
        <v>59</v>
      </c>
      <c r="R1178" s="8">
        <v>0</v>
      </c>
      <c r="S1178" s="8">
        <v>0</v>
      </c>
      <c r="T1178" s="8">
        <v>1</v>
      </c>
      <c r="U1178" s="8">
        <v>2</v>
      </c>
      <c r="AG1178" s="8" t="str">
        <f t="shared" si="73"/>
        <v/>
      </c>
      <c r="AI1178" s="8" t="str">
        <f t="shared" si="74"/>
        <v/>
      </c>
      <c r="AJ1178" s="8" t="str">
        <f t="shared" si="75"/>
        <v/>
      </c>
      <c r="AL1178" s="8" t="str">
        <f t="shared" si="76"/>
        <v/>
      </c>
    </row>
    <row r="1179" spans="1:38" x14ac:dyDescent="0.25">
      <c r="A1179" s="8" t="s">
        <v>2075</v>
      </c>
      <c r="B1179" s="8" t="s">
        <v>2076</v>
      </c>
      <c r="C1179" s="8">
        <v>30875227</v>
      </c>
      <c r="D1179" s="8">
        <v>5</v>
      </c>
      <c r="E1179" s="11">
        <v>43110</v>
      </c>
      <c r="F1179" s="8" t="s">
        <v>58</v>
      </c>
      <c r="G1179" s="11">
        <v>43110</v>
      </c>
      <c r="H1179" s="8" t="s">
        <v>25</v>
      </c>
      <c r="I1179" s="11">
        <v>43110</v>
      </c>
      <c r="J1179" s="8" t="s">
        <v>25</v>
      </c>
      <c r="N1179" s="8" t="s">
        <v>58</v>
      </c>
      <c r="O1179" s="8" t="s">
        <v>59</v>
      </c>
      <c r="P1179" s="8" t="s">
        <v>59</v>
      </c>
      <c r="R1179" s="8">
        <v>0</v>
      </c>
      <c r="S1179" s="8">
        <v>0</v>
      </c>
      <c r="T1179" s="8">
        <v>1</v>
      </c>
      <c r="U1179" s="8">
        <v>2</v>
      </c>
      <c r="X1179" s="8">
        <v>5</v>
      </c>
      <c r="AG1179" s="8" t="str">
        <f t="shared" si="73"/>
        <v/>
      </c>
      <c r="AI1179" s="8" t="str">
        <f t="shared" si="74"/>
        <v/>
      </c>
      <c r="AJ1179" s="8" t="str">
        <f t="shared" si="75"/>
        <v/>
      </c>
      <c r="AL1179" s="8" t="str">
        <f t="shared" si="76"/>
        <v/>
      </c>
    </row>
    <row r="1180" spans="1:38" x14ac:dyDescent="0.25">
      <c r="A1180" s="8" t="s">
        <v>5156</v>
      </c>
      <c r="B1180" s="8" t="s">
        <v>5157</v>
      </c>
      <c r="C1180" s="8">
        <v>30917620</v>
      </c>
      <c r="D1180" s="8">
        <v>5</v>
      </c>
      <c r="E1180" s="11">
        <v>43112</v>
      </c>
      <c r="F1180" s="8" t="s">
        <v>58</v>
      </c>
      <c r="G1180" s="11">
        <v>43112</v>
      </c>
      <c r="H1180" s="8" t="s">
        <v>25</v>
      </c>
      <c r="I1180" s="11">
        <v>43112</v>
      </c>
      <c r="J1180" s="8" t="s">
        <v>25</v>
      </c>
      <c r="N1180" s="8" t="s">
        <v>58</v>
      </c>
      <c r="O1180" s="8" t="s">
        <v>59</v>
      </c>
      <c r="P1180" s="8" t="s">
        <v>59</v>
      </c>
      <c r="R1180" s="8">
        <v>0</v>
      </c>
      <c r="S1180" s="8">
        <v>0</v>
      </c>
      <c r="T1180" s="8">
        <v>1</v>
      </c>
      <c r="U1180" s="8">
        <v>2</v>
      </c>
      <c r="X1180" s="8">
        <v>5</v>
      </c>
      <c r="AG1180" s="8" t="str">
        <f t="shared" si="73"/>
        <v/>
      </c>
      <c r="AI1180" s="8" t="str">
        <f t="shared" si="74"/>
        <v/>
      </c>
      <c r="AJ1180" s="8" t="str">
        <f t="shared" si="75"/>
        <v/>
      </c>
      <c r="AL1180" s="8" t="str">
        <f t="shared" si="76"/>
        <v/>
      </c>
    </row>
    <row r="1181" spans="1:38" x14ac:dyDescent="0.25">
      <c r="A1181" s="8" t="s">
        <v>3648</v>
      </c>
      <c r="B1181" s="8" t="s">
        <v>3649</v>
      </c>
      <c r="C1181" s="8">
        <v>30850596</v>
      </c>
      <c r="D1181" s="8">
        <v>5</v>
      </c>
      <c r="E1181" s="11">
        <v>43109</v>
      </c>
      <c r="F1181" s="8" t="s">
        <v>57</v>
      </c>
      <c r="G1181" s="11">
        <v>43111</v>
      </c>
      <c r="H1181" s="8" t="s">
        <v>25</v>
      </c>
      <c r="J1181" s="8" t="s">
        <v>25</v>
      </c>
      <c r="N1181" s="8" t="s">
        <v>58</v>
      </c>
      <c r="O1181" s="8" t="s">
        <v>59</v>
      </c>
      <c r="P1181" s="8" t="s">
        <v>59</v>
      </c>
      <c r="R1181" s="8">
        <v>0</v>
      </c>
      <c r="S1181" s="8">
        <v>0</v>
      </c>
      <c r="T1181" s="8">
        <v>1</v>
      </c>
      <c r="U1181" s="8">
        <v>2</v>
      </c>
      <c r="AG1181" s="8" t="str">
        <f t="shared" si="73"/>
        <v/>
      </c>
      <c r="AI1181" s="8" t="str">
        <f t="shared" si="74"/>
        <v/>
      </c>
      <c r="AJ1181" s="8" t="str">
        <f t="shared" si="75"/>
        <v/>
      </c>
      <c r="AL1181" s="8" t="str">
        <f t="shared" si="76"/>
        <v/>
      </c>
    </row>
    <row r="1182" spans="1:38" x14ac:dyDescent="0.25">
      <c r="A1182" s="8" t="s">
        <v>1089</v>
      </c>
      <c r="B1182" s="8" t="s">
        <v>1090</v>
      </c>
      <c r="C1182" s="8">
        <v>30833414</v>
      </c>
      <c r="D1182" s="8">
        <v>5</v>
      </c>
      <c r="E1182" s="11">
        <v>43109</v>
      </c>
      <c r="F1182" s="8" t="s">
        <v>58</v>
      </c>
      <c r="G1182" s="11">
        <v>43109</v>
      </c>
      <c r="H1182" s="8" t="s">
        <v>25</v>
      </c>
      <c r="I1182" s="11">
        <v>43109</v>
      </c>
      <c r="J1182" s="8" t="s">
        <v>25</v>
      </c>
      <c r="N1182" s="8" t="s">
        <v>58</v>
      </c>
      <c r="O1182" s="8" t="s">
        <v>59</v>
      </c>
      <c r="P1182" s="8" t="s">
        <v>59</v>
      </c>
      <c r="R1182" s="8">
        <v>0</v>
      </c>
      <c r="S1182" s="8">
        <v>0</v>
      </c>
      <c r="T1182" s="8">
        <v>1</v>
      </c>
      <c r="U1182" s="8">
        <v>2</v>
      </c>
      <c r="X1182" s="8">
        <v>5</v>
      </c>
      <c r="AG1182" s="8" t="str">
        <f t="shared" si="73"/>
        <v/>
      </c>
      <c r="AI1182" s="8" t="str">
        <f t="shared" si="74"/>
        <v/>
      </c>
      <c r="AJ1182" s="8" t="str">
        <f t="shared" si="75"/>
        <v/>
      </c>
      <c r="AL1182" s="8" t="str">
        <f t="shared" si="76"/>
        <v/>
      </c>
    </row>
    <row r="1183" spans="1:38" x14ac:dyDescent="0.25">
      <c r="A1183" s="8" t="s">
        <v>2077</v>
      </c>
      <c r="B1183" s="8" t="s">
        <v>2078</v>
      </c>
      <c r="C1183" s="8">
        <v>30831726</v>
      </c>
      <c r="D1183" s="8">
        <v>5</v>
      </c>
      <c r="E1183" s="11">
        <v>43109</v>
      </c>
      <c r="F1183" s="8" t="s">
        <v>57</v>
      </c>
      <c r="G1183" s="11">
        <v>43110</v>
      </c>
      <c r="H1183" s="8" t="s">
        <v>25</v>
      </c>
      <c r="J1183" s="8" t="s">
        <v>25</v>
      </c>
      <c r="N1183" s="8" t="s">
        <v>58</v>
      </c>
      <c r="O1183" s="8" t="s">
        <v>59</v>
      </c>
      <c r="P1183" s="8" t="s">
        <v>59</v>
      </c>
      <c r="R1183" s="8">
        <v>0</v>
      </c>
      <c r="S1183" s="8">
        <v>0</v>
      </c>
      <c r="T1183" s="8">
        <v>1</v>
      </c>
      <c r="U1183" s="8">
        <v>2</v>
      </c>
      <c r="AG1183" s="8" t="str">
        <f t="shared" si="73"/>
        <v/>
      </c>
      <c r="AI1183" s="8" t="str">
        <f t="shared" si="74"/>
        <v/>
      </c>
      <c r="AJ1183" s="8" t="str">
        <f t="shared" si="75"/>
        <v/>
      </c>
      <c r="AL1183" s="8" t="str">
        <f t="shared" si="76"/>
        <v/>
      </c>
    </row>
    <row r="1184" spans="1:38" x14ac:dyDescent="0.25">
      <c r="A1184" s="8" t="s">
        <v>3650</v>
      </c>
      <c r="B1184" s="8" t="s">
        <v>3651</v>
      </c>
      <c r="C1184" s="8">
        <v>30862573</v>
      </c>
      <c r="D1184" s="8">
        <v>5</v>
      </c>
      <c r="E1184" s="11">
        <v>43110</v>
      </c>
      <c r="F1184" s="8" t="s">
        <v>57</v>
      </c>
      <c r="G1184" s="11">
        <v>43111</v>
      </c>
      <c r="H1184" s="8" t="s">
        <v>25</v>
      </c>
      <c r="J1184" s="8" t="s">
        <v>25</v>
      </c>
      <c r="N1184" s="8" t="s">
        <v>58</v>
      </c>
      <c r="O1184" s="8" t="s">
        <v>59</v>
      </c>
      <c r="P1184" s="8" t="s">
        <v>59</v>
      </c>
      <c r="R1184" s="8">
        <v>0</v>
      </c>
      <c r="S1184" s="8">
        <v>0</v>
      </c>
      <c r="T1184" s="8">
        <v>1</v>
      </c>
      <c r="U1184" s="8">
        <v>2</v>
      </c>
      <c r="AG1184" s="8" t="str">
        <f t="shared" si="73"/>
        <v/>
      </c>
      <c r="AI1184" s="8" t="str">
        <f t="shared" si="74"/>
        <v/>
      </c>
      <c r="AJ1184" s="8" t="str">
        <f t="shared" si="75"/>
        <v/>
      </c>
      <c r="AL1184" s="8" t="str">
        <f t="shared" si="76"/>
        <v/>
      </c>
    </row>
    <row r="1185" spans="1:38" x14ac:dyDescent="0.25">
      <c r="A1185" s="8" t="s">
        <v>1091</v>
      </c>
      <c r="B1185" s="8" t="s">
        <v>1092</v>
      </c>
      <c r="C1185" s="8">
        <v>30822309</v>
      </c>
      <c r="D1185" s="8">
        <v>5</v>
      </c>
      <c r="E1185" s="11">
        <v>43108</v>
      </c>
      <c r="F1185" s="8" t="s">
        <v>58</v>
      </c>
      <c r="G1185" s="11">
        <v>43109</v>
      </c>
      <c r="H1185" s="8" t="s">
        <v>25</v>
      </c>
      <c r="I1185" s="11">
        <v>43110</v>
      </c>
      <c r="J1185" s="8" t="s">
        <v>25</v>
      </c>
      <c r="N1185" s="8" t="s">
        <v>58</v>
      </c>
      <c r="O1185" s="8" t="s">
        <v>59</v>
      </c>
      <c r="P1185" s="8" t="s">
        <v>59</v>
      </c>
      <c r="R1185" s="8">
        <v>0</v>
      </c>
      <c r="S1185" s="8">
        <v>0</v>
      </c>
      <c r="T1185" s="8">
        <v>1</v>
      </c>
      <c r="U1185" s="8">
        <v>2</v>
      </c>
      <c r="X1185" s="8">
        <v>5</v>
      </c>
      <c r="AG1185" s="8" t="str">
        <f t="shared" si="73"/>
        <v/>
      </c>
      <c r="AI1185" s="8" t="str">
        <f t="shared" si="74"/>
        <v/>
      </c>
      <c r="AJ1185" s="8" t="str">
        <f t="shared" si="75"/>
        <v/>
      </c>
      <c r="AL1185" s="8" t="str">
        <f t="shared" si="76"/>
        <v/>
      </c>
    </row>
    <row r="1186" spans="1:38" x14ac:dyDescent="0.25">
      <c r="A1186" s="8" t="s">
        <v>7042</v>
      </c>
      <c r="B1186" s="8" t="s">
        <v>7043</v>
      </c>
      <c r="C1186" s="8">
        <v>30936130</v>
      </c>
      <c r="D1186" s="8">
        <v>5</v>
      </c>
      <c r="E1186" s="11">
        <v>43115</v>
      </c>
      <c r="F1186" s="8" t="s">
        <v>58</v>
      </c>
      <c r="G1186" s="11">
        <v>43115</v>
      </c>
      <c r="H1186" s="8" t="s">
        <v>25</v>
      </c>
      <c r="I1186" s="11">
        <v>43115</v>
      </c>
      <c r="J1186" s="8" t="s">
        <v>25</v>
      </c>
      <c r="N1186" s="8" t="s">
        <v>58</v>
      </c>
      <c r="O1186" s="8" t="s">
        <v>59</v>
      </c>
      <c r="P1186" s="8" t="s">
        <v>59</v>
      </c>
      <c r="R1186" s="8">
        <v>0</v>
      </c>
      <c r="S1186" s="8">
        <v>0</v>
      </c>
      <c r="T1186" s="8">
        <v>1</v>
      </c>
      <c r="U1186" s="8">
        <v>2</v>
      </c>
      <c r="X1186" s="8">
        <v>5</v>
      </c>
      <c r="AG1186" s="8" t="str">
        <f t="shared" si="73"/>
        <v/>
      </c>
      <c r="AI1186" s="8" t="str">
        <f t="shared" si="74"/>
        <v/>
      </c>
      <c r="AJ1186" s="8" t="str">
        <f t="shared" si="75"/>
        <v/>
      </c>
      <c r="AL1186" s="8" t="str">
        <f t="shared" si="76"/>
        <v/>
      </c>
    </row>
    <row r="1187" spans="1:38" x14ac:dyDescent="0.25">
      <c r="A1187" s="8" t="s">
        <v>5158</v>
      </c>
      <c r="B1187" s="8" t="s">
        <v>5159</v>
      </c>
      <c r="C1187" s="8">
        <v>30910164</v>
      </c>
      <c r="D1187" s="8">
        <v>5</v>
      </c>
      <c r="E1187" s="11">
        <v>43112</v>
      </c>
      <c r="F1187" s="8" t="s">
        <v>58</v>
      </c>
      <c r="G1187" s="11">
        <v>43112</v>
      </c>
      <c r="H1187" s="8" t="s">
        <v>25</v>
      </c>
      <c r="I1187" s="11">
        <v>43112</v>
      </c>
      <c r="J1187" s="8" t="s">
        <v>25</v>
      </c>
      <c r="N1187" s="8" t="s">
        <v>58</v>
      </c>
      <c r="O1187" s="8" t="s">
        <v>59</v>
      </c>
      <c r="P1187" s="8" t="s">
        <v>59</v>
      </c>
      <c r="R1187" s="8">
        <v>0</v>
      </c>
      <c r="S1187" s="8">
        <v>0</v>
      </c>
      <c r="T1187" s="8">
        <v>1</v>
      </c>
      <c r="U1187" s="8">
        <v>2</v>
      </c>
      <c r="X1187" s="8">
        <v>5</v>
      </c>
      <c r="AG1187" s="8" t="str">
        <f t="shared" si="73"/>
        <v/>
      </c>
      <c r="AI1187" s="8" t="str">
        <f t="shared" si="74"/>
        <v/>
      </c>
      <c r="AJ1187" s="8" t="str">
        <f t="shared" si="75"/>
        <v/>
      </c>
      <c r="AL1187" s="8" t="str">
        <f t="shared" si="76"/>
        <v/>
      </c>
    </row>
    <row r="1188" spans="1:38" x14ac:dyDescent="0.25">
      <c r="A1188" s="8" t="s">
        <v>2079</v>
      </c>
      <c r="B1188" s="8" t="s">
        <v>2080</v>
      </c>
      <c r="C1188" s="8">
        <v>30841470</v>
      </c>
      <c r="D1188" s="8">
        <v>5</v>
      </c>
      <c r="E1188" s="11">
        <v>43109</v>
      </c>
      <c r="F1188" s="8" t="s">
        <v>58</v>
      </c>
      <c r="G1188" s="11">
        <v>43110</v>
      </c>
      <c r="H1188" s="8" t="s">
        <v>25</v>
      </c>
      <c r="I1188" s="11">
        <v>43115</v>
      </c>
      <c r="J1188" s="8" t="s">
        <v>145</v>
      </c>
      <c r="N1188" s="8" t="s">
        <v>58</v>
      </c>
      <c r="O1188" s="8" t="s">
        <v>59</v>
      </c>
      <c r="P1188" s="8" t="s">
        <v>59</v>
      </c>
      <c r="R1188" s="8">
        <v>0</v>
      </c>
      <c r="S1188" s="8">
        <v>0</v>
      </c>
      <c r="T1188" s="8">
        <v>1</v>
      </c>
      <c r="U1188" s="8">
        <v>2</v>
      </c>
      <c r="X1188" s="8">
        <v>5</v>
      </c>
      <c r="AG1188" s="8" t="str">
        <f t="shared" si="73"/>
        <v/>
      </c>
      <c r="AI1188" s="8" t="str">
        <f t="shared" si="74"/>
        <v/>
      </c>
      <c r="AJ1188" s="8" t="str">
        <f t="shared" si="75"/>
        <v/>
      </c>
      <c r="AL1188" s="8" t="str">
        <f t="shared" si="76"/>
        <v/>
      </c>
    </row>
    <row r="1189" spans="1:38" x14ac:dyDescent="0.25">
      <c r="A1189" s="8" t="s">
        <v>7044</v>
      </c>
      <c r="B1189" s="8" t="s">
        <v>7045</v>
      </c>
      <c r="C1189" s="8">
        <v>30942153</v>
      </c>
      <c r="D1189" s="8">
        <v>5</v>
      </c>
      <c r="E1189" s="11">
        <v>43115</v>
      </c>
      <c r="F1189" s="8" t="s">
        <v>57</v>
      </c>
      <c r="G1189" s="11">
        <v>43115</v>
      </c>
      <c r="H1189" s="8" t="s">
        <v>25</v>
      </c>
      <c r="J1189" s="8" t="s">
        <v>25</v>
      </c>
      <c r="N1189" s="8" t="s">
        <v>58</v>
      </c>
      <c r="O1189" s="8" t="s">
        <v>59</v>
      </c>
      <c r="P1189" s="8" t="s">
        <v>59</v>
      </c>
      <c r="R1189" s="8">
        <v>0</v>
      </c>
      <c r="S1189" s="8">
        <v>0</v>
      </c>
      <c r="T1189" s="8">
        <v>1</v>
      </c>
      <c r="U1189" s="8">
        <v>2</v>
      </c>
      <c r="AG1189" s="8" t="str">
        <f t="shared" si="73"/>
        <v/>
      </c>
      <c r="AI1189" s="8" t="str">
        <f t="shared" si="74"/>
        <v/>
      </c>
      <c r="AJ1189" s="8" t="str">
        <f t="shared" si="75"/>
        <v/>
      </c>
      <c r="AL1189" s="8" t="str">
        <f t="shared" si="76"/>
        <v/>
      </c>
    </row>
    <row r="1190" spans="1:38" x14ac:dyDescent="0.25">
      <c r="A1190" s="8" t="s">
        <v>5160</v>
      </c>
      <c r="B1190" s="8" t="s">
        <v>5161</v>
      </c>
      <c r="C1190" s="8">
        <v>30915197</v>
      </c>
      <c r="D1190" s="8">
        <v>5</v>
      </c>
      <c r="E1190" s="11">
        <v>43112</v>
      </c>
      <c r="F1190" s="8" t="s">
        <v>58</v>
      </c>
      <c r="G1190" s="11">
        <v>43112</v>
      </c>
      <c r="H1190" s="8" t="s">
        <v>25</v>
      </c>
      <c r="I1190" s="11">
        <v>43115</v>
      </c>
      <c r="J1190" s="8" t="s">
        <v>25</v>
      </c>
      <c r="N1190" s="8" t="s">
        <v>58</v>
      </c>
      <c r="O1190" s="8" t="s">
        <v>59</v>
      </c>
      <c r="P1190" s="8" t="s">
        <v>59</v>
      </c>
      <c r="R1190" s="8">
        <v>0</v>
      </c>
      <c r="S1190" s="8">
        <v>0</v>
      </c>
      <c r="T1190" s="8">
        <v>1</v>
      </c>
      <c r="U1190" s="8">
        <v>2</v>
      </c>
      <c r="X1190" s="8">
        <v>5</v>
      </c>
      <c r="AG1190" s="8" t="str">
        <f t="shared" si="73"/>
        <v/>
      </c>
      <c r="AI1190" s="8" t="str">
        <f t="shared" si="74"/>
        <v/>
      </c>
      <c r="AJ1190" s="8" t="str">
        <f t="shared" si="75"/>
        <v/>
      </c>
      <c r="AL1190" s="8" t="str">
        <f t="shared" si="76"/>
        <v/>
      </c>
    </row>
    <row r="1191" spans="1:38" x14ac:dyDescent="0.25">
      <c r="A1191" s="8" t="s">
        <v>2081</v>
      </c>
      <c r="B1191" s="8" t="s">
        <v>2082</v>
      </c>
      <c r="C1191" s="8">
        <v>30875323</v>
      </c>
      <c r="D1191" s="8">
        <v>5</v>
      </c>
      <c r="E1191" s="11">
        <v>43110</v>
      </c>
      <c r="F1191" s="8" t="s">
        <v>58</v>
      </c>
      <c r="G1191" s="11">
        <v>43110</v>
      </c>
      <c r="H1191" s="8" t="s">
        <v>25</v>
      </c>
      <c r="I1191" s="11">
        <v>43112</v>
      </c>
      <c r="J1191" s="8" t="s">
        <v>25</v>
      </c>
      <c r="N1191" s="8" t="s">
        <v>58</v>
      </c>
      <c r="O1191" s="8" t="s">
        <v>59</v>
      </c>
      <c r="P1191" s="8" t="s">
        <v>59</v>
      </c>
      <c r="R1191" s="8">
        <v>0</v>
      </c>
      <c r="S1191" s="8">
        <v>0</v>
      </c>
      <c r="T1191" s="8">
        <v>1</v>
      </c>
      <c r="U1191" s="8">
        <v>2</v>
      </c>
      <c r="X1191" s="8">
        <v>5</v>
      </c>
      <c r="AG1191" s="8" t="str">
        <f t="shared" si="73"/>
        <v/>
      </c>
      <c r="AI1191" s="8" t="str">
        <f t="shared" si="74"/>
        <v/>
      </c>
      <c r="AJ1191" s="8" t="str">
        <f t="shared" si="75"/>
        <v/>
      </c>
      <c r="AL1191" s="8" t="str">
        <f t="shared" si="76"/>
        <v/>
      </c>
    </row>
    <row r="1192" spans="1:38" x14ac:dyDescent="0.25">
      <c r="A1192" s="8" t="s">
        <v>3652</v>
      </c>
      <c r="B1192" s="8" t="s">
        <v>3653</v>
      </c>
      <c r="C1192" s="8">
        <v>30842518</v>
      </c>
      <c r="D1192" s="8">
        <v>5</v>
      </c>
      <c r="E1192" s="11">
        <v>43109</v>
      </c>
      <c r="F1192" s="8" t="s">
        <v>58</v>
      </c>
      <c r="G1192" s="11">
        <v>43111</v>
      </c>
      <c r="H1192" s="8" t="s">
        <v>25</v>
      </c>
      <c r="I1192" s="11">
        <v>43115</v>
      </c>
      <c r="J1192" s="8" t="s">
        <v>25</v>
      </c>
      <c r="N1192" s="8" t="s">
        <v>58</v>
      </c>
      <c r="O1192" s="8" t="s">
        <v>59</v>
      </c>
      <c r="P1192" s="8" t="s">
        <v>59</v>
      </c>
      <c r="R1192" s="8">
        <v>0</v>
      </c>
      <c r="S1192" s="8">
        <v>0</v>
      </c>
      <c r="T1192" s="8">
        <v>1</v>
      </c>
      <c r="U1192" s="8">
        <v>2</v>
      </c>
      <c r="X1192" s="8">
        <v>5</v>
      </c>
      <c r="AG1192" s="8" t="str">
        <f t="shared" si="73"/>
        <v/>
      </c>
      <c r="AI1192" s="8" t="str">
        <f t="shared" si="74"/>
        <v/>
      </c>
      <c r="AJ1192" s="8" t="str">
        <f t="shared" si="75"/>
        <v/>
      </c>
      <c r="AL1192" s="8" t="str">
        <f t="shared" si="76"/>
        <v/>
      </c>
    </row>
    <row r="1193" spans="1:38" x14ac:dyDescent="0.25">
      <c r="A1193" s="8" t="s">
        <v>3654</v>
      </c>
      <c r="B1193" s="8" t="s">
        <v>3655</v>
      </c>
      <c r="C1193" s="8">
        <v>30844574</v>
      </c>
      <c r="D1193" s="8">
        <v>5</v>
      </c>
      <c r="E1193" s="11">
        <v>43109</v>
      </c>
      <c r="F1193" s="8" t="s">
        <v>58</v>
      </c>
      <c r="G1193" s="11">
        <v>43111</v>
      </c>
      <c r="H1193" s="8" t="s">
        <v>25</v>
      </c>
      <c r="I1193" s="11">
        <v>43115</v>
      </c>
      <c r="J1193" s="8" t="s">
        <v>25</v>
      </c>
      <c r="N1193" s="8" t="s">
        <v>58</v>
      </c>
      <c r="O1193" s="8" t="s">
        <v>59</v>
      </c>
      <c r="P1193" s="8" t="s">
        <v>59</v>
      </c>
      <c r="R1193" s="8">
        <v>0</v>
      </c>
      <c r="S1193" s="8">
        <v>0</v>
      </c>
      <c r="T1193" s="8">
        <v>1</v>
      </c>
      <c r="U1193" s="8">
        <v>2</v>
      </c>
      <c r="X1193" s="8">
        <v>5</v>
      </c>
      <c r="AG1193" s="8" t="str">
        <f t="shared" si="73"/>
        <v/>
      </c>
      <c r="AI1193" s="8" t="str">
        <f t="shared" si="74"/>
        <v/>
      </c>
      <c r="AJ1193" s="8" t="str">
        <f t="shared" si="75"/>
        <v/>
      </c>
      <c r="AL1193" s="8" t="str">
        <f t="shared" si="76"/>
        <v/>
      </c>
    </row>
    <row r="1194" spans="1:38" x14ac:dyDescent="0.25">
      <c r="A1194" s="8" t="s">
        <v>2083</v>
      </c>
      <c r="B1194" s="8" t="s">
        <v>2084</v>
      </c>
      <c r="C1194" s="8">
        <v>30863384</v>
      </c>
      <c r="D1194" s="8">
        <v>5</v>
      </c>
      <c r="E1194" s="11">
        <v>43110</v>
      </c>
      <c r="F1194" s="8" t="s">
        <v>58</v>
      </c>
      <c r="G1194" s="11">
        <v>43110</v>
      </c>
      <c r="H1194" s="8" t="s">
        <v>25</v>
      </c>
      <c r="I1194" s="11">
        <v>43111</v>
      </c>
      <c r="J1194" s="8" t="s">
        <v>25</v>
      </c>
      <c r="N1194" s="8" t="s">
        <v>58</v>
      </c>
      <c r="O1194" s="8" t="s">
        <v>59</v>
      </c>
      <c r="P1194" s="8" t="s">
        <v>59</v>
      </c>
      <c r="R1194" s="8">
        <v>0</v>
      </c>
      <c r="S1194" s="8">
        <v>0</v>
      </c>
      <c r="T1194" s="8">
        <v>1</v>
      </c>
      <c r="U1194" s="8">
        <v>2</v>
      </c>
      <c r="X1194" s="8">
        <v>5</v>
      </c>
      <c r="AG1194" s="8" t="str">
        <f t="shared" si="73"/>
        <v/>
      </c>
      <c r="AI1194" s="8" t="str">
        <f t="shared" si="74"/>
        <v/>
      </c>
      <c r="AJ1194" s="8" t="str">
        <f t="shared" si="75"/>
        <v/>
      </c>
      <c r="AL1194" s="8" t="str">
        <f t="shared" si="76"/>
        <v/>
      </c>
    </row>
    <row r="1195" spans="1:38" x14ac:dyDescent="0.25">
      <c r="A1195" s="8" t="s">
        <v>3656</v>
      </c>
      <c r="B1195" s="8" t="s">
        <v>3657</v>
      </c>
      <c r="C1195" s="8">
        <v>30867974</v>
      </c>
      <c r="D1195" s="8">
        <v>5</v>
      </c>
      <c r="E1195" s="11">
        <v>43110</v>
      </c>
      <c r="F1195" s="8" t="s">
        <v>57</v>
      </c>
      <c r="G1195" s="11">
        <v>43111</v>
      </c>
      <c r="H1195" s="8" t="s">
        <v>25</v>
      </c>
      <c r="J1195" s="8" t="s">
        <v>25</v>
      </c>
      <c r="N1195" s="8" t="s">
        <v>58</v>
      </c>
      <c r="O1195" s="8" t="s">
        <v>59</v>
      </c>
      <c r="P1195" s="8" t="s">
        <v>59</v>
      </c>
      <c r="R1195" s="8">
        <v>0</v>
      </c>
      <c r="S1195" s="8">
        <v>0</v>
      </c>
      <c r="T1195" s="8">
        <v>1</v>
      </c>
      <c r="U1195" s="8">
        <v>2</v>
      </c>
      <c r="AG1195" s="8" t="str">
        <f t="shared" si="73"/>
        <v/>
      </c>
      <c r="AI1195" s="8" t="str">
        <f t="shared" si="74"/>
        <v/>
      </c>
      <c r="AJ1195" s="8" t="str">
        <f t="shared" si="75"/>
        <v/>
      </c>
      <c r="AL1195" s="8" t="str">
        <f t="shared" si="76"/>
        <v/>
      </c>
    </row>
    <row r="1196" spans="1:38" x14ac:dyDescent="0.25">
      <c r="A1196" s="8" t="s">
        <v>7046</v>
      </c>
      <c r="B1196" s="8" t="s">
        <v>7047</v>
      </c>
      <c r="C1196" s="8">
        <v>30912796</v>
      </c>
      <c r="D1196" s="8">
        <v>5</v>
      </c>
      <c r="E1196" s="11">
        <v>43112</v>
      </c>
      <c r="F1196" s="8" t="s">
        <v>57</v>
      </c>
      <c r="G1196" s="11">
        <v>43115</v>
      </c>
      <c r="H1196" s="8" t="s">
        <v>25</v>
      </c>
      <c r="J1196" s="8" t="s">
        <v>25</v>
      </c>
      <c r="N1196" s="8" t="s">
        <v>58</v>
      </c>
      <c r="O1196" s="8" t="s">
        <v>59</v>
      </c>
      <c r="P1196" s="8" t="s">
        <v>59</v>
      </c>
      <c r="R1196" s="8">
        <v>0</v>
      </c>
      <c r="S1196" s="8">
        <v>0</v>
      </c>
      <c r="T1196" s="8">
        <v>1</v>
      </c>
      <c r="U1196" s="8">
        <v>2</v>
      </c>
      <c r="AG1196" s="8" t="str">
        <f t="shared" si="73"/>
        <v/>
      </c>
      <c r="AI1196" s="8" t="str">
        <f t="shared" si="74"/>
        <v/>
      </c>
      <c r="AJ1196" s="8" t="str">
        <f t="shared" si="75"/>
        <v/>
      </c>
      <c r="AL1196" s="8" t="str">
        <f t="shared" si="76"/>
        <v/>
      </c>
    </row>
    <row r="1197" spans="1:38" x14ac:dyDescent="0.25">
      <c r="A1197" s="8" t="s">
        <v>3658</v>
      </c>
      <c r="B1197" s="8" t="s">
        <v>117</v>
      </c>
      <c r="C1197" s="8">
        <v>30897113</v>
      </c>
      <c r="D1197" s="8">
        <v>5</v>
      </c>
      <c r="E1197" s="11">
        <v>43111</v>
      </c>
      <c r="F1197" s="8" t="s">
        <v>58</v>
      </c>
      <c r="G1197" s="11">
        <v>43111</v>
      </c>
      <c r="H1197" s="8" t="s">
        <v>25</v>
      </c>
      <c r="I1197" s="11">
        <v>43111</v>
      </c>
      <c r="J1197" s="8" t="s">
        <v>25</v>
      </c>
      <c r="N1197" s="8" t="s">
        <v>58</v>
      </c>
      <c r="O1197" s="8" t="s">
        <v>59</v>
      </c>
      <c r="P1197" s="8" t="s">
        <v>59</v>
      </c>
      <c r="R1197" s="8">
        <v>0</v>
      </c>
      <c r="S1197" s="8">
        <v>0</v>
      </c>
      <c r="T1197" s="8">
        <v>1</v>
      </c>
      <c r="U1197" s="8">
        <v>2</v>
      </c>
      <c r="X1197" s="8">
        <v>5</v>
      </c>
      <c r="AG1197" s="8" t="str">
        <f t="shared" si="73"/>
        <v/>
      </c>
      <c r="AI1197" s="8" t="str">
        <f t="shared" si="74"/>
        <v/>
      </c>
      <c r="AJ1197" s="8" t="str">
        <f t="shared" si="75"/>
        <v/>
      </c>
      <c r="AL1197" s="8" t="str">
        <f t="shared" si="76"/>
        <v/>
      </c>
    </row>
    <row r="1198" spans="1:38" x14ac:dyDescent="0.25">
      <c r="A1198" s="8" t="s">
        <v>7048</v>
      </c>
      <c r="B1198" s="8" t="s">
        <v>7049</v>
      </c>
      <c r="C1198" s="8">
        <v>30932289</v>
      </c>
      <c r="D1198" s="8">
        <v>5</v>
      </c>
      <c r="E1198" s="11">
        <v>43115</v>
      </c>
      <c r="F1198" s="8" t="s">
        <v>57</v>
      </c>
      <c r="G1198" s="11">
        <v>43115</v>
      </c>
      <c r="H1198" s="8" t="s">
        <v>25</v>
      </c>
      <c r="J1198" s="8" t="s">
        <v>25</v>
      </c>
      <c r="N1198" s="8" t="s">
        <v>58</v>
      </c>
      <c r="O1198" s="8" t="s">
        <v>59</v>
      </c>
      <c r="P1198" s="8" t="s">
        <v>59</v>
      </c>
      <c r="R1198" s="8">
        <v>0</v>
      </c>
      <c r="S1198" s="8">
        <v>0</v>
      </c>
      <c r="T1198" s="8">
        <v>1</v>
      </c>
      <c r="U1198" s="8">
        <v>2</v>
      </c>
      <c r="AG1198" s="8" t="str">
        <f t="shared" si="73"/>
        <v/>
      </c>
      <c r="AI1198" s="8" t="str">
        <f t="shared" si="74"/>
        <v/>
      </c>
      <c r="AJ1198" s="8" t="str">
        <f t="shared" si="75"/>
        <v/>
      </c>
      <c r="AL1198" s="8" t="str">
        <f t="shared" si="76"/>
        <v/>
      </c>
    </row>
    <row r="1199" spans="1:38" x14ac:dyDescent="0.25">
      <c r="A1199" s="8" t="s">
        <v>5162</v>
      </c>
      <c r="B1199" s="8" t="s">
        <v>5163</v>
      </c>
      <c r="C1199" s="8">
        <v>30911621</v>
      </c>
      <c r="D1199" s="8">
        <v>5</v>
      </c>
      <c r="E1199" s="11">
        <v>43112</v>
      </c>
      <c r="F1199" s="8" t="s">
        <v>57</v>
      </c>
      <c r="G1199" s="11">
        <v>43112</v>
      </c>
      <c r="H1199" s="8" t="s">
        <v>25</v>
      </c>
      <c r="J1199" s="8" t="s">
        <v>25</v>
      </c>
      <c r="N1199" s="8" t="s">
        <v>58</v>
      </c>
      <c r="O1199" s="8" t="s">
        <v>59</v>
      </c>
      <c r="P1199" s="8" t="s">
        <v>59</v>
      </c>
      <c r="R1199" s="8">
        <v>0</v>
      </c>
      <c r="S1199" s="8">
        <v>0</v>
      </c>
      <c r="T1199" s="8">
        <v>1</v>
      </c>
      <c r="U1199" s="8">
        <v>2</v>
      </c>
      <c r="AG1199" s="8" t="str">
        <f t="shared" si="73"/>
        <v/>
      </c>
      <c r="AI1199" s="8" t="str">
        <f t="shared" si="74"/>
        <v/>
      </c>
      <c r="AJ1199" s="8" t="str">
        <f t="shared" si="75"/>
        <v/>
      </c>
      <c r="AL1199" s="8" t="str">
        <f t="shared" si="76"/>
        <v/>
      </c>
    </row>
    <row r="1200" spans="1:38" x14ac:dyDescent="0.25">
      <c r="A1200" s="8" t="s">
        <v>1093</v>
      </c>
      <c r="B1200" s="8" t="s">
        <v>1094</v>
      </c>
      <c r="C1200" s="8">
        <v>30832358</v>
      </c>
      <c r="D1200" s="8">
        <v>5</v>
      </c>
      <c r="E1200" s="11">
        <v>43109</v>
      </c>
      <c r="F1200" s="8" t="s">
        <v>58</v>
      </c>
      <c r="G1200" s="11">
        <v>43109</v>
      </c>
      <c r="H1200" s="8" t="s">
        <v>25</v>
      </c>
      <c r="I1200" s="11">
        <v>43109</v>
      </c>
      <c r="J1200" s="8" t="s">
        <v>25</v>
      </c>
      <c r="N1200" s="8" t="s">
        <v>58</v>
      </c>
      <c r="O1200" s="8" t="s">
        <v>59</v>
      </c>
      <c r="P1200" s="8" t="s">
        <v>59</v>
      </c>
      <c r="R1200" s="8">
        <v>0</v>
      </c>
      <c r="S1200" s="8">
        <v>0</v>
      </c>
      <c r="T1200" s="8">
        <v>1</v>
      </c>
      <c r="U1200" s="8">
        <v>2</v>
      </c>
      <c r="X1200" s="8">
        <v>5</v>
      </c>
      <c r="AG1200" s="8" t="str">
        <f t="shared" si="73"/>
        <v/>
      </c>
      <c r="AI1200" s="8" t="str">
        <f t="shared" si="74"/>
        <v/>
      </c>
      <c r="AJ1200" s="8" t="str">
        <f t="shared" si="75"/>
        <v/>
      </c>
      <c r="AL1200" s="8" t="str">
        <f t="shared" si="76"/>
        <v/>
      </c>
    </row>
    <row r="1201" spans="1:38" x14ac:dyDescent="0.25">
      <c r="A1201" s="8" t="s">
        <v>366</v>
      </c>
      <c r="B1201" s="8" t="s">
        <v>367</v>
      </c>
      <c r="C1201" s="8">
        <v>30827173</v>
      </c>
      <c r="D1201" s="8">
        <v>5</v>
      </c>
      <c r="E1201" s="11">
        <v>43108</v>
      </c>
      <c r="F1201" s="8" t="s">
        <v>57</v>
      </c>
      <c r="G1201" s="11">
        <v>43108</v>
      </c>
      <c r="H1201" s="8" t="s">
        <v>25</v>
      </c>
      <c r="J1201" s="8" t="s">
        <v>25</v>
      </c>
      <c r="N1201" s="8" t="s">
        <v>58</v>
      </c>
      <c r="O1201" s="8" t="s">
        <v>59</v>
      </c>
      <c r="P1201" s="8" t="s">
        <v>59</v>
      </c>
      <c r="R1201" s="8">
        <v>0</v>
      </c>
      <c r="S1201" s="8">
        <v>0</v>
      </c>
      <c r="T1201" s="8">
        <v>1</v>
      </c>
      <c r="U1201" s="8">
        <v>2</v>
      </c>
      <c r="AG1201" s="8" t="str">
        <f t="shared" si="73"/>
        <v/>
      </c>
      <c r="AI1201" s="8" t="str">
        <f t="shared" si="74"/>
        <v/>
      </c>
      <c r="AJ1201" s="8" t="str">
        <f t="shared" si="75"/>
        <v/>
      </c>
      <c r="AL1201" s="8" t="str">
        <f t="shared" si="76"/>
        <v/>
      </c>
    </row>
    <row r="1202" spans="1:38" x14ac:dyDescent="0.25">
      <c r="A1202" s="8" t="s">
        <v>368</v>
      </c>
      <c r="B1202" s="8" t="s">
        <v>369</v>
      </c>
      <c r="C1202" s="8">
        <v>30822794</v>
      </c>
      <c r="D1202" s="8">
        <v>5</v>
      </c>
      <c r="E1202" s="11">
        <v>43108</v>
      </c>
      <c r="F1202" s="8" t="s">
        <v>58</v>
      </c>
      <c r="G1202" s="11">
        <v>43108</v>
      </c>
      <c r="H1202" s="8" t="s">
        <v>25</v>
      </c>
      <c r="I1202" s="11">
        <v>43109</v>
      </c>
      <c r="J1202" s="8" t="s">
        <v>25</v>
      </c>
      <c r="N1202" s="8" t="s">
        <v>58</v>
      </c>
      <c r="O1202" s="8" t="s">
        <v>59</v>
      </c>
      <c r="P1202" s="8" t="s">
        <v>59</v>
      </c>
      <c r="R1202" s="8">
        <v>0</v>
      </c>
      <c r="S1202" s="8">
        <v>0</v>
      </c>
      <c r="T1202" s="8">
        <v>1</v>
      </c>
      <c r="U1202" s="8">
        <v>2</v>
      </c>
      <c r="X1202" s="8">
        <v>5</v>
      </c>
      <c r="AG1202" s="8" t="str">
        <f t="shared" si="73"/>
        <v/>
      </c>
      <c r="AI1202" s="8" t="str">
        <f t="shared" si="74"/>
        <v/>
      </c>
      <c r="AJ1202" s="8" t="str">
        <f t="shared" si="75"/>
        <v/>
      </c>
      <c r="AL1202" s="8" t="str">
        <f t="shared" si="76"/>
        <v/>
      </c>
    </row>
    <row r="1203" spans="1:38" x14ac:dyDescent="0.25">
      <c r="A1203" s="8" t="s">
        <v>1095</v>
      </c>
      <c r="B1203" s="8" t="s">
        <v>1096</v>
      </c>
      <c r="C1203" s="8">
        <v>30839555</v>
      </c>
      <c r="D1203" s="8">
        <v>5</v>
      </c>
      <c r="E1203" s="11">
        <v>43109</v>
      </c>
      <c r="F1203" s="8" t="s">
        <v>58</v>
      </c>
      <c r="G1203" s="11">
        <v>43109</v>
      </c>
      <c r="H1203" s="8" t="s">
        <v>25</v>
      </c>
      <c r="I1203" s="11">
        <v>43109</v>
      </c>
      <c r="J1203" s="8" t="s">
        <v>25</v>
      </c>
      <c r="N1203" s="8" t="s">
        <v>58</v>
      </c>
      <c r="O1203" s="8" t="s">
        <v>59</v>
      </c>
      <c r="P1203" s="8" t="s">
        <v>59</v>
      </c>
      <c r="R1203" s="8">
        <v>0</v>
      </c>
      <c r="S1203" s="8">
        <v>0</v>
      </c>
      <c r="T1203" s="8">
        <v>1</v>
      </c>
      <c r="U1203" s="8">
        <v>2</v>
      </c>
      <c r="X1203" s="8">
        <v>5</v>
      </c>
      <c r="AG1203" s="8" t="str">
        <f t="shared" si="73"/>
        <v/>
      </c>
      <c r="AI1203" s="8" t="str">
        <f t="shared" si="74"/>
        <v/>
      </c>
      <c r="AJ1203" s="8" t="str">
        <f t="shared" si="75"/>
        <v/>
      </c>
      <c r="AL1203" s="8" t="str">
        <f t="shared" si="76"/>
        <v/>
      </c>
    </row>
    <row r="1204" spans="1:38" x14ac:dyDescent="0.25">
      <c r="A1204" s="8" t="s">
        <v>7050</v>
      </c>
      <c r="B1204" s="8" t="s">
        <v>7051</v>
      </c>
      <c r="C1204" s="8">
        <v>30900565</v>
      </c>
      <c r="D1204" s="8">
        <v>5</v>
      </c>
      <c r="E1204" s="11">
        <v>43111</v>
      </c>
      <c r="F1204" s="8" t="s">
        <v>57</v>
      </c>
      <c r="G1204" s="11">
        <v>43115</v>
      </c>
      <c r="H1204" s="8" t="s">
        <v>25</v>
      </c>
      <c r="J1204" s="8" t="s">
        <v>25</v>
      </c>
      <c r="N1204" s="8" t="s">
        <v>58</v>
      </c>
      <c r="O1204" s="8" t="s">
        <v>59</v>
      </c>
      <c r="P1204" s="8" t="s">
        <v>59</v>
      </c>
      <c r="R1204" s="8">
        <v>0</v>
      </c>
      <c r="S1204" s="8">
        <v>0</v>
      </c>
      <c r="T1204" s="8">
        <v>1</v>
      </c>
      <c r="U1204" s="8">
        <v>2</v>
      </c>
      <c r="AG1204" s="8" t="str">
        <f t="shared" si="73"/>
        <v/>
      </c>
      <c r="AI1204" s="8" t="str">
        <f t="shared" si="74"/>
        <v/>
      </c>
      <c r="AJ1204" s="8" t="str">
        <f t="shared" si="75"/>
        <v/>
      </c>
      <c r="AL1204" s="8" t="str">
        <f t="shared" si="76"/>
        <v/>
      </c>
    </row>
    <row r="1205" spans="1:38" x14ac:dyDescent="0.25">
      <c r="A1205" s="8" t="s">
        <v>7052</v>
      </c>
      <c r="B1205" s="8" t="s">
        <v>7053</v>
      </c>
      <c r="C1205" s="8">
        <v>30943010</v>
      </c>
      <c r="D1205" s="8">
        <v>5</v>
      </c>
      <c r="E1205" s="11">
        <v>43115</v>
      </c>
      <c r="F1205" s="8" t="s">
        <v>57</v>
      </c>
      <c r="G1205" s="11">
        <v>43115</v>
      </c>
      <c r="H1205" s="8" t="s">
        <v>25</v>
      </c>
      <c r="J1205" s="8" t="s">
        <v>25</v>
      </c>
      <c r="N1205" s="8" t="s">
        <v>58</v>
      </c>
      <c r="O1205" s="8" t="s">
        <v>59</v>
      </c>
      <c r="P1205" s="8" t="s">
        <v>59</v>
      </c>
      <c r="R1205" s="8">
        <v>0</v>
      </c>
      <c r="S1205" s="8">
        <v>0</v>
      </c>
      <c r="T1205" s="8">
        <v>1</v>
      </c>
      <c r="U1205" s="8">
        <v>2</v>
      </c>
      <c r="AG1205" s="8" t="str">
        <f t="shared" si="73"/>
        <v/>
      </c>
      <c r="AI1205" s="8" t="str">
        <f t="shared" si="74"/>
        <v/>
      </c>
      <c r="AJ1205" s="8" t="str">
        <f t="shared" si="75"/>
        <v/>
      </c>
      <c r="AL1205" s="8" t="str">
        <f t="shared" si="76"/>
        <v/>
      </c>
    </row>
    <row r="1206" spans="1:38" x14ac:dyDescent="0.25">
      <c r="A1206" s="8" t="s">
        <v>1097</v>
      </c>
      <c r="B1206" s="8" t="s">
        <v>1098</v>
      </c>
      <c r="C1206" s="8">
        <v>30853491</v>
      </c>
      <c r="D1206" s="8">
        <v>5</v>
      </c>
      <c r="E1206" s="11">
        <v>43109</v>
      </c>
      <c r="F1206" s="8" t="s">
        <v>57</v>
      </c>
      <c r="G1206" s="11">
        <v>43109</v>
      </c>
      <c r="H1206" s="8" t="s">
        <v>25</v>
      </c>
      <c r="J1206" s="8" t="s">
        <v>25</v>
      </c>
      <c r="N1206" s="8" t="s">
        <v>58</v>
      </c>
      <c r="O1206" s="8" t="s">
        <v>59</v>
      </c>
      <c r="P1206" s="8" t="s">
        <v>59</v>
      </c>
      <c r="R1206" s="8">
        <v>0</v>
      </c>
      <c r="S1206" s="8">
        <v>0</v>
      </c>
      <c r="T1206" s="8">
        <v>1</v>
      </c>
      <c r="U1206" s="8">
        <v>2</v>
      </c>
      <c r="AG1206" s="8" t="str">
        <f t="shared" si="73"/>
        <v/>
      </c>
      <c r="AI1206" s="8" t="str">
        <f t="shared" si="74"/>
        <v/>
      </c>
      <c r="AJ1206" s="8" t="str">
        <f t="shared" si="75"/>
        <v/>
      </c>
      <c r="AL1206" s="8" t="str">
        <f t="shared" si="76"/>
        <v/>
      </c>
    </row>
    <row r="1207" spans="1:38" x14ac:dyDescent="0.25">
      <c r="A1207" s="8" t="s">
        <v>5164</v>
      </c>
      <c r="B1207" s="8" t="s">
        <v>5165</v>
      </c>
      <c r="C1207" s="8">
        <v>30913899</v>
      </c>
      <c r="D1207" s="8">
        <v>5</v>
      </c>
      <c r="E1207" s="11">
        <v>43112</v>
      </c>
      <c r="F1207" s="8" t="s">
        <v>58</v>
      </c>
      <c r="G1207" s="11">
        <v>43112</v>
      </c>
      <c r="H1207" s="8" t="s">
        <v>25</v>
      </c>
      <c r="I1207" s="11">
        <v>43112</v>
      </c>
      <c r="J1207" s="8" t="s">
        <v>25</v>
      </c>
      <c r="N1207" s="8" t="s">
        <v>58</v>
      </c>
      <c r="O1207" s="8" t="s">
        <v>59</v>
      </c>
      <c r="P1207" s="8" t="s">
        <v>59</v>
      </c>
      <c r="R1207" s="8">
        <v>0</v>
      </c>
      <c r="S1207" s="8">
        <v>0</v>
      </c>
      <c r="T1207" s="8">
        <v>1</v>
      </c>
      <c r="U1207" s="8">
        <v>2</v>
      </c>
      <c r="X1207" s="8">
        <v>5</v>
      </c>
      <c r="AG1207" s="8" t="str">
        <f t="shared" si="73"/>
        <v/>
      </c>
      <c r="AI1207" s="8" t="str">
        <f t="shared" si="74"/>
        <v/>
      </c>
      <c r="AJ1207" s="8" t="str">
        <f t="shared" si="75"/>
        <v/>
      </c>
      <c r="AL1207" s="8" t="str">
        <f t="shared" si="76"/>
        <v/>
      </c>
    </row>
    <row r="1208" spans="1:38" x14ac:dyDescent="0.25">
      <c r="A1208" s="8" t="s">
        <v>1099</v>
      </c>
      <c r="B1208" s="8" t="s">
        <v>1100</v>
      </c>
      <c r="C1208" s="8">
        <v>30848901</v>
      </c>
      <c r="D1208" s="8">
        <v>5</v>
      </c>
      <c r="E1208" s="11">
        <v>43109</v>
      </c>
      <c r="F1208" s="8" t="s">
        <v>57</v>
      </c>
      <c r="G1208" s="11">
        <v>43109</v>
      </c>
      <c r="H1208" s="8" t="s">
        <v>25</v>
      </c>
      <c r="J1208" s="8" t="s">
        <v>25</v>
      </c>
      <c r="N1208" s="8" t="s">
        <v>58</v>
      </c>
      <c r="O1208" s="8" t="s">
        <v>59</v>
      </c>
      <c r="P1208" s="8" t="s">
        <v>59</v>
      </c>
      <c r="R1208" s="8">
        <v>0</v>
      </c>
      <c r="S1208" s="8">
        <v>0</v>
      </c>
      <c r="T1208" s="8">
        <v>1</v>
      </c>
      <c r="U1208" s="8">
        <v>2</v>
      </c>
      <c r="AG1208" s="8" t="str">
        <f t="shared" si="73"/>
        <v/>
      </c>
      <c r="AI1208" s="8" t="str">
        <f t="shared" si="74"/>
        <v/>
      </c>
      <c r="AJ1208" s="8" t="str">
        <f t="shared" si="75"/>
        <v/>
      </c>
      <c r="AL1208" s="8" t="str">
        <f t="shared" si="76"/>
        <v/>
      </c>
    </row>
    <row r="1209" spans="1:38" x14ac:dyDescent="0.25">
      <c r="A1209" s="8" t="s">
        <v>7054</v>
      </c>
      <c r="B1209" s="8" t="s">
        <v>7055</v>
      </c>
      <c r="C1209" s="8">
        <v>30941544</v>
      </c>
      <c r="D1209" s="8">
        <v>5</v>
      </c>
      <c r="E1209" s="11">
        <v>43115</v>
      </c>
      <c r="F1209" s="8" t="s">
        <v>58</v>
      </c>
      <c r="G1209" s="11">
        <v>43115</v>
      </c>
      <c r="H1209" s="8" t="s">
        <v>25</v>
      </c>
      <c r="I1209" s="11">
        <v>43115</v>
      </c>
      <c r="J1209" s="8" t="s">
        <v>25</v>
      </c>
      <c r="N1209" s="8" t="s">
        <v>58</v>
      </c>
      <c r="O1209" s="8" t="s">
        <v>59</v>
      </c>
      <c r="P1209" s="8" t="s">
        <v>59</v>
      </c>
      <c r="R1209" s="8">
        <v>0</v>
      </c>
      <c r="S1209" s="8">
        <v>0</v>
      </c>
      <c r="T1209" s="8">
        <v>1</v>
      </c>
      <c r="U1209" s="8">
        <v>2</v>
      </c>
      <c r="X1209" s="8">
        <v>5</v>
      </c>
      <c r="AG1209" s="8" t="str">
        <f t="shared" si="73"/>
        <v/>
      </c>
      <c r="AI1209" s="8" t="str">
        <f t="shared" si="74"/>
        <v/>
      </c>
      <c r="AJ1209" s="8" t="str">
        <f t="shared" si="75"/>
        <v/>
      </c>
      <c r="AL1209" s="8" t="str">
        <f t="shared" si="76"/>
        <v/>
      </c>
    </row>
    <row r="1210" spans="1:38" x14ac:dyDescent="0.25">
      <c r="A1210" s="8" t="s">
        <v>5166</v>
      </c>
      <c r="B1210" s="8" t="s">
        <v>5167</v>
      </c>
      <c r="C1210" s="8">
        <v>30916420</v>
      </c>
      <c r="D1210" s="8">
        <v>5</v>
      </c>
      <c r="E1210" s="11">
        <v>43112</v>
      </c>
      <c r="F1210" s="8" t="s">
        <v>57</v>
      </c>
      <c r="G1210" s="11">
        <v>43112</v>
      </c>
      <c r="H1210" s="8" t="s">
        <v>25</v>
      </c>
      <c r="J1210" s="8" t="s">
        <v>25</v>
      </c>
      <c r="N1210" s="8" t="s">
        <v>58</v>
      </c>
      <c r="O1210" s="8" t="s">
        <v>59</v>
      </c>
      <c r="P1210" s="8" t="s">
        <v>59</v>
      </c>
      <c r="R1210" s="8">
        <v>0</v>
      </c>
      <c r="S1210" s="8">
        <v>0</v>
      </c>
      <c r="T1210" s="8">
        <v>1</v>
      </c>
      <c r="U1210" s="8">
        <v>2</v>
      </c>
      <c r="AG1210" s="8" t="str">
        <f t="shared" si="73"/>
        <v/>
      </c>
      <c r="AI1210" s="8" t="str">
        <f t="shared" si="74"/>
        <v/>
      </c>
      <c r="AJ1210" s="8" t="str">
        <f t="shared" si="75"/>
        <v/>
      </c>
      <c r="AL1210" s="8" t="str">
        <f t="shared" si="76"/>
        <v/>
      </c>
    </row>
    <row r="1211" spans="1:38" x14ac:dyDescent="0.25">
      <c r="A1211" s="8" t="s">
        <v>5168</v>
      </c>
      <c r="B1211" s="8" t="s">
        <v>5169</v>
      </c>
      <c r="C1211" s="8">
        <v>30891725</v>
      </c>
      <c r="D1211" s="8">
        <v>5</v>
      </c>
      <c r="E1211" s="11">
        <v>43111</v>
      </c>
      <c r="F1211" s="8" t="s">
        <v>57</v>
      </c>
      <c r="G1211" s="11">
        <v>43112</v>
      </c>
      <c r="H1211" s="8" t="s">
        <v>25</v>
      </c>
      <c r="J1211" s="8" t="s">
        <v>25</v>
      </c>
      <c r="N1211" s="8" t="s">
        <v>58</v>
      </c>
      <c r="O1211" s="8" t="s">
        <v>59</v>
      </c>
      <c r="P1211" s="8" t="s">
        <v>59</v>
      </c>
      <c r="R1211" s="8">
        <v>0</v>
      </c>
      <c r="S1211" s="8">
        <v>0</v>
      </c>
      <c r="T1211" s="8">
        <v>1</v>
      </c>
      <c r="U1211" s="8">
        <v>2</v>
      </c>
      <c r="AG1211" s="8" t="str">
        <f t="shared" si="73"/>
        <v/>
      </c>
      <c r="AI1211" s="8" t="str">
        <f t="shared" si="74"/>
        <v/>
      </c>
      <c r="AJ1211" s="8" t="str">
        <f t="shared" si="75"/>
        <v/>
      </c>
      <c r="AL1211" s="8" t="str">
        <f t="shared" si="76"/>
        <v/>
      </c>
    </row>
    <row r="1212" spans="1:38" x14ac:dyDescent="0.25">
      <c r="A1212" s="8" t="s">
        <v>5170</v>
      </c>
      <c r="B1212" s="8" t="s">
        <v>5171</v>
      </c>
      <c r="C1212" s="8">
        <v>30885044</v>
      </c>
      <c r="D1212" s="8">
        <v>5</v>
      </c>
      <c r="E1212" s="11">
        <v>43111</v>
      </c>
      <c r="F1212" s="8" t="s">
        <v>58</v>
      </c>
      <c r="G1212" s="11">
        <v>43112</v>
      </c>
      <c r="H1212" s="8" t="s">
        <v>25</v>
      </c>
      <c r="I1212" s="11">
        <v>43112</v>
      </c>
      <c r="J1212" s="8" t="s">
        <v>25</v>
      </c>
      <c r="N1212" s="8" t="s">
        <v>58</v>
      </c>
      <c r="O1212" s="8" t="s">
        <v>59</v>
      </c>
      <c r="P1212" s="8" t="s">
        <v>59</v>
      </c>
      <c r="R1212" s="8">
        <v>0</v>
      </c>
      <c r="S1212" s="8">
        <v>0</v>
      </c>
      <c r="T1212" s="8">
        <v>1</v>
      </c>
      <c r="U1212" s="8">
        <v>2</v>
      </c>
      <c r="X1212" s="8">
        <v>5</v>
      </c>
      <c r="AG1212" s="8" t="str">
        <f t="shared" si="73"/>
        <v/>
      </c>
      <c r="AI1212" s="8" t="str">
        <f t="shared" si="74"/>
        <v/>
      </c>
      <c r="AJ1212" s="8" t="str">
        <f t="shared" si="75"/>
        <v/>
      </c>
      <c r="AL1212" s="8" t="str">
        <f t="shared" si="76"/>
        <v/>
      </c>
    </row>
    <row r="1213" spans="1:38" x14ac:dyDescent="0.25">
      <c r="A1213" s="8" t="s">
        <v>2085</v>
      </c>
      <c r="B1213" s="8" t="s">
        <v>2086</v>
      </c>
      <c r="C1213" s="8">
        <v>30829495</v>
      </c>
      <c r="D1213" s="8">
        <v>5</v>
      </c>
      <c r="E1213" s="11">
        <v>43108</v>
      </c>
      <c r="F1213" s="8" t="s">
        <v>58</v>
      </c>
      <c r="G1213" s="11">
        <v>43110</v>
      </c>
      <c r="H1213" s="8" t="s">
        <v>25</v>
      </c>
      <c r="I1213" s="11">
        <v>43111</v>
      </c>
      <c r="J1213" s="8" t="s">
        <v>25</v>
      </c>
      <c r="N1213" s="8" t="s">
        <v>58</v>
      </c>
      <c r="O1213" s="8" t="s">
        <v>59</v>
      </c>
      <c r="P1213" s="8" t="s">
        <v>59</v>
      </c>
      <c r="R1213" s="8">
        <v>0</v>
      </c>
      <c r="S1213" s="8">
        <v>0</v>
      </c>
      <c r="T1213" s="8">
        <v>1</v>
      </c>
      <c r="U1213" s="8">
        <v>2</v>
      </c>
      <c r="X1213" s="8">
        <v>5</v>
      </c>
      <c r="AG1213" s="8" t="str">
        <f t="shared" si="73"/>
        <v/>
      </c>
      <c r="AI1213" s="8" t="str">
        <f t="shared" si="74"/>
        <v/>
      </c>
      <c r="AJ1213" s="8" t="str">
        <f t="shared" si="75"/>
        <v/>
      </c>
      <c r="AL1213" s="8" t="str">
        <f t="shared" si="76"/>
        <v/>
      </c>
    </row>
    <row r="1214" spans="1:38" x14ac:dyDescent="0.25">
      <c r="A1214" s="8" t="s">
        <v>5172</v>
      </c>
      <c r="B1214" s="8" t="s">
        <v>5173</v>
      </c>
      <c r="C1214" s="8">
        <v>30878358</v>
      </c>
      <c r="D1214" s="8">
        <v>5</v>
      </c>
      <c r="E1214" s="11">
        <v>43110</v>
      </c>
      <c r="F1214" s="8" t="s">
        <v>57</v>
      </c>
      <c r="G1214" s="11">
        <v>43112</v>
      </c>
      <c r="H1214" s="8" t="s">
        <v>25</v>
      </c>
      <c r="J1214" s="8" t="s">
        <v>25</v>
      </c>
      <c r="N1214" s="8" t="s">
        <v>58</v>
      </c>
      <c r="O1214" s="8" t="s">
        <v>59</v>
      </c>
      <c r="P1214" s="8" t="s">
        <v>59</v>
      </c>
      <c r="R1214" s="8">
        <v>0</v>
      </c>
      <c r="S1214" s="8">
        <v>0</v>
      </c>
      <c r="T1214" s="8">
        <v>1</v>
      </c>
      <c r="U1214" s="8">
        <v>2</v>
      </c>
      <c r="AG1214" s="8" t="str">
        <f t="shared" si="73"/>
        <v/>
      </c>
      <c r="AI1214" s="8" t="str">
        <f t="shared" si="74"/>
        <v/>
      </c>
      <c r="AJ1214" s="8" t="str">
        <f t="shared" si="75"/>
        <v/>
      </c>
      <c r="AL1214" s="8" t="str">
        <f t="shared" si="76"/>
        <v/>
      </c>
    </row>
    <row r="1215" spans="1:38" x14ac:dyDescent="0.25">
      <c r="A1215" s="8" t="s">
        <v>3659</v>
      </c>
      <c r="B1215" s="8" t="s">
        <v>3660</v>
      </c>
      <c r="C1215" s="8">
        <v>30870645</v>
      </c>
      <c r="D1215" s="8">
        <v>5</v>
      </c>
      <c r="E1215" s="11">
        <v>43110</v>
      </c>
      <c r="F1215" s="8" t="s">
        <v>58</v>
      </c>
      <c r="G1215" s="11">
        <v>43111</v>
      </c>
      <c r="H1215" s="8" t="s">
        <v>25</v>
      </c>
      <c r="I1215" s="11">
        <v>43111</v>
      </c>
      <c r="J1215" s="8" t="s">
        <v>25</v>
      </c>
      <c r="N1215" s="8" t="s">
        <v>58</v>
      </c>
      <c r="O1215" s="8" t="s">
        <v>59</v>
      </c>
      <c r="P1215" s="8" t="s">
        <v>59</v>
      </c>
      <c r="R1215" s="8">
        <v>0</v>
      </c>
      <c r="S1215" s="8">
        <v>0</v>
      </c>
      <c r="T1215" s="8">
        <v>1</v>
      </c>
      <c r="U1215" s="8">
        <v>2</v>
      </c>
      <c r="X1215" s="8">
        <v>5</v>
      </c>
      <c r="AG1215" s="8" t="str">
        <f t="shared" si="73"/>
        <v/>
      </c>
      <c r="AI1215" s="8" t="str">
        <f t="shared" si="74"/>
        <v/>
      </c>
      <c r="AJ1215" s="8" t="str">
        <f t="shared" si="75"/>
        <v/>
      </c>
      <c r="AL1215" s="8" t="str">
        <f t="shared" si="76"/>
        <v/>
      </c>
    </row>
    <row r="1216" spans="1:38" x14ac:dyDescent="0.25">
      <c r="A1216" s="8" t="s">
        <v>3661</v>
      </c>
      <c r="B1216" s="8" t="s">
        <v>3662</v>
      </c>
      <c r="C1216" s="8">
        <v>30854815</v>
      </c>
      <c r="D1216" s="8">
        <v>5</v>
      </c>
      <c r="E1216" s="11">
        <v>43109</v>
      </c>
      <c r="F1216" s="8" t="s">
        <v>58</v>
      </c>
      <c r="G1216" s="11">
        <v>43111</v>
      </c>
      <c r="H1216" s="8" t="s">
        <v>25</v>
      </c>
      <c r="I1216" s="11">
        <v>43111</v>
      </c>
      <c r="J1216" s="8" t="s">
        <v>25</v>
      </c>
      <c r="N1216" s="8" t="s">
        <v>58</v>
      </c>
      <c r="O1216" s="8" t="s">
        <v>59</v>
      </c>
      <c r="P1216" s="8" t="s">
        <v>59</v>
      </c>
      <c r="R1216" s="8">
        <v>0</v>
      </c>
      <c r="S1216" s="8">
        <v>0</v>
      </c>
      <c r="T1216" s="8">
        <v>1</v>
      </c>
      <c r="U1216" s="8">
        <v>2</v>
      </c>
      <c r="X1216" s="8">
        <v>5</v>
      </c>
      <c r="AG1216" s="8" t="str">
        <f t="shared" si="73"/>
        <v/>
      </c>
      <c r="AI1216" s="8" t="str">
        <f t="shared" si="74"/>
        <v/>
      </c>
      <c r="AJ1216" s="8" t="str">
        <f t="shared" si="75"/>
        <v/>
      </c>
      <c r="AL1216" s="8" t="str">
        <f t="shared" si="76"/>
        <v/>
      </c>
    </row>
    <row r="1217" spans="1:38" x14ac:dyDescent="0.25">
      <c r="A1217" s="8" t="s">
        <v>2087</v>
      </c>
      <c r="B1217" s="8" t="s">
        <v>2088</v>
      </c>
      <c r="C1217" s="8">
        <v>30809508</v>
      </c>
      <c r="D1217" s="8">
        <v>5</v>
      </c>
      <c r="E1217" s="11">
        <v>43108</v>
      </c>
      <c r="F1217" s="8" t="s">
        <v>57</v>
      </c>
      <c r="G1217" s="11">
        <v>43110</v>
      </c>
      <c r="H1217" s="8" t="s">
        <v>25</v>
      </c>
      <c r="J1217" s="8" t="s">
        <v>25</v>
      </c>
      <c r="N1217" s="8" t="s">
        <v>58</v>
      </c>
      <c r="O1217" s="8" t="s">
        <v>59</v>
      </c>
      <c r="P1217" s="8" t="s">
        <v>59</v>
      </c>
      <c r="R1217" s="8">
        <v>0</v>
      </c>
      <c r="S1217" s="8">
        <v>0</v>
      </c>
      <c r="T1217" s="8">
        <v>1</v>
      </c>
      <c r="U1217" s="8">
        <v>2</v>
      </c>
      <c r="AG1217" s="8" t="str">
        <f t="shared" si="73"/>
        <v/>
      </c>
      <c r="AI1217" s="8" t="str">
        <f t="shared" si="74"/>
        <v/>
      </c>
      <c r="AJ1217" s="8" t="str">
        <f t="shared" si="75"/>
        <v/>
      </c>
      <c r="AL1217" s="8" t="str">
        <f t="shared" si="76"/>
        <v/>
      </c>
    </row>
    <row r="1218" spans="1:38" x14ac:dyDescent="0.25">
      <c r="A1218" s="8" t="s">
        <v>7056</v>
      </c>
      <c r="B1218" s="8" t="s">
        <v>7057</v>
      </c>
      <c r="C1218" s="8">
        <v>30906034</v>
      </c>
      <c r="D1218" s="8">
        <v>5</v>
      </c>
      <c r="E1218" s="11">
        <v>43112</v>
      </c>
      <c r="F1218" s="8" t="s">
        <v>57</v>
      </c>
      <c r="G1218" s="11">
        <v>43115</v>
      </c>
      <c r="H1218" s="8" t="s">
        <v>25</v>
      </c>
      <c r="J1218" s="8" t="s">
        <v>25</v>
      </c>
      <c r="N1218" s="8" t="s">
        <v>58</v>
      </c>
      <c r="O1218" s="8" t="s">
        <v>59</v>
      </c>
      <c r="P1218" s="8" t="s">
        <v>59</v>
      </c>
      <c r="R1218" s="8">
        <v>0</v>
      </c>
      <c r="S1218" s="8">
        <v>0</v>
      </c>
      <c r="T1218" s="8">
        <v>1</v>
      </c>
      <c r="U1218" s="8">
        <v>2</v>
      </c>
      <c r="AG1218" s="8" t="str">
        <f t="shared" si="73"/>
        <v/>
      </c>
      <c r="AI1218" s="8" t="str">
        <f t="shared" si="74"/>
        <v/>
      </c>
      <c r="AJ1218" s="8" t="str">
        <f t="shared" si="75"/>
        <v/>
      </c>
      <c r="AL1218" s="8" t="str">
        <f t="shared" si="76"/>
        <v/>
      </c>
    </row>
    <row r="1219" spans="1:38" x14ac:dyDescent="0.25">
      <c r="A1219" s="8" t="s">
        <v>370</v>
      </c>
      <c r="B1219" s="8" t="s">
        <v>371</v>
      </c>
      <c r="C1219" s="8">
        <v>30825568</v>
      </c>
      <c r="D1219" s="8">
        <v>5</v>
      </c>
      <c r="E1219" s="11">
        <v>43108</v>
      </c>
      <c r="F1219" s="8" t="s">
        <v>58</v>
      </c>
      <c r="G1219" s="11">
        <v>43108</v>
      </c>
      <c r="H1219" s="8" t="s">
        <v>25</v>
      </c>
      <c r="I1219" s="11">
        <v>43108</v>
      </c>
      <c r="J1219" s="8" t="s">
        <v>25</v>
      </c>
      <c r="N1219" s="8" t="s">
        <v>58</v>
      </c>
      <c r="O1219" s="8" t="s">
        <v>59</v>
      </c>
      <c r="P1219" s="8" t="s">
        <v>59</v>
      </c>
      <c r="R1219" s="8">
        <v>0</v>
      </c>
      <c r="S1219" s="8">
        <v>0</v>
      </c>
      <c r="T1219" s="8">
        <v>1</v>
      </c>
      <c r="U1219" s="8">
        <v>2</v>
      </c>
      <c r="X1219" s="8">
        <v>5</v>
      </c>
      <c r="AG1219" s="8" t="str">
        <f t="shared" ref="AG1219:AG1282" si="77">IF(AND(U1219="",G1219&lt;&gt;"",NOT(OR(R1219,S1219))),IF(NETWORKDAYS.INTL(G1219,TODAY(),11)&lt;5,"En Plazo",IF(NETWORKDAYS.INTL(G1219,TODAY(),11)=5,"Riesgo Incumplimiento","FALTA_02")),"")</f>
        <v/>
      </c>
      <c r="AI1219" s="8" t="str">
        <f t="shared" ref="AI1219:AI1282" si="78">IF(AND(O1219&lt;&gt;"B1",F1219="Rejected"),IF(W1219="","FALTA_04",""),"")</f>
        <v/>
      </c>
      <c r="AJ1219" s="8" t="str">
        <f t="shared" ref="AJ1219:AJ1282" si="79">IF(AND(X1219="",I1219&lt;&gt;"",NOT(OR(R1219,S1219))),IF(NETWORKDAYS.INTL(G1219,TODAY(),11)&lt;=1,"En Plazo",IF(OR(AND(X1219="",O1219&lt;&gt;"M1"),AND(O1219="M1",(OR(Q1219="S - S",Q1219="S - T",)))),"FALTA_05","")),"")</f>
        <v/>
      </c>
      <c r="AL1219" s="8" t="str">
        <f t="shared" ref="AL1219:AL1282" si="80">IF(AND(O1219="B1",F1219="Rejected"),IF(Z1219="","FALTA_07",""),"")</f>
        <v/>
      </c>
    </row>
    <row r="1220" spans="1:38" x14ac:dyDescent="0.25">
      <c r="A1220" s="8" t="s">
        <v>5174</v>
      </c>
      <c r="B1220" s="8" t="s">
        <v>5175</v>
      </c>
      <c r="C1220" s="8">
        <v>30903961</v>
      </c>
      <c r="D1220" s="8">
        <v>5</v>
      </c>
      <c r="E1220" s="11">
        <v>43111</v>
      </c>
      <c r="F1220" s="8" t="s">
        <v>58</v>
      </c>
      <c r="G1220" s="11">
        <v>43112</v>
      </c>
      <c r="H1220" s="8" t="s">
        <v>25</v>
      </c>
      <c r="I1220" s="11">
        <v>43112</v>
      </c>
      <c r="J1220" s="8" t="s">
        <v>25</v>
      </c>
      <c r="N1220" s="8" t="s">
        <v>58</v>
      </c>
      <c r="O1220" s="8" t="s">
        <v>59</v>
      </c>
      <c r="P1220" s="8" t="s">
        <v>59</v>
      </c>
      <c r="R1220" s="8">
        <v>0</v>
      </c>
      <c r="S1220" s="8">
        <v>0</v>
      </c>
      <c r="T1220" s="8">
        <v>1</v>
      </c>
      <c r="U1220" s="8">
        <v>2</v>
      </c>
      <c r="X1220" s="8">
        <v>5</v>
      </c>
      <c r="AG1220" s="8" t="str">
        <f t="shared" si="77"/>
        <v/>
      </c>
      <c r="AI1220" s="8" t="str">
        <f t="shared" si="78"/>
        <v/>
      </c>
      <c r="AJ1220" s="8" t="str">
        <f t="shared" si="79"/>
        <v/>
      </c>
      <c r="AL1220" s="8" t="str">
        <f t="shared" si="80"/>
        <v/>
      </c>
    </row>
    <row r="1221" spans="1:38" x14ac:dyDescent="0.25">
      <c r="A1221" s="8" t="s">
        <v>2089</v>
      </c>
      <c r="B1221" s="8" t="s">
        <v>2090</v>
      </c>
      <c r="C1221" s="8">
        <v>30862219</v>
      </c>
      <c r="D1221" s="8">
        <v>5</v>
      </c>
      <c r="E1221" s="11">
        <v>43110</v>
      </c>
      <c r="F1221" s="8" t="s">
        <v>58</v>
      </c>
      <c r="G1221" s="11">
        <v>43110</v>
      </c>
      <c r="H1221" s="8" t="s">
        <v>25</v>
      </c>
      <c r="I1221" s="11">
        <v>43110</v>
      </c>
      <c r="J1221" s="8" t="s">
        <v>25</v>
      </c>
      <c r="N1221" s="8" t="s">
        <v>58</v>
      </c>
      <c r="O1221" s="8" t="s">
        <v>59</v>
      </c>
      <c r="P1221" s="8" t="s">
        <v>59</v>
      </c>
      <c r="R1221" s="8">
        <v>0</v>
      </c>
      <c r="S1221" s="8">
        <v>0</v>
      </c>
      <c r="T1221" s="8">
        <v>1</v>
      </c>
      <c r="U1221" s="8">
        <v>2</v>
      </c>
      <c r="X1221" s="8">
        <v>5</v>
      </c>
      <c r="AG1221" s="8" t="str">
        <f t="shared" si="77"/>
        <v/>
      </c>
      <c r="AI1221" s="8" t="str">
        <f t="shared" si="78"/>
        <v/>
      </c>
      <c r="AJ1221" s="8" t="str">
        <f t="shared" si="79"/>
        <v/>
      </c>
      <c r="AL1221" s="8" t="str">
        <f t="shared" si="80"/>
        <v/>
      </c>
    </row>
    <row r="1222" spans="1:38" x14ac:dyDescent="0.25">
      <c r="A1222" s="8" t="s">
        <v>372</v>
      </c>
      <c r="B1222" s="8" t="s">
        <v>373</v>
      </c>
      <c r="C1222" s="8">
        <v>30817627</v>
      </c>
      <c r="D1222" s="8">
        <v>5</v>
      </c>
      <c r="E1222" s="11">
        <v>43108</v>
      </c>
      <c r="F1222" s="8" t="s">
        <v>58</v>
      </c>
      <c r="G1222" s="11">
        <v>43108</v>
      </c>
      <c r="H1222" s="8" t="s">
        <v>25</v>
      </c>
      <c r="I1222" s="11">
        <v>43108</v>
      </c>
      <c r="J1222" s="8" t="s">
        <v>25</v>
      </c>
      <c r="N1222" s="8" t="s">
        <v>58</v>
      </c>
      <c r="O1222" s="8" t="s">
        <v>59</v>
      </c>
      <c r="P1222" s="8" t="s">
        <v>59</v>
      </c>
      <c r="R1222" s="8">
        <v>0</v>
      </c>
      <c r="S1222" s="8">
        <v>0</v>
      </c>
      <c r="T1222" s="8">
        <v>1</v>
      </c>
      <c r="U1222" s="8">
        <v>2</v>
      </c>
      <c r="X1222" s="8">
        <v>5</v>
      </c>
      <c r="AG1222" s="8" t="str">
        <f t="shared" si="77"/>
        <v/>
      </c>
      <c r="AI1222" s="8" t="str">
        <f t="shared" si="78"/>
        <v/>
      </c>
      <c r="AJ1222" s="8" t="str">
        <f t="shared" si="79"/>
        <v/>
      </c>
      <c r="AL1222" s="8" t="str">
        <f t="shared" si="80"/>
        <v/>
      </c>
    </row>
    <row r="1223" spans="1:38" x14ac:dyDescent="0.25">
      <c r="A1223" s="8" t="s">
        <v>3663</v>
      </c>
      <c r="B1223" s="8" t="s">
        <v>3664</v>
      </c>
      <c r="C1223" s="8">
        <v>30900867</v>
      </c>
      <c r="D1223" s="8">
        <v>5</v>
      </c>
      <c r="E1223" s="11">
        <v>43111</v>
      </c>
      <c r="F1223" s="8" t="s">
        <v>58</v>
      </c>
      <c r="G1223" s="11">
        <v>43111</v>
      </c>
      <c r="H1223" s="8" t="s">
        <v>25</v>
      </c>
      <c r="I1223" s="11">
        <v>43111</v>
      </c>
      <c r="J1223" s="8" t="s">
        <v>25</v>
      </c>
      <c r="N1223" s="8" t="s">
        <v>58</v>
      </c>
      <c r="O1223" s="8" t="s">
        <v>59</v>
      </c>
      <c r="P1223" s="8" t="s">
        <v>59</v>
      </c>
      <c r="R1223" s="8">
        <v>0</v>
      </c>
      <c r="S1223" s="8">
        <v>0</v>
      </c>
      <c r="T1223" s="8">
        <v>1</v>
      </c>
      <c r="U1223" s="8">
        <v>2</v>
      </c>
      <c r="X1223" s="8">
        <v>5</v>
      </c>
      <c r="AG1223" s="8" t="str">
        <f t="shared" si="77"/>
        <v/>
      </c>
      <c r="AI1223" s="8" t="str">
        <f t="shared" si="78"/>
        <v/>
      </c>
      <c r="AJ1223" s="8" t="str">
        <f t="shared" si="79"/>
        <v/>
      </c>
      <c r="AL1223" s="8" t="str">
        <f t="shared" si="80"/>
        <v/>
      </c>
    </row>
    <row r="1224" spans="1:38" x14ac:dyDescent="0.25">
      <c r="A1224" s="8" t="s">
        <v>3665</v>
      </c>
      <c r="B1224" s="8" t="s">
        <v>3666</v>
      </c>
      <c r="C1224" s="8">
        <v>30862240</v>
      </c>
      <c r="D1224" s="8">
        <v>5</v>
      </c>
      <c r="E1224" s="11">
        <v>43110</v>
      </c>
      <c r="F1224" s="8" t="s">
        <v>57</v>
      </c>
      <c r="G1224" s="11">
        <v>43111</v>
      </c>
      <c r="H1224" s="8" t="s">
        <v>25</v>
      </c>
      <c r="J1224" s="8" t="s">
        <v>25</v>
      </c>
      <c r="N1224" s="8" t="s">
        <v>58</v>
      </c>
      <c r="O1224" s="8" t="s">
        <v>59</v>
      </c>
      <c r="P1224" s="8" t="s">
        <v>59</v>
      </c>
      <c r="R1224" s="8">
        <v>0</v>
      </c>
      <c r="S1224" s="8">
        <v>0</v>
      </c>
      <c r="T1224" s="8">
        <v>1</v>
      </c>
      <c r="U1224" s="8">
        <v>2</v>
      </c>
      <c r="AG1224" s="8" t="str">
        <f t="shared" si="77"/>
        <v/>
      </c>
      <c r="AI1224" s="8" t="str">
        <f t="shared" si="78"/>
        <v/>
      </c>
      <c r="AJ1224" s="8" t="str">
        <f t="shared" si="79"/>
        <v/>
      </c>
      <c r="AL1224" s="8" t="str">
        <f t="shared" si="80"/>
        <v/>
      </c>
    </row>
    <row r="1225" spans="1:38" x14ac:dyDescent="0.25">
      <c r="A1225" s="8" t="s">
        <v>5176</v>
      </c>
      <c r="B1225" s="8" t="s">
        <v>5177</v>
      </c>
      <c r="C1225" s="8">
        <v>30887163</v>
      </c>
      <c r="D1225" s="8">
        <v>5</v>
      </c>
      <c r="E1225" s="11">
        <v>43111</v>
      </c>
      <c r="F1225" s="8" t="s">
        <v>58</v>
      </c>
      <c r="G1225" s="11">
        <v>43112</v>
      </c>
      <c r="H1225" s="8" t="s">
        <v>25</v>
      </c>
      <c r="I1225" s="11">
        <v>43112</v>
      </c>
      <c r="J1225" s="8" t="s">
        <v>25</v>
      </c>
      <c r="N1225" s="8" t="s">
        <v>58</v>
      </c>
      <c r="O1225" s="8" t="s">
        <v>59</v>
      </c>
      <c r="P1225" s="8" t="s">
        <v>59</v>
      </c>
      <c r="R1225" s="8">
        <v>0</v>
      </c>
      <c r="S1225" s="8">
        <v>0</v>
      </c>
      <c r="T1225" s="8">
        <v>1</v>
      </c>
      <c r="U1225" s="8">
        <v>2</v>
      </c>
      <c r="X1225" s="8">
        <v>5</v>
      </c>
      <c r="AG1225" s="8" t="str">
        <f t="shared" si="77"/>
        <v/>
      </c>
      <c r="AI1225" s="8" t="str">
        <f t="shared" si="78"/>
        <v/>
      </c>
      <c r="AJ1225" s="8" t="str">
        <f t="shared" si="79"/>
        <v/>
      </c>
      <c r="AL1225" s="8" t="str">
        <f t="shared" si="80"/>
        <v/>
      </c>
    </row>
    <row r="1226" spans="1:38" x14ac:dyDescent="0.25">
      <c r="A1226" s="8" t="s">
        <v>7058</v>
      </c>
      <c r="B1226" s="8" t="s">
        <v>7059</v>
      </c>
      <c r="C1226" s="8">
        <v>30916914</v>
      </c>
      <c r="D1226" s="8">
        <v>5</v>
      </c>
      <c r="E1226" s="11">
        <v>43112</v>
      </c>
      <c r="F1226" s="8" t="s">
        <v>58</v>
      </c>
      <c r="G1226" s="11">
        <v>43115</v>
      </c>
      <c r="H1226" s="8" t="s">
        <v>25</v>
      </c>
      <c r="I1226" s="11">
        <v>43115</v>
      </c>
      <c r="J1226" s="8" t="s">
        <v>25</v>
      </c>
      <c r="N1226" s="8" t="s">
        <v>58</v>
      </c>
      <c r="O1226" s="8" t="s">
        <v>59</v>
      </c>
      <c r="P1226" s="8" t="s">
        <v>59</v>
      </c>
      <c r="R1226" s="8">
        <v>0</v>
      </c>
      <c r="S1226" s="8">
        <v>0</v>
      </c>
      <c r="T1226" s="8">
        <v>1</v>
      </c>
      <c r="U1226" s="8">
        <v>2</v>
      </c>
      <c r="X1226" s="8">
        <v>5</v>
      </c>
      <c r="AG1226" s="8" t="str">
        <f t="shared" si="77"/>
        <v/>
      </c>
      <c r="AI1226" s="8" t="str">
        <f t="shared" si="78"/>
        <v/>
      </c>
      <c r="AJ1226" s="8" t="str">
        <f t="shared" si="79"/>
        <v/>
      </c>
      <c r="AL1226" s="8" t="str">
        <f t="shared" si="80"/>
        <v/>
      </c>
    </row>
    <row r="1227" spans="1:38" x14ac:dyDescent="0.25">
      <c r="A1227" s="8" t="s">
        <v>3667</v>
      </c>
      <c r="B1227" s="8" t="s">
        <v>3668</v>
      </c>
      <c r="C1227" s="8">
        <v>30901045</v>
      </c>
      <c r="D1227" s="8">
        <v>5</v>
      </c>
      <c r="E1227" s="11">
        <v>43111</v>
      </c>
      <c r="F1227" s="8" t="s">
        <v>57</v>
      </c>
      <c r="G1227" s="11">
        <v>43111</v>
      </c>
      <c r="H1227" s="8" t="s">
        <v>25</v>
      </c>
      <c r="J1227" s="8" t="s">
        <v>25</v>
      </c>
      <c r="N1227" s="8" t="s">
        <v>58</v>
      </c>
      <c r="O1227" s="8" t="s">
        <v>59</v>
      </c>
      <c r="P1227" s="8" t="s">
        <v>59</v>
      </c>
      <c r="R1227" s="8">
        <v>0</v>
      </c>
      <c r="S1227" s="8">
        <v>0</v>
      </c>
      <c r="T1227" s="8">
        <v>1</v>
      </c>
      <c r="U1227" s="8">
        <v>2</v>
      </c>
      <c r="AG1227" s="8" t="str">
        <f t="shared" si="77"/>
        <v/>
      </c>
      <c r="AI1227" s="8" t="str">
        <f t="shared" si="78"/>
        <v/>
      </c>
      <c r="AJ1227" s="8" t="str">
        <f t="shared" si="79"/>
        <v/>
      </c>
      <c r="AL1227" s="8" t="str">
        <f t="shared" si="80"/>
        <v/>
      </c>
    </row>
    <row r="1228" spans="1:38" x14ac:dyDescent="0.25">
      <c r="A1228" s="8" t="s">
        <v>3669</v>
      </c>
      <c r="B1228" s="8" t="s">
        <v>3670</v>
      </c>
      <c r="C1228" s="8">
        <v>30885008</v>
      </c>
      <c r="D1228" s="8">
        <v>5</v>
      </c>
      <c r="E1228" s="11">
        <v>43111</v>
      </c>
      <c r="F1228" s="8" t="s">
        <v>58</v>
      </c>
      <c r="G1228" s="11">
        <v>43111</v>
      </c>
      <c r="H1228" s="8" t="s">
        <v>25</v>
      </c>
      <c r="I1228" s="11">
        <v>43111</v>
      </c>
      <c r="J1228" s="8" t="s">
        <v>25</v>
      </c>
      <c r="N1228" s="8" t="s">
        <v>58</v>
      </c>
      <c r="O1228" s="8" t="s">
        <v>59</v>
      </c>
      <c r="P1228" s="8" t="s">
        <v>59</v>
      </c>
      <c r="R1228" s="8">
        <v>0</v>
      </c>
      <c r="S1228" s="8">
        <v>0</v>
      </c>
      <c r="T1228" s="8">
        <v>1</v>
      </c>
      <c r="U1228" s="8">
        <v>2</v>
      </c>
      <c r="X1228" s="8">
        <v>5</v>
      </c>
      <c r="AG1228" s="8" t="str">
        <f t="shared" si="77"/>
        <v/>
      </c>
      <c r="AI1228" s="8" t="str">
        <f t="shared" si="78"/>
        <v/>
      </c>
      <c r="AJ1228" s="8" t="str">
        <f t="shared" si="79"/>
        <v/>
      </c>
      <c r="AL1228" s="8" t="str">
        <f t="shared" si="80"/>
        <v/>
      </c>
    </row>
    <row r="1229" spans="1:38" x14ac:dyDescent="0.25">
      <c r="A1229" s="8" t="s">
        <v>5178</v>
      </c>
      <c r="B1229" s="8" t="s">
        <v>5179</v>
      </c>
      <c r="C1229" s="8">
        <v>30914367</v>
      </c>
      <c r="D1229" s="8">
        <v>5</v>
      </c>
      <c r="E1229" s="11">
        <v>43112</v>
      </c>
      <c r="F1229" s="8" t="s">
        <v>61</v>
      </c>
      <c r="G1229" s="11">
        <v>43112</v>
      </c>
      <c r="H1229" s="8" t="s">
        <v>25</v>
      </c>
      <c r="J1229" s="8" t="s">
        <v>25</v>
      </c>
      <c r="K1229" s="11">
        <v>43112</v>
      </c>
      <c r="N1229" s="8" t="s">
        <v>58</v>
      </c>
      <c r="O1229" s="8" t="s">
        <v>59</v>
      </c>
      <c r="P1229" s="8" t="s">
        <v>59</v>
      </c>
      <c r="R1229" s="8">
        <v>0</v>
      </c>
      <c r="S1229" s="8">
        <v>0</v>
      </c>
      <c r="T1229" s="8">
        <v>1</v>
      </c>
      <c r="U1229" s="8">
        <v>2</v>
      </c>
      <c r="Y1229" s="8">
        <v>6</v>
      </c>
      <c r="Z1229" s="8">
        <v>7</v>
      </c>
      <c r="AG1229" s="8" t="str">
        <f t="shared" si="77"/>
        <v/>
      </c>
      <c r="AI1229" s="8" t="str">
        <f t="shared" si="78"/>
        <v/>
      </c>
      <c r="AJ1229" s="8" t="str">
        <f t="shared" si="79"/>
        <v/>
      </c>
      <c r="AL1229" s="8" t="str">
        <f t="shared" si="80"/>
        <v/>
      </c>
    </row>
    <row r="1230" spans="1:38" x14ac:dyDescent="0.25">
      <c r="A1230" s="8" t="s">
        <v>7060</v>
      </c>
      <c r="B1230" s="8" t="s">
        <v>5179</v>
      </c>
      <c r="C1230" s="8">
        <v>30932577</v>
      </c>
      <c r="D1230" s="8">
        <v>5</v>
      </c>
      <c r="E1230" s="11">
        <v>43115</v>
      </c>
      <c r="F1230" s="8" t="s">
        <v>57</v>
      </c>
      <c r="G1230" s="11">
        <v>43115</v>
      </c>
      <c r="H1230" s="8" t="s">
        <v>25</v>
      </c>
      <c r="J1230" s="8" t="s">
        <v>25</v>
      </c>
      <c r="N1230" s="8" t="s">
        <v>58</v>
      </c>
      <c r="O1230" s="8" t="s">
        <v>59</v>
      </c>
      <c r="P1230" s="8" t="s">
        <v>59</v>
      </c>
      <c r="R1230" s="8">
        <v>0</v>
      </c>
      <c r="S1230" s="8">
        <v>0</v>
      </c>
      <c r="T1230" s="8">
        <v>1</v>
      </c>
      <c r="U1230" s="8">
        <v>2</v>
      </c>
      <c r="AG1230" s="8" t="str">
        <f t="shared" si="77"/>
        <v/>
      </c>
      <c r="AI1230" s="8" t="str">
        <f t="shared" si="78"/>
        <v/>
      </c>
      <c r="AJ1230" s="8" t="str">
        <f t="shared" si="79"/>
        <v/>
      </c>
      <c r="AL1230" s="8" t="str">
        <f t="shared" si="80"/>
        <v/>
      </c>
    </row>
    <row r="1231" spans="1:38" x14ac:dyDescent="0.25">
      <c r="A1231" s="8" t="s">
        <v>374</v>
      </c>
      <c r="B1231" s="8" t="s">
        <v>375</v>
      </c>
      <c r="C1231" s="8">
        <v>30806752</v>
      </c>
      <c r="D1231" s="8">
        <v>5</v>
      </c>
      <c r="E1231" s="11">
        <v>43108</v>
      </c>
      <c r="F1231" s="8" t="s">
        <v>58</v>
      </c>
      <c r="G1231" s="11">
        <v>43108</v>
      </c>
      <c r="H1231" s="8" t="s">
        <v>25</v>
      </c>
      <c r="I1231" s="11">
        <v>43110</v>
      </c>
      <c r="J1231" s="8" t="s">
        <v>25</v>
      </c>
      <c r="N1231" s="8" t="s">
        <v>58</v>
      </c>
      <c r="O1231" s="8" t="s">
        <v>59</v>
      </c>
      <c r="P1231" s="8" t="s">
        <v>59</v>
      </c>
      <c r="R1231" s="8">
        <v>0</v>
      </c>
      <c r="S1231" s="8">
        <v>0</v>
      </c>
      <c r="T1231" s="8">
        <v>1</v>
      </c>
      <c r="U1231" s="8">
        <v>2</v>
      </c>
      <c r="X1231" s="8">
        <v>5</v>
      </c>
      <c r="AG1231" s="8" t="str">
        <f t="shared" si="77"/>
        <v/>
      </c>
      <c r="AI1231" s="8" t="str">
        <f t="shared" si="78"/>
        <v/>
      </c>
      <c r="AJ1231" s="8" t="str">
        <f t="shared" si="79"/>
        <v/>
      </c>
      <c r="AL1231" s="8" t="str">
        <f t="shared" si="80"/>
        <v/>
      </c>
    </row>
    <row r="1232" spans="1:38" x14ac:dyDescent="0.25">
      <c r="A1232" s="8" t="s">
        <v>7061</v>
      </c>
      <c r="B1232" s="8" t="s">
        <v>7062</v>
      </c>
      <c r="C1232" s="8">
        <v>30915848</v>
      </c>
      <c r="D1232" s="8">
        <v>5</v>
      </c>
      <c r="E1232" s="11">
        <v>43112</v>
      </c>
      <c r="F1232" s="8" t="s">
        <v>57</v>
      </c>
      <c r="G1232" s="11">
        <v>43115</v>
      </c>
      <c r="H1232" s="8" t="s">
        <v>25</v>
      </c>
      <c r="J1232" s="8" t="s">
        <v>25</v>
      </c>
      <c r="N1232" s="8" t="s">
        <v>58</v>
      </c>
      <c r="O1232" s="8" t="s">
        <v>59</v>
      </c>
      <c r="P1232" s="8" t="s">
        <v>59</v>
      </c>
      <c r="R1232" s="8">
        <v>0</v>
      </c>
      <c r="S1232" s="8">
        <v>0</v>
      </c>
      <c r="T1232" s="8">
        <v>1</v>
      </c>
      <c r="U1232" s="8">
        <v>2</v>
      </c>
      <c r="AG1232" s="8" t="str">
        <f t="shared" si="77"/>
        <v/>
      </c>
      <c r="AI1232" s="8" t="str">
        <f t="shared" si="78"/>
        <v/>
      </c>
      <c r="AJ1232" s="8" t="str">
        <f t="shared" si="79"/>
        <v/>
      </c>
      <c r="AL1232" s="8" t="str">
        <f t="shared" si="80"/>
        <v/>
      </c>
    </row>
    <row r="1233" spans="1:38" x14ac:dyDescent="0.25">
      <c r="A1233" s="8" t="s">
        <v>3671</v>
      </c>
      <c r="B1233" s="8" t="s">
        <v>3672</v>
      </c>
      <c r="C1233" s="8">
        <v>30882916</v>
      </c>
      <c r="D1233" s="8">
        <v>5</v>
      </c>
      <c r="E1233" s="11">
        <v>43111</v>
      </c>
      <c r="F1233" s="8" t="s">
        <v>57</v>
      </c>
      <c r="G1233" s="11">
        <v>43111</v>
      </c>
      <c r="H1233" s="8" t="s">
        <v>25</v>
      </c>
      <c r="J1233" s="8" t="s">
        <v>25</v>
      </c>
      <c r="N1233" s="8" t="s">
        <v>58</v>
      </c>
      <c r="O1233" s="8" t="s">
        <v>59</v>
      </c>
      <c r="P1233" s="8" t="s">
        <v>59</v>
      </c>
      <c r="R1233" s="8">
        <v>0</v>
      </c>
      <c r="S1233" s="8">
        <v>0</v>
      </c>
      <c r="T1233" s="8">
        <v>1</v>
      </c>
      <c r="U1233" s="8">
        <v>2</v>
      </c>
      <c r="AG1233" s="8" t="str">
        <f t="shared" si="77"/>
        <v/>
      </c>
      <c r="AI1233" s="8" t="str">
        <f t="shared" si="78"/>
        <v/>
      </c>
      <c r="AJ1233" s="8" t="str">
        <f t="shared" si="79"/>
        <v/>
      </c>
      <c r="AL1233" s="8" t="str">
        <f t="shared" si="80"/>
        <v/>
      </c>
    </row>
    <row r="1234" spans="1:38" x14ac:dyDescent="0.25">
      <c r="A1234" s="8" t="s">
        <v>3673</v>
      </c>
      <c r="B1234" s="8" t="s">
        <v>3674</v>
      </c>
      <c r="C1234" s="8">
        <v>30866131</v>
      </c>
      <c r="D1234" s="8">
        <v>5</v>
      </c>
      <c r="E1234" s="11">
        <v>43110</v>
      </c>
      <c r="F1234" s="8" t="s">
        <v>57</v>
      </c>
      <c r="G1234" s="11">
        <v>43111</v>
      </c>
      <c r="H1234" s="8" t="s">
        <v>25</v>
      </c>
      <c r="J1234" s="8" t="s">
        <v>25</v>
      </c>
      <c r="N1234" s="8" t="s">
        <v>58</v>
      </c>
      <c r="O1234" s="8" t="s">
        <v>59</v>
      </c>
      <c r="P1234" s="8" t="s">
        <v>59</v>
      </c>
      <c r="R1234" s="8">
        <v>0</v>
      </c>
      <c r="S1234" s="8">
        <v>0</v>
      </c>
      <c r="T1234" s="8">
        <v>1</v>
      </c>
      <c r="U1234" s="8">
        <v>2</v>
      </c>
      <c r="AG1234" s="8" t="str">
        <f t="shared" si="77"/>
        <v/>
      </c>
      <c r="AI1234" s="8" t="str">
        <f t="shared" si="78"/>
        <v/>
      </c>
      <c r="AJ1234" s="8" t="str">
        <f t="shared" si="79"/>
        <v/>
      </c>
      <c r="AL1234" s="8" t="str">
        <f t="shared" si="80"/>
        <v/>
      </c>
    </row>
    <row r="1235" spans="1:38" x14ac:dyDescent="0.25">
      <c r="A1235" s="8" t="s">
        <v>3675</v>
      </c>
      <c r="B1235" s="8" t="s">
        <v>3676</v>
      </c>
      <c r="C1235" s="8">
        <v>30849863</v>
      </c>
      <c r="D1235" s="8">
        <v>5</v>
      </c>
      <c r="E1235" s="11">
        <v>43109</v>
      </c>
      <c r="F1235" s="8" t="s">
        <v>57</v>
      </c>
      <c r="G1235" s="11">
        <v>43111</v>
      </c>
      <c r="H1235" s="8" t="s">
        <v>25</v>
      </c>
      <c r="J1235" s="8" t="s">
        <v>25</v>
      </c>
      <c r="N1235" s="8" t="s">
        <v>58</v>
      </c>
      <c r="O1235" s="8" t="s">
        <v>59</v>
      </c>
      <c r="P1235" s="8" t="s">
        <v>59</v>
      </c>
      <c r="R1235" s="8">
        <v>0</v>
      </c>
      <c r="S1235" s="8">
        <v>0</v>
      </c>
      <c r="T1235" s="8">
        <v>1</v>
      </c>
      <c r="U1235" s="8">
        <v>2</v>
      </c>
      <c r="AG1235" s="8" t="str">
        <f t="shared" si="77"/>
        <v/>
      </c>
      <c r="AI1235" s="8" t="str">
        <f t="shared" si="78"/>
        <v/>
      </c>
      <c r="AJ1235" s="8" t="str">
        <f t="shared" si="79"/>
        <v/>
      </c>
      <c r="AL1235" s="8" t="str">
        <f t="shared" si="80"/>
        <v/>
      </c>
    </row>
    <row r="1236" spans="1:38" x14ac:dyDescent="0.25">
      <c r="A1236" s="8" t="s">
        <v>2091</v>
      </c>
      <c r="B1236" s="8" t="s">
        <v>2092</v>
      </c>
      <c r="C1236" s="8">
        <v>30867276</v>
      </c>
      <c r="D1236" s="8">
        <v>5</v>
      </c>
      <c r="E1236" s="11">
        <v>43110</v>
      </c>
      <c r="F1236" s="8" t="s">
        <v>58</v>
      </c>
      <c r="G1236" s="11">
        <v>43110</v>
      </c>
      <c r="H1236" s="8" t="s">
        <v>25</v>
      </c>
      <c r="I1236" s="11">
        <v>43110</v>
      </c>
      <c r="J1236" s="8" t="s">
        <v>25</v>
      </c>
      <c r="N1236" s="8" t="s">
        <v>58</v>
      </c>
      <c r="O1236" s="8" t="s">
        <v>59</v>
      </c>
      <c r="P1236" s="8" t="s">
        <v>59</v>
      </c>
      <c r="R1236" s="8">
        <v>0</v>
      </c>
      <c r="S1236" s="8">
        <v>0</v>
      </c>
      <c r="T1236" s="8">
        <v>1</v>
      </c>
      <c r="U1236" s="8">
        <v>2</v>
      </c>
      <c r="X1236" s="8">
        <v>5</v>
      </c>
      <c r="AG1236" s="8" t="str">
        <f t="shared" si="77"/>
        <v/>
      </c>
      <c r="AI1236" s="8" t="str">
        <f t="shared" si="78"/>
        <v/>
      </c>
      <c r="AJ1236" s="8" t="str">
        <f t="shared" si="79"/>
        <v/>
      </c>
      <c r="AL1236" s="8" t="str">
        <f t="shared" si="80"/>
        <v/>
      </c>
    </row>
    <row r="1237" spans="1:38" x14ac:dyDescent="0.25">
      <c r="A1237" s="8" t="s">
        <v>3677</v>
      </c>
      <c r="B1237" s="8" t="s">
        <v>3678</v>
      </c>
      <c r="C1237" s="8">
        <v>30882937</v>
      </c>
      <c r="D1237" s="8">
        <v>5</v>
      </c>
      <c r="E1237" s="11">
        <v>43111</v>
      </c>
      <c r="F1237" s="8" t="s">
        <v>57</v>
      </c>
      <c r="G1237" s="11">
        <v>43111</v>
      </c>
      <c r="H1237" s="8" t="s">
        <v>25</v>
      </c>
      <c r="J1237" s="8" t="s">
        <v>25</v>
      </c>
      <c r="N1237" s="8" t="s">
        <v>58</v>
      </c>
      <c r="O1237" s="8" t="s">
        <v>59</v>
      </c>
      <c r="P1237" s="8" t="s">
        <v>59</v>
      </c>
      <c r="R1237" s="8">
        <v>0</v>
      </c>
      <c r="S1237" s="8">
        <v>0</v>
      </c>
      <c r="T1237" s="8">
        <v>1</v>
      </c>
      <c r="U1237" s="8">
        <v>2</v>
      </c>
      <c r="AG1237" s="8" t="str">
        <f t="shared" si="77"/>
        <v/>
      </c>
      <c r="AI1237" s="8" t="str">
        <f t="shared" si="78"/>
        <v/>
      </c>
      <c r="AJ1237" s="8" t="str">
        <f t="shared" si="79"/>
        <v/>
      </c>
      <c r="AL1237" s="8" t="str">
        <f t="shared" si="80"/>
        <v/>
      </c>
    </row>
    <row r="1238" spans="1:38" x14ac:dyDescent="0.25">
      <c r="A1238" s="8" t="s">
        <v>1101</v>
      </c>
      <c r="B1238" s="8" t="s">
        <v>1102</v>
      </c>
      <c r="C1238" s="8">
        <v>30850292</v>
      </c>
      <c r="D1238" s="8">
        <v>5</v>
      </c>
      <c r="E1238" s="11">
        <v>43109</v>
      </c>
      <c r="F1238" s="8" t="s">
        <v>58</v>
      </c>
      <c r="G1238" s="11">
        <v>43109</v>
      </c>
      <c r="H1238" s="8" t="s">
        <v>25</v>
      </c>
      <c r="I1238" s="11">
        <v>43109</v>
      </c>
      <c r="J1238" s="8" t="s">
        <v>25</v>
      </c>
      <c r="N1238" s="8" t="s">
        <v>58</v>
      </c>
      <c r="O1238" s="8" t="s">
        <v>59</v>
      </c>
      <c r="P1238" s="8" t="s">
        <v>59</v>
      </c>
      <c r="R1238" s="8">
        <v>0</v>
      </c>
      <c r="S1238" s="8">
        <v>0</v>
      </c>
      <c r="T1238" s="8">
        <v>1</v>
      </c>
      <c r="U1238" s="8">
        <v>2</v>
      </c>
      <c r="X1238" s="8">
        <v>5</v>
      </c>
      <c r="AG1238" s="8" t="str">
        <f t="shared" si="77"/>
        <v/>
      </c>
      <c r="AI1238" s="8" t="str">
        <f t="shared" si="78"/>
        <v/>
      </c>
      <c r="AJ1238" s="8" t="str">
        <f t="shared" si="79"/>
        <v/>
      </c>
      <c r="AL1238" s="8" t="str">
        <f t="shared" si="80"/>
        <v/>
      </c>
    </row>
    <row r="1239" spans="1:38" x14ac:dyDescent="0.25">
      <c r="A1239" s="8" t="s">
        <v>5180</v>
      </c>
      <c r="B1239" s="8" t="s">
        <v>5181</v>
      </c>
      <c r="C1239" s="8">
        <v>30923462</v>
      </c>
      <c r="D1239" s="8">
        <v>5</v>
      </c>
      <c r="E1239" s="11">
        <v>43112</v>
      </c>
      <c r="F1239" s="8" t="s">
        <v>62</v>
      </c>
      <c r="G1239" s="11">
        <v>43115</v>
      </c>
      <c r="H1239" s="8" t="s">
        <v>25</v>
      </c>
      <c r="J1239" s="8" t="s">
        <v>25</v>
      </c>
      <c r="M1239" s="8" t="s">
        <v>66</v>
      </c>
      <c r="N1239" s="8" t="s">
        <v>63</v>
      </c>
      <c r="O1239" s="8" t="s">
        <v>59</v>
      </c>
      <c r="P1239" s="8" t="s">
        <v>59</v>
      </c>
      <c r="R1239" s="8">
        <v>0</v>
      </c>
      <c r="S1239" s="8">
        <v>0</v>
      </c>
      <c r="T1239" s="8">
        <v>1</v>
      </c>
      <c r="U1239" s="8">
        <v>2</v>
      </c>
      <c r="AG1239" s="8" t="str">
        <f t="shared" si="77"/>
        <v/>
      </c>
      <c r="AI1239" s="8" t="str">
        <f t="shared" si="78"/>
        <v/>
      </c>
      <c r="AJ1239" s="8" t="str">
        <f t="shared" si="79"/>
        <v/>
      </c>
      <c r="AL1239" s="8" t="str">
        <f t="shared" si="80"/>
        <v/>
      </c>
    </row>
    <row r="1240" spans="1:38" x14ac:dyDescent="0.25">
      <c r="A1240" s="8" t="s">
        <v>5182</v>
      </c>
      <c r="B1240" s="8" t="s">
        <v>5183</v>
      </c>
      <c r="C1240" s="8">
        <v>30891865</v>
      </c>
      <c r="D1240" s="8">
        <v>5</v>
      </c>
      <c r="E1240" s="11">
        <v>43111</v>
      </c>
      <c r="F1240" s="8" t="s">
        <v>58</v>
      </c>
      <c r="G1240" s="11">
        <v>43112</v>
      </c>
      <c r="H1240" s="8" t="s">
        <v>25</v>
      </c>
      <c r="I1240" s="11">
        <v>43112</v>
      </c>
      <c r="J1240" s="8" t="s">
        <v>25</v>
      </c>
      <c r="N1240" s="8" t="s">
        <v>58</v>
      </c>
      <c r="O1240" s="8" t="s">
        <v>59</v>
      </c>
      <c r="P1240" s="8" t="s">
        <v>59</v>
      </c>
      <c r="R1240" s="8">
        <v>0</v>
      </c>
      <c r="S1240" s="8">
        <v>0</v>
      </c>
      <c r="T1240" s="8">
        <v>1</v>
      </c>
      <c r="U1240" s="8">
        <v>2</v>
      </c>
      <c r="X1240" s="8">
        <v>5</v>
      </c>
      <c r="AG1240" s="8" t="str">
        <f t="shared" si="77"/>
        <v/>
      </c>
      <c r="AI1240" s="8" t="str">
        <f t="shared" si="78"/>
        <v/>
      </c>
      <c r="AJ1240" s="8" t="str">
        <f t="shared" si="79"/>
        <v/>
      </c>
      <c r="AL1240" s="8" t="str">
        <f t="shared" si="80"/>
        <v/>
      </c>
    </row>
    <row r="1241" spans="1:38" x14ac:dyDescent="0.25">
      <c r="A1241" s="8" t="s">
        <v>3679</v>
      </c>
      <c r="B1241" s="8" t="s">
        <v>3680</v>
      </c>
      <c r="C1241" s="8">
        <v>30843787</v>
      </c>
      <c r="D1241" s="8">
        <v>5</v>
      </c>
      <c r="E1241" s="11">
        <v>43109</v>
      </c>
      <c r="F1241" s="8" t="s">
        <v>57</v>
      </c>
      <c r="G1241" s="11">
        <v>43111</v>
      </c>
      <c r="H1241" s="8" t="s">
        <v>25</v>
      </c>
      <c r="J1241" s="8" t="s">
        <v>25</v>
      </c>
      <c r="N1241" s="8" t="s">
        <v>58</v>
      </c>
      <c r="O1241" s="8" t="s">
        <v>59</v>
      </c>
      <c r="P1241" s="8" t="s">
        <v>59</v>
      </c>
      <c r="R1241" s="8">
        <v>0</v>
      </c>
      <c r="S1241" s="8">
        <v>0</v>
      </c>
      <c r="T1241" s="8">
        <v>1</v>
      </c>
      <c r="U1241" s="8">
        <v>2</v>
      </c>
      <c r="AG1241" s="8" t="str">
        <f t="shared" si="77"/>
        <v/>
      </c>
      <c r="AI1241" s="8" t="str">
        <f t="shared" si="78"/>
        <v/>
      </c>
      <c r="AJ1241" s="8" t="str">
        <f t="shared" si="79"/>
        <v/>
      </c>
      <c r="AL1241" s="8" t="str">
        <f t="shared" si="80"/>
        <v/>
      </c>
    </row>
    <row r="1242" spans="1:38" x14ac:dyDescent="0.25">
      <c r="A1242" s="8" t="s">
        <v>7063</v>
      </c>
      <c r="B1242" s="8" t="s">
        <v>7064</v>
      </c>
      <c r="C1242" s="8">
        <v>30912779</v>
      </c>
      <c r="D1242" s="8">
        <v>5</v>
      </c>
      <c r="E1242" s="11">
        <v>43112</v>
      </c>
      <c r="F1242" s="8" t="s">
        <v>57</v>
      </c>
      <c r="G1242" s="11">
        <v>43115</v>
      </c>
      <c r="H1242" s="8" t="s">
        <v>25</v>
      </c>
      <c r="J1242" s="8" t="s">
        <v>25</v>
      </c>
      <c r="N1242" s="8" t="s">
        <v>58</v>
      </c>
      <c r="O1242" s="8" t="s">
        <v>59</v>
      </c>
      <c r="P1242" s="8" t="s">
        <v>59</v>
      </c>
      <c r="R1242" s="8">
        <v>0</v>
      </c>
      <c r="S1242" s="8">
        <v>0</v>
      </c>
      <c r="T1242" s="8">
        <v>1</v>
      </c>
      <c r="U1242" s="8">
        <v>2</v>
      </c>
      <c r="AG1242" s="8" t="str">
        <f t="shared" si="77"/>
        <v/>
      </c>
      <c r="AI1242" s="8" t="str">
        <f t="shared" si="78"/>
        <v/>
      </c>
      <c r="AJ1242" s="8" t="str">
        <f t="shared" si="79"/>
        <v/>
      </c>
      <c r="AL1242" s="8" t="str">
        <f t="shared" si="80"/>
        <v/>
      </c>
    </row>
    <row r="1243" spans="1:38" x14ac:dyDescent="0.25">
      <c r="A1243" s="8" t="s">
        <v>2093</v>
      </c>
      <c r="B1243" s="8" t="s">
        <v>2094</v>
      </c>
      <c r="C1243" s="8">
        <v>30822645</v>
      </c>
      <c r="D1243" s="8">
        <v>5</v>
      </c>
      <c r="E1243" s="11">
        <v>43108</v>
      </c>
      <c r="F1243" s="8" t="s">
        <v>57</v>
      </c>
      <c r="G1243" s="11">
        <v>43110</v>
      </c>
      <c r="H1243" s="8" t="s">
        <v>25</v>
      </c>
      <c r="J1243" s="8" t="s">
        <v>25</v>
      </c>
      <c r="N1243" s="8" t="s">
        <v>58</v>
      </c>
      <c r="O1243" s="8" t="s">
        <v>59</v>
      </c>
      <c r="P1243" s="8" t="s">
        <v>59</v>
      </c>
      <c r="R1243" s="8">
        <v>0</v>
      </c>
      <c r="S1243" s="8">
        <v>0</v>
      </c>
      <c r="T1243" s="8">
        <v>1</v>
      </c>
      <c r="U1243" s="8">
        <v>2</v>
      </c>
      <c r="AG1243" s="8" t="str">
        <f t="shared" si="77"/>
        <v/>
      </c>
      <c r="AI1243" s="8" t="str">
        <f t="shared" si="78"/>
        <v/>
      </c>
      <c r="AJ1243" s="8" t="str">
        <f t="shared" si="79"/>
        <v/>
      </c>
      <c r="AL1243" s="8" t="str">
        <f t="shared" si="80"/>
        <v/>
      </c>
    </row>
    <row r="1244" spans="1:38" x14ac:dyDescent="0.25">
      <c r="A1244" s="8" t="s">
        <v>3681</v>
      </c>
      <c r="B1244" s="8" t="s">
        <v>3682</v>
      </c>
      <c r="C1244" s="8">
        <v>30856600</v>
      </c>
      <c r="D1244" s="8">
        <v>5</v>
      </c>
      <c r="E1244" s="11">
        <v>43110</v>
      </c>
      <c r="F1244" s="8" t="s">
        <v>58</v>
      </c>
      <c r="G1244" s="11">
        <v>43111</v>
      </c>
      <c r="H1244" s="8" t="s">
        <v>25</v>
      </c>
      <c r="I1244" s="11">
        <v>43111</v>
      </c>
      <c r="J1244" s="8" t="s">
        <v>25</v>
      </c>
      <c r="N1244" s="8" t="s">
        <v>58</v>
      </c>
      <c r="O1244" s="8" t="s">
        <v>59</v>
      </c>
      <c r="P1244" s="8" t="s">
        <v>59</v>
      </c>
      <c r="R1244" s="8">
        <v>0</v>
      </c>
      <c r="S1244" s="8">
        <v>0</v>
      </c>
      <c r="T1244" s="8">
        <v>1</v>
      </c>
      <c r="U1244" s="8">
        <v>2</v>
      </c>
      <c r="X1244" s="8">
        <v>5</v>
      </c>
      <c r="AG1244" s="8" t="str">
        <f t="shared" si="77"/>
        <v/>
      </c>
      <c r="AI1244" s="8" t="str">
        <f t="shared" si="78"/>
        <v/>
      </c>
      <c r="AJ1244" s="8" t="str">
        <f t="shared" si="79"/>
        <v/>
      </c>
      <c r="AL1244" s="8" t="str">
        <f t="shared" si="80"/>
        <v/>
      </c>
    </row>
    <row r="1245" spans="1:38" x14ac:dyDescent="0.25">
      <c r="A1245" s="8" t="s">
        <v>3683</v>
      </c>
      <c r="B1245" s="8" t="s">
        <v>3684</v>
      </c>
      <c r="C1245" s="8">
        <v>30842689</v>
      </c>
      <c r="D1245" s="8">
        <v>5</v>
      </c>
      <c r="E1245" s="11">
        <v>43109</v>
      </c>
      <c r="F1245" s="8" t="s">
        <v>58</v>
      </c>
      <c r="G1245" s="11">
        <v>43111</v>
      </c>
      <c r="H1245" s="8" t="s">
        <v>25</v>
      </c>
      <c r="I1245" s="11">
        <v>43111</v>
      </c>
      <c r="J1245" s="8" t="s">
        <v>25</v>
      </c>
      <c r="N1245" s="8" t="s">
        <v>58</v>
      </c>
      <c r="O1245" s="8" t="s">
        <v>59</v>
      </c>
      <c r="P1245" s="8" t="s">
        <v>59</v>
      </c>
      <c r="R1245" s="8">
        <v>0</v>
      </c>
      <c r="S1245" s="8">
        <v>0</v>
      </c>
      <c r="T1245" s="8">
        <v>1</v>
      </c>
      <c r="U1245" s="8">
        <v>2</v>
      </c>
      <c r="X1245" s="8">
        <v>5</v>
      </c>
      <c r="AG1245" s="8" t="str">
        <f t="shared" si="77"/>
        <v/>
      </c>
      <c r="AI1245" s="8" t="str">
        <f t="shared" si="78"/>
        <v/>
      </c>
      <c r="AJ1245" s="8" t="str">
        <f t="shared" si="79"/>
        <v/>
      </c>
      <c r="AL1245" s="8" t="str">
        <f t="shared" si="80"/>
        <v/>
      </c>
    </row>
    <row r="1246" spans="1:38" x14ac:dyDescent="0.25">
      <c r="A1246" s="8" t="s">
        <v>3685</v>
      </c>
      <c r="B1246" s="8" t="s">
        <v>3686</v>
      </c>
      <c r="C1246" s="8">
        <v>30879782</v>
      </c>
      <c r="D1246" s="8">
        <v>5</v>
      </c>
      <c r="E1246" s="11">
        <v>43111</v>
      </c>
      <c r="F1246" s="8" t="s">
        <v>58</v>
      </c>
      <c r="G1246" s="11">
        <v>43111</v>
      </c>
      <c r="H1246" s="8" t="s">
        <v>25</v>
      </c>
      <c r="I1246" s="11">
        <v>43115</v>
      </c>
      <c r="J1246" s="8" t="s">
        <v>25</v>
      </c>
      <c r="N1246" s="8" t="s">
        <v>58</v>
      </c>
      <c r="O1246" s="8" t="s">
        <v>59</v>
      </c>
      <c r="P1246" s="8" t="s">
        <v>59</v>
      </c>
      <c r="R1246" s="8">
        <v>0</v>
      </c>
      <c r="S1246" s="8">
        <v>0</v>
      </c>
      <c r="T1246" s="8">
        <v>1</v>
      </c>
      <c r="U1246" s="8">
        <v>2</v>
      </c>
      <c r="X1246" s="8">
        <v>5</v>
      </c>
      <c r="AG1246" s="8" t="str">
        <f t="shared" si="77"/>
        <v/>
      </c>
      <c r="AI1246" s="8" t="str">
        <f t="shared" si="78"/>
        <v/>
      </c>
      <c r="AJ1246" s="8" t="str">
        <f t="shared" si="79"/>
        <v/>
      </c>
      <c r="AL1246" s="8" t="str">
        <f t="shared" si="80"/>
        <v/>
      </c>
    </row>
    <row r="1247" spans="1:38" x14ac:dyDescent="0.25">
      <c r="A1247" s="8" t="s">
        <v>2095</v>
      </c>
      <c r="B1247" s="8" t="s">
        <v>2096</v>
      </c>
      <c r="C1247" s="8">
        <v>30862620</v>
      </c>
      <c r="D1247" s="8">
        <v>5</v>
      </c>
      <c r="E1247" s="11">
        <v>43110</v>
      </c>
      <c r="F1247" s="8" t="s">
        <v>57</v>
      </c>
      <c r="G1247" s="11">
        <v>43110</v>
      </c>
      <c r="H1247" s="8" t="s">
        <v>25</v>
      </c>
      <c r="J1247" s="8" t="s">
        <v>25</v>
      </c>
      <c r="N1247" s="8" t="s">
        <v>58</v>
      </c>
      <c r="O1247" s="8" t="s">
        <v>59</v>
      </c>
      <c r="P1247" s="8" t="s">
        <v>59</v>
      </c>
      <c r="R1247" s="8">
        <v>0</v>
      </c>
      <c r="S1247" s="8">
        <v>0</v>
      </c>
      <c r="T1247" s="8">
        <v>1</v>
      </c>
      <c r="U1247" s="8">
        <v>2</v>
      </c>
      <c r="AG1247" s="8" t="str">
        <f t="shared" si="77"/>
        <v/>
      </c>
      <c r="AI1247" s="8" t="str">
        <f t="shared" si="78"/>
        <v/>
      </c>
      <c r="AJ1247" s="8" t="str">
        <f t="shared" si="79"/>
        <v/>
      </c>
      <c r="AL1247" s="8" t="str">
        <f t="shared" si="80"/>
        <v/>
      </c>
    </row>
    <row r="1248" spans="1:38" x14ac:dyDescent="0.25">
      <c r="A1248" s="8" t="s">
        <v>2097</v>
      </c>
      <c r="B1248" s="8" t="s">
        <v>2098</v>
      </c>
      <c r="C1248" s="8">
        <v>30862748</v>
      </c>
      <c r="D1248" s="8">
        <v>5</v>
      </c>
      <c r="E1248" s="11">
        <v>43110</v>
      </c>
      <c r="F1248" s="8" t="s">
        <v>58</v>
      </c>
      <c r="G1248" s="11">
        <v>43110</v>
      </c>
      <c r="H1248" s="8" t="s">
        <v>25</v>
      </c>
      <c r="I1248" s="11">
        <v>43110</v>
      </c>
      <c r="J1248" s="8" t="s">
        <v>25</v>
      </c>
      <c r="N1248" s="8" t="s">
        <v>58</v>
      </c>
      <c r="O1248" s="8" t="s">
        <v>59</v>
      </c>
      <c r="P1248" s="8" t="s">
        <v>59</v>
      </c>
      <c r="R1248" s="8">
        <v>0</v>
      </c>
      <c r="S1248" s="8">
        <v>0</v>
      </c>
      <c r="T1248" s="8">
        <v>1</v>
      </c>
      <c r="U1248" s="8">
        <v>2</v>
      </c>
      <c r="X1248" s="8">
        <v>5</v>
      </c>
      <c r="AG1248" s="8" t="str">
        <f t="shared" si="77"/>
        <v/>
      </c>
      <c r="AI1248" s="8" t="str">
        <f t="shared" si="78"/>
        <v/>
      </c>
      <c r="AJ1248" s="8" t="str">
        <f t="shared" si="79"/>
        <v/>
      </c>
      <c r="AL1248" s="8" t="str">
        <f t="shared" si="80"/>
        <v/>
      </c>
    </row>
    <row r="1249" spans="1:38" x14ac:dyDescent="0.25">
      <c r="A1249" s="8" t="s">
        <v>376</v>
      </c>
      <c r="B1249" s="8" t="s">
        <v>377</v>
      </c>
      <c r="C1249" s="8">
        <v>30813972</v>
      </c>
      <c r="D1249" s="8">
        <v>5</v>
      </c>
      <c r="E1249" s="11">
        <v>43108</v>
      </c>
      <c r="F1249" s="8" t="s">
        <v>58</v>
      </c>
      <c r="G1249" s="11">
        <v>43108</v>
      </c>
      <c r="H1249" s="8" t="s">
        <v>25</v>
      </c>
      <c r="I1249" s="11">
        <v>43108</v>
      </c>
      <c r="J1249" s="8" t="s">
        <v>25</v>
      </c>
      <c r="N1249" s="8" t="s">
        <v>58</v>
      </c>
      <c r="O1249" s="8" t="s">
        <v>59</v>
      </c>
      <c r="P1249" s="8" t="s">
        <v>59</v>
      </c>
      <c r="R1249" s="8">
        <v>0</v>
      </c>
      <c r="S1249" s="8">
        <v>0</v>
      </c>
      <c r="T1249" s="8">
        <v>1</v>
      </c>
      <c r="U1249" s="8">
        <v>2</v>
      </c>
      <c r="X1249" s="8">
        <v>5</v>
      </c>
      <c r="AG1249" s="8" t="str">
        <f t="shared" si="77"/>
        <v/>
      </c>
      <c r="AI1249" s="8" t="str">
        <f t="shared" si="78"/>
        <v/>
      </c>
      <c r="AJ1249" s="8" t="str">
        <f t="shared" si="79"/>
        <v/>
      </c>
      <c r="AL1249" s="8" t="str">
        <f t="shared" si="80"/>
        <v/>
      </c>
    </row>
    <row r="1250" spans="1:38" x14ac:dyDescent="0.25">
      <c r="A1250" s="8" t="s">
        <v>7065</v>
      </c>
      <c r="B1250" s="8" t="s">
        <v>7066</v>
      </c>
      <c r="C1250" s="8">
        <v>30916770</v>
      </c>
      <c r="D1250" s="8">
        <v>5</v>
      </c>
      <c r="E1250" s="11">
        <v>43112</v>
      </c>
      <c r="F1250" s="8" t="s">
        <v>57</v>
      </c>
      <c r="G1250" s="11">
        <v>43115</v>
      </c>
      <c r="H1250" s="8" t="s">
        <v>25</v>
      </c>
      <c r="J1250" s="8" t="s">
        <v>25</v>
      </c>
      <c r="N1250" s="8" t="s">
        <v>58</v>
      </c>
      <c r="O1250" s="8" t="s">
        <v>59</v>
      </c>
      <c r="P1250" s="8" t="s">
        <v>59</v>
      </c>
      <c r="R1250" s="8">
        <v>0</v>
      </c>
      <c r="S1250" s="8">
        <v>0</v>
      </c>
      <c r="T1250" s="8">
        <v>1</v>
      </c>
      <c r="U1250" s="8">
        <v>2</v>
      </c>
      <c r="AG1250" s="8" t="str">
        <f t="shared" si="77"/>
        <v/>
      </c>
      <c r="AI1250" s="8" t="str">
        <f t="shared" si="78"/>
        <v/>
      </c>
      <c r="AJ1250" s="8" t="str">
        <f t="shared" si="79"/>
        <v/>
      </c>
      <c r="AL1250" s="8" t="str">
        <f t="shared" si="80"/>
        <v/>
      </c>
    </row>
    <row r="1251" spans="1:38" x14ac:dyDescent="0.25">
      <c r="A1251" s="8" t="s">
        <v>5184</v>
      </c>
      <c r="B1251" s="8" t="s">
        <v>5185</v>
      </c>
      <c r="C1251" s="8">
        <v>30888490</v>
      </c>
      <c r="D1251" s="8">
        <v>5</v>
      </c>
      <c r="E1251" s="11">
        <v>43111</v>
      </c>
      <c r="F1251" s="8" t="s">
        <v>57</v>
      </c>
      <c r="G1251" s="11">
        <v>43112</v>
      </c>
      <c r="H1251" s="8" t="s">
        <v>25</v>
      </c>
      <c r="J1251" s="8" t="s">
        <v>25</v>
      </c>
      <c r="N1251" s="8" t="s">
        <v>58</v>
      </c>
      <c r="O1251" s="8" t="s">
        <v>59</v>
      </c>
      <c r="P1251" s="8" t="s">
        <v>59</v>
      </c>
      <c r="R1251" s="8">
        <v>0</v>
      </c>
      <c r="S1251" s="8">
        <v>0</v>
      </c>
      <c r="T1251" s="8">
        <v>1</v>
      </c>
      <c r="U1251" s="8">
        <v>2</v>
      </c>
      <c r="AG1251" s="8" t="str">
        <f t="shared" si="77"/>
        <v/>
      </c>
      <c r="AI1251" s="8" t="str">
        <f t="shared" si="78"/>
        <v/>
      </c>
      <c r="AJ1251" s="8" t="str">
        <f t="shared" si="79"/>
        <v/>
      </c>
      <c r="AL1251" s="8" t="str">
        <f t="shared" si="80"/>
        <v/>
      </c>
    </row>
    <row r="1252" spans="1:38" x14ac:dyDescent="0.25">
      <c r="A1252" s="8" t="s">
        <v>5186</v>
      </c>
      <c r="B1252" s="8" t="s">
        <v>5187</v>
      </c>
      <c r="C1252" s="8">
        <v>30889191</v>
      </c>
      <c r="D1252" s="8">
        <v>5</v>
      </c>
      <c r="E1252" s="11">
        <v>43111</v>
      </c>
      <c r="F1252" s="8" t="s">
        <v>57</v>
      </c>
      <c r="G1252" s="11">
        <v>43112</v>
      </c>
      <c r="H1252" s="8" t="s">
        <v>25</v>
      </c>
      <c r="J1252" s="8" t="s">
        <v>25</v>
      </c>
      <c r="N1252" s="8" t="s">
        <v>58</v>
      </c>
      <c r="O1252" s="8" t="s">
        <v>59</v>
      </c>
      <c r="P1252" s="8" t="s">
        <v>59</v>
      </c>
      <c r="R1252" s="8">
        <v>0</v>
      </c>
      <c r="S1252" s="8">
        <v>0</v>
      </c>
      <c r="T1252" s="8">
        <v>1</v>
      </c>
      <c r="U1252" s="8">
        <v>2</v>
      </c>
      <c r="AG1252" s="8" t="str">
        <f t="shared" si="77"/>
        <v/>
      </c>
      <c r="AI1252" s="8" t="str">
        <f t="shared" si="78"/>
        <v/>
      </c>
      <c r="AJ1252" s="8" t="str">
        <f t="shared" si="79"/>
        <v/>
      </c>
      <c r="AL1252" s="8" t="str">
        <f t="shared" si="80"/>
        <v/>
      </c>
    </row>
    <row r="1253" spans="1:38" x14ac:dyDescent="0.25">
      <c r="A1253" s="8" t="s">
        <v>5188</v>
      </c>
      <c r="B1253" s="8" t="s">
        <v>5189</v>
      </c>
      <c r="C1253" s="8">
        <v>30890435</v>
      </c>
      <c r="D1253" s="8">
        <v>5</v>
      </c>
      <c r="E1253" s="11">
        <v>43111</v>
      </c>
      <c r="F1253" s="8" t="s">
        <v>57</v>
      </c>
      <c r="G1253" s="11">
        <v>43112</v>
      </c>
      <c r="H1253" s="8" t="s">
        <v>25</v>
      </c>
      <c r="J1253" s="8" t="s">
        <v>25</v>
      </c>
      <c r="N1253" s="8" t="s">
        <v>58</v>
      </c>
      <c r="O1253" s="8" t="s">
        <v>59</v>
      </c>
      <c r="P1253" s="8" t="s">
        <v>59</v>
      </c>
      <c r="R1253" s="8">
        <v>0</v>
      </c>
      <c r="S1253" s="8">
        <v>0</v>
      </c>
      <c r="T1253" s="8">
        <v>1</v>
      </c>
      <c r="U1253" s="8">
        <v>2</v>
      </c>
      <c r="AG1253" s="8" t="str">
        <f t="shared" si="77"/>
        <v/>
      </c>
      <c r="AI1253" s="8" t="str">
        <f t="shared" si="78"/>
        <v/>
      </c>
      <c r="AJ1253" s="8" t="str">
        <f t="shared" si="79"/>
        <v/>
      </c>
      <c r="AL1253" s="8" t="str">
        <f t="shared" si="80"/>
        <v/>
      </c>
    </row>
    <row r="1254" spans="1:38" x14ac:dyDescent="0.25">
      <c r="A1254" s="8" t="s">
        <v>7067</v>
      </c>
      <c r="B1254" s="8" t="s">
        <v>7068</v>
      </c>
      <c r="C1254" s="8">
        <v>30934178</v>
      </c>
      <c r="D1254" s="8">
        <v>5</v>
      </c>
      <c r="E1254" s="11">
        <v>43115</v>
      </c>
      <c r="F1254" s="8" t="s">
        <v>58</v>
      </c>
      <c r="G1254" s="11">
        <v>43115</v>
      </c>
      <c r="H1254" s="8" t="s">
        <v>25</v>
      </c>
      <c r="I1254" s="11">
        <v>43115</v>
      </c>
      <c r="J1254" s="8" t="s">
        <v>25</v>
      </c>
      <c r="N1254" s="8" t="s">
        <v>58</v>
      </c>
      <c r="O1254" s="8" t="s">
        <v>59</v>
      </c>
      <c r="P1254" s="8" t="s">
        <v>59</v>
      </c>
      <c r="R1254" s="8">
        <v>0</v>
      </c>
      <c r="S1254" s="8">
        <v>0</v>
      </c>
      <c r="T1254" s="8">
        <v>1</v>
      </c>
      <c r="U1254" s="8">
        <v>2</v>
      </c>
      <c r="X1254" s="8">
        <v>5</v>
      </c>
      <c r="AG1254" s="8" t="str">
        <f t="shared" si="77"/>
        <v/>
      </c>
      <c r="AI1254" s="8" t="str">
        <f t="shared" si="78"/>
        <v/>
      </c>
      <c r="AJ1254" s="8" t="str">
        <f t="shared" si="79"/>
        <v/>
      </c>
      <c r="AL1254" s="8" t="str">
        <f t="shared" si="80"/>
        <v/>
      </c>
    </row>
    <row r="1255" spans="1:38" x14ac:dyDescent="0.25">
      <c r="A1255" s="8" t="s">
        <v>2099</v>
      </c>
      <c r="B1255" s="8" t="s">
        <v>2100</v>
      </c>
      <c r="C1255" s="8">
        <v>30831665</v>
      </c>
      <c r="D1255" s="8">
        <v>5</v>
      </c>
      <c r="E1255" s="11">
        <v>43109</v>
      </c>
      <c r="F1255" s="8" t="s">
        <v>57</v>
      </c>
      <c r="G1255" s="11">
        <v>43110</v>
      </c>
      <c r="H1255" s="8" t="s">
        <v>25</v>
      </c>
      <c r="J1255" s="8" t="s">
        <v>25</v>
      </c>
      <c r="N1255" s="8" t="s">
        <v>58</v>
      </c>
      <c r="O1255" s="8" t="s">
        <v>59</v>
      </c>
      <c r="P1255" s="8" t="s">
        <v>59</v>
      </c>
      <c r="R1255" s="8">
        <v>0</v>
      </c>
      <c r="S1255" s="8">
        <v>0</v>
      </c>
      <c r="T1255" s="8">
        <v>1</v>
      </c>
      <c r="U1255" s="8">
        <v>2</v>
      </c>
      <c r="AG1255" s="8" t="str">
        <f t="shared" si="77"/>
        <v/>
      </c>
      <c r="AI1255" s="8" t="str">
        <f t="shared" si="78"/>
        <v/>
      </c>
      <c r="AJ1255" s="8" t="str">
        <f t="shared" si="79"/>
        <v/>
      </c>
      <c r="AL1255" s="8" t="str">
        <f t="shared" si="80"/>
        <v/>
      </c>
    </row>
    <row r="1256" spans="1:38" x14ac:dyDescent="0.25">
      <c r="A1256" s="8" t="s">
        <v>7069</v>
      </c>
      <c r="B1256" s="8" t="s">
        <v>7070</v>
      </c>
      <c r="C1256" s="8">
        <v>30912897</v>
      </c>
      <c r="D1256" s="8">
        <v>5</v>
      </c>
      <c r="E1256" s="11">
        <v>43112</v>
      </c>
      <c r="F1256" s="8" t="s">
        <v>57</v>
      </c>
      <c r="G1256" s="11">
        <v>43115</v>
      </c>
      <c r="H1256" s="8" t="s">
        <v>25</v>
      </c>
      <c r="J1256" s="8" t="s">
        <v>25</v>
      </c>
      <c r="N1256" s="8" t="s">
        <v>58</v>
      </c>
      <c r="O1256" s="8" t="s">
        <v>59</v>
      </c>
      <c r="P1256" s="8" t="s">
        <v>59</v>
      </c>
      <c r="R1256" s="8">
        <v>0</v>
      </c>
      <c r="S1256" s="8">
        <v>0</v>
      </c>
      <c r="T1256" s="8">
        <v>1</v>
      </c>
      <c r="U1256" s="8">
        <v>2</v>
      </c>
      <c r="AG1256" s="8" t="str">
        <f t="shared" si="77"/>
        <v/>
      </c>
      <c r="AI1256" s="8" t="str">
        <f t="shared" si="78"/>
        <v/>
      </c>
      <c r="AJ1256" s="8" t="str">
        <f t="shared" si="79"/>
        <v/>
      </c>
      <c r="AL1256" s="8" t="str">
        <f t="shared" si="80"/>
        <v/>
      </c>
    </row>
    <row r="1257" spans="1:38" x14ac:dyDescent="0.25">
      <c r="A1257" s="8" t="s">
        <v>3687</v>
      </c>
      <c r="B1257" s="8" t="s">
        <v>3688</v>
      </c>
      <c r="C1257" s="8">
        <v>30849942</v>
      </c>
      <c r="D1257" s="8">
        <v>5</v>
      </c>
      <c r="E1257" s="11">
        <v>43109</v>
      </c>
      <c r="F1257" s="8" t="s">
        <v>58</v>
      </c>
      <c r="G1257" s="11">
        <v>43111</v>
      </c>
      <c r="H1257" s="8" t="s">
        <v>25</v>
      </c>
      <c r="I1257" s="11">
        <v>43112</v>
      </c>
      <c r="J1257" s="8" t="s">
        <v>25</v>
      </c>
      <c r="N1257" s="8" t="s">
        <v>58</v>
      </c>
      <c r="O1257" s="8" t="s">
        <v>59</v>
      </c>
      <c r="P1257" s="8" t="s">
        <v>59</v>
      </c>
      <c r="R1257" s="8">
        <v>0</v>
      </c>
      <c r="S1257" s="8">
        <v>0</v>
      </c>
      <c r="T1257" s="8">
        <v>1</v>
      </c>
      <c r="U1257" s="8">
        <v>2</v>
      </c>
      <c r="X1257" s="8">
        <v>5</v>
      </c>
      <c r="AG1257" s="8" t="str">
        <f t="shared" si="77"/>
        <v/>
      </c>
      <c r="AI1257" s="8" t="str">
        <f t="shared" si="78"/>
        <v/>
      </c>
      <c r="AJ1257" s="8" t="str">
        <f t="shared" si="79"/>
        <v/>
      </c>
      <c r="AL1257" s="8" t="str">
        <f t="shared" si="80"/>
        <v/>
      </c>
    </row>
    <row r="1258" spans="1:38" x14ac:dyDescent="0.25">
      <c r="A1258" s="8" t="s">
        <v>1103</v>
      </c>
      <c r="B1258" s="8" t="s">
        <v>1104</v>
      </c>
      <c r="C1258" s="8">
        <v>30840434</v>
      </c>
      <c r="D1258" s="8">
        <v>5</v>
      </c>
      <c r="E1258" s="11">
        <v>43109</v>
      </c>
      <c r="F1258" s="8" t="s">
        <v>58</v>
      </c>
      <c r="G1258" s="11">
        <v>43109</v>
      </c>
      <c r="H1258" s="8" t="s">
        <v>25</v>
      </c>
      <c r="I1258" s="11">
        <v>43109</v>
      </c>
      <c r="J1258" s="8" t="s">
        <v>25</v>
      </c>
      <c r="N1258" s="8" t="s">
        <v>58</v>
      </c>
      <c r="O1258" s="8" t="s">
        <v>59</v>
      </c>
      <c r="P1258" s="8" t="s">
        <v>59</v>
      </c>
      <c r="R1258" s="8">
        <v>0</v>
      </c>
      <c r="S1258" s="8">
        <v>0</v>
      </c>
      <c r="T1258" s="8">
        <v>1</v>
      </c>
      <c r="U1258" s="8">
        <v>2</v>
      </c>
      <c r="X1258" s="8">
        <v>5</v>
      </c>
      <c r="AG1258" s="8" t="str">
        <f t="shared" si="77"/>
        <v/>
      </c>
      <c r="AI1258" s="8" t="str">
        <f t="shared" si="78"/>
        <v/>
      </c>
      <c r="AJ1258" s="8" t="str">
        <f t="shared" si="79"/>
        <v/>
      </c>
      <c r="AL1258" s="8" t="str">
        <f t="shared" si="80"/>
        <v/>
      </c>
    </row>
    <row r="1259" spans="1:38" x14ac:dyDescent="0.25">
      <c r="A1259" s="8" t="s">
        <v>5190</v>
      </c>
      <c r="B1259" s="8" t="s">
        <v>5191</v>
      </c>
      <c r="C1259" s="8">
        <v>30923158</v>
      </c>
      <c r="D1259" s="8">
        <v>5</v>
      </c>
      <c r="E1259" s="11">
        <v>43112</v>
      </c>
      <c r="F1259" s="8" t="s">
        <v>57</v>
      </c>
      <c r="G1259" s="11">
        <v>43112</v>
      </c>
      <c r="H1259" s="8" t="s">
        <v>25</v>
      </c>
      <c r="J1259" s="8" t="s">
        <v>25</v>
      </c>
      <c r="N1259" s="8" t="s">
        <v>58</v>
      </c>
      <c r="O1259" s="8" t="s">
        <v>59</v>
      </c>
      <c r="P1259" s="8" t="s">
        <v>59</v>
      </c>
      <c r="R1259" s="8">
        <v>0</v>
      </c>
      <c r="S1259" s="8">
        <v>0</v>
      </c>
      <c r="T1259" s="8">
        <v>1</v>
      </c>
      <c r="U1259" s="8">
        <v>2</v>
      </c>
      <c r="AG1259" s="8" t="str">
        <f t="shared" si="77"/>
        <v/>
      </c>
      <c r="AI1259" s="8" t="str">
        <f t="shared" si="78"/>
        <v/>
      </c>
      <c r="AJ1259" s="8" t="str">
        <f t="shared" si="79"/>
        <v/>
      </c>
      <c r="AL1259" s="8" t="str">
        <f t="shared" si="80"/>
        <v/>
      </c>
    </row>
    <row r="1260" spans="1:38" x14ac:dyDescent="0.25">
      <c r="A1260" s="8" t="s">
        <v>378</v>
      </c>
      <c r="B1260" s="8" t="s">
        <v>379</v>
      </c>
      <c r="C1260" s="8">
        <v>30816978</v>
      </c>
      <c r="D1260" s="8">
        <v>5</v>
      </c>
      <c r="E1260" s="11">
        <v>43108</v>
      </c>
      <c r="F1260" s="8" t="s">
        <v>58</v>
      </c>
      <c r="G1260" s="11">
        <v>43108</v>
      </c>
      <c r="H1260" s="8" t="s">
        <v>25</v>
      </c>
      <c r="I1260" s="11">
        <v>43108</v>
      </c>
      <c r="J1260" s="8" t="s">
        <v>25</v>
      </c>
      <c r="N1260" s="8" t="s">
        <v>58</v>
      </c>
      <c r="O1260" s="8" t="s">
        <v>59</v>
      </c>
      <c r="P1260" s="8" t="s">
        <v>59</v>
      </c>
      <c r="R1260" s="8">
        <v>0</v>
      </c>
      <c r="S1260" s="8">
        <v>0</v>
      </c>
      <c r="T1260" s="8">
        <v>1</v>
      </c>
      <c r="U1260" s="8">
        <v>2</v>
      </c>
      <c r="X1260" s="8">
        <v>5</v>
      </c>
      <c r="AG1260" s="8" t="str">
        <f t="shared" si="77"/>
        <v/>
      </c>
      <c r="AI1260" s="8" t="str">
        <f t="shared" si="78"/>
        <v/>
      </c>
      <c r="AJ1260" s="8" t="str">
        <f t="shared" si="79"/>
        <v/>
      </c>
      <c r="AL1260" s="8" t="str">
        <f t="shared" si="80"/>
        <v/>
      </c>
    </row>
    <row r="1261" spans="1:38" x14ac:dyDescent="0.25">
      <c r="A1261" s="8" t="s">
        <v>380</v>
      </c>
      <c r="B1261" s="8" t="s">
        <v>381</v>
      </c>
      <c r="C1261" s="8">
        <v>30818930</v>
      </c>
      <c r="D1261" s="8">
        <v>5</v>
      </c>
      <c r="E1261" s="11">
        <v>43108</v>
      </c>
      <c r="F1261" s="8" t="s">
        <v>58</v>
      </c>
      <c r="G1261" s="11">
        <v>43108</v>
      </c>
      <c r="H1261" s="8" t="s">
        <v>25</v>
      </c>
      <c r="I1261" s="11">
        <v>43108</v>
      </c>
      <c r="J1261" s="8" t="s">
        <v>25</v>
      </c>
      <c r="N1261" s="8" t="s">
        <v>58</v>
      </c>
      <c r="O1261" s="8" t="s">
        <v>59</v>
      </c>
      <c r="P1261" s="8" t="s">
        <v>59</v>
      </c>
      <c r="R1261" s="8">
        <v>0</v>
      </c>
      <c r="S1261" s="8">
        <v>0</v>
      </c>
      <c r="T1261" s="8">
        <v>1</v>
      </c>
      <c r="U1261" s="8">
        <v>2</v>
      </c>
      <c r="X1261" s="8">
        <v>5</v>
      </c>
      <c r="AG1261" s="8" t="str">
        <f t="shared" si="77"/>
        <v/>
      </c>
      <c r="AI1261" s="8" t="str">
        <f t="shared" si="78"/>
        <v/>
      </c>
      <c r="AJ1261" s="8" t="str">
        <f t="shared" si="79"/>
        <v/>
      </c>
      <c r="AL1261" s="8" t="str">
        <f t="shared" si="80"/>
        <v/>
      </c>
    </row>
    <row r="1262" spans="1:38" x14ac:dyDescent="0.25">
      <c r="A1262" s="8" t="s">
        <v>5192</v>
      </c>
      <c r="B1262" s="8" t="s">
        <v>70</v>
      </c>
      <c r="C1262" s="8">
        <v>30910456</v>
      </c>
      <c r="D1262" s="8">
        <v>5</v>
      </c>
      <c r="E1262" s="11">
        <v>43112</v>
      </c>
      <c r="F1262" s="8" t="s">
        <v>57</v>
      </c>
      <c r="G1262" s="11">
        <v>43112</v>
      </c>
      <c r="H1262" s="8" t="s">
        <v>25</v>
      </c>
      <c r="J1262" s="8" t="s">
        <v>25</v>
      </c>
      <c r="N1262" s="8" t="s">
        <v>58</v>
      </c>
      <c r="O1262" s="8" t="s">
        <v>59</v>
      </c>
      <c r="P1262" s="8" t="s">
        <v>59</v>
      </c>
      <c r="R1262" s="8">
        <v>0</v>
      </c>
      <c r="S1262" s="8">
        <v>0</v>
      </c>
      <c r="T1262" s="8">
        <v>1</v>
      </c>
      <c r="U1262" s="8">
        <v>2</v>
      </c>
      <c r="AG1262" s="8" t="str">
        <f t="shared" si="77"/>
        <v/>
      </c>
      <c r="AI1262" s="8" t="str">
        <f t="shared" si="78"/>
        <v/>
      </c>
      <c r="AJ1262" s="8" t="str">
        <f t="shared" si="79"/>
        <v/>
      </c>
      <c r="AL1262" s="8" t="str">
        <f t="shared" si="80"/>
        <v/>
      </c>
    </row>
    <row r="1263" spans="1:38" x14ac:dyDescent="0.25">
      <c r="A1263" s="8" t="s">
        <v>2101</v>
      </c>
      <c r="B1263" s="8" t="s">
        <v>2102</v>
      </c>
      <c r="C1263" s="8">
        <v>30817103</v>
      </c>
      <c r="D1263" s="8">
        <v>5</v>
      </c>
      <c r="E1263" s="11">
        <v>43108</v>
      </c>
      <c r="F1263" s="8" t="s">
        <v>58</v>
      </c>
      <c r="G1263" s="11">
        <v>43110</v>
      </c>
      <c r="H1263" s="8" t="s">
        <v>25</v>
      </c>
      <c r="I1263" s="11">
        <v>43111</v>
      </c>
      <c r="J1263" s="8" t="s">
        <v>25</v>
      </c>
      <c r="N1263" s="8" t="s">
        <v>58</v>
      </c>
      <c r="O1263" s="8" t="s">
        <v>59</v>
      </c>
      <c r="P1263" s="8" t="s">
        <v>59</v>
      </c>
      <c r="R1263" s="8">
        <v>0</v>
      </c>
      <c r="S1263" s="8">
        <v>0</v>
      </c>
      <c r="T1263" s="8">
        <v>1</v>
      </c>
      <c r="U1263" s="8">
        <v>2</v>
      </c>
      <c r="X1263" s="8">
        <v>5</v>
      </c>
      <c r="AG1263" s="8" t="str">
        <f t="shared" si="77"/>
        <v/>
      </c>
      <c r="AI1263" s="8" t="str">
        <f t="shared" si="78"/>
        <v/>
      </c>
      <c r="AJ1263" s="8" t="str">
        <f t="shared" si="79"/>
        <v/>
      </c>
      <c r="AL1263" s="8" t="str">
        <f t="shared" si="80"/>
        <v/>
      </c>
    </row>
    <row r="1264" spans="1:38" x14ac:dyDescent="0.25">
      <c r="A1264" s="8" t="s">
        <v>5193</v>
      </c>
      <c r="B1264" s="8" t="s">
        <v>5194</v>
      </c>
      <c r="C1264" s="8">
        <v>30917618</v>
      </c>
      <c r="D1264" s="8">
        <v>5</v>
      </c>
      <c r="E1264" s="11">
        <v>43112</v>
      </c>
      <c r="F1264" s="8" t="s">
        <v>57</v>
      </c>
      <c r="G1264" s="11">
        <v>43112</v>
      </c>
      <c r="H1264" s="8" t="s">
        <v>25</v>
      </c>
      <c r="J1264" s="8" t="s">
        <v>25</v>
      </c>
      <c r="N1264" s="8" t="s">
        <v>58</v>
      </c>
      <c r="O1264" s="8" t="s">
        <v>59</v>
      </c>
      <c r="P1264" s="8" t="s">
        <v>59</v>
      </c>
      <c r="R1264" s="8">
        <v>0</v>
      </c>
      <c r="S1264" s="8">
        <v>0</v>
      </c>
      <c r="T1264" s="8">
        <v>1</v>
      </c>
      <c r="U1264" s="8">
        <v>2</v>
      </c>
      <c r="AG1264" s="8" t="str">
        <f t="shared" si="77"/>
        <v/>
      </c>
      <c r="AI1264" s="8" t="str">
        <f t="shared" si="78"/>
        <v/>
      </c>
      <c r="AJ1264" s="8" t="str">
        <f t="shared" si="79"/>
        <v/>
      </c>
      <c r="AL1264" s="8" t="str">
        <f t="shared" si="80"/>
        <v/>
      </c>
    </row>
    <row r="1265" spans="1:38" x14ac:dyDescent="0.25">
      <c r="A1265" s="8" t="s">
        <v>382</v>
      </c>
      <c r="B1265" s="8" t="s">
        <v>383</v>
      </c>
      <c r="C1265" s="8">
        <v>30826193</v>
      </c>
      <c r="D1265" s="8">
        <v>5</v>
      </c>
      <c r="E1265" s="11">
        <v>43108</v>
      </c>
      <c r="F1265" s="8" t="s">
        <v>58</v>
      </c>
      <c r="G1265" s="11">
        <v>43108</v>
      </c>
      <c r="H1265" s="8" t="s">
        <v>25</v>
      </c>
      <c r="I1265" s="11">
        <v>43111</v>
      </c>
      <c r="J1265" s="8" t="s">
        <v>25</v>
      </c>
      <c r="N1265" s="8" t="s">
        <v>58</v>
      </c>
      <c r="O1265" s="8" t="s">
        <v>59</v>
      </c>
      <c r="P1265" s="8" t="s">
        <v>59</v>
      </c>
      <c r="R1265" s="8">
        <v>0</v>
      </c>
      <c r="S1265" s="8">
        <v>0</v>
      </c>
      <c r="T1265" s="8">
        <v>1</v>
      </c>
      <c r="U1265" s="8">
        <v>2</v>
      </c>
      <c r="X1265" s="8">
        <v>5</v>
      </c>
      <c r="AG1265" s="8" t="str">
        <f t="shared" si="77"/>
        <v/>
      </c>
      <c r="AI1265" s="8" t="str">
        <f t="shared" si="78"/>
        <v/>
      </c>
      <c r="AJ1265" s="8" t="str">
        <f t="shared" si="79"/>
        <v/>
      </c>
      <c r="AL1265" s="8" t="str">
        <f t="shared" si="80"/>
        <v/>
      </c>
    </row>
    <row r="1266" spans="1:38" x14ac:dyDescent="0.25">
      <c r="A1266" s="8" t="s">
        <v>5195</v>
      </c>
      <c r="B1266" s="8" t="s">
        <v>5196</v>
      </c>
      <c r="C1266" s="8">
        <v>30922049</v>
      </c>
      <c r="D1266" s="8">
        <v>5</v>
      </c>
      <c r="E1266" s="11">
        <v>43112</v>
      </c>
      <c r="F1266" s="8" t="s">
        <v>57</v>
      </c>
      <c r="G1266" s="11">
        <v>43112</v>
      </c>
      <c r="H1266" s="8" t="s">
        <v>25</v>
      </c>
      <c r="J1266" s="8" t="s">
        <v>25</v>
      </c>
      <c r="N1266" s="8" t="s">
        <v>58</v>
      </c>
      <c r="O1266" s="8" t="s">
        <v>59</v>
      </c>
      <c r="P1266" s="8" t="s">
        <v>59</v>
      </c>
      <c r="R1266" s="8">
        <v>0</v>
      </c>
      <c r="S1266" s="8">
        <v>0</v>
      </c>
      <c r="T1266" s="8">
        <v>1</v>
      </c>
      <c r="U1266" s="8">
        <v>2</v>
      </c>
      <c r="AG1266" s="8" t="str">
        <f t="shared" si="77"/>
        <v/>
      </c>
      <c r="AI1266" s="8" t="str">
        <f t="shared" si="78"/>
        <v/>
      </c>
      <c r="AJ1266" s="8" t="str">
        <f t="shared" si="79"/>
        <v/>
      </c>
      <c r="AL1266" s="8" t="str">
        <f t="shared" si="80"/>
        <v/>
      </c>
    </row>
    <row r="1267" spans="1:38" x14ac:dyDescent="0.25">
      <c r="A1267" s="8" t="s">
        <v>384</v>
      </c>
      <c r="B1267" s="8" t="s">
        <v>385</v>
      </c>
      <c r="C1267" s="8">
        <v>30820091</v>
      </c>
      <c r="D1267" s="8">
        <v>5</v>
      </c>
      <c r="E1267" s="11">
        <v>43108</v>
      </c>
      <c r="F1267" s="8" t="s">
        <v>58</v>
      </c>
      <c r="G1267" s="11">
        <v>43108</v>
      </c>
      <c r="H1267" s="8" t="s">
        <v>25</v>
      </c>
      <c r="I1267" s="11">
        <v>43108</v>
      </c>
      <c r="J1267" s="8" t="s">
        <v>25</v>
      </c>
      <c r="N1267" s="8" t="s">
        <v>58</v>
      </c>
      <c r="O1267" s="8" t="s">
        <v>59</v>
      </c>
      <c r="P1267" s="8" t="s">
        <v>59</v>
      </c>
      <c r="R1267" s="8">
        <v>0</v>
      </c>
      <c r="S1267" s="8">
        <v>0</v>
      </c>
      <c r="T1267" s="8">
        <v>1</v>
      </c>
      <c r="U1267" s="8">
        <v>2</v>
      </c>
      <c r="X1267" s="8">
        <v>5</v>
      </c>
      <c r="AG1267" s="8" t="str">
        <f t="shared" si="77"/>
        <v/>
      </c>
      <c r="AI1267" s="8" t="str">
        <f t="shared" si="78"/>
        <v/>
      </c>
      <c r="AJ1267" s="8" t="str">
        <f t="shared" si="79"/>
        <v/>
      </c>
      <c r="AL1267" s="8" t="str">
        <f t="shared" si="80"/>
        <v/>
      </c>
    </row>
    <row r="1268" spans="1:38" x14ac:dyDescent="0.25">
      <c r="A1268" s="8" t="s">
        <v>386</v>
      </c>
      <c r="B1268" s="8" t="s">
        <v>387</v>
      </c>
      <c r="C1268" s="8">
        <v>30811430</v>
      </c>
      <c r="D1268" s="8">
        <v>5</v>
      </c>
      <c r="E1268" s="11">
        <v>43108</v>
      </c>
      <c r="F1268" s="8" t="s">
        <v>58</v>
      </c>
      <c r="G1268" s="11">
        <v>43108</v>
      </c>
      <c r="H1268" s="8" t="s">
        <v>25</v>
      </c>
      <c r="I1268" s="11">
        <v>43108</v>
      </c>
      <c r="J1268" s="8" t="s">
        <v>25</v>
      </c>
      <c r="N1268" s="8" t="s">
        <v>58</v>
      </c>
      <c r="O1268" s="8" t="s">
        <v>59</v>
      </c>
      <c r="P1268" s="8" t="s">
        <v>59</v>
      </c>
      <c r="R1268" s="8">
        <v>0</v>
      </c>
      <c r="S1268" s="8">
        <v>0</v>
      </c>
      <c r="T1268" s="8">
        <v>1</v>
      </c>
      <c r="U1268" s="8">
        <v>2</v>
      </c>
      <c r="X1268" s="8">
        <v>5</v>
      </c>
      <c r="AG1268" s="8" t="str">
        <f t="shared" si="77"/>
        <v/>
      </c>
      <c r="AI1268" s="8" t="str">
        <f t="shared" si="78"/>
        <v/>
      </c>
      <c r="AJ1268" s="8" t="str">
        <f t="shared" si="79"/>
        <v/>
      </c>
      <c r="AL1268" s="8" t="str">
        <f t="shared" si="80"/>
        <v/>
      </c>
    </row>
    <row r="1269" spans="1:38" x14ac:dyDescent="0.25">
      <c r="A1269" s="8" t="s">
        <v>2103</v>
      </c>
      <c r="B1269" s="8" t="s">
        <v>2104</v>
      </c>
      <c r="C1269" s="8">
        <v>30816404</v>
      </c>
      <c r="D1269" s="8">
        <v>5</v>
      </c>
      <c r="E1269" s="11">
        <v>43108</v>
      </c>
      <c r="F1269" s="8" t="s">
        <v>58</v>
      </c>
      <c r="G1269" s="11">
        <v>43110</v>
      </c>
      <c r="H1269" s="8" t="s">
        <v>25</v>
      </c>
      <c r="I1269" s="11">
        <v>43111</v>
      </c>
      <c r="J1269" s="8" t="s">
        <v>25</v>
      </c>
      <c r="N1269" s="8" t="s">
        <v>58</v>
      </c>
      <c r="O1269" s="8" t="s">
        <v>59</v>
      </c>
      <c r="P1269" s="8" t="s">
        <v>59</v>
      </c>
      <c r="R1269" s="8">
        <v>0</v>
      </c>
      <c r="S1269" s="8">
        <v>0</v>
      </c>
      <c r="T1269" s="8">
        <v>1</v>
      </c>
      <c r="U1269" s="8">
        <v>2</v>
      </c>
      <c r="X1269" s="8">
        <v>5</v>
      </c>
      <c r="AG1269" s="8" t="str">
        <f t="shared" si="77"/>
        <v/>
      </c>
      <c r="AI1269" s="8" t="str">
        <f t="shared" si="78"/>
        <v/>
      </c>
      <c r="AJ1269" s="8" t="str">
        <f t="shared" si="79"/>
        <v/>
      </c>
      <c r="AL1269" s="8" t="str">
        <f t="shared" si="80"/>
        <v/>
      </c>
    </row>
    <row r="1270" spans="1:38" x14ac:dyDescent="0.25">
      <c r="A1270" s="8" t="s">
        <v>7071</v>
      </c>
      <c r="B1270" s="8" t="s">
        <v>7072</v>
      </c>
      <c r="C1270" s="8">
        <v>30919206</v>
      </c>
      <c r="D1270" s="8">
        <v>5</v>
      </c>
      <c r="E1270" s="11">
        <v>43112</v>
      </c>
      <c r="F1270" s="8" t="s">
        <v>57</v>
      </c>
      <c r="G1270" s="11">
        <v>43115</v>
      </c>
      <c r="H1270" s="8" t="s">
        <v>25</v>
      </c>
      <c r="J1270" s="8" t="s">
        <v>25</v>
      </c>
      <c r="N1270" s="8" t="s">
        <v>58</v>
      </c>
      <c r="O1270" s="8" t="s">
        <v>59</v>
      </c>
      <c r="P1270" s="8" t="s">
        <v>59</v>
      </c>
      <c r="R1270" s="8">
        <v>0</v>
      </c>
      <c r="S1270" s="8">
        <v>0</v>
      </c>
      <c r="T1270" s="8">
        <v>1</v>
      </c>
      <c r="U1270" s="8">
        <v>2</v>
      </c>
      <c r="AG1270" s="8" t="str">
        <f t="shared" si="77"/>
        <v/>
      </c>
      <c r="AI1270" s="8" t="str">
        <f t="shared" si="78"/>
        <v/>
      </c>
      <c r="AJ1270" s="8" t="str">
        <f t="shared" si="79"/>
        <v/>
      </c>
      <c r="AL1270" s="8" t="str">
        <f t="shared" si="80"/>
        <v/>
      </c>
    </row>
    <row r="1271" spans="1:38" x14ac:dyDescent="0.25">
      <c r="A1271" s="8" t="s">
        <v>5197</v>
      </c>
      <c r="B1271" s="8" t="s">
        <v>5198</v>
      </c>
      <c r="C1271" s="8">
        <v>30887553</v>
      </c>
      <c r="D1271" s="8">
        <v>5</v>
      </c>
      <c r="E1271" s="11">
        <v>43111</v>
      </c>
      <c r="F1271" s="8" t="s">
        <v>57</v>
      </c>
      <c r="G1271" s="11">
        <v>43112</v>
      </c>
      <c r="H1271" s="8" t="s">
        <v>25</v>
      </c>
      <c r="J1271" s="8" t="s">
        <v>25</v>
      </c>
      <c r="N1271" s="8" t="s">
        <v>58</v>
      </c>
      <c r="O1271" s="8" t="s">
        <v>59</v>
      </c>
      <c r="P1271" s="8" t="s">
        <v>59</v>
      </c>
      <c r="R1271" s="8">
        <v>0</v>
      </c>
      <c r="S1271" s="8">
        <v>0</v>
      </c>
      <c r="T1271" s="8">
        <v>1</v>
      </c>
      <c r="U1271" s="8">
        <v>2</v>
      </c>
      <c r="AG1271" s="8" t="str">
        <f t="shared" si="77"/>
        <v/>
      </c>
      <c r="AI1271" s="8" t="str">
        <f t="shared" si="78"/>
        <v/>
      </c>
      <c r="AJ1271" s="8" t="str">
        <f t="shared" si="79"/>
        <v/>
      </c>
      <c r="AL1271" s="8" t="str">
        <f t="shared" si="80"/>
        <v/>
      </c>
    </row>
    <row r="1272" spans="1:38" x14ac:dyDescent="0.25">
      <c r="A1272" s="8" t="s">
        <v>2105</v>
      </c>
      <c r="B1272" s="8" t="s">
        <v>2106</v>
      </c>
      <c r="C1272" s="8">
        <v>30841159</v>
      </c>
      <c r="D1272" s="8">
        <v>5</v>
      </c>
      <c r="E1272" s="11">
        <v>43109</v>
      </c>
      <c r="F1272" s="8" t="s">
        <v>57</v>
      </c>
      <c r="G1272" s="11">
        <v>43110</v>
      </c>
      <c r="H1272" s="8" t="s">
        <v>25</v>
      </c>
      <c r="J1272" s="8" t="s">
        <v>25</v>
      </c>
      <c r="N1272" s="8" t="s">
        <v>58</v>
      </c>
      <c r="O1272" s="8" t="s">
        <v>59</v>
      </c>
      <c r="P1272" s="8" t="s">
        <v>59</v>
      </c>
      <c r="R1272" s="8">
        <v>0</v>
      </c>
      <c r="S1272" s="8">
        <v>0</v>
      </c>
      <c r="T1272" s="8">
        <v>1</v>
      </c>
      <c r="U1272" s="8">
        <v>2</v>
      </c>
      <c r="AG1272" s="8" t="str">
        <f t="shared" si="77"/>
        <v/>
      </c>
      <c r="AI1272" s="8" t="str">
        <f t="shared" si="78"/>
        <v/>
      </c>
      <c r="AJ1272" s="8" t="str">
        <f t="shared" si="79"/>
        <v/>
      </c>
      <c r="AL1272" s="8" t="str">
        <f t="shared" si="80"/>
        <v/>
      </c>
    </row>
    <row r="1273" spans="1:38" x14ac:dyDescent="0.25">
      <c r="A1273" s="8" t="s">
        <v>1105</v>
      </c>
      <c r="B1273" s="8" t="s">
        <v>1106</v>
      </c>
      <c r="C1273" s="8">
        <v>30846025</v>
      </c>
      <c r="D1273" s="8">
        <v>5</v>
      </c>
      <c r="E1273" s="11">
        <v>43109</v>
      </c>
      <c r="F1273" s="8" t="s">
        <v>58</v>
      </c>
      <c r="G1273" s="11">
        <v>43109</v>
      </c>
      <c r="H1273" s="8" t="s">
        <v>25</v>
      </c>
      <c r="I1273" s="11">
        <v>43109</v>
      </c>
      <c r="J1273" s="8" t="s">
        <v>25</v>
      </c>
      <c r="N1273" s="8" t="s">
        <v>58</v>
      </c>
      <c r="O1273" s="8" t="s">
        <v>59</v>
      </c>
      <c r="P1273" s="8" t="s">
        <v>59</v>
      </c>
      <c r="R1273" s="8">
        <v>0</v>
      </c>
      <c r="S1273" s="8">
        <v>0</v>
      </c>
      <c r="T1273" s="8">
        <v>1</v>
      </c>
      <c r="U1273" s="8">
        <v>2</v>
      </c>
      <c r="X1273" s="8">
        <v>5</v>
      </c>
      <c r="AG1273" s="8" t="str">
        <f t="shared" si="77"/>
        <v/>
      </c>
      <c r="AI1273" s="8" t="str">
        <f t="shared" si="78"/>
        <v/>
      </c>
      <c r="AJ1273" s="8" t="str">
        <f t="shared" si="79"/>
        <v/>
      </c>
      <c r="AL1273" s="8" t="str">
        <f t="shared" si="80"/>
        <v/>
      </c>
    </row>
    <row r="1274" spans="1:38" x14ac:dyDescent="0.25">
      <c r="A1274" s="8" t="s">
        <v>5199</v>
      </c>
      <c r="B1274" s="8" t="s">
        <v>5200</v>
      </c>
      <c r="C1274" s="8">
        <v>30891794</v>
      </c>
      <c r="D1274" s="8">
        <v>5</v>
      </c>
      <c r="E1274" s="11">
        <v>43111</v>
      </c>
      <c r="F1274" s="8" t="s">
        <v>58</v>
      </c>
      <c r="G1274" s="11">
        <v>43112</v>
      </c>
      <c r="H1274" s="8" t="s">
        <v>25</v>
      </c>
      <c r="I1274" s="11">
        <v>43115</v>
      </c>
      <c r="J1274" s="8" t="s">
        <v>25</v>
      </c>
      <c r="N1274" s="8" t="s">
        <v>58</v>
      </c>
      <c r="O1274" s="8" t="s">
        <v>59</v>
      </c>
      <c r="P1274" s="8" t="s">
        <v>59</v>
      </c>
      <c r="R1274" s="8">
        <v>0</v>
      </c>
      <c r="S1274" s="8">
        <v>0</v>
      </c>
      <c r="T1274" s="8">
        <v>1</v>
      </c>
      <c r="U1274" s="8">
        <v>2</v>
      </c>
      <c r="X1274" s="8">
        <v>5</v>
      </c>
      <c r="AG1274" s="8" t="str">
        <f t="shared" si="77"/>
        <v/>
      </c>
      <c r="AI1274" s="8" t="str">
        <f t="shared" si="78"/>
        <v/>
      </c>
      <c r="AJ1274" s="8" t="str">
        <f t="shared" si="79"/>
        <v/>
      </c>
      <c r="AL1274" s="8" t="str">
        <f t="shared" si="80"/>
        <v/>
      </c>
    </row>
    <row r="1275" spans="1:38" x14ac:dyDescent="0.25">
      <c r="A1275" s="8" t="s">
        <v>2107</v>
      </c>
      <c r="B1275" s="8" t="s">
        <v>2108</v>
      </c>
      <c r="C1275" s="8">
        <v>30823044</v>
      </c>
      <c r="D1275" s="8">
        <v>3</v>
      </c>
      <c r="E1275" s="11">
        <v>43108</v>
      </c>
      <c r="F1275" s="8" t="s">
        <v>58</v>
      </c>
      <c r="G1275" s="11">
        <v>43110</v>
      </c>
      <c r="H1275" s="8" t="s">
        <v>25</v>
      </c>
      <c r="I1275" s="11">
        <v>43110</v>
      </c>
      <c r="J1275" s="8" t="s">
        <v>25</v>
      </c>
      <c r="N1275" s="8" t="s">
        <v>58</v>
      </c>
      <c r="O1275" s="8" t="s">
        <v>59</v>
      </c>
      <c r="P1275" s="8" t="s">
        <v>59</v>
      </c>
      <c r="R1275" s="8">
        <v>0</v>
      </c>
      <c r="S1275" s="8">
        <v>0</v>
      </c>
      <c r="T1275" s="8">
        <v>1</v>
      </c>
      <c r="U1275" s="8">
        <v>2</v>
      </c>
      <c r="X1275" s="8">
        <v>5</v>
      </c>
      <c r="AG1275" s="8" t="str">
        <f t="shared" si="77"/>
        <v/>
      </c>
      <c r="AI1275" s="8" t="str">
        <f t="shared" si="78"/>
        <v/>
      </c>
      <c r="AJ1275" s="8" t="str">
        <f t="shared" si="79"/>
        <v/>
      </c>
      <c r="AL1275" s="8" t="str">
        <f t="shared" si="80"/>
        <v/>
      </c>
    </row>
    <row r="1276" spans="1:38" x14ac:dyDescent="0.25">
      <c r="A1276" s="8" t="s">
        <v>3689</v>
      </c>
      <c r="B1276" s="8" t="s">
        <v>3690</v>
      </c>
      <c r="C1276" s="8">
        <v>30891345</v>
      </c>
      <c r="D1276" s="8">
        <v>5</v>
      </c>
      <c r="E1276" s="11">
        <v>43111</v>
      </c>
      <c r="F1276" s="8" t="s">
        <v>57</v>
      </c>
      <c r="G1276" s="11">
        <v>43112</v>
      </c>
      <c r="H1276" s="8" t="s">
        <v>25</v>
      </c>
      <c r="J1276" s="8" t="s">
        <v>25</v>
      </c>
      <c r="M1276" s="8" t="s">
        <v>66</v>
      </c>
      <c r="N1276" s="8" t="s">
        <v>58</v>
      </c>
      <c r="O1276" s="8" t="s">
        <v>59</v>
      </c>
      <c r="P1276" s="8" t="s">
        <v>59</v>
      </c>
      <c r="R1276" s="8">
        <v>0</v>
      </c>
      <c r="S1276" s="8">
        <v>0</v>
      </c>
      <c r="T1276" s="8">
        <v>1</v>
      </c>
      <c r="U1276" s="8">
        <v>2</v>
      </c>
      <c r="AG1276" s="8" t="str">
        <f t="shared" si="77"/>
        <v/>
      </c>
      <c r="AI1276" s="8" t="str">
        <f t="shared" si="78"/>
        <v/>
      </c>
      <c r="AJ1276" s="8" t="str">
        <f t="shared" si="79"/>
        <v/>
      </c>
      <c r="AL1276" s="8" t="str">
        <f t="shared" si="80"/>
        <v/>
      </c>
    </row>
    <row r="1277" spans="1:38" x14ac:dyDescent="0.25">
      <c r="A1277" s="8" t="s">
        <v>3691</v>
      </c>
      <c r="B1277" s="8" t="s">
        <v>3692</v>
      </c>
      <c r="C1277" s="8">
        <v>30847387</v>
      </c>
      <c r="D1277" s="8">
        <v>5</v>
      </c>
      <c r="E1277" s="11">
        <v>43109</v>
      </c>
      <c r="F1277" s="8" t="s">
        <v>58</v>
      </c>
      <c r="G1277" s="11">
        <v>43111</v>
      </c>
      <c r="H1277" s="8" t="s">
        <v>25</v>
      </c>
      <c r="I1277" s="11">
        <v>43111</v>
      </c>
      <c r="J1277" s="8" t="s">
        <v>25</v>
      </c>
      <c r="N1277" s="8" t="s">
        <v>58</v>
      </c>
      <c r="O1277" s="8" t="s">
        <v>59</v>
      </c>
      <c r="P1277" s="8" t="s">
        <v>59</v>
      </c>
      <c r="R1277" s="8">
        <v>0</v>
      </c>
      <c r="S1277" s="8">
        <v>0</v>
      </c>
      <c r="T1277" s="8">
        <v>1</v>
      </c>
      <c r="U1277" s="8">
        <v>2</v>
      </c>
      <c r="X1277" s="8">
        <v>5</v>
      </c>
      <c r="AG1277" s="8" t="str">
        <f t="shared" si="77"/>
        <v/>
      </c>
      <c r="AI1277" s="8" t="str">
        <f t="shared" si="78"/>
        <v/>
      </c>
      <c r="AJ1277" s="8" t="str">
        <f t="shared" si="79"/>
        <v/>
      </c>
      <c r="AL1277" s="8" t="str">
        <f t="shared" si="80"/>
        <v/>
      </c>
    </row>
    <row r="1278" spans="1:38" x14ac:dyDescent="0.25">
      <c r="A1278" s="8" t="s">
        <v>7073</v>
      </c>
      <c r="B1278" s="8" t="s">
        <v>7074</v>
      </c>
      <c r="C1278" s="8">
        <v>30921524</v>
      </c>
      <c r="D1278" s="8">
        <v>5</v>
      </c>
      <c r="E1278" s="11">
        <v>43112</v>
      </c>
      <c r="F1278" s="8" t="s">
        <v>57</v>
      </c>
      <c r="G1278" s="11">
        <v>43115</v>
      </c>
      <c r="H1278" s="8" t="s">
        <v>25</v>
      </c>
      <c r="J1278" s="8" t="s">
        <v>25</v>
      </c>
      <c r="N1278" s="8" t="s">
        <v>58</v>
      </c>
      <c r="O1278" s="8" t="s">
        <v>59</v>
      </c>
      <c r="P1278" s="8" t="s">
        <v>59</v>
      </c>
      <c r="R1278" s="8">
        <v>0</v>
      </c>
      <c r="S1278" s="8">
        <v>0</v>
      </c>
      <c r="T1278" s="8">
        <v>1</v>
      </c>
      <c r="U1278" s="8">
        <v>2</v>
      </c>
      <c r="AG1278" s="8" t="str">
        <f t="shared" si="77"/>
        <v/>
      </c>
      <c r="AI1278" s="8" t="str">
        <f t="shared" si="78"/>
        <v/>
      </c>
      <c r="AJ1278" s="8" t="str">
        <f t="shared" si="79"/>
        <v/>
      </c>
      <c r="AL1278" s="8" t="str">
        <f t="shared" si="80"/>
        <v/>
      </c>
    </row>
    <row r="1279" spans="1:38" x14ac:dyDescent="0.25">
      <c r="A1279" s="8" t="s">
        <v>5201</v>
      </c>
      <c r="B1279" s="8" t="s">
        <v>5202</v>
      </c>
      <c r="C1279" s="8">
        <v>30906106</v>
      </c>
      <c r="D1279" s="8">
        <v>5</v>
      </c>
      <c r="E1279" s="11">
        <v>43112</v>
      </c>
      <c r="F1279" s="8" t="s">
        <v>57</v>
      </c>
      <c r="G1279" s="11">
        <v>43112</v>
      </c>
      <c r="H1279" s="8" t="s">
        <v>25</v>
      </c>
      <c r="J1279" s="8" t="s">
        <v>25</v>
      </c>
      <c r="N1279" s="8" t="s">
        <v>58</v>
      </c>
      <c r="O1279" s="8" t="s">
        <v>59</v>
      </c>
      <c r="P1279" s="8" t="s">
        <v>59</v>
      </c>
      <c r="R1279" s="8">
        <v>0</v>
      </c>
      <c r="S1279" s="8">
        <v>0</v>
      </c>
      <c r="T1279" s="8">
        <v>1</v>
      </c>
      <c r="U1279" s="8">
        <v>2</v>
      </c>
      <c r="AG1279" s="8" t="str">
        <f t="shared" si="77"/>
        <v/>
      </c>
      <c r="AI1279" s="8" t="str">
        <f t="shared" si="78"/>
        <v/>
      </c>
      <c r="AJ1279" s="8" t="str">
        <f t="shared" si="79"/>
        <v/>
      </c>
      <c r="AL1279" s="8" t="str">
        <f t="shared" si="80"/>
        <v/>
      </c>
    </row>
    <row r="1280" spans="1:38" x14ac:dyDescent="0.25">
      <c r="A1280" s="8" t="s">
        <v>7075</v>
      </c>
      <c r="B1280" s="8" t="s">
        <v>7076</v>
      </c>
      <c r="C1280" s="8">
        <v>30913191</v>
      </c>
      <c r="D1280" s="8">
        <v>5</v>
      </c>
      <c r="E1280" s="11">
        <v>43112</v>
      </c>
      <c r="F1280" s="8" t="s">
        <v>57</v>
      </c>
      <c r="G1280" s="11">
        <v>43115</v>
      </c>
      <c r="H1280" s="8" t="s">
        <v>25</v>
      </c>
      <c r="J1280" s="8" t="s">
        <v>25</v>
      </c>
      <c r="N1280" s="8" t="s">
        <v>58</v>
      </c>
      <c r="O1280" s="8" t="s">
        <v>59</v>
      </c>
      <c r="P1280" s="8" t="s">
        <v>59</v>
      </c>
      <c r="R1280" s="8">
        <v>0</v>
      </c>
      <c r="S1280" s="8">
        <v>0</v>
      </c>
      <c r="T1280" s="8">
        <v>1</v>
      </c>
      <c r="U1280" s="8">
        <v>2</v>
      </c>
      <c r="AG1280" s="8" t="str">
        <f t="shared" si="77"/>
        <v/>
      </c>
      <c r="AI1280" s="8" t="str">
        <f t="shared" si="78"/>
        <v/>
      </c>
      <c r="AJ1280" s="8" t="str">
        <f t="shared" si="79"/>
        <v/>
      </c>
      <c r="AL1280" s="8" t="str">
        <f t="shared" si="80"/>
        <v/>
      </c>
    </row>
    <row r="1281" spans="1:38" x14ac:dyDescent="0.25">
      <c r="A1281" s="8" t="s">
        <v>2109</v>
      </c>
      <c r="B1281" s="8" t="s">
        <v>2110</v>
      </c>
      <c r="C1281" s="8">
        <v>30850355</v>
      </c>
      <c r="D1281" s="8">
        <v>5</v>
      </c>
      <c r="E1281" s="11">
        <v>43109</v>
      </c>
      <c r="F1281" s="8" t="s">
        <v>58</v>
      </c>
      <c r="G1281" s="11">
        <v>43110</v>
      </c>
      <c r="H1281" s="8" t="s">
        <v>25</v>
      </c>
      <c r="I1281" s="11">
        <v>43111</v>
      </c>
      <c r="J1281" s="8" t="s">
        <v>25</v>
      </c>
      <c r="N1281" s="8" t="s">
        <v>58</v>
      </c>
      <c r="O1281" s="8" t="s">
        <v>59</v>
      </c>
      <c r="P1281" s="8" t="s">
        <v>59</v>
      </c>
      <c r="R1281" s="8">
        <v>0</v>
      </c>
      <c r="S1281" s="8">
        <v>0</v>
      </c>
      <c r="T1281" s="8">
        <v>1</v>
      </c>
      <c r="U1281" s="8">
        <v>2</v>
      </c>
      <c r="X1281" s="8">
        <v>5</v>
      </c>
      <c r="AG1281" s="8" t="str">
        <f t="shared" si="77"/>
        <v/>
      </c>
      <c r="AI1281" s="8" t="str">
        <f t="shared" si="78"/>
        <v/>
      </c>
      <c r="AJ1281" s="8" t="str">
        <f t="shared" si="79"/>
        <v/>
      </c>
      <c r="AL1281" s="8" t="str">
        <f t="shared" si="80"/>
        <v/>
      </c>
    </row>
    <row r="1282" spans="1:38" x14ac:dyDescent="0.25">
      <c r="A1282" s="8" t="s">
        <v>388</v>
      </c>
      <c r="B1282" s="8" t="s">
        <v>389</v>
      </c>
      <c r="C1282" s="8">
        <v>30821818</v>
      </c>
      <c r="D1282" s="8">
        <v>5</v>
      </c>
      <c r="E1282" s="11">
        <v>43108</v>
      </c>
      <c r="F1282" s="8" t="s">
        <v>58</v>
      </c>
      <c r="G1282" s="11">
        <v>43108</v>
      </c>
      <c r="H1282" s="8" t="s">
        <v>25</v>
      </c>
      <c r="I1282" s="11">
        <v>43108</v>
      </c>
      <c r="J1282" s="8" t="s">
        <v>25</v>
      </c>
      <c r="N1282" s="8" t="s">
        <v>58</v>
      </c>
      <c r="O1282" s="8" t="s">
        <v>59</v>
      </c>
      <c r="P1282" s="8" t="s">
        <v>59</v>
      </c>
      <c r="R1282" s="8">
        <v>0</v>
      </c>
      <c r="S1282" s="8">
        <v>0</v>
      </c>
      <c r="T1282" s="8">
        <v>1</v>
      </c>
      <c r="U1282" s="8">
        <v>2</v>
      </c>
      <c r="X1282" s="8">
        <v>5</v>
      </c>
      <c r="AG1282" s="8" t="str">
        <f t="shared" si="77"/>
        <v/>
      </c>
      <c r="AI1282" s="8" t="str">
        <f t="shared" si="78"/>
        <v/>
      </c>
      <c r="AJ1282" s="8" t="str">
        <f t="shared" si="79"/>
        <v/>
      </c>
      <c r="AL1282" s="8" t="str">
        <f t="shared" si="80"/>
        <v/>
      </c>
    </row>
    <row r="1283" spans="1:38" x14ac:dyDescent="0.25">
      <c r="A1283" s="8" t="s">
        <v>1107</v>
      </c>
      <c r="B1283" s="8" t="s">
        <v>1108</v>
      </c>
      <c r="C1283" s="8">
        <v>30832571</v>
      </c>
      <c r="D1283" s="8">
        <v>5</v>
      </c>
      <c r="E1283" s="11">
        <v>43109</v>
      </c>
      <c r="F1283" s="8" t="s">
        <v>57</v>
      </c>
      <c r="G1283" s="11">
        <v>43109</v>
      </c>
      <c r="H1283" s="8" t="s">
        <v>25</v>
      </c>
      <c r="J1283" s="8" t="s">
        <v>25</v>
      </c>
      <c r="N1283" s="8" t="s">
        <v>58</v>
      </c>
      <c r="O1283" s="8" t="s">
        <v>59</v>
      </c>
      <c r="P1283" s="8" t="s">
        <v>59</v>
      </c>
      <c r="R1283" s="8">
        <v>0</v>
      </c>
      <c r="S1283" s="8">
        <v>0</v>
      </c>
      <c r="T1283" s="8">
        <v>1</v>
      </c>
      <c r="U1283" s="8">
        <v>2</v>
      </c>
      <c r="AG1283" s="8" t="str">
        <f t="shared" ref="AG1283:AG1346" si="81">IF(AND(U1283="",G1283&lt;&gt;"",NOT(OR(R1283,S1283))),IF(NETWORKDAYS.INTL(G1283,TODAY(),11)&lt;5,"En Plazo",IF(NETWORKDAYS.INTL(G1283,TODAY(),11)=5,"Riesgo Incumplimiento","FALTA_02")),"")</f>
        <v/>
      </c>
      <c r="AI1283" s="8" t="str">
        <f t="shared" ref="AI1283:AI1346" si="82">IF(AND(O1283&lt;&gt;"B1",F1283="Rejected"),IF(W1283="","FALTA_04",""),"")</f>
        <v/>
      </c>
      <c r="AJ1283" s="8" t="str">
        <f t="shared" ref="AJ1283:AJ1346" si="83">IF(AND(X1283="",I1283&lt;&gt;"",NOT(OR(R1283,S1283))),IF(NETWORKDAYS.INTL(G1283,TODAY(),11)&lt;=1,"En Plazo",IF(OR(AND(X1283="",O1283&lt;&gt;"M1"),AND(O1283="M1",(OR(Q1283="S - S",Q1283="S - T",)))),"FALTA_05","")),"")</f>
        <v/>
      </c>
      <c r="AL1283" s="8" t="str">
        <f t="shared" ref="AL1283:AL1346" si="84">IF(AND(O1283="B1",F1283="Rejected"),IF(Z1283="","FALTA_07",""),"")</f>
        <v/>
      </c>
    </row>
    <row r="1284" spans="1:38" x14ac:dyDescent="0.25">
      <c r="A1284" s="8" t="s">
        <v>7077</v>
      </c>
      <c r="B1284" s="8" t="s">
        <v>7078</v>
      </c>
      <c r="C1284" s="8">
        <v>30936060</v>
      </c>
      <c r="D1284" s="8">
        <v>5</v>
      </c>
      <c r="E1284" s="11">
        <v>43115</v>
      </c>
      <c r="F1284" s="8" t="s">
        <v>58</v>
      </c>
      <c r="G1284" s="11">
        <v>43115</v>
      </c>
      <c r="H1284" s="8" t="s">
        <v>25</v>
      </c>
      <c r="I1284" s="11">
        <v>43115</v>
      </c>
      <c r="J1284" s="8" t="s">
        <v>25</v>
      </c>
      <c r="N1284" s="8" t="s">
        <v>58</v>
      </c>
      <c r="O1284" s="8" t="s">
        <v>59</v>
      </c>
      <c r="P1284" s="8" t="s">
        <v>59</v>
      </c>
      <c r="R1284" s="8">
        <v>0</v>
      </c>
      <c r="S1284" s="8">
        <v>0</v>
      </c>
      <c r="T1284" s="8">
        <v>1</v>
      </c>
      <c r="U1284" s="8">
        <v>2</v>
      </c>
      <c r="X1284" s="8">
        <v>5</v>
      </c>
      <c r="AG1284" s="8" t="str">
        <f t="shared" si="81"/>
        <v/>
      </c>
      <c r="AI1284" s="8" t="str">
        <f t="shared" si="82"/>
        <v/>
      </c>
      <c r="AJ1284" s="8" t="str">
        <f t="shared" si="83"/>
        <v/>
      </c>
      <c r="AL1284" s="8" t="str">
        <f t="shared" si="84"/>
        <v/>
      </c>
    </row>
    <row r="1285" spans="1:38" x14ac:dyDescent="0.25">
      <c r="A1285" s="8" t="s">
        <v>3693</v>
      </c>
      <c r="B1285" s="8" t="s">
        <v>3694</v>
      </c>
      <c r="C1285" s="8">
        <v>30851610</v>
      </c>
      <c r="D1285" s="8">
        <v>5</v>
      </c>
      <c r="E1285" s="11">
        <v>43109</v>
      </c>
      <c r="F1285" s="8" t="s">
        <v>57</v>
      </c>
      <c r="G1285" s="11">
        <v>43111</v>
      </c>
      <c r="H1285" s="8" t="s">
        <v>25</v>
      </c>
      <c r="J1285" s="8" t="s">
        <v>25</v>
      </c>
      <c r="N1285" s="8" t="s">
        <v>58</v>
      </c>
      <c r="O1285" s="8" t="s">
        <v>59</v>
      </c>
      <c r="P1285" s="8" t="s">
        <v>59</v>
      </c>
      <c r="R1285" s="8">
        <v>0</v>
      </c>
      <c r="S1285" s="8">
        <v>0</v>
      </c>
      <c r="T1285" s="8">
        <v>1</v>
      </c>
      <c r="U1285" s="8">
        <v>2</v>
      </c>
      <c r="AG1285" s="8" t="str">
        <f t="shared" si="81"/>
        <v/>
      </c>
      <c r="AI1285" s="8" t="str">
        <f t="shared" si="82"/>
        <v/>
      </c>
      <c r="AJ1285" s="8" t="str">
        <f t="shared" si="83"/>
        <v/>
      </c>
      <c r="AL1285" s="8" t="str">
        <f t="shared" si="84"/>
        <v/>
      </c>
    </row>
    <row r="1286" spans="1:38" x14ac:dyDescent="0.25">
      <c r="A1286" s="8" t="s">
        <v>5203</v>
      </c>
      <c r="B1286" s="8" t="s">
        <v>5204</v>
      </c>
      <c r="C1286" s="8">
        <v>30915940</v>
      </c>
      <c r="D1286" s="8">
        <v>5</v>
      </c>
      <c r="E1286" s="11">
        <v>43112</v>
      </c>
      <c r="F1286" s="8" t="s">
        <v>58</v>
      </c>
      <c r="G1286" s="11">
        <v>43112</v>
      </c>
      <c r="H1286" s="8" t="s">
        <v>25</v>
      </c>
      <c r="I1286" s="11">
        <v>43112</v>
      </c>
      <c r="J1286" s="8" t="s">
        <v>25</v>
      </c>
      <c r="N1286" s="8" t="s">
        <v>58</v>
      </c>
      <c r="O1286" s="8" t="s">
        <v>59</v>
      </c>
      <c r="P1286" s="8" t="s">
        <v>59</v>
      </c>
      <c r="R1286" s="8">
        <v>0</v>
      </c>
      <c r="S1286" s="8">
        <v>0</v>
      </c>
      <c r="T1286" s="8">
        <v>1</v>
      </c>
      <c r="U1286" s="8">
        <v>2</v>
      </c>
      <c r="X1286" s="8">
        <v>5</v>
      </c>
      <c r="AG1286" s="8" t="str">
        <f t="shared" si="81"/>
        <v/>
      </c>
      <c r="AI1286" s="8" t="str">
        <f t="shared" si="82"/>
        <v/>
      </c>
      <c r="AJ1286" s="8" t="str">
        <f t="shared" si="83"/>
        <v/>
      </c>
      <c r="AL1286" s="8" t="str">
        <f t="shared" si="84"/>
        <v/>
      </c>
    </row>
    <row r="1287" spans="1:38" x14ac:dyDescent="0.25">
      <c r="A1287" s="8" t="s">
        <v>7079</v>
      </c>
      <c r="B1287" s="8" t="s">
        <v>7080</v>
      </c>
      <c r="C1287" s="8">
        <v>30898877</v>
      </c>
      <c r="D1287" s="8">
        <v>5</v>
      </c>
      <c r="E1287" s="11">
        <v>43111</v>
      </c>
      <c r="F1287" s="8" t="s">
        <v>57</v>
      </c>
      <c r="G1287" s="11">
        <v>43115</v>
      </c>
      <c r="H1287" s="8" t="s">
        <v>25</v>
      </c>
      <c r="J1287" s="8" t="s">
        <v>25</v>
      </c>
      <c r="N1287" s="8" t="s">
        <v>58</v>
      </c>
      <c r="O1287" s="8" t="s">
        <v>59</v>
      </c>
      <c r="P1287" s="8" t="s">
        <v>59</v>
      </c>
      <c r="R1287" s="8">
        <v>0</v>
      </c>
      <c r="S1287" s="8">
        <v>0</v>
      </c>
      <c r="T1287" s="8">
        <v>1</v>
      </c>
      <c r="U1287" s="8">
        <v>2</v>
      </c>
      <c r="AG1287" s="8" t="str">
        <f t="shared" si="81"/>
        <v/>
      </c>
      <c r="AI1287" s="8" t="str">
        <f t="shared" si="82"/>
        <v/>
      </c>
      <c r="AJ1287" s="8" t="str">
        <f t="shared" si="83"/>
        <v/>
      </c>
      <c r="AL1287" s="8" t="str">
        <f t="shared" si="84"/>
        <v/>
      </c>
    </row>
    <row r="1288" spans="1:38" x14ac:dyDescent="0.25">
      <c r="A1288" s="8" t="s">
        <v>3695</v>
      </c>
      <c r="B1288" s="8" t="s">
        <v>3696</v>
      </c>
      <c r="C1288" s="8">
        <v>30868013</v>
      </c>
      <c r="D1288" s="8">
        <v>5</v>
      </c>
      <c r="E1288" s="11">
        <v>43110</v>
      </c>
      <c r="F1288" s="8" t="s">
        <v>57</v>
      </c>
      <c r="G1288" s="11">
        <v>43111</v>
      </c>
      <c r="H1288" s="8" t="s">
        <v>25</v>
      </c>
      <c r="J1288" s="8" t="s">
        <v>25</v>
      </c>
      <c r="N1288" s="8" t="s">
        <v>58</v>
      </c>
      <c r="O1288" s="8" t="s">
        <v>59</v>
      </c>
      <c r="P1288" s="8" t="s">
        <v>59</v>
      </c>
      <c r="R1288" s="8">
        <v>0</v>
      </c>
      <c r="S1288" s="8">
        <v>0</v>
      </c>
      <c r="T1288" s="8">
        <v>1</v>
      </c>
      <c r="U1288" s="8">
        <v>2</v>
      </c>
      <c r="AG1288" s="8" t="str">
        <f t="shared" si="81"/>
        <v/>
      </c>
      <c r="AI1288" s="8" t="str">
        <f t="shared" si="82"/>
        <v/>
      </c>
      <c r="AJ1288" s="8" t="str">
        <f t="shared" si="83"/>
        <v/>
      </c>
      <c r="AL1288" s="8" t="str">
        <f t="shared" si="84"/>
        <v/>
      </c>
    </row>
    <row r="1289" spans="1:38" x14ac:dyDescent="0.25">
      <c r="A1289" s="8" t="s">
        <v>7081</v>
      </c>
      <c r="B1289" s="8" t="s">
        <v>7082</v>
      </c>
      <c r="C1289" s="8">
        <v>30942081</v>
      </c>
      <c r="D1289" s="8">
        <v>5</v>
      </c>
      <c r="E1289" s="11">
        <v>43115</v>
      </c>
      <c r="F1289" s="8" t="s">
        <v>57</v>
      </c>
      <c r="G1289" s="11">
        <v>43115</v>
      </c>
      <c r="H1289" s="8" t="s">
        <v>25</v>
      </c>
      <c r="J1289" s="8" t="s">
        <v>25</v>
      </c>
      <c r="N1289" s="8" t="s">
        <v>58</v>
      </c>
      <c r="O1289" s="8" t="s">
        <v>59</v>
      </c>
      <c r="P1289" s="8" t="s">
        <v>59</v>
      </c>
      <c r="R1289" s="8">
        <v>0</v>
      </c>
      <c r="S1289" s="8">
        <v>0</v>
      </c>
      <c r="T1289" s="8">
        <v>1</v>
      </c>
      <c r="U1289" s="8">
        <v>2</v>
      </c>
      <c r="AG1289" s="8" t="str">
        <f t="shared" si="81"/>
        <v/>
      </c>
      <c r="AI1289" s="8" t="str">
        <f t="shared" si="82"/>
        <v/>
      </c>
      <c r="AJ1289" s="8" t="str">
        <f t="shared" si="83"/>
        <v/>
      </c>
      <c r="AL1289" s="8" t="str">
        <f t="shared" si="84"/>
        <v/>
      </c>
    </row>
    <row r="1290" spans="1:38" x14ac:dyDescent="0.25">
      <c r="A1290" s="8" t="s">
        <v>390</v>
      </c>
      <c r="B1290" s="8" t="s">
        <v>391</v>
      </c>
      <c r="C1290" s="8">
        <v>30816288</v>
      </c>
      <c r="D1290" s="8">
        <v>5</v>
      </c>
      <c r="E1290" s="11">
        <v>43108</v>
      </c>
      <c r="F1290" s="8" t="s">
        <v>58</v>
      </c>
      <c r="G1290" s="11">
        <v>43108</v>
      </c>
      <c r="H1290" s="8" t="s">
        <v>25</v>
      </c>
      <c r="I1290" s="11">
        <v>43108</v>
      </c>
      <c r="J1290" s="8" t="s">
        <v>25</v>
      </c>
      <c r="N1290" s="8" t="s">
        <v>58</v>
      </c>
      <c r="O1290" s="8" t="s">
        <v>59</v>
      </c>
      <c r="P1290" s="8" t="s">
        <v>59</v>
      </c>
      <c r="R1290" s="8">
        <v>0</v>
      </c>
      <c r="S1290" s="8">
        <v>0</v>
      </c>
      <c r="T1290" s="8">
        <v>1</v>
      </c>
      <c r="U1290" s="8">
        <v>2</v>
      </c>
      <c r="X1290" s="8">
        <v>5</v>
      </c>
      <c r="AG1290" s="8" t="str">
        <f t="shared" si="81"/>
        <v/>
      </c>
      <c r="AI1290" s="8" t="str">
        <f t="shared" si="82"/>
        <v/>
      </c>
      <c r="AJ1290" s="8" t="str">
        <f t="shared" si="83"/>
        <v/>
      </c>
      <c r="AL1290" s="8" t="str">
        <f t="shared" si="84"/>
        <v/>
      </c>
    </row>
    <row r="1291" spans="1:38" x14ac:dyDescent="0.25">
      <c r="A1291" s="8" t="s">
        <v>5205</v>
      </c>
      <c r="B1291" s="8" t="s">
        <v>5206</v>
      </c>
      <c r="C1291" s="8">
        <v>30919626</v>
      </c>
      <c r="D1291" s="8">
        <v>5</v>
      </c>
      <c r="E1291" s="11">
        <v>43112</v>
      </c>
      <c r="F1291" s="8" t="s">
        <v>58</v>
      </c>
      <c r="G1291" s="11">
        <v>43112</v>
      </c>
      <c r="H1291" s="8" t="s">
        <v>25</v>
      </c>
      <c r="I1291" s="11">
        <v>43112</v>
      </c>
      <c r="J1291" s="8" t="s">
        <v>25</v>
      </c>
      <c r="N1291" s="8" t="s">
        <v>58</v>
      </c>
      <c r="O1291" s="8" t="s">
        <v>59</v>
      </c>
      <c r="P1291" s="8" t="s">
        <v>59</v>
      </c>
      <c r="R1291" s="8">
        <v>0</v>
      </c>
      <c r="S1291" s="8">
        <v>0</v>
      </c>
      <c r="T1291" s="8">
        <v>1</v>
      </c>
      <c r="U1291" s="8">
        <v>2</v>
      </c>
      <c r="X1291" s="8">
        <v>5</v>
      </c>
      <c r="AG1291" s="8" t="str">
        <f t="shared" si="81"/>
        <v/>
      </c>
      <c r="AI1291" s="8" t="str">
        <f t="shared" si="82"/>
        <v/>
      </c>
      <c r="AJ1291" s="8" t="str">
        <f t="shared" si="83"/>
        <v/>
      </c>
      <c r="AL1291" s="8" t="str">
        <f t="shared" si="84"/>
        <v/>
      </c>
    </row>
    <row r="1292" spans="1:38" x14ac:dyDescent="0.25">
      <c r="A1292" s="8" t="s">
        <v>7083</v>
      </c>
      <c r="B1292" s="8" t="s">
        <v>7084</v>
      </c>
      <c r="C1292" s="8">
        <v>30945524</v>
      </c>
      <c r="D1292" s="8">
        <v>5</v>
      </c>
      <c r="E1292" s="11">
        <v>43115</v>
      </c>
      <c r="F1292" s="8" t="s">
        <v>57</v>
      </c>
      <c r="G1292" s="11">
        <v>43115</v>
      </c>
      <c r="H1292" s="8" t="s">
        <v>25</v>
      </c>
      <c r="J1292" s="8" t="s">
        <v>25</v>
      </c>
      <c r="N1292" s="8" t="s">
        <v>58</v>
      </c>
      <c r="O1292" s="8" t="s">
        <v>59</v>
      </c>
      <c r="P1292" s="8" t="s">
        <v>59</v>
      </c>
      <c r="R1292" s="8">
        <v>0</v>
      </c>
      <c r="S1292" s="8">
        <v>0</v>
      </c>
      <c r="T1292" s="8">
        <v>1</v>
      </c>
      <c r="U1292" s="8">
        <v>2</v>
      </c>
      <c r="AG1292" s="8" t="str">
        <f t="shared" si="81"/>
        <v/>
      </c>
      <c r="AI1292" s="8" t="str">
        <f t="shared" si="82"/>
        <v/>
      </c>
      <c r="AJ1292" s="8" t="str">
        <f t="shared" si="83"/>
        <v/>
      </c>
      <c r="AL1292" s="8" t="str">
        <f t="shared" si="84"/>
        <v/>
      </c>
    </row>
    <row r="1293" spans="1:38" x14ac:dyDescent="0.25">
      <c r="A1293" s="8" t="s">
        <v>2111</v>
      </c>
      <c r="B1293" s="8" t="s">
        <v>2112</v>
      </c>
      <c r="C1293" s="8">
        <v>30860489</v>
      </c>
      <c r="D1293" s="8">
        <v>5</v>
      </c>
      <c r="E1293" s="11">
        <v>43110</v>
      </c>
      <c r="F1293" s="8" t="s">
        <v>58</v>
      </c>
      <c r="G1293" s="11">
        <v>43110</v>
      </c>
      <c r="H1293" s="8" t="s">
        <v>25</v>
      </c>
      <c r="I1293" s="11">
        <v>43112</v>
      </c>
      <c r="J1293" s="8" t="s">
        <v>25</v>
      </c>
      <c r="N1293" s="8" t="s">
        <v>58</v>
      </c>
      <c r="O1293" s="8" t="s">
        <v>59</v>
      </c>
      <c r="P1293" s="8" t="s">
        <v>59</v>
      </c>
      <c r="R1293" s="8">
        <v>0</v>
      </c>
      <c r="S1293" s="8">
        <v>0</v>
      </c>
      <c r="T1293" s="8">
        <v>1</v>
      </c>
      <c r="U1293" s="8">
        <v>2</v>
      </c>
      <c r="X1293" s="8">
        <v>5</v>
      </c>
      <c r="AG1293" s="8" t="str">
        <f t="shared" si="81"/>
        <v/>
      </c>
      <c r="AI1293" s="8" t="str">
        <f t="shared" si="82"/>
        <v/>
      </c>
      <c r="AJ1293" s="8" t="str">
        <f t="shared" si="83"/>
        <v/>
      </c>
      <c r="AL1293" s="8" t="str">
        <f t="shared" si="84"/>
        <v/>
      </c>
    </row>
    <row r="1294" spans="1:38" x14ac:dyDescent="0.25">
      <c r="A1294" s="8" t="s">
        <v>392</v>
      </c>
      <c r="B1294" s="8" t="s">
        <v>393</v>
      </c>
      <c r="C1294" s="8">
        <v>30818387</v>
      </c>
      <c r="D1294" s="8">
        <v>5</v>
      </c>
      <c r="E1294" s="11">
        <v>43108</v>
      </c>
      <c r="F1294" s="8" t="s">
        <v>58</v>
      </c>
      <c r="G1294" s="11">
        <v>43108</v>
      </c>
      <c r="H1294" s="8" t="s">
        <v>25</v>
      </c>
      <c r="I1294" s="11">
        <v>43108</v>
      </c>
      <c r="J1294" s="8" t="s">
        <v>25</v>
      </c>
      <c r="N1294" s="8" t="s">
        <v>58</v>
      </c>
      <c r="O1294" s="8" t="s">
        <v>59</v>
      </c>
      <c r="P1294" s="8" t="s">
        <v>59</v>
      </c>
      <c r="R1294" s="8">
        <v>0</v>
      </c>
      <c r="S1294" s="8">
        <v>0</v>
      </c>
      <c r="T1294" s="8">
        <v>1</v>
      </c>
      <c r="U1294" s="8">
        <v>2</v>
      </c>
      <c r="X1294" s="8">
        <v>5</v>
      </c>
      <c r="AG1294" s="8" t="str">
        <f t="shared" si="81"/>
        <v/>
      </c>
      <c r="AI1294" s="8" t="str">
        <f t="shared" si="82"/>
        <v/>
      </c>
      <c r="AJ1294" s="8" t="str">
        <f t="shared" si="83"/>
        <v/>
      </c>
      <c r="AL1294" s="8" t="str">
        <f t="shared" si="84"/>
        <v/>
      </c>
    </row>
    <row r="1295" spans="1:38" x14ac:dyDescent="0.25">
      <c r="A1295" s="8" t="s">
        <v>5207</v>
      </c>
      <c r="B1295" s="8" t="s">
        <v>5208</v>
      </c>
      <c r="C1295" s="8">
        <v>30922179</v>
      </c>
      <c r="D1295" s="8">
        <v>3</v>
      </c>
      <c r="E1295" s="11">
        <v>43112</v>
      </c>
      <c r="F1295" s="8" t="s">
        <v>57</v>
      </c>
      <c r="G1295" s="11">
        <v>43112</v>
      </c>
      <c r="H1295" s="8" t="s">
        <v>25</v>
      </c>
      <c r="J1295" s="8" t="s">
        <v>25</v>
      </c>
      <c r="N1295" s="8" t="s">
        <v>58</v>
      </c>
      <c r="O1295" s="8" t="s">
        <v>59</v>
      </c>
      <c r="P1295" s="8" t="s">
        <v>59</v>
      </c>
      <c r="R1295" s="8">
        <v>0</v>
      </c>
      <c r="S1295" s="8">
        <v>0</v>
      </c>
      <c r="T1295" s="8">
        <v>1</v>
      </c>
      <c r="U1295" s="8">
        <v>2</v>
      </c>
      <c r="AG1295" s="8" t="str">
        <f t="shared" si="81"/>
        <v/>
      </c>
      <c r="AI1295" s="8" t="str">
        <f t="shared" si="82"/>
        <v/>
      </c>
      <c r="AJ1295" s="8" t="str">
        <f t="shared" si="83"/>
        <v/>
      </c>
      <c r="AL1295" s="8" t="str">
        <f t="shared" si="84"/>
        <v/>
      </c>
    </row>
    <row r="1296" spans="1:38" x14ac:dyDescent="0.25">
      <c r="A1296" s="8" t="s">
        <v>2113</v>
      </c>
      <c r="B1296" s="8" t="s">
        <v>2114</v>
      </c>
      <c r="C1296" s="8">
        <v>30869604</v>
      </c>
      <c r="D1296" s="8">
        <v>5</v>
      </c>
      <c r="E1296" s="11">
        <v>43110</v>
      </c>
      <c r="F1296" s="8" t="s">
        <v>58</v>
      </c>
      <c r="G1296" s="11">
        <v>43110</v>
      </c>
      <c r="H1296" s="8" t="s">
        <v>25</v>
      </c>
      <c r="I1296" s="11">
        <v>43111</v>
      </c>
      <c r="J1296" s="8" t="s">
        <v>25</v>
      </c>
      <c r="N1296" s="8" t="s">
        <v>58</v>
      </c>
      <c r="O1296" s="8" t="s">
        <v>59</v>
      </c>
      <c r="P1296" s="8" t="s">
        <v>59</v>
      </c>
      <c r="R1296" s="8">
        <v>0</v>
      </c>
      <c r="S1296" s="8">
        <v>0</v>
      </c>
      <c r="T1296" s="8">
        <v>1</v>
      </c>
      <c r="U1296" s="8">
        <v>2</v>
      </c>
      <c r="X1296" s="8">
        <v>5</v>
      </c>
      <c r="AG1296" s="8" t="str">
        <f t="shared" si="81"/>
        <v/>
      </c>
      <c r="AI1296" s="8" t="str">
        <f t="shared" si="82"/>
        <v/>
      </c>
      <c r="AJ1296" s="8" t="str">
        <f t="shared" si="83"/>
        <v/>
      </c>
      <c r="AL1296" s="8" t="str">
        <f t="shared" si="84"/>
        <v/>
      </c>
    </row>
    <row r="1297" spans="1:38" x14ac:dyDescent="0.25">
      <c r="A1297" s="8" t="s">
        <v>3697</v>
      </c>
      <c r="B1297" s="8" t="s">
        <v>3698</v>
      </c>
      <c r="C1297" s="8">
        <v>30842514</v>
      </c>
      <c r="D1297" s="8">
        <v>5</v>
      </c>
      <c r="E1297" s="11">
        <v>43109</v>
      </c>
      <c r="F1297" s="8" t="s">
        <v>58</v>
      </c>
      <c r="G1297" s="11">
        <v>43111</v>
      </c>
      <c r="H1297" s="8" t="s">
        <v>25</v>
      </c>
      <c r="I1297" s="11">
        <v>43112</v>
      </c>
      <c r="J1297" s="8" t="s">
        <v>25</v>
      </c>
      <c r="N1297" s="8" t="s">
        <v>58</v>
      </c>
      <c r="O1297" s="8" t="s">
        <v>59</v>
      </c>
      <c r="P1297" s="8" t="s">
        <v>59</v>
      </c>
      <c r="R1297" s="8">
        <v>0</v>
      </c>
      <c r="S1297" s="8">
        <v>0</v>
      </c>
      <c r="T1297" s="8">
        <v>1</v>
      </c>
      <c r="U1297" s="8">
        <v>2</v>
      </c>
      <c r="X1297" s="8">
        <v>5</v>
      </c>
      <c r="AG1297" s="8" t="str">
        <f t="shared" si="81"/>
        <v/>
      </c>
      <c r="AI1297" s="8" t="str">
        <f t="shared" si="82"/>
        <v/>
      </c>
      <c r="AJ1297" s="8" t="str">
        <f t="shared" si="83"/>
        <v/>
      </c>
      <c r="AL1297" s="8" t="str">
        <f t="shared" si="84"/>
        <v/>
      </c>
    </row>
    <row r="1298" spans="1:38" x14ac:dyDescent="0.25">
      <c r="A1298" s="8" t="s">
        <v>1109</v>
      </c>
      <c r="B1298" s="8" t="s">
        <v>1110</v>
      </c>
      <c r="C1298" s="8">
        <v>30847150</v>
      </c>
      <c r="D1298" s="8">
        <v>5</v>
      </c>
      <c r="E1298" s="11">
        <v>43109</v>
      </c>
      <c r="F1298" s="8" t="s">
        <v>58</v>
      </c>
      <c r="G1298" s="11">
        <v>43109</v>
      </c>
      <c r="H1298" s="8" t="s">
        <v>25</v>
      </c>
      <c r="I1298" s="11">
        <v>43109</v>
      </c>
      <c r="J1298" s="8" t="s">
        <v>25</v>
      </c>
      <c r="N1298" s="8" t="s">
        <v>58</v>
      </c>
      <c r="O1298" s="8" t="s">
        <v>59</v>
      </c>
      <c r="P1298" s="8" t="s">
        <v>59</v>
      </c>
      <c r="R1298" s="8">
        <v>0</v>
      </c>
      <c r="S1298" s="8">
        <v>0</v>
      </c>
      <c r="T1298" s="8">
        <v>1</v>
      </c>
      <c r="U1298" s="8">
        <v>2</v>
      </c>
      <c r="X1298" s="8">
        <v>5</v>
      </c>
      <c r="AG1298" s="8" t="str">
        <f t="shared" si="81"/>
        <v/>
      </c>
      <c r="AI1298" s="8" t="str">
        <f t="shared" si="82"/>
        <v/>
      </c>
      <c r="AJ1298" s="8" t="str">
        <f t="shared" si="83"/>
        <v/>
      </c>
      <c r="AL1298" s="8" t="str">
        <f t="shared" si="84"/>
        <v/>
      </c>
    </row>
    <row r="1299" spans="1:38" x14ac:dyDescent="0.25">
      <c r="A1299" s="8" t="s">
        <v>1111</v>
      </c>
      <c r="B1299" s="8" t="s">
        <v>1112</v>
      </c>
      <c r="C1299" s="8">
        <v>30829922</v>
      </c>
      <c r="D1299" s="8">
        <v>5</v>
      </c>
      <c r="E1299" s="11">
        <v>43108</v>
      </c>
      <c r="F1299" s="8" t="s">
        <v>58</v>
      </c>
      <c r="G1299" s="11">
        <v>43109</v>
      </c>
      <c r="H1299" s="8" t="s">
        <v>25</v>
      </c>
      <c r="I1299" s="11">
        <v>43109</v>
      </c>
      <c r="J1299" s="8" t="s">
        <v>25</v>
      </c>
      <c r="N1299" s="8" t="s">
        <v>58</v>
      </c>
      <c r="O1299" s="8" t="s">
        <v>59</v>
      </c>
      <c r="P1299" s="8" t="s">
        <v>59</v>
      </c>
      <c r="R1299" s="8">
        <v>0</v>
      </c>
      <c r="S1299" s="8">
        <v>0</v>
      </c>
      <c r="T1299" s="8">
        <v>1</v>
      </c>
      <c r="U1299" s="8">
        <v>2</v>
      </c>
      <c r="X1299" s="8">
        <v>5</v>
      </c>
      <c r="AG1299" s="8" t="str">
        <f t="shared" si="81"/>
        <v/>
      </c>
      <c r="AI1299" s="8" t="str">
        <f t="shared" si="82"/>
        <v/>
      </c>
      <c r="AJ1299" s="8" t="str">
        <f t="shared" si="83"/>
        <v/>
      </c>
      <c r="AL1299" s="8" t="str">
        <f t="shared" si="84"/>
        <v/>
      </c>
    </row>
    <row r="1300" spans="1:38" x14ac:dyDescent="0.25">
      <c r="A1300" s="8" t="s">
        <v>2115</v>
      </c>
      <c r="B1300" s="8" t="s">
        <v>2116</v>
      </c>
      <c r="C1300" s="8">
        <v>30866978</v>
      </c>
      <c r="D1300" s="8">
        <v>5</v>
      </c>
      <c r="E1300" s="11">
        <v>43110</v>
      </c>
      <c r="F1300" s="8" t="s">
        <v>58</v>
      </c>
      <c r="G1300" s="11">
        <v>43110</v>
      </c>
      <c r="H1300" s="8" t="s">
        <v>25</v>
      </c>
      <c r="I1300" s="11">
        <v>43110</v>
      </c>
      <c r="J1300" s="8" t="s">
        <v>25</v>
      </c>
      <c r="N1300" s="8" t="s">
        <v>58</v>
      </c>
      <c r="O1300" s="8" t="s">
        <v>59</v>
      </c>
      <c r="P1300" s="8" t="s">
        <v>59</v>
      </c>
      <c r="R1300" s="8">
        <v>0</v>
      </c>
      <c r="S1300" s="8">
        <v>0</v>
      </c>
      <c r="T1300" s="8">
        <v>1</v>
      </c>
      <c r="U1300" s="8">
        <v>2</v>
      </c>
      <c r="X1300" s="8">
        <v>5</v>
      </c>
      <c r="AG1300" s="8" t="str">
        <f t="shared" si="81"/>
        <v/>
      </c>
      <c r="AI1300" s="8" t="str">
        <f t="shared" si="82"/>
        <v/>
      </c>
      <c r="AJ1300" s="8" t="str">
        <f t="shared" si="83"/>
        <v/>
      </c>
      <c r="AL1300" s="8" t="str">
        <f t="shared" si="84"/>
        <v/>
      </c>
    </row>
    <row r="1301" spans="1:38" x14ac:dyDescent="0.25">
      <c r="A1301" s="8" t="s">
        <v>5209</v>
      </c>
      <c r="B1301" s="8" t="s">
        <v>5210</v>
      </c>
      <c r="C1301" s="8">
        <v>30873201</v>
      </c>
      <c r="D1301" s="8">
        <v>5</v>
      </c>
      <c r="E1301" s="11">
        <v>43110</v>
      </c>
      <c r="F1301" s="8" t="s">
        <v>57</v>
      </c>
      <c r="G1301" s="11">
        <v>43112</v>
      </c>
      <c r="H1301" s="8" t="s">
        <v>25</v>
      </c>
      <c r="J1301" s="8" t="s">
        <v>25</v>
      </c>
      <c r="N1301" s="8" t="s">
        <v>58</v>
      </c>
      <c r="O1301" s="8" t="s">
        <v>59</v>
      </c>
      <c r="P1301" s="8" t="s">
        <v>59</v>
      </c>
      <c r="R1301" s="8">
        <v>0</v>
      </c>
      <c r="S1301" s="8">
        <v>0</v>
      </c>
      <c r="T1301" s="8">
        <v>1</v>
      </c>
      <c r="U1301" s="8">
        <v>2</v>
      </c>
      <c r="AG1301" s="8" t="str">
        <f t="shared" si="81"/>
        <v/>
      </c>
      <c r="AI1301" s="8" t="str">
        <f t="shared" si="82"/>
        <v/>
      </c>
      <c r="AJ1301" s="8" t="str">
        <f t="shared" si="83"/>
        <v/>
      </c>
      <c r="AL1301" s="8" t="str">
        <f t="shared" si="84"/>
        <v/>
      </c>
    </row>
    <row r="1302" spans="1:38" x14ac:dyDescent="0.25">
      <c r="A1302" s="8" t="s">
        <v>5211</v>
      </c>
      <c r="B1302" s="8" t="s">
        <v>5212</v>
      </c>
      <c r="C1302" s="8">
        <v>30890432</v>
      </c>
      <c r="D1302" s="8">
        <v>5</v>
      </c>
      <c r="E1302" s="11">
        <v>43111</v>
      </c>
      <c r="F1302" s="8" t="s">
        <v>57</v>
      </c>
      <c r="G1302" s="11">
        <v>43112</v>
      </c>
      <c r="H1302" s="8" t="s">
        <v>25</v>
      </c>
      <c r="J1302" s="8" t="s">
        <v>25</v>
      </c>
      <c r="N1302" s="8" t="s">
        <v>58</v>
      </c>
      <c r="O1302" s="8" t="s">
        <v>59</v>
      </c>
      <c r="P1302" s="8" t="s">
        <v>59</v>
      </c>
      <c r="R1302" s="8">
        <v>0</v>
      </c>
      <c r="S1302" s="8">
        <v>0</v>
      </c>
      <c r="T1302" s="8">
        <v>1</v>
      </c>
      <c r="U1302" s="8">
        <v>2</v>
      </c>
      <c r="AG1302" s="8" t="str">
        <f t="shared" si="81"/>
        <v/>
      </c>
      <c r="AI1302" s="8" t="str">
        <f t="shared" si="82"/>
        <v/>
      </c>
      <c r="AJ1302" s="8" t="str">
        <f t="shared" si="83"/>
        <v/>
      </c>
      <c r="AL1302" s="8" t="str">
        <f t="shared" si="84"/>
        <v/>
      </c>
    </row>
    <row r="1303" spans="1:38" x14ac:dyDescent="0.25">
      <c r="A1303" s="8" t="s">
        <v>3699</v>
      </c>
      <c r="B1303" s="8" t="s">
        <v>3700</v>
      </c>
      <c r="C1303" s="8">
        <v>30865147</v>
      </c>
      <c r="D1303" s="8">
        <v>5</v>
      </c>
      <c r="E1303" s="11">
        <v>43110</v>
      </c>
      <c r="F1303" s="8" t="s">
        <v>58</v>
      </c>
      <c r="G1303" s="11">
        <v>43111</v>
      </c>
      <c r="H1303" s="8" t="s">
        <v>25</v>
      </c>
      <c r="I1303" s="11">
        <v>43112</v>
      </c>
      <c r="J1303" s="8" t="s">
        <v>25</v>
      </c>
      <c r="N1303" s="8" t="s">
        <v>58</v>
      </c>
      <c r="O1303" s="8" t="s">
        <v>59</v>
      </c>
      <c r="P1303" s="8" t="s">
        <v>59</v>
      </c>
      <c r="R1303" s="8">
        <v>0</v>
      </c>
      <c r="S1303" s="8">
        <v>0</v>
      </c>
      <c r="T1303" s="8">
        <v>1</v>
      </c>
      <c r="U1303" s="8">
        <v>2</v>
      </c>
      <c r="X1303" s="8">
        <v>5</v>
      </c>
      <c r="AG1303" s="8" t="str">
        <f t="shared" si="81"/>
        <v/>
      </c>
      <c r="AI1303" s="8" t="str">
        <f t="shared" si="82"/>
        <v/>
      </c>
      <c r="AJ1303" s="8" t="str">
        <f t="shared" si="83"/>
        <v/>
      </c>
      <c r="AL1303" s="8" t="str">
        <f t="shared" si="84"/>
        <v/>
      </c>
    </row>
    <row r="1304" spans="1:38" x14ac:dyDescent="0.25">
      <c r="A1304" s="8" t="s">
        <v>2117</v>
      </c>
      <c r="B1304" s="8" t="s">
        <v>2118</v>
      </c>
      <c r="C1304" s="8">
        <v>30816463</v>
      </c>
      <c r="D1304" s="8">
        <v>5</v>
      </c>
      <c r="E1304" s="11">
        <v>43108</v>
      </c>
      <c r="F1304" s="8" t="s">
        <v>57</v>
      </c>
      <c r="G1304" s="11">
        <v>43110</v>
      </c>
      <c r="H1304" s="8" t="s">
        <v>25</v>
      </c>
      <c r="J1304" s="8" t="s">
        <v>25</v>
      </c>
      <c r="N1304" s="8" t="s">
        <v>58</v>
      </c>
      <c r="O1304" s="8" t="s">
        <v>59</v>
      </c>
      <c r="P1304" s="8" t="s">
        <v>59</v>
      </c>
      <c r="R1304" s="8">
        <v>0</v>
      </c>
      <c r="S1304" s="8">
        <v>0</v>
      </c>
      <c r="T1304" s="8">
        <v>1</v>
      </c>
      <c r="U1304" s="8">
        <v>2</v>
      </c>
      <c r="AG1304" s="8" t="str">
        <f t="shared" si="81"/>
        <v/>
      </c>
      <c r="AI1304" s="8" t="str">
        <f t="shared" si="82"/>
        <v/>
      </c>
      <c r="AJ1304" s="8" t="str">
        <f t="shared" si="83"/>
        <v/>
      </c>
      <c r="AL1304" s="8" t="str">
        <f t="shared" si="84"/>
        <v/>
      </c>
    </row>
    <row r="1305" spans="1:38" x14ac:dyDescent="0.25">
      <c r="A1305" s="8" t="s">
        <v>5213</v>
      </c>
      <c r="B1305" s="8" t="s">
        <v>5214</v>
      </c>
      <c r="C1305" s="8">
        <v>30922114</v>
      </c>
      <c r="D1305" s="8">
        <v>5</v>
      </c>
      <c r="E1305" s="11">
        <v>43112</v>
      </c>
      <c r="F1305" s="8" t="s">
        <v>58</v>
      </c>
      <c r="G1305" s="11">
        <v>43112</v>
      </c>
      <c r="H1305" s="8" t="s">
        <v>25</v>
      </c>
      <c r="I1305" s="11">
        <v>43112</v>
      </c>
      <c r="J1305" s="8" t="s">
        <v>25</v>
      </c>
      <c r="N1305" s="8" t="s">
        <v>58</v>
      </c>
      <c r="O1305" s="8" t="s">
        <v>59</v>
      </c>
      <c r="P1305" s="8" t="s">
        <v>59</v>
      </c>
      <c r="R1305" s="8">
        <v>0</v>
      </c>
      <c r="S1305" s="8">
        <v>0</v>
      </c>
      <c r="T1305" s="8">
        <v>1</v>
      </c>
      <c r="U1305" s="8">
        <v>2</v>
      </c>
      <c r="X1305" s="8">
        <v>5</v>
      </c>
      <c r="AG1305" s="8" t="str">
        <f t="shared" si="81"/>
        <v/>
      </c>
      <c r="AI1305" s="8" t="str">
        <f t="shared" si="82"/>
        <v/>
      </c>
      <c r="AJ1305" s="8" t="str">
        <f t="shared" si="83"/>
        <v/>
      </c>
      <c r="AL1305" s="8" t="str">
        <f t="shared" si="84"/>
        <v/>
      </c>
    </row>
    <row r="1306" spans="1:38" x14ac:dyDescent="0.25">
      <c r="A1306" s="8" t="s">
        <v>3701</v>
      </c>
      <c r="B1306" s="8" t="s">
        <v>3702</v>
      </c>
      <c r="C1306" s="8">
        <v>30881964</v>
      </c>
      <c r="D1306" s="8">
        <v>5</v>
      </c>
      <c r="E1306" s="11">
        <v>43111</v>
      </c>
      <c r="F1306" s="8" t="s">
        <v>58</v>
      </c>
      <c r="G1306" s="11">
        <v>43111</v>
      </c>
      <c r="H1306" s="8" t="s">
        <v>25</v>
      </c>
      <c r="I1306" s="11">
        <v>43112</v>
      </c>
      <c r="J1306" s="8" t="s">
        <v>25</v>
      </c>
      <c r="N1306" s="8" t="s">
        <v>58</v>
      </c>
      <c r="O1306" s="8" t="s">
        <v>59</v>
      </c>
      <c r="P1306" s="8" t="s">
        <v>59</v>
      </c>
      <c r="R1306" s="8">
        <v>0</v>
      </c>
      <c r="S1306" s="8">
        <v>0</v>
      </c>
      <c r="T1306" s="8">
        <v>1</v>
      </c>
      <c r="U1306" s="8">
        <v>2</v>
      </c>
      <c r="X1306" s="8">
        <v>5</v>
      </c>
      <c r="AG1306" s="8" t="str">
        <f t="shared" si="81"/>
        <v/>
      </c>
      <c r="AI1306" s="8" t="str">
        <f t="shared" si="82"/>
        <v/>
      </c>
      <c r="AJ1306" s="8" t="str">
        <f t="shared" si="83"/>
        <v/>
      </c>
      <c r="AL1306" s="8" t="str">
        <f t="shared" si="84"/>
        <v/>
      </c>
    </row>
    <row r="1307" spans="1:38" x14ac:dyDescent="0.25">
      <c r="A1307" s="8" t="s">
        <v>2119</v>
      </c>
      <c r="B1307" s="8" t="s">
        <v>2120</v>
      </c>
      <c r="C1307" s="8">
        <v>30816520</v>
      </c>
      <c r="D1307" s="8">
        <v>5</v>
      </c>
      <c r="E1307" s="11">
        <v>43108</v>
      </c>
      <c r="F1307" s="8" t="s">
        <v>57</v>
      </c>
      <c r="G1307" s="11">
        <v>43110</v>
      </c>
      <c r="H1307" s="8" t="s">
        <v>25</v>
      </c>
      <c r="J1307" s="8" t="s">
        <v>25</v>
      </c>
      <c r="N1307" s="8" t="s">
        <v>58</v>
      </c>
      <c r="O1307" s="8" t="s">
        <v>59</v>
      </c>
      <c r="P1307" s="8" t="s">
        <v>59</v>
      </c>
      <c r="R1307" s="8">
        <v>0</v>
      </c>
      <c r="S1307" s="8">
        <v>0</v>
      </c>
      <c r="T1307" s="8">
        <v>1</v>
      </c>
      <c r="U1307" s="8">
        <v>2</v>
      </c>
      <c r="AG1307" s="8" t="str">
        <f t="shared" si="81"/>
        <v/>
      </c>
      <c r="AI1307" s="8" t="str">
        <f t="shared" si="82"/>
        <v/>
      </c>
      <c r="AJ1307" s="8" t="str">
        <f t="shared" si="83"/>
        <v/>
      </c>
      <c r="AL1307" s="8" t="str">
        <f t="shared" si="84"/>
        <v/>
      </c>
    </row>
    <row r="1308" spans="1:38" x14ac:dyDescent="0.25">
      <c r="A1308" s="8" t="s">
        <v>5215</v>
      </c>
      <c r="B1308" s="8" t="s">
        <v>5216</v>
      </c>
      <c r="C1308" s="8">
        <v>30919244</v>
      </c>
      <c r="D1308" s="8">
        <v>5</v>
      </c>
      <c r="E1308" s="11">
        <v>43112</v>
      </c>
      <c r="F1308" s="8" t="s">
        <v>57</v>
      </c>
      <c r="G1308" s="11">
        <v>43112</v>
      </c>
      <c r="H1308" s="8" t="s">
        <v>25</v>
      </c>
      <c r="J1308" s="8" t="s">
        <v>25</v>
      </c>
      <c r="N1308" s="8" t="s">
        <v>58</v>
      </c>
      <c r="O1308" s="8" t="s">
        <v>59</v>
      </c>
      <c r="P1308" s="8" t="s">
        <v>59</v>
      </c>
      <c r="R1308" s="8">
        <v>0</v>
      </c>
      <c r="S1308" s="8">
        <v>0</v>
      </c>
      <c r="T1308" s="8">
        <v>1</v>
      </c>
      <c r="U1308" s="8">
        <v>2</v>
      </c>
      <c r="AG1308" s="8" t="str">
        <f t="shared" si="81"/>
        <v/>
      </c>
      <c r="AI1308" s="8" t="str">
        <f t="shared" si="82"/>
        <v/>
      </c>
      <c r="AJ1308" s="8" t="str">
        <f t="shared" si="83"/>
        <v/>
      </c>
      <c r="AL1308" s="8" t="str">
        <f t="shared" si="84"/>
        <v/>
      </c>
    </row>
    <row r="1309" spans="1:38" x14ac:dyDescent="0.25">
      <c r="A1309" s="8" t="s">
        <v>3703</v>
      </c>
      <c r="B1309" s="8" t="s">
        <v>3704</v>
      </c>
      <c r="C1309" s="8">
        <v>30861394</v>
      </c>
      <c r="D1309" s="8">
        <v>5</v>
      </c>
      <c r="E1309" s="11">
        <v>43110</v>
      </c>
      <c r="F1309" s="8" t="s">
        <v>57</v>
      </c>
      <c r="G1309" s="11">
        <v>43111</v>
      </c>
      <c r="H1309" s="8" t="s">
        <v>25</v>
      </c>
      <c r="J1309" s="8" t="s">
        <v>25</v>
      </c>
      <c r="N1309" s="8" t="s">
        <v>58</v>
      </c>
      <c r="O1309" s="8" t="s">
        <v>59</v>
      </c>
      <c r="P1309" s="8" t="s">
        <v>59</v>
      </c>
      <c r="R1309" s="8">
        <v>0</v>
      </c>
      <c r="S1309" s="8">
        <v>0</v>
      </c>
      <c r="T1309" s="8">
        <v>1</v>
      </c>
      <c r="U1309" s="8">
        <v>2</v>
      </c>
      <c r="AG1309" s="8" t="str">
        <f t="shared" si="81"/>
        <v/>
      </c>
      <c r="AI1309" s="8" t="str">
        <f t="shared" si="82"/>
        <v/>
      </c>
      <c r="AJ1309" s="8" t="str">
        <f t="shared" si="83"/>
        <v/>
      </c>
      <c r="AL1309" s="8" t="str">
        <f t="shared" si="84"/>
        <v/>
      </c>
    </row>
    <row r="1310" spans="1:38" x14ac:dyDescent="0.25">
      <c r="A1310" s="8" t="s">
        <v>394</v>
      </c>
      <c r="B1310" s="8" t="s">
        <v>395</v>
      </c>
      <c r="C1310" s="8">
        <v>30825996</v>
      </c>
      <c r="D1310" s="8">
        <v>5</v>
      </c>
      <c r="E1310" s="11">
        <v>43108</v>
      </c>
      <c r="F1310" s="8" t="s">
        <v>58</v>
      </c>
      <c r="G1310" s="11">
        <v>43108</v>
      </c>
      <c r="H1310" s="8" t="s">
        <v>25</v>
      </c>
      <c r="I1310" s="11">
        <v>43111</v>
      </c>
      <c r="J1310" s="8" t="s">
        <v>25</v>
      </c>
      <c r="N1310" s="8" t="s">
        <v>58</v>
      </c>
      <c r="O1310" s="8" t="s">
        <v>59</v>
      </c>
      <c r="P1310" s="8" t="s">
        <v>59</v>
      </c>
      <c r="R1310" s="8">
        <v>0</v>
      </c>
      <c r="S1310" s="8">
        <v>0</v>
      </c>
      <c r="T1310" s="8">
        <v>1</v>
      </c>
      <c r="U1310" s="8">
        <v>2</v>
      </c>
      <c r="X1310" s="8">
        <v>5</v>
      </c>
      <c r="AG1310" s="8" t="str">
        <f t="shared" si="81"/>
        <v/>
      </c>
      <c r="AI1310" s="8" t="str">
        <f t="shared" si="82"/>
        <v/>
      </c>
      <c r="AJ1310" s="8" t="str">
        <f t="shared" si="83"/>
        <v/>
      </c>
      <c r="AL1310" s="8" t="str">
        <f t="shared" si="84"/>
        <v/>
      </c>
    </row>
    <row r="1311" spans="1:38" x14ac:dyDescent="0.25">
      <c r="A1311" s="8" t="s">
        <v>7085</v>
      </c>
      <c r="B1311" s="8" t="s">
        <v>7086</v>
      </c>
      <c r="C1311" s="8">
        <v>30906963</v>
      </c>
      <c r="D1311" s="8">
        <v>5</v>
      </c>
      <c r="E1311" s="11">
        <v>43112</v>
      </c>
      <c r="F1311" s="8" t="s">
        <v>57</v>
      </c>
      <c r="G1311" s="11">
        <v>43115</v>
      </c>
      <c r="H1311" s="8" t="s">
        <v>25</v>
      </c>
      <c r="J1311" s="8" t="s">
        <v>25</v>
      </c>
      <c r="N1311" s="8" t="s">
        <v>58</v>
      </c>
      <c r="O1311" s="8" t="s">
        <v>59</v>
      </c>
      <c r="P1311" s="8" t="s">
        <v>59</v>
      </c>
      <c r="R1311" s="8">
        <v>0</v>
      </c>
      <c r="S1311" s="8">
        <v>0</v>
      </c>
      <c r="T1311" s="8">
        <v>1</v>
      </c>
      <c r="U1311" s="8">
        <v>2</v>
      </c>
      <c r="AG1311" s="8" t="str">
        <f t="shared" si="81"/>
        <v/>
      </c>
      <c r="AI1311" s="8" t="str">
        <f t="shared" si="82"/>
        <v/>
      </c>
      <c r="AJ1311" s="8" t="str">
        <f t="shared" si="83"/>
        <v/>
      </c>
      <c r="AL1311" s="8" t="str">
        <f t="shared" si="84"/>
        <v/>
      </c>
    </row>
    <row r="1312" spans="1:38" x14ac:dyDescent="0.25">
      <c r="A1312" s="8" t="s">
        <v>7087</v>
      </c>
      <c r="B1312" s="8" t="s">
        <v>7088</v>
      </c>
      <c r="C1312" s="8">
        <v>30920938</v>
      </c>
      <c r="D1312" s="8">
        <v>5</v>
      </c>
      <c r="E1312" s="11">
        <v>43112</v>
      </c>
      <c r="F1312" s="8" t="s">
        <v>57</v>
      </c>
      <c r="G1312" s="11">
        <v>43115</v>
      </c>
      <c r="H1312" s="8" t="s">
        <v>25</v>
      </c>
      <c r="J1312" s="8" t="s">
        <v>25</v>
      </c>
      <c r="N1312" s="8" t="s">
        <v>76</v>
      </c>
      <c r="O1312" s="8" t="s">
        <v>59</v>
      </c>
      <c r="P1312" s="8" t="s">
        <v>59</v>
      </c>
      <c r="R1312" s="8">
        <v>0</v>
      </c>
      <c r="S1312" s="8">
        <v>0</v>
      </c>
      <c r="T1312" s="8">
        <v>1</v>
      </c>
      <c r="U1312" s="8">
        <v>2</v>
      </c>
      <c r="AG1312" s="8" t="str">
        <f t="shared" si="81"/>
        <v/>
      </c>
      <c r="AI1312" s="8" t="str">
        <f t="shared" si="82"/>
        <v/>
      </c>
      <c r="AJ1312" s="8" t="str">
        <f t="shared" si="83"/>
        <v/>
      </c>
      <c r="AL1312" s="8" t="str">
        <f t="shared" si="84"/>
        <v/>
      </c>
    </row>
    <row r="1313" spans="1:38" x14ac:dyDescent="0.25">
      <c r="A1313" s="8" t="s">
        <v>396</v>
      </c>
      <c r="B1313" s="8" t="s">
        <v>397</v>
      </c>
      <c r="C1313" s="8">
        <v>30816501</v>
      </c>
      <c r="D1313" s="8">
        <v>5</v>
      </c>
      <c r="E1313" s="11">
        <v>43108</v>
      </c>
      <c r="F1313" s="8" t="s">
        <v>58</v>
      </c>
      <c r="G1313" s="11">
        <v>43108</v>
      </c>
      <c r="H1313" s="8" t="s">
        <v>25</v>
      </c>
      <c r="I1313" s="11">
        <v>43108</v>
      </c>
      <c r="J1313" s="8" t="s">
        <v>25</v>
      </c>
      <c r="N1313" s="8" t="s">
        <v>58</v>
      </c>
      <c r="O1313" s="8" t="s">
        <v>59</v>
      </c>
      <c r="P1313" s="8" t="s">
        <v>59</v>
      </c>
      <c r="R1313" s="8">
        <v>0</v>
      </c>
      <c r="S1313" s="8">
        <v>0</v>
      </c>
      <c r="T1313" s="8">
        <v>1</v>
      </c>
      <c r="U1313" s="8">
        <v>2</v>
      </c>
      <c r="X1313" s="8">
        <v>5</v>
      </c>
      <c r="AG1313" s="8" t="str">
        <f t="shared" si="81"/>
        <v/>
      </c>
      <c r="AI1313" s="8" t="str">
        <f t="shared" si="82"/>
        <v/>
      </c>
      <c r="AJ1313" s="8" t="str">
        <f t="shared" si="83"/>
        <v/>
      </c>
      <c r="AL1313" s="8" t="str">
        <f t="shared" si="84"/>
        <v/>
      </c>
    </row>
    <row r="1314" spans="1:38" x14ac:dyDescent="0.25">
      <c r="A1314" s="8" t="s">
        <v>398</v>
      </c>
      <c r="B1314" s="8" t="s">
        <v>399</v>
      </c>
      <c r="C1314" s="8">
        <v>30809979</v>
      </c>
      <c r="D1314" s="8">
        <v>5</v>
      </c>
      <c r="E1314" s="11">
        <v>43108</v>
      </c>
      <c r="F1314" s="8" t="s">
        <v>58</v>
      </c>
      <c r="G1314" s="11">
        <v>43108</v>
      </c>
      <c r="H1314" s="8" t="s">
        <v>25</v>
      </c>
      <c r="I1314" s="11">
        <v>43111</v>
      </c>
      <c r="J1314" s="8" t="s">
        <v>25</v>
      </c>
      <c r="N1314" s="8" t="s">
        <v>58</v>
      </c>
      <c r="O1314" s="8" t="s">
        <v>59</v>
      </c>
      <c r="P1314" s="8" t="s">
        <v>59</v>
      </c>
      <c r="R1314" s="8">
        <v>0</v>
      </c>
      <c r="S1314" s="8">
        <v>0</v>
      </c>
      <c r="T1314" s="8">
        <v>1</v>
      </c>
      <c r="U1314" s="8">
        <v>2</v>
      </c>
      <c r="X1314" s="8">
        <v>5</v>
      </c>
      <c r="AG1314" s="8" t="str">
        <f t="shared" si="81"/>
        <v/>
      </c>
      <c r="AI1314" s="8" t="str">
        <f t="shared" si="82"/>
        <v/>
      </c>
      <c r="AJ1314" s="8" t="str">
        <f t="shared" si="83"/>
        <v/>
      </c>
      <c r="AL1314" s="8" t="str">
        <f t="shared" si="84"/>
        <v/>
      </c>
    </row>
    <row r="1315" spans="1:38" x14ac:dyDescent="0.25">
      <c r="A1315" s="8" t="s">
        <v>2121</v>
      </c>
      <c r="B1315" s="8" t="s">
        <v>2122</v>
      </c>
      <c r="C1315" s="8">
        <v>30862063</v>
      </c>
      <c r="D1315" s="8">
        <v>4</v>
      </c>
      <c r="E1315" s="11">
        <v>43110</v>
      </c>
      <c r="F1315" s="8" t="s">
        <v>57</v>
      </c>
      <c r="G1315" s="11">
        <v>43110</v>
      </c>
      <c r="H1315" s="8" t="s">
        <v>25</v>
      </c>
      <c r="J1315" s="8" t="s">
        <v>25</v>
      </c>
      <c r="N1315" s="8" t="s">
        <v>58</v>
      </c>
      <c r="O1315" s="8" t="s">
        <v>59</v>
      </c>
      <c r="P1315" s="8" t="s">
        <v>59</v>
      </c>
      <c r="R1315" s="8">
        <v>0</v>
      </c>
      <c r="S1315" s="8">
        <v>0</v>
      </c>
      <c r="T1315" s="8">
        <v>1</v>
      </c>
      <c r="U1315" s="8">
        <v>2</v>
      </c>
      <c r="AG1315" s="8" t="str">
        <f t="shared" si="81"/>
        <v/>
      </c>
      <c r="AI1315" s="8" t="str">
        <f t="shared" si="82"/>
        <v/>
      </c>
      <c r="AJ1315" s="8" t="str">
        <f t="shared" si="83"/>
        <v/>
      </c>
      <c r="AL1315" s="8" t="str">
        <f t="shared" si="84"/>
        <v/>
      </c>
    </row>
    <row r="1316" spans="1:38" x14ac:dyDescent="0.25">
      <c r="A1316" s="8" t="s">
        <v>5217</v>
      </c>
      <c r="B1316" s="8" t="s">
        <v>5218</v>
      </c>
      <c r="C1316" s="8">
        <v>30875985</v>
      </c>
      <c r="D1316" s="8">
        <v>5</v>
      </c>
      <c r="E1316" s="11">
        <v>43110</v>
      </c>
      <c r="F1316" s="8" t="s">
        <v>57</v>
      </c>
      <c r="G1316" s="11">
        <v>43112</v>
      </c>
      <c r="H1316" s="8" t="s">
        <v>25</v>
      </c>
      <c r="J1316" s="8" t="s">
        <v>25</v>
      </c>
      <c r="N1316" s="8" t="s">
        <v>58</v>
      </c>
      <c r="O1316" s="8" t="s">
        <v>59</v>
      </c>
      <c r="P1316" s="8" t="s">
        <v>59</v>
      </c>
      <c r="R1316" s="8">
        <v>0</v>
      </c>
      <c r="S1316" s="8">
        <v>0</v>
      </c>
      <c r="T1316" s="8">
        <v>1</v>
      </c>
      <c r="U1316" s="8">
        <v>2</v>
      </c>
      <c r="AG1316" s="8" t="str">
        <f t="shared" si="81"/>
        <v/>
      </c>
      <c r="AI1316" s="8" t="str">
        <f t="shared" si="82"/>
        <v/>
      </c>
      <c r="AJ1316" s="8" t="str">
        <f t="shared" si="83"/>
        <v/>
      </c>
      <c r="AL1316" s="8" t="str">
        <f t="shared" si="84"/>
        <v/>
      </c>
    </row>
    <row r="1317" spans="1:38" x14ac:dyDescent="0.25">
      <c r="A1317" s="8" t="s">
        <v>2123</v>
      </c>
      <c r="B1317" s="8" t="s">
        <v>2124</v>
      </c>
      <c r="C1317" s="8">
        <v>30865203</v>
      </c>
      <c r="D1317" s="8">
        <v>5</v>
      </c>
      <c r="E1317" s="11">
        <v>43110</v>
      </c>
      <c r="F1317" s="8" t="s">
        <v>57</v>
      </c>
      <c r="G1317" s="11">
        <v>43110</v>
      </c>
      <c r="H1317" s="8" t="s">
        <v>25</v>
      </c>
      <c r="J1317" s="8" t="s">
        <v>25</v>
      </c>
      <c r="N1317" s="8" t="s">
        <v>58</v>
      </c>
      <c r="O1317" s="8" t="s">
        <v>59</v>
      </c>
      <c r="P1317" s="8" t="s">
        <v>59</v>
      </c>
      <c r="R1317" s="8">
        <v>0</v>
      </c>
      <c r="S1317" s="8">
        <v>0</v>
      </c>
      <c r="T1317" s="8">
        <v>1</v>
      </c>
      <c r="U1317" s="8">
        <v>2</v>
      </c>
      <c r="AG1317" s="8" t="str">
        <f t="shared" si="81"/>
        <v/>
      </c>
      <c r="AI1317" s="8" t="str">
        <f t="shared" si="82"/>
        <v/>
      </c>
      <c r="AJ1317" s="8" t="str">
        <f t="shared" si="83"/>
        <v/>
      </c>
      <c r="AL1317" s="8" t="str">
        <f t="shared" si="84"/>
        <v/>
      </c>
    </row>
    <row r="1318" spans="1:38" x14ac:dyDescent="0.25">
      <c r="A1318" s="8" t="s">
        <v>1113</v>
      </c>
      <c r="B1318" s="8" t="s">
        <v>1114</v>
      </c>
      <c r="C1318" s="8">
        <v>30850241</v>
      </c>
      <c r="D1318" s="8">
        <v>5</v>
      </c>
      <c r="E1318" s="11">
        <v>43109</v>
      </c>
      <c r="F1318" s="8" t="s">
        <v>58</v>
      </c>
      <c r="G1318" s="11">
        <v>43109</v>
      </c>
      <c r="H1318" s="8" t="s">
        <v>25</v>
      </c>
      <c r="I1318" s="11">
        <v>43109</v>
      </c>
      <c r="J1318" s="8" t="s">
        <v>25</v>
      </c>
      <c r="N1318" s="8" t="s">
        <v>58</v>
      </c>
      <c r="O1318" s="8" t="s">
        <v>59</v>
      </c>
      <c r="P1318" s="8" t="s">
        <v>59</v>
      </c>
      <c r="R1318" s="8">
        <v>0</v>
      </c>
      <c r="S1318" s="8">
        <v>0</v>
      </c>
      <c r="T1318" s="8">
        <v>1</v>
      </c>
      <c r="U1318" s="8">
        <v>2</v>
      </c>
      <c r="X1318" s="8">
        <v>5</v>
      </c>
      <c r="AG1318" s="8" t="str">
        <f t="shared" si="81"/>
        <v/>
      </c>
      <c r="AI1318" s="8" t="str">
        <f t="shared" si="82"/>
        <v/>
      </c>
      <c r="AJ1318" s="8" t="str">
        <f t="shared" si="83"/>
        <v/>
      </c>
      <c r="AL1318" s="8" t="str">
        <f t="shared" si="84"/>
        <v/>
      </c>
    </row>
    <row r="1319" spans="1:38" x14ac:dyDescent="0.25">
      <c r="A1319" s="8" t="s">
        <v>5219</v>
      </c>
      <c r="B1319" s="8" t="s">
        <v>5220</v>
      </c>
      <c r="C1319" s="8">
        <v>30882932</v>
      </c>
      <c r="D1319" s="8">
        <v>5</v>
      </c>
      <c r="E1319" s="11">
        <v>43111</v>
      </c>
      <c r="F1319" s="8" t="s">
        <v>58</v>
      </c>
      <c r="G1319" s="11">
        <v>43112</v>
      </c>
      <c r="H1319" s="8" t="s">
        <v>25</v>
      </c>
      <c r="I1319" s="11">
        <v>43112</v>
      </c>
      <c r="J1319" s="8" t="s">
        <v>25</v>
      </c>
      <c r="N1319" s="8" t="s">
        <v>58</v>
      </c>
      <c r="O1319" s="8" t="s">
        <v>59</v>
      </c>
      <c r="P1319" s="8" t="s">
        <v>59</v>
      </c>
      <c r="R1319" s="8">
        <v>0</v>
      </c>
      <c r="S1319" s="8">
        <v>0</v>
      </c>
      <c r="T1319" s="8">
        <v>1</v>
      </c>
      <c r="U1319" s="8">
        <v>2</v>
      </c>
      <c r="X1319" s="8">
        <v>5</v>
      </c>
      <c r="AG1319" s="8" t="str">
        <f t="shared" si="81"/>
        <v/>
      </c>
      <c r="AI1319" s="8" t="str">
        <f t="shared" si="82"/>
        <v/>
      </c>
      <c r="AJ1319" s="8" t="str">
        <f t="shared" si="83"/>
        <v/>
      </c>
      <c r="AL1319" s="8" t="str">
        <f t="shared" si="84"/>
        <v/>
      </c>
    </row>
    <row r="1320" spans="1:38" x14ac:dyDescent="0.25">
      <c r="A1320" s="8" t="s">
        <v>2125</v>
      </c>
      <c r="B1320" s="8" t="s">
        <v>2126</v>
      </c>
      <c r="C1320" s="8">
        <v>30842461</v>
      </c>
      <c r="D1320" s="8">
        <v>5</v>
      </c>
      <c r="E1320" s="11">
        <v>43109</v>
      </c>
      <c r="F1320" s="8" t="s">
        <v>58</v>
      </c>
      <c r="G1320" s="11">
        <v>43110</v>
      </c>
      <c r="H1320" s="8" t="s">
        <v>25</v>
      </c>
      <c r="I1320" s="11">
        <v>43110</v>
      </c>
      <c r="J1320" s="8" t="s">
        <v>25</v>
      </c>
      <c r="N1320" s="8" t="s">
        <v>58</v>
      </c>
      <c r="O1320" s="8" t="s">
        <v>59</v>
      </c>
      <c r="P1320" s="8" t="s">
        <v>59</v>
      </c>
      <c r="R1320" s="8">
        <v>0</v>
      </c>
      <c r="S1320" s="8">
        <v>0</v>
      </c>
      <c r="T1320" s="8">
        <v>1</v>
      </c>
      <c r="U1320" s="8">
        <v>2</v>
      </c>
      <c r="X1320" s="8">
        <v>5</v>
      </c>
      <c r="AG1320" s="8" t="str">
        <f t="shared" si="81"/>
        <v/>
      </c>
      <c r="AI1320" s="8" t="str">
        <f t="shared" si="82"/>
        <v/>
      </c>
      <c r="AJ1320" s="8" t="str">
        <f t="shared" si="83"/>
        <v/>
      </c>
      <c r="AL1320" s="8" t="str">
        <f t="shared" si="84"/>
        <v/>
      </c>
    </row>
    <row r="1321" spans="1:38" x14ac:dyDescent="0.25">
      <c r="A1321" s="8" t="s">
        <v>2127</v>
      </c>
      <c r="B1321" s="8" t="s">
        <v>2128</v>
      </c>
      <c r="C1321" s="8">
        <v>30832759</v>
      </c>
      <c r="D1321" s="8">
        <v>5</v>
      </c>
      <c r="E1321" s="11">
        <v>43109</v>
      </c>
      <c r="F1321" s="8" t="s">
        <v>58</v>
      </c>
      <c r="G1321" s="11">
        <v>43110</v>
      </c>
      <c r="H1321" s="8" t="s">
        <v>25</v>
      </c>
      <c r="I1321" s="11">
        <v>43115</v>
      </c>
      <c r="J1321" s="8" t="s">
        <v>145</v>
      </c>
      <c r="N1321" s="8" t="s">
        <v>58</v>
      </c>
      <c r="O1321" s="8" t="s">
        <v>59</v>
      </c>
      <c r="P1321" s="8" t="s">
        <v>59</v>
      </c>
      <c r="R1321" s="8">
        <v>0</v>
      </c>
      <c r="S1321" s="8">
        <v>0</v>
      </c>
      <c r="T1321" s="8">
        <v>1</v>
      </c>
      <c r="U1321" s="8">
        <v>2</v>
      </c>
      <c r="X1321" s="8">
        <v>5</v>
      </c>
      <c r="AG1321" s="8" t="str">
        <f t="shared" si="81"/>
        <v/>
      </c>
      <c r="AI1321" s="8" t="str">
        <f t="shared" si="82"/>
        <v/>
      </c>
      <c r="AJ1321" s="8" t="str">
        <f t="shared" si="83"/>
        <v/>
      </c>
      <c r="AL1321" s="8" t="str">
        <f t="shared" si="84"/>
        <v/>
      </c>
    </row>
    <row r="1322" spans="1:38" x14ac:dyDescent="0.25">
      <c r="A1322" s="8" t="s">
        <v>5221</v>
      </c>
      <c r="B1322" s="8" t="s">
        <v>5222</v>
      </c>
      <c r="C1322" s="8">
        <v>30915867</v>
      </c>
      <c r="D1322" s="8">
        <v>5</v>
      </c>
      <c r="E1322" s="11">
        <v>43112</v>
      </c>
      <c r="F1322" s="8" t="s">
        <v>58</v>
      </c>
      <c r="G1322" s="11">
        <v>43112</v>
      </c>
      <c r="H1322" s="8" t="s">
        <v>25</v>
      </c>
      <c r="I1322" s="11">
        <v>43112</v>
      </c>
      <c r="J1322" s="8" t="s">
        <v>25</v>
      </c>
      <c r="N1322" s="8" t="s">
        <v>58</v>
      </c>
      <c r="O1322" s="8" t="s">
        <v>59</v>
      </c>
      <c r="P1322" s="8" t="s">
        <v>59</v>
      </c>
      <c r="R1322" s="8">
        <v>0</v>
      </c>
      <c r="S1322" s="8">
        <v>0</v>
      </c>
      <c r="T1322" s="8">
        <v>1</v>
      </c>
      <c r="U1322" s="8">
        <v>2</v>
      </c>
      <c r="X1322" s="8">
        <v>5</v>
      </c>
      <c r="AG1322" s="8" t="str">
        <f t="shared" si="81"/>
        <v/>
      </c>
      <c r="AI1322" s="8" t="str">
        <f t="shared" si="82"/>
        <v/>
      </c>
      <c r="AJ1322" s="8" t="str">
        <f t="shared" si="83"/>
        <v/>
      </c>
      <c r="AL1322" s="8" t="str">
        <f t="shared" si="84"/>
        <v/>
      </c>
    </row>
    <row r="1323" spans="1:38" x14ac:dyDescent="0.25">
      <c r="A1323" s="8" t="s">
        <v>2129</v>
      </c>
      <c r="B1323" s="8" t="s">
        <v>2130</v>
      </c>
      <c r="C1323" s="8">
        <v>30864543</v>
      </c>
      <c r="D1323" s="8">
        <v>5</v>
      </c>
      <c r="E1323" s="11">
        <v>43110</v>
      </c>
      <c r="F1323" s="8" t="s">
        <v>58</v>
      </c>
      <c r="G1323" s="11">
        <v>43110</v>
      </c>
      <c r="H1323" s="8" t="s">
        <v>25</v>
      </c>
      <c r="I1323" s="11">
        <v>43115</v>
      </c>
      <c r="J1323" s="8" t="s">
        <v>145</v>
      </c>
      <c r="N1323" s="8" t="s">
        <v>58</v>
      </c>
      <c r="O1323" s="8" t="s">
        <v>59</v>
      </c>
      <c r="P1323" s="8" t="s">
        <v>59</v>
      </c>
      <c r="R1323" s="8">
        <v>0</v>
      </c>
      <c r="S1323" s="8">
        <v>0</v>
      </c>
      <c r="T1323" s="8">
        <v>1</v>
      </c>
      <c r="U1323" s="8">
        <v>2</v>
      </c>
      <c r="X1323" s="8">
        <v>5</v>
      </c>
      <c r="AG1323" s="8" t="str">
        <f t="shared" si="81"/>
        <v/>
      </c>
      <c r="AI1323" s="8" t="str">
        <f t="shared" si="82"/>
        <v/>
      </c>
      <c r="AJ1323" s="8" t="str">
        <f t="shared" si="83"/>
        <v/>
      </c>
      <c r="AL1323" s="8" t="str">
        <f t="shared" si="84"/>
        <v/>
      </c>
    </row>
    <row r="1324" spans="1:38" x14ac:dyDescent="0.25">
      <c r="A1324" s="8" t="s">
        <v>3705</v>
      </c>
      <c r="B1324" s="8" t="s">
        <v>3706</v>
      </c>
      <c r="C1324" s="8">
        <v>30843419</v>
      </c>
      <c r="D1324" s="8">
        <v>5</v>
      </c>
      <c r="E1324" s="11">
        <v>43109</v>
      </c>
      <c r="F1324" s="8" t="s">
        <v>57</v>
      </c>
      <c r="G1324" s="11">
        <v>43111</v>
      </c>
      <c r="H1324" s="8" t="s">
        <v>25</v>
      </c>
      <c r="J1324" s="8" t="s">
        <v>25</v>
      </c>
      <c r="N1324" s="8" t="s">
        <v>58</v>
      </c>
      <c r="O1324" s="8" t="s">
        <v>59</v>
      </c>
      <c r="P1324" s="8" t="s">
        <v>59</v>
      </c>
      <c r="R1324" s="8">
        <v>0</v>
      </c>
      <c r="S1324" s="8">
        <v>0</v>
      </c>
      <c r="T1324" s="8">
        <v>1</v>
      </c>
      <c r="U1324" s="8">
        <v>2</v>
      </c>
      <c r="AG1324" s="8" t="str">
        <f t="shared" si="81"/>
        <v/>
      </c>
      <c r="AI1324" s="8" t="str">
        <f t="shared" si="82"/>
        <v/>
      </c>
      <c r="AJ1324" s="8" t="str">
        <f t="shared" si="83"/>
        <v/>
      </c>
      <c r="AL1324" s="8" t="str">
        <f t="shared" si="84"/>
        <v/>
      </c>
    </row>
    <row r="1325" spans="1:38" x14ac:dyDescent="0.25">
      <c r="A1325" s="8" t="s">
        <v>7089</v>
      </c>
      <c r="B1325" s="8" t="s">
        <v>7090</v>
      </c>
      <c r="C1325" s="8">
        <v>30936248</v>
      </c>
      <c r="D1325" s="8">
        <v>5</v>
      </c>
      <c r="E1325" s="11">
        <v>43115</v>
      </c>
      <c r="F1325" s="8" t="s">
        <v>58</v>
      </c>
      <c r="G1325" s="11">
        <v>43115</v>
      </c>
      <c r="H1325" s="8" t="s">
        <v>25</v>
      </c>
      <c r="I1325" s="11">
        <v>43115</v>
      </c>
      <c r="J1325" s="8" t="s">
        <v>25</v>
      </c>
      <c r="N1325" s="8" t="s">
        <v>58</v>
      </c>
      <c r="O1325" s="8" t="s">
        <v>59</v>
      </c>
      <c r="P1325" s="8" t="s">
        <v>59</v>
      </c>
      <c r="R1325" s="8">
        <v>0</v>
      </c>
      <c r="S1325" s="8">
        <v>0</v>
      </c>
      <c r="T1325" s="8">
        <v>1</v>
      </c>
      <c r="U1325" s="8">
        <v>2</v>
      </c>
      <c r="X1325" s="8">
        <v>5</v>
      </c>
      <c r="AG1325" s="8" t="str">
        <f t="shared" si="81"/>
        <v/>
      </c>
      <c r="AI1325" s="8" t="str">
        <f t="shared" si="82"/>
        <v/>
      </c>
      <c r="AJ1325" s="8" t="str">
        <f t="shared" si="83"/>
        <v/>
      </c>
      <c r="AL1325" s="8" t="str">
        <f t="shared" si="84"/>
        <v/>
      </c>
    </row>
    <row r="1326" spans="1:38" x14ac:dyDescent="0.25">
      <c r="A1326" s="8" t="s">
        <v>5223</v>
      </c>
      <c r="B1326" s="8" t="s">
        <v>5224</v>
      </c>
      <c r="C1326" s="8">
        <v>30905096</v>
      </c>
      <c r="D1326" s="8">
        <v>5</v>
      </c>
      <c r="E1326" s="11">
        <v>43112</v>
      </c>
      <c r="F1326" s="8" t="s">
        <v>57</v>
      </c>
      <c r="G1326" s="11">
        <v>43112</v>
      </c>
      <c r="H1326" s="8" t="s">
        <v>25</v>
      </c>
      <c r="J1326" s="8" t="s">
        <v>25</v>
      </c>
      <c r="N1326" s="8" t="s">
        <v>58</v>
      </c>
      <c r="O1326" s="8" t="s">
        <v>59</v>
      </c>
      <c r="P1326" s="8" t="s">
        <v>59</v>
      </c>
      <c r="R1326" s="8">
        <v>0</v>
      </c>
      <c r="S1326" s="8">
        <v>0</v>
      </c>
      <c r="T1326" s="8">
        <v>1</v>
      </c>
      <c r="U1326" s="8">
        <v>2</v>
      </c>
      <c r="AG1326" s="8" t="str">
        <f t="shared" si="81"/>
        <v/>
      </c>
      <c r="AI1326" s="8" t="str">
        <f t="shared" si="82"/>
        <v/>
      </c>
      <c r="AJ1326" s="8" t="str">
        <f t="shared" si="83"/>
        <v/>
      </c>
      <c r="AL1326" s="8" t="str">
        <f t="shared" si="84"/>
        <v/>
      </c>
    </row>
    <row r="1327" spans="1:38" x14ac:dyDescent="0.25">
      <c r="A1327" s="8" t="s">
        <v>3707</v>
      </c>
      <c r="B1327" s="8" t="s">
        <v>3708</v>
      </c>
      <c r="C1327" s="8">
        <v>30896852</v>
      </c>
      <c r="D1327" s="8">
        <v>5</v>
      </c>
      <c r="E1327" s="11">
        <v>43111</v>
      </c>
      <c r="F1327" s="8" t="s">
        <v>58</v>
      </c>
      <c r="G1327" s="11">
        <v>43111</v>
      </c>
      <c r="H1327" s="8" t="s">
        <v>25</v>
      </c>
      <c r="I1327" s="11">
        <v>43112</v>
      </c>
      <c r="J1327" s="8" t="s">
        <v>25</v>
      </c>
      <c r="N1327" s="8" t="s">
        <v>58</v>
      </c>
      <c r="O1327" s="8" t="s">
        <v>59</v>
      </c>
      <c r="P1327" s="8" t="s">
        <v>59</v>
      </c>
      <c r="R1327" s="8">
        <v>0</v>
      </c>
      <c r="S1327" s="8">
        <v>0</v>
      </c>
      <c r="T1327" s="8">
        <v>1</v>
      </c>
      <c r="U1327" s="8">
        <v>2</v>
      </c>
      <c r="X1327" s="8">
        <v>5</v>
      </c>
      <c r="AG1327" s="8" t="str">
        <f t="shared" si="81"/>
        <v/>
      </c>
      <c r="AI1327" s="8" t="str">
        <f t="shared" si="82"/>
        <v/>
      </c>
      <c r="AJ1327" s="8" t="str">
        <f t="shared" si="83"/>
        <v/>
      </c>
      <c r="AL1327" s="8" t="str">
        <f t="shared" si="84"/>
        <v/>
      </c>
    </row>
    <row r="1328" spans="1:38" x14ac:dyDescent="0.25">
      <c r="A1328" s="8" t="s">
        <v>2131</v>
      </c>
      <c r="B1328" s="8" t="s">
        <v>2132</v>
      </c>
      <c r="C1328" s="8">
        <v>30854496</v>
      </c>
      <c r="D1328" s="8">
        <v>5</v>
      </c>
      <c r="E1328" s="11">
        <v>43109</v>
      </c>
      <c r="F1328" s="8" t="s">
        <v>58</v>
      </c>
      <c r="G1328" s="11">
        <v>43110</v>
      </c>
      <c r="H1328" s="8" t="s">
        <v>25</v>
      </c>
      <c r="I1328" s="11">
        <v>43111</v>
      </c>
      <c r="J1328" s="8" t="s">
        <v>25</v>
      </c>
      <c r="N1328" s="8" t="s">
        <v>58</v>
      </c>
      <c r="O1328" s="8" t="s">
        <v>59</v>
      </c>
      <c r="P1328" s="8" t="s">
        <v>59</v>
      </c>
      <c r="R1328" s="8">
        <v>0</v>
      </c>
      <c r="S1328" s="8">
        <v>0</v>
      </c>
      <c r="T1328" s="8">
        <v>1</v>
      </c>
      <c r="U1328" s="8">
        <v>2</v>
      </c>
      <c r="X1328" s="8">
        <v>5</v>
      </c>
      <c r="AG1328" s="8" t="str">
        <f t="shared" si="81"/>
        <v/>
      </c>
      <c r="AI1328" s="8" t="str">
        <f t="shared" si="82"/>
        <v/>
      </c>
      <c r="AJ1328" s="8" t="str">
        <f t="shared" si="83"/>
        <v/>
      </c>
      <c r="AL1328" s="8" t="str">
        <f t="shared" si="84"/>
        <v/>
      </c>
    </row>
    <row r="1329" spans="1:38" x14ac:dyDescent="0.25">
      <c r="A1329" s="8" t="s">
        <v>3709</v>
      </c>
      <c r="B1329" s="8" t="s">
        <v>3710</v>
      </c>
      <c r="C1329" s="8">
        <v>30843737</v>
      </c>
      <c r="D1329" s="8">
        <v>5</v>
      </c>
      <c r="E1329" s="11">
        <v>43109</v>
      </c>
      <c r="F1329" s="8" t="s">
        <v>58</v>
      </c>
      <c r="G1329" s="11">
        <v>43111</v>
      </c>
      <c r="H1329" s="8" t="s">
        <v>25</v>
      </c>
      <c r="I1329" s="11">
        <v>43115</v>
      </c>
      <c r="J1329" s="8" t="s">
        <v>25</v>
      </c>
      <c r="N1329" s="8" t="s">
        <v>58</v>
      </c>
      <c r="O1329" s="8" t="s">
        <v>59</v>
      </c>
      <c r="P1329" s="8" t="s">
        <v>59</v>
      </c>
      <c r="R1329" s="8">
        <v>0</v>
      </c>
      <c r="S1329" s="8">
        <v>0</v>
      </c>
      <c r="T1329" s="8">
        <v>1</v>
      </c>
      <c r="U1329" s="8">
        <v>2</v>
      </c>
      <c r="X1329" s="8">
        <v>5</v>
      </c>
      <c r="AG1329" s="8" t="str">
        <f t="shared" si="81"/>
        <v/>
      </c>
      <c r="AI1329" s="8" t="str">
        <f t="shared" si="82"/>
        <v/>
      </c>
      <c r="AJ1329" s="8" t="str">
        <f t="shared" si="83"/>
        <v/>
      </c>
      <c r="AL1329" s="8" t="str">
        <f t="shared" si="84"/>
        <v/>
      </c>
    </row>
    <row r="1330" spans="1:38" x14ac:dyDescent="0.25">
      <c r="A1330" s="8" t="s">
        <v>2133</v>
      </c>
      <c r="B1330" s="8" t="s">
        <v>2134</v>
      </c>
      <c r="C1330" s="8">
        <v>30865567</v>
      </c>
      <c r="D1330" s="8">
        <v>5</v>
      </c>
      <c r="E1330" s="11">
        <v>43110</v>
      </c>
      <c r="F1330" s="8" t="s">
        <v>58</v>
      </c>
      <c r="G1330" s="11">
        <v>43110</v>
      </c>
      <c r="H1330" s="8" t="s">
        <v>25</v>
      </c>
      <c r="I1330" s="11">
        <v>43112</v>
      </c>
      <c r="J1330" s="8" t="s">
        <v>25</v>
      </c>
      <c r="N1330" s="8" t="s">
        <v>58</v>
      </c>
      <c r="O1330" s="8" t="s">
        <v>59</v>
      </c>
      <c r="P1330" s="8" t="s">
        <v>59</v>
      </c>
      <c r="R1330" s="8">
        <v>0</v>
      </c>
      <c r="S1330" s="8">
        <v>0</v>
      </c>
      <c r="T1330" s="8">
        <v>1</v>
      </c>
      <c r="U1330" s="8">
        <v>2</v>
      </c>
      <c r="X1330" s="8">
        <v>5</v>
      </c>
      <c r="AG1330" s="8" t="str">
        <f t="shared" si="81"/>
        <v/>
      </c>
      <c r="AI1330" s="8" t="str">
        <f t="shared" si="82"/>
        <v/>
      </c>
      <c r="AJ1330" s="8" t="str">
        <f t="shared" si="83"/>
        <v/>
      </c>
      <c r="AL1330" s="8" t="str">
        <f t="shared" si="84"/>
        <v/>
      </c>
    </row>
    <row r="1331" spans="1:38" x14ac:dyDescent="0.25">
      <c r="A1331" s="8" t="s">
        <v>7091</v>
      </c>
      <c r="B1331" s="8" t="s">
        <v>7092</v>
      </c>
      <c r="C1331" s="8">
        <v>30923482</v>
      </c>
      <c r="D1331" s="8">
        <v>5</v>
      </c>
      <c r="E1331" s="11">
        <v>43112</v>
      </c>
      <c r="F1331" s="8" t="s">
        <v>57</v>
      </c>
      <c r="G1331" s="11">
        <v>43115</v>
      </c>
      <c r="H1331" s="8" t="s">
        <v>25</v>
      </c>
      <c r="J1331" s="8" t="s">
        <v>25</v>
      </c>
      <c r="N1331" s="8" t="s">
        <v>58</v>
      </c>
      <c r="O1331" s="8" t="s">
        <v>59</v>
      </c>
      <c r="P1331" s="8" t="s">
        <v>59</v>
      </c>
      <c r="R1331" s="8">
        <v>0</v>
      </c>
      <c r="S1331" s="8">
        <v>0</v>
      </c>
      <c r="T1331" s="8">
        <v>1</v>
      </c>
      <c r="U1331" s="8">
        <v>2</v>
      </c>
      <c r="AG1331" s="8" t="str">
        <f t="shared" si="81"/>
        <v/>
      </c>
      <c r="AI1331" s="8" t="str">
        <f t="shared" si="82"/>
        <v/>
      </c>
      <c r="AJ1331" s="8" t="str">
        <f t="shared" si="83"/>
        <v/>
      </c>
      <c r="AL1331" s="8" t="str">
        <f t="shared" si="84"/>
        <v/>
      </c>
    </row>
    <row r="1332" spans="1:38" x14ac:dyDescent="0.25">
      <c r="A1332" s="8" t="s">
        <v>3711</v>
      </c>
      <c r="B1332" s="8" t="s">
        <v>3712</v>
      </c>
      <c r="C1332" s="8">
        <v>30898297</v>
      </c>
      <c r="D1332" s="8">
        <v>5</v>
      </c>
      <c r="E1332" s="11">
        <v>43111</v>
      </c>
      <c r="F1332" s="8" t="s">
        <v>57</v>
      </c>
      <c r="G1332" s="11">
        <v>43111</v>
      </c>
      <c r="H1332" s="8" t="s">
        <v>25</v>
      </c>
      <c r="J1332" s="8" t="s">
        <v>25</v>
      </c>
      <c r="N1332" s="8" t="s">
        <v>58</v>
      </c>
      <c r="O1332" s="8" t="s">
        <v>59</v>
      </c>
      <c r="P1332" s="8" t="s">
        <v>59</v>
      </c>
      <c r="R1332" s="8">
        <v>0</v>
      </c>
      <c r="S1332" s="8">
        <v>0</v>
      </c>
      <c r="T1332" s="8">
        <v>1</v>
      </c>
      <c r="U1332" s="8">
        <v>2</v>
      </c>
      <c r="AG1332" s="8" t="str">
        <f t="shared" si="81"/>
        <v/>
      </c>
      <c r="AI1332" s="8" t="str">
        <f t="shared" si="82"/>
        <v/>
      </c>
      <c r="AJ1332" s="8" t="str">
        <f t="shared" si="83"/>
        <v/>
      </c>
      <c r="AL1332" s="8" t="str">
        <f t="shared" si="84"/>
        <v/>
      </c>
    </row>
    <row r="1333" spans="1:38" x14ac:dyDescent="0.25">
      <c r="A1333" s="8" t="s">
        <v>1115</v>
      </c>
      <c r="B1333" s="8" t="s">
        <v>1116</v>
      </c>
      <c r="C1333" s="8">
        <v>30833124</v>
      </c>
      <c r="D1333" s="8">
        <v>5</v>
      </c>
      <c r="E1333" s="11">
        <v>43109</v>
      </c>
      <c r="F1333" s="8" t="s">
        <v>58</v>
      </c>
      <c r="G1333" s="11">
        <v>43109</v>
      </c>
      <c r="H1333" s="8" t="s">
        <v>25</v>
      </c>
      <c r="I1333" s="11">
        <v>43111</v>
      </c>
      <c r="J1333" s="8" t="s">
        <v>25</v>
      </c>
      <c r="N1333" s="8" t="s">
        <v>58</v>
      </c>
      <c r="O1333" s="8" t="s">
        <v>59</v>
      </c>
      <c r="P1333" s="8" t="s">
        <v>59</v>
      </c>
      <c r="R1333" s="8">
        <v>0</v>
      </c>
      <c r="S1333" s="8">
        <v>0</v>
      </c>
      <c r="T1333" s="8">
        <v>1</v>
      </c>
      <c r="U1333" s="8">
        <v>2</v>
      </c>
      <c r="X1333" s="8">
        <v>5</v>
      </c>
      <c r="AG1333" s="8" t="str">
        <f t="shared" si="81"/>
        <v/>
      </c>
      <c r="AI1333" s="8" t="str">
        <f t="shared" si="82"/>
        <v/>
      </c>
      <c r="AJ1333" s="8" t="str">
        <f t="shared" si="83"/>
        <v/>
      </c>
      <c r="AL1333" s="8" t="str">
        <f t="shared" si="84"/>
        <v/>
      </c>
    </row>
    <row r="1334" spans="1:38" x14ac:dyDescent="0.25">
      <c r="A1334" s="8" t="s">
        <v>1117</v>
      </c>
      <c r="B1334" s="8" t="s">
        <v>1118</v>
      </c>
      <c r="C1334" s="8">
        <v>30819939</v>
      </c>
      <c r="D1334" s="8">
        <v>5</v>
      </c>
      <c r="E1334" s="11">
        <v>43108</v>
      </c>
      <c r="F1334" s="8" t="s">
        <v>58</v>
      </c>
      <c r="G1334" s="11">
        <v>43109</v>
      </c>
      <c r="H1334" s="8" t="s">
        <v>25</v>
      </c>
      <c r="I1334" s="11">
        <v>43115</v>
      </c>
      <c r="J1334" s="8" t="s">
        <v>145</v>
      </c>
      <c r="N1334" s="8" t="s">
        <v>58</v>
      </c>
      <c r="O1334" s="8" t="s">
        <v>59</v>
      </c>
      <c r="P1334" s="8" t="s">
        <v>59</v>
      </c>
      <c r="R1334" s="8">
        <v>0</v>
      </c>
      <c r="S1334" s="8">
        <v>0</v>
      </c>
      <c r="T1334" s="8">
        <v>1</v>
      </c>
      <c r="U1334" s="8">
        <v>2</v>
      </c>
      <c r="X1334" s="8">
        <v>5</v>
      </c>
      <c r="AG1334" s="8" t="str">
        <f t="shared" si="81"/>
        <v/>
      </c>
      <c r="AI1334" s="8" t="str">
        <f t="shared" si="82"/>
        <v/>
      </c>
      <c r="AJ1334" s="8" t="str">
        <f t="shared" si="83"/>
        <v/>
      </c>
      <c r="AL1334" s="8" t="str">
        <f t="shared" si="84"/>
        <v/>
      </c>
    </row>
    <row r="1335" spans="1:38" x14ac:dyDescent="0.25">
      <c r="A1335" s="8" t="s">
        <v>400</v>
      </c>
      <c r="B1335" s="8" t="s">
        <v>401</v>
      </c>
      <c r="C1335" s="8">
        <v>30806728</v>
      </c>
      <c r="D1335" s="8">
        <v>5</v>
      </c>
      <c r="E1335" s="11">
        <v>43108</v>
      </c>
      <c r="F1335" s="8" t="s">
        <v>60</v>
      </c>
      <c r="G1335" s="11">
        <v>43108</v>
      </c>
      <c r="H1335" s="8" t="s">
        <v>25</v>
      </c>
      <c r="J1335" s="8" t="s">
        <v>25</v>
      </c>
      <c r="L1335" s="8" t="s">
        <v>828</v>
      </c>
      <c r="N1335" s="8" t="s">
        <v>58</v>
      </c>
      <c r="O1335" s="8" t="s">
        <v>59</v>
      </c>
      <c r="P1335" s="8" t="s">
        <v>59</v>
      </c>
      <c r="R1335" s="8">
        <v>0</v>
      </c>
      <c r="S1335" s="8">
        <v>0</v>
      </c>
      <c r="T1335" s="8">
        <v>1</v>
      </c>
      <c r="U1335" s="8">
        <v>2</v>
      </c>
      <c r="W1335" s="8">
        <v>4</v>
      </c>
      <c r="AG1335" s="8" t="str">
        <f t="shared" si="81"/>
        <v/>
      </c>
      <c r="AI1335" s="8" t="str">
        <f t="shared" si="82"/>
        <v/>
      </c>
      <c r="AJ1335" s="8" t="str">
        <f t="shared" si="83"/>
        <v/>
      </c>
      <c r="AL1335" s="8" t="str">
        <f t="shared" si="84"/>
        <v/>
      </c>
    </row>
    <row r="1336" spans="1:38" x14ac:dyDescent="0.25">
      <c r="A1336" s="8" t="s">
        <v>402</v>
      </c>
      <c r="B1336" s="8" t="s">
        <v>403</v>
      </c>
      <c r="C1336" s="8">
        <v>30814376</v>
      </c>
      <c r="D1336" s="8">
        <v>5</v>
      </c>
      <c r="E1336" s="11">
        <v>43108</v>
      </c>
      <c r="F1336" s="8" t="s">
        <v>58</v>
      </c>
      <c r="G1336" s="11">
        <v>43108</v>
      </c>
      <c r="H1336" s="8" t="s">
        <v>25</v>
      </c>
      <c r="I1336" s="11">
        <v>43110</v>
      </c>
      <c r="J1336" s="8" t="s">
        <v>25</v>
      </c>
      <c r="N1336" s="8" t="s">
        <v>58</v>
      </c>
      <c r="O1336" s="8" t="s">
        <v>59</v>
      </c>
      <c r="P1336" s="8" t="s">
        <v>59</v>
      </c>
      <c r="R1336" s="8">
        <v>0</v>
      </c>
      <c r="S1336" s="8">
        <v>0</v>
      </c>
      <c r="T1336" s="8">
        <v>1</v>
      </c>
      <c r="U1336" s="8">
        <v>2</v>
      </c>
      <c r="X1336" s="8">
        <v>5</v>
      </c>
      <c r="AG1336" s="8" t="str">
        <f t="shared" si="81"/>
        <v/>
      </c>
      <c r="AI1336" s="8" t="str">
        <f t="shared" si="82"/>
        <v/>
      </c>
      <c r="AJ1336" s="8" t="str">
        <f t="shared" si="83"/>
        <v/>
      </c>
      <c r="AL1336" s="8" t="str">
        <f t="shared" si="84"/>
        <v/>
      </c>
    </row>
    <row r="1337" spans="1:38" x14ac:dyDescent="0.25">
      <c r="A1337" s="8" t="s">
        <v>2135</v>
      </c>
      <c r="B1337" s="8" t="s">
        <v>2136</v>
      </c>
      <c r="C1337" s="8">
        <v>30841471</v>
      </c>
      <c r="D1337" s="8">
        <v>5</v>
      </c>
      <c r="E1337" s="11">
        <v>43109</v>
      </c>
      <c r="F1337" s="8" t="s">
        <v>57</v>
      </c>
      <c r="G1337" s="11">
        <v>43110</v>
      </c>
      <c r="H1337" s="8" t="s">
        <v>25</v>
      </c>
      <c r="J1337" s="8" t="s">
        <v>25</v>
      </c>
      <c r="N1337" s="8" t="s">
        <v>58</v>
      </c>
      <c r="O1337" s="8" t="s">
        <v>59</v>
      </c>
      <c r="P1337" s="8" t="s">
        <v>59</v>
      </c>
      <c r="R1337" s="8">
        <v>0</v>
      </c>
      <c r="S1337" s="8">
        <v>0</v>
      </c>
      <c r="T1337" s="8">
        <v>1</v>
      </c>
      <c r="U1337" s="8">
        <v>2</v>
      </c>
      <c r="AG1337" s="8" t="str">
        <f t="shared" si="81"/>
        <v/>
      </c>
      <c r="AI1337" s="8" t="str">
        <f t="shared" si="82"/>
        <v/>
      </c>
      <c r="AJ1337" s="8" t="str">
        <f t="shared" si="83"/>
        <v/>
      </c>
      <c r="AL1337" s="8" t="str">
        <f t="shared" si="84"/>
        <v/>
      </c>
    </row>
    <row r="1338" spans="1:38" x14ac:dyDescent="0.25">
      <c r="A1338" s="8" t="s">
        <v>1119</v>
      </c>
      <c r="B1338" s="8" t="s">
        <v>1120</v>
      </c>
      <c r="C1338" s="8">
        <v>30840221</v>
      </c>
      <c r="D1338" s="8">
        <v>5</v>
      </c>
      <c r="E1338" s="11">
        <v>43109</v>
      </c>
      <c r="F1338" s="8" t="s">
        <v>57</v>
      </c>
      <c r="G1338" s="11">
        <v>43109</v>
      </c>
      <c r="H1338" s="8" t="s">
        <v>25</v>
      </c>
      <c r="J1338" s="8" t="s">
        <v>25</v>
      </c>
      <c r="N1338" s="8" t="s">
        <v>58</v>
      </c>
      <c r="O1338" s="8" t="s">
        <v>59</v>
      </c>
      <c r="P1338" s="8" t="s">
        <v>59</v>
      </c>
      <c r="R1338" s="8">
        <v>0</v>
      </c>
      <c r="S1338" s="8">
        <v>0</v>
      </c>
      <c r="T1338" s="8">
        <v>1</v>
      </c>
      <c r="U1338" s="8">
        <v>2</v>
      </c>
      <c r="AG1338" s="8" t="str">
        <f t="shared" si="81"/>
        <v/>
      </c>
      <c r="AI1338" s="8" t="str">
        <f t="shared" si="82"/>
        <v/>
      </c>
      <c r="AJ1338" s="8" t="str">
        <f t="shared" si="83"/>
        <v/>
      </c>
      <c r="AL1338" s="8" t="str">
        <f t="shared" si="84"/>
        <v/>
      </c>
    </row>
    <row r="1339" spans="1:38" x14ac:dyDescent="0.25">
      <c r="A1339" s="8" t="s">
        <v>2137</v>
      </c>
      <c r="B1339" s="8" t="s">
        <v>2138</v>
      </c>
      <c r="C1339" s="8">
        <v>30863725</v>
      </c>
      <c r="D1339" s="8">
        <v>5</v>
      </c>
      <c r="E1339" s="11">
        <v>43110</v>
      </c>
      <c r="F1339" s="8" t="s">
        <v>57</v>
      </c>
      <c r="G1339" s="11">
        <v>43110</v>
      </c>
      <c r="H1339" s="8" t="s">
        <v>25</v>
      </c>
      <c r="J1339" s="8" t="s">
        <v>25</v>
      </c>
      <c r="N1339" s="8" t="s">
        <v>58</v>
      </c>
      <c r="O1339" s="8" t="s">
        <v>59</v>
      </c>
      <c r="P1339" s="8" t="s">
        <v>59</v>
      </c>
      <c r="R1339" s="8">
        <v>0</v>
      </c>
      <c r="S1339" s="8">
        <v>0</v>
      </c>
      <c r="T1339" s="8">
        <v>1</v>
      </c>
      <c r="U1339" s="8">
        <v>2</v>
      </c>
      <c r="AG1339" s="8" t="str">
        <f t="shared" si="81"/>
        <v/>
      </c>
      <c r="AI1339" s="8" t="str">
        <f t="shared" si="82"/>
        <v/>
      </c>
      <c r="AJ1339" s="8" t="str">
        <f t="shared" si="83"/>
        <v/>
      </c>
      <c r="AL1339" s="8" t="str">
        <f t="shared" si="84"/>
        <v/>
      </c>
    </row>
    <row r="1340" spans="1:38" x14ac:dyDescent="0.25">
      <c r="A1340" s="8" t="s">
        <v>2139</v>
      </c>
      <c r="B1340" s="8" t="s">
        <v>2140</v>
      </c>
      <c r="C1340" s="8">
        <v>30866169</v>
      </c>
      <c r="D1340" s="8">
        <v>5</v>
      </c>
      <c r="E1340" s="11">
        <v>43110</v>
      </c>
      <c r="F1340" s="8" t="s">
        <v>57</v>
      </c>
      <c r="G1340" s="11">
        <v>43110</v>
      </c>
      <c r="H1340" s="8" t="s">
        <v>25</v>
      </c>
      <c r="J1340" s="8" t="s">
        <v>25</v>
      </c>
      <c r="N1340" s="8" t="s">
        <v>58</v>
      </c>
      <c r="O1340" s="8" t="s">
        <v>59</v>
      </c>
      <c r="P1340" s="8" t="s">
        <v>59</v>
      </c>
      <c r="R1340" s="8">
        <v>0</v>
      </c>
      <c r="S1340" s="8">
        <v>0</v>
      </c>
      <c r="T1340" s="8">
        <v>1</v>
      </c>
      <c r="U1340" s="8">
        <v>2</v>
      </c>
      <c r="AG1340" s="8" t="str">
        <f t="shared" si="81"/>
        <v/>
      </c>
      <c r="AI1340" s="8" t="str">
        <f t="shared" si="82"/>
        <v/>
      </c>
      <c r="AJ1340" s="8" t="str">
        <f t="shared" si="83"/>
        <v/>
      </c>
      <c r="AL1340" s="8" t="str">
        <f t="shared" si="84"/>
        <v/>
      </c>
    </row>
    <row r="1341" spans="1:38" x14ac:dyDescent="0.25">
      <c r="A1341" s="8" t="s">
        <v>2141</v>
      </c>
      <c r="B1341" s="8" t="s">
        <v>2142</v>
      </c>
      <c r="C1341" s="8">
        <v>30865550</v>
      </c>
      <c r="D1341" s="8">
        <v>4</v>
      </c>
      <c r="E1341" s="11">
        <v>43110</v>
      </c>
      <c r="F1341" s="8" t="s">
        <v>57</v>
      </c>
      <c r="G1341" s="11">
        <v>43110</v>
      </c>
      <c r="H1341" s="8" t="s">
        <v>25</v>
      </c>
      <c r="J1341" s="8" t="s">
        <v>25</v>
      </c>
      <c r="N1341" s="8" t="s">
        <v>58</v>
      </c>
      <c r="O1341" s="8" t="s">
        <v>59</v>
      </c>
      <c r="P1341" s="8" t="s">
        <v>59</v>
      </c>
      <c r="R1341" s="8">
        <v>0</v>
      </c>
      <c r="S1341" s="8">
        <v>0</v>
      </c>
      <c r="T1341" s="8">
        <v>1</v>
      </c>
      <c r="U1341" s="8">
        <v>2</v>
      </c>
      <c r="AG1341" s="8" t="str">
        <f t="shared" si="81"/>
        <v/>
      </c>
      <c r="AI1341" s="8" t="str">
        <f t="shared" si="82"/>
        <v/>
      </c>
      <c r="AJ1341" s="8" t="str">
        <f t="shared" si="83"/>
        <v/>
      </c>
      <c r="AL1341" s="8" t="str">
        <f t="shared" si="84"/>
        <v/>
      </c>
    </row>
    <row r="1342" spans="1:38" x14ac:dyDescent="0.25">
      <c r="A1342" s="8" t="s">
        <v>3713</v>
      </c>
      <c r="B1342" s="8" t="s">
        <v>3714</v>
      </c>
      <c r="C1342" s="8">
        <v>30886900</v>
      </c>
      <c r="D1342" s="8">
        <v>5</v>
      </c>
      <c r="E1342" s="11">
        <v>43111</v>
      </c>
      <c r="F1342" s="8" t="s">
        <v>58</v>
      </c>
      <c r="G1342" s="11">
        <v>43111</v>
      </c>
      <c r="H1342" s="8" t="s">
        <v>25</v>
      </c>
      <c r="I1342" s="11">
        <v>43111</v>
      </c>
      <c r="J1342" s="8" t="s">
        <v>25</v>
      </c>
      <c r="N1342" s="8" t="s">
        <v>58</v>
      </c>
      <c r="O1342" s="8" t="s">
        <v>59</v>
      </c>
      <c r="P1342" s="8" t="s">
        <v>59</v>
      </c>
      <c r="R1342" s="8">
        <v>0</v>
      </c>
      <c r="S1342" s="8">
        <v>0</v>
      </c>
      <c r="T1342" s="8">
        <v>1</v>
      </c>
      <c r="U1342" s="8">
        <v>2</v>
      </c>
      <c r="X1342" s="8">
        <v>5</v>
      </c>
      <c r="AG1342" s="8" t="str">
        <f t="shared" si="81"/>
        <v/>
      </c>
      <c r="AI1342" s="8" t="str">
        <f t="shared" si="82"/>
        <v/>
      </c>
      <c r="AJ1342" s="8" t="str">
        <f t="shared" si="83"/>
        <v/>
      </c>
      <c r="AL1342" s="8" t="str">
        <f t="shared" si="84"/>
        <v/>
      </c>
    </row>
    <row r="1343" spans="1:38" x14ac:dyDescent="0.25">
      <c r="A1343" s="8" t="s">
        <v>2143</v>
      </c>
      <c r="B1343" s="8" t="s">
        <v>2144</v>
      </c>
      <c r="C1343" s="8">
        <v>30860611</v>
      </c>
      <c r="D1343" s="8">
        <v>5</v>
      </c>
      <c r="E1343" s="11">
        <v>43110</v>
      </c>
      <c r="F1343" s="8" t="s">
        <v>57</v>
      </c>
      <c r="G1343" s="11">
        <v>43110</v>
      </c>
      <c r="H1343" s="8" t="s">
        <v>25</v>
      </c>
      <c r="J1343" s="8" t="s">
        <v>25</v>
      </c>
      <c r="N1343" s="8" t="s">
        <v>58</v>
      </c>
      <c r="O1343" s="8" t="s">
        <v>59</v>
      </c>
      <c r="P1343" s="8" t="s">
        <v>59</v>
      </c>
      <c r="R1343" s="8">
        <v>0</v>
      </c>
      <c r="S1343" s="8">
        <v>0</v>
      </c>
      <c r="T1343" s="8">
        <v>1</v>
      </c>
      <c r="U1343" s="8">
        <v>2</v>
      </c>
      <c r="AG1343" s="8" t="str">
        <f t="shared" si="81"/>
        <v/>
      </c>
      <c r="AI1343" s="8" t="str">
        <f t="shared" si="82"/>
        <v/>
      </c>
      <c r="AJ1343" s="8" t="str">
        <f t="shared" si="83"/>
        <v/>
      </c>
      <c r="AL1343" s="8" t="str">
        <f t="shared" si="84"/>
        <v/>
      </c>
    </row>
    <row r="1344" spans="1:38" x14ac:dyDescent="0.25">
      <c r="A1344" s="8" t="s">
        <v>404</v>
      </c>
      <c r="B1344" s="8" t="s">
        <v>405</v>
      </c>
      <c r="C1344" s="8">
        <v>30820750</v>
      </c>
      <c r="D1344" s="8">
        <v>5</v>
      </c>
      <c r="E1344" s="11">
        <v>43108</v>
      </c>
      <c r="F1344" s="8" t="s">
        <v>58</v>
      </c>
      <c r="G1344" s="11">
        <v>43108</v>
      </c>
      <c r="H1344" s="8" t="s">
        <v>25</v>
      </c>
      <c r="I1344" s="11">
        <v>43108</v>
      </c>
      <c r="J1344" s="8" t="s">
        <v>25</v>
      </c>
      <c r="N1344" s="8" t="s">
        <v>58</v>
      </c>
      <c r="O1344" s="8" t="s">
        <v>59</v>
      </c>
      <c r="P1344" s="8" t="s">
        <v>59</v>
      </c>
      <c r="R1344" s="8">
        <v>0</v>
      </c>
      <c r="S1344" s="8">
        <v>0</v>
      </c>
      <c r="T1344" s="8">
        <v>1</v>
      </c>
      <c r="U1344" s="8">
        <v>2</v>
      </c>
      <c r="X1344" s="8">
        <v>5</v>
      </c>
      <c r="AG1344" s="8" t="str">
        <f t="shared" si="81"/>
        <v/>
      </c>
      <c r="AI1344" s="8" t="str">
        <f t="shared" si="82"/>
        <v/>
      </c>
      <c r="AJ1344" s="8" t="str">
        <f t="shared" si="83"/>
        <v/>
      </c>
      <c r="AL1344" s="8" t="str">
        <f t="shared" si="84"/>
        <v/>
      </c>
    </row>
    <row r="1345" spans="1:38" x14ac:dyDescent="0.25">
      <c r="A1345" s="8" t="s">
        <v>1121</v>
      </c>
      <c r="B1345" s="8" t="s">
        <v>1122</v>
      </c>
      <c r="C1345" s="8">
        <v>30832115</v>
      </c>
      <c r="D1345" s="8">
        <v>5</v>
      </c>
      <c r="E1345" s="11">
        <v>43109</v>
      </c>
      <c r="F1345" s="8" t="s">
        <v>58</v>
      </c>
      <c r="G1345" s="11">
        <v>43109</v>
      </c>
      <c r="H1345" s="8" t="s">
        <v>25</v>
      </c>
      <c r="I1345" s="11">
        <v>43109</v>
      </c>
      <c r="J1345" s="8" t="s">
        <v>25</v>
      </c>
      <c r="N1345" s="8" t="s">
        <v>58</v>
      </c>
      <c r="O1345" s="8" t="s">
        <v>59</v>
      </c>
      <c r="P1345" s="8" t="s">
        <v>59</v>
      </c>
      <c r="R1345" s="8">
        <v>0</v>
      </c>
      <c r="S1345" s="8">
        <v>0</v>
      </c>
      <c r="T1345" s="8">
        <v>1</v>
      </c>
      <c r="U1345" s="8">
        <v>2</v>
      </c>
      <c r="X1345" s="8">
        <v>5</v>
      </c>
      <c r="AG1345" s="8" t="str">
        <f t="shared" si="81"/>
        <v/>
      </c>
      <c r="AI1345" s="8" t="str">
        <f t="shared" si="82"/>
        <v/>
      </c>
      <c r="AJ1345" s="8" t="str">
        <f t="shared" si="83"/>
        <v/>
      </c>
      <c r="AL1345" s="8" t="str">
        <f t="shared" si="84"/>
        <v/>
      </c>
    </row>
    <row r="1346" spans="1:38" x14ac:dyDescent="0.25">
      <c r="A1346" s="8" t="s">
        <v>3715</v>
      </c>
      <c r="B1346" s="8" t="s">
        <v>3716</v>
      </c>
      <c r="C1346" s="8">
        <v>30883495</v>
      </c>
      <c r="D1346" s="8">
        <v>5</v>
      </c>
      <c r="E1346" s="11">
        <v>43111</v>
      </c>
      <c r="F1346" s="8" t="s">
        <v>58</v>
      </c>
      <c r="G1346" s="11">
        <v>43111</v>
      </c>
      <c r="H1346" s="8" t="s">
        <v>25</v>
      </c>
      <c r="I1346" s="11">
        <v>43111</v>
      </c>
      <c r="J1346" s="8" t="s">
        <v>25</v>
      </c>
      <c r="N1346" s="8" t="s">
        <v>58</v>
      </c>
      <c r="O1346" s="8" t="s">
        <v>59</v>
      </c>
      <c r="P1346" s="8" t="s">
        <v>59</v>
      </c>
      <c r="R1346" s="8">
        <v>0</v>
      </c>
      <c r="S1346" s="8">
        <v>0</v>
      </c>
      <c r="T1346" s="8">
        <v>1</v>
      </c>
      <c r="U1346" s="8">
        <v>2</v>
      </c>
      <c r="X1346" s="8">
        <v>5</v>
      </c>
      <c r="AG1346" s="8" t="str">
        <f t="shared" si="81"/>
        <v/>
      </c>
      <c r="AI1346" s="8" t="str">
        <f t="shared" si="82"/>
        <v/>
      </c>
      <c r="AJ1346" s="8" t="str">
        <f t="shared" si="83"/>
        <v/>
      </c>
      <c r="AL1346" s="8" t="str">
        <f t="shared" si="84"/>
        <v/>
      </c>
    </row>
    <row r="1347" spans="1:38" x14ac:dyDescent="0.25">
      <c r="A1347" s="8" t="s">
        <v>3717</v>
      </c>
      <c r="B1347" s="8" t="s">
        <v>3718</v>
      </c>
      <c r="C1347" s="8">
        <v>30882953</v>
      </c>
      <c r="D1347" s="8">
        <v>5</v>
      </c>
      <c r="E1347" s="11">
        <v>43111</v>
      </c>
      <c r="F1347" s="8" t="s">
        <v>58</v>
      </c>
      <c r="G1347" s="11">
        <v>43111</v>
      </c>
      <c r="H1347" s="8" t="s">
        <v>25</v>
      </c>
      <c r="I1347" s="11">
        <v>43111</v>
      </c>
      <c r="J1347" s="8" t="s">
        <v>25</v>
      </c>
      <c r="N1347" s="8" t="s">
        <v>58</v>
      </c>
      <c r="O1347" s="8" t="s">
        <v>59</v>
      </c>
      <c r="P1347" s="8" t="s">
        <v>59</v>
      </c>
      <c r="R1347" s="8">
        <v>0</v>
      </c>
      <c r="S1347" s="8">
        <v>0</v>
      </c>
      <c r="T1347" s="8">
        <v>1</v>
      </c>
      <c r="U1347" s="8">
        <v>2</v>
      </c>
      <c r="X1347" s="8">
        <v>5</v>
      </c>
      <c r="AG1347" s="8" t="str">
        <f t="shared" ref="AG1347:AG1410" si="85">IF(AND(U1347="",G1347&lt;&gt;"",NOT(OR(R1347,S1347))),IF(NETWORKDAYS.INTL(G1347,TODAY(),11)&lt;5,"En Plazo",IF(NETWORKDAYS.INTL(G1347,TODAY(),11)=5,"Riesgo Incumplimiento","FALTA_02")),"")</f>
        <v/>
      </c>
      <c r="AI1347" s="8" t="str">
        <f t="shared" ref="AI1347:AI1410" si="86">IF(AND(O1347&lt;&gt;"B1",F1347="Rejected"),IF(W1347="","FALTA_04",""),"")</f>
        <v/>
      </c>
      <c r="AJ1347" s="8" t="str">
        <f t="shared" ref="AJ1347:AJ1410" si="87">IF(AND(X1347="",I1347&lt;&gt;"",NOT(OR(R1347,S1347))),IF(NETWORKDAYS.INTL(G1347,TODAY(),11)&lt;=1,"En Plazo",IF(OR(AND(X1347="",O1347&lt;&gt;"M1"),AND(O1347="M1",(OR(Q1347="S - S",Q1347="S - T",)))),"FALTA_05","")),"")</f>
        <v/>
      </c>
      <c r="AL1347" s="8" t="str">
        <f t="shared" ref="AL1347:AL1410" si="88">IF(AND(O1347="B1",F1347="Rejected"),IF(Z1347="","FALTA_07",""),"")</f>
        <v/>
      </c>
    </row>
    <row r="1348" spans="1:38" x14ac:dyDescent="0.25">
      <c r="A1348" s="8" t="s">
        <v>1123</v>
      </c>
      <c r="B1348" s="8" t="s">
        <v>1124</v>
      </c>
      <c r="C1348" s="8">
        <v>30827670</v>
      </c>
      <c r="D1348" s="8">
        <v>5</v>
      </c>
      <c r="E1348" s="11">
        <v>43108</v>
      </c>
      <c r="F1348" s="8" t="s">
        <v>60</v>
      </c>
      <c r="G1348" s="11">
        <v>43109</v>
      </c>
      <c r="H1348" s="8" t="s">
        <v>25</v>
      </c>
      <c r="J1348" s="8" t="s">
        <v>25</v>
      </c>
      <c r="L1348" s="8" t="s">
        <v>1662</v>
      </c>
      <c r="N1348" s="8" t="s">
        <v>58</v>
      </c>
      <c r="O1348" s="8" t="s">
        <v>59</v>
      </c>
      <c r="P1348" s="8" t="s">
        <v>59</v>
      </c>
      <c r="R1348" s="8">
        <v>0</v>
      </c>
      <c r="S1348" s="8">
        <v>0</v>
      </c>
      <c r="T1348" s="8">
        <v>1</v>
      </c>
      <c r="U1348" s="8">
        <v>2</v>
      </c>
      <c r="W1348" s="8">
        <v>4</v>
      </c>
      <c r="AG1348" s="8" t="str">
        <f t="shared" si="85"/>
        <v/>
      </c>
      <c r="AI1348" s="8" t="str">
        <f t="shared" si="86"/>
        <v/>
      </c>
      <c r="AJ1348" s="8" t="str">
        <f t="shared" si="87"/>
        <v/>
      </c>
      <c r="AL1348" s="8" t="str">
        <f t="shared" si="88"/>
        <v/>
      </c>
    </row>
    <row r="1349" spans="1:38" x14ac:dyDescent="0.25">
      <c r="A1349" s="8" t="s">
        <v>5225</v>
      </c>
      <c r="B1349" s="8" t="s">
        <v>5226</v>
      </c>
      <c r="C1349" s="8">
        <v>30928736</v>
      </c>
      <c r="D1349" s="8">
        <v>5</v>
      </c>
      <c r="E1349" s="11">
        <v>43114</v>
      </c>
      <c r="F1349" s="8" t="s">
        <v>58</v>
      </c>
      <c r="G1349" s="11">
        <v>43114</v>
      </c>
      <c r="H1349" s="8" t="s">
        <v>25</v>
      </c>
      <c r="I1349" s="11">
        <v>43115</v>
      </c>
      <c r="J1349" s="8" t="s">
        <v>25</v>
      </c>
      <c r="N1349" s="8" t="s">
        <v>58</v>
      </c>
      <c r="O1349" s="8" t="s">
        <v>59</v>
      </c>
      <c r="P1349" s="8" t="s">
        <v>59</v>
      </c>
      <c r="R1349" s="8">
        <v>0</v>
      </c>
      <c r="S1349" s="8">
        <v>0</v>
      </c>
      <c r="T1349" s="8">
        <v>1</v>
      </c>
      <c r="U1349" s="8">
        <v>2</v>
      </c>
      <c r="X1349" s="8">
        <v>5</v>
      </c>
      <c r="AG1349" s="8" t="str">
        <f t="shared" si="85"/>
        <v/>
      </c>
      <c r="AI1349" s="8" t="str">
        <f t="shared" si="86"/>
        <v/>
      </c>
      <c r="AJ1349" s="8" t="str">
        <f t="shared" si="87"/>
        <v/>
      </c>
      <c r="AL1349" s="8" t="str">
        <f t="shared" si="88"/>
        <v/>
      </c>
    </row>
    <row r="1350" spans="1:38" x14ac:dyDescent="0.25">
      <c r="A1350" s="8" t="s">
        <v>5227</v>
      </c>
      <c r="B1350" s="8" t="s">
        <v>5228</v>
      </c>
      <c r="C1350" s="8">
        <v>30873180</v>
      </c>
      <c r="D1350" s="8">
        <v>5</v>
      </c>
      <c r="E1350" s="11">
        <v>43110</v>
      </c>
      <c r="F1350" s="8" t="s">
        <v>57</v>
      </c>
      <c r="G1350" s="11">
        <v>43112</v>
      </c>
      <c r="H1350" s="8" t="s">
        <v>25</v>
      </c>
      <c r="J1350" s="8" t="s">
        <v>25</v>
      </c>
      <c r="N1350" s="8" t="s">
        <v>58</v>
      </c>
      <c r="O1350" s="8" t="s">
        <v>59</v>
      </c>
      <c r="P1350" s="8" t="s">
        <v>59</v>
      </c>
      <c r="R1350" s="8">
        <v>0</v>
      </c>
      <c r="S1350" s="8">
        <v>0</v>
      </c>
      <c r="T1350" s="8">
        <v>1</v>
      </c>
      <c r="U1350" s="8">
        <v>2</v>
      </c>
      <c r="AG1350" s="8" t="str">
        <f t="shared" si="85"/>
        <v/>
      </c>
      <c r="AI1350" s="8" t="str">
        <f t="shared" si="86"/>
        <v/>
      </c>
      <c r="AJ1350" s="8" t="str">
        <f t="shared" si="87"/>
        <v/>
      </c>
      <c r="AL1350" s="8" t="str">
        <f t="shared" si="88"/>
        <v/>
      </c>
    </row>
    <row r="1351" spans="1:38" x14ac:dyDescent="0.25">
      <c r="A1351" s="8" t="s">
        <v>5229</v>
      </c>
      <c r="B1351" s="8" t="s">
        <v>5230</v>
      </c>
      <c r="C1351" s="8">
        <v>30873562</v>
      </c>
      <c r="D1351" s="8">
        <v>5</v>
      </c>
      <c r="E1351" s="11">
        <v>43110</v>
      </c>
      <c r="F1351" s="8" t="s">
        <v>57</v>
      </c>
      <c r="G1351" s="11">
        <v>43112</v>
      </c>
      <c r="H1351" s="8" t="s">
        <v>25</v>
      </c>
      <c r="J1351" s="8" t="s">
        <v>25</v>
      </c>
      <c r="N1351" s="8" t="s">
        <v>58</v>
      </c>
      <c r="O1351" s="8" t="s">
        <v>59</v>
      </c>
      <c r="P1351" s="8" t="s">
        <v>59</v>
      </c>
      <c r="R1351" s="8">
        <v>0</v>
      </c>
      <c r="S1351" s="8">
        <v>0</v>
      </c>
      <c r="T1351" s="8">
        <v>1</v>
      </c>
      <c r="U1351" s="8">
        <v>2</v>
      </c>
      <c r="AG1351" s="8" t="str">
        <f t="shared" si="85"/>
        <v/>
      </c>
      <c r="AI1351" s="8" t="str">
        <f t="shared" si="86"/>
        <v/>
      </c>
      <c r="AJ1351" s="8" t="str">
        <f t="shared" si="87"/>
        <v/>
      </c>
      <c r="AL1351" s="8" t="str">
        <f t="shared" si="88"/>
        <v/>
      </c>
    </row>
    <row r="1352" spans="1:38" x14ac:dyDescent="0.25">
      <c r="A1352" s="8" t="s">
        <v>5231</v>
      </c>
      <c r="B1352" s="8" t="s">
        <v>5232</v>
      </c>
      <c r="C1352" s="8">
        <v>30881093</v>
      </c>
      <c r="D1352" s="8">
        <v>5</v>
      </c>
      <c r="E1352" s="11">
        <v>43111</v>
      </c>
      <c r="F1352" s="8" t="s">
        <v>57</v>
      </c>
      <c r="G1352" s="11">
        <v>43112</v>
      </c>
      <c r="H1352" s="8" t="s">
        <v>25</v>
      </c>
      <c r="J1352" s="8" t="s">
        <v>25</v>
      </c>
      <c r="N1352" s="8" t="s">
        <v>58</v>
      </c>
      <c r="O1352" s="8" t="s">
        <v>59</v>
      </c>
      <c r="P1352" s="8" t="s">
        <v>59</v>
      </c>
      <c r="R1352" s="8">
        <v>0</v>
      </c>
      <c r="S1352" s="8">
        <v>0</v>
      </c>
      <c r="T1352" s="8">
        <v>1</v>
      </c>
      <c r="U1352" s="8">
        <v>2</v>
      </c>
      <c r="AG1352" s="8" t="str">
        <f t="shared" si="85"/>
        <v/>
      </c>
      <c r="AI1352" s="8" t="str">
        <f t="shared" si="86"/>
        <v/>
      </c>
      <c r="AJ1352" s="8" t="str">
        <f t="shared" si="87"/>
        <v/>
      </c>
      <c r="AL1352" s="8" t="str">
        <f t="shared" si="88"/>
        <v/>
      </c>
    </row>
    <row r="1353" spans="1:38" x14ac:dyDescent="0.25">
      <c r="A1353" s="8" t="s">
        <v>5233</v>
      </c>
      <c r="B1353" s="8" t="s">
        <v>5234</v>
      </c>
      <c r="C1353" s="8">
        <v>30874035</v>
      </c>
      <c r="D1353" s="8">
        <v>5</v>
      </c>
      <c r="E1353" s="11">
        <v>43110</v>
      </c>
      <c r="F1353" s="8" t="s">
        <v>57</v>
      </c>
      <c r="G1353" s="11">
        <v>43112</v>
      </c>
      <c r="H1353" s="8" t="s">
        <v>25</v>
      </c>
      <c r="J1353" s="8" t="s">
        <v>25</v>
      </c>
      <c r="N1353" s="8" t="s">
        <v>58</v>
      </c>
      <c r="O1353" s="8" t="s">
        <v>59</v>
      </c>
      <c r="P1353" s="8" t="s">
        <v>59</v>
      </c>
      <c r="R1353" s="8">
        <v>0</v>
      </c>
      <c r="S1353" s="8">
        <v>0</v>
      </c>
      <c r="T1353" s="8">
        <v>1</v>
      </c>
      <c r="U1353" s="8">
        <v>2</v>
      </c>
      <c r="AG1353" s="8" t="str">
        <f t="shared" si="85"/>
        <v/>
      </c>
      <c r="AI1353" s="8" t="str">
        <f t="shared" si="86"/>
        <v/>
      </c>
      <c r="AJ1353" s="8" t="str">
        <f t="shared" si="87"/>
        <v/>
      </c>
      <c r="AL1353" s="8" t="str">
        <f t="shared" si="88"/>
        <v/>
      </c>
    </row>
    <row r="1354" spans="1:38" x14ac:dyDescent="0.25">
      <c r="A1354" s="8" t="s">
        <v>5235</v>
      </c>
      <c r="B1354" s="8" t="s">
        <v>5236</v>
      </c>
      <c r="C1354" s="8">
        <v>30874637</v>
      </c>
      <c r="D1354" s="8">
        <v>5</v>
      </c>
      <c r="E1354" s="11">
        <v>43110</v>
      </c>
      <c r="F1354" s="8" t="s">
        <v>57</v>
      </c>
      <c r="G1354" s="11">
        <v>43112</v>
      </c>
      <c r="H1354" s="8" t="s">
        <v>25</v>
      </c>
      <c r="J1354" s="8" t="s">
        <v>25</v>
      </c>
      <c r="N1354" s="8" t="s">
        <v>58</v>
      </c>
      <c r="O1354" s="8" t="s">
        <v>59</v>
      </c>
      <c r="P1354" s="8" t="s">
        <v>59</v>
      </c>
      <c r="R1354" s="8">
        <v>0</v>
      </c>
      <c r="S1354" s="8">
        <v>0</v>
      </c>
      <c r="T1354" s="8">
        <v>1</v>
      </c>
      <c r="U1354" s="8">
        <v>2</v>
      </c>
      <c r="AG1354" s="8" t="str">
        <f t="shared" si="85"/>
        <v/>
      </c>
      <c r="AI1354" s="8" t="str">
        <f t="shared" si="86"/>
        <v/>
      </c>
      <c r="AJ1354" s="8" t="str">
        <f t="shared" si="87"/>
        <v/>
      </c>
      <c r="AL1354" s="8" t="str">
        <f t="shared" si="88"/>
        <v/>
      </c>
    </row>
    <row r="1355" spans="1:38" x14ac:dyDescent="0.25">
      <c r="A1355" s="8" t="s">
        <v>5237</v>
      </c>
      <c r="B1355" s="8" t="s">
        <v>5238</v>
      </c>
      <c r="C1355" s="8">
        <v>30874837</v>
      </c>
      <c r="D1355" s="8">
        <v>5</v>
      </c>
      <c r="E1355" s="11">
        <v>43110</v>
      </c>
      <c r="F1355" s="8" t="s">
        <v>57</v>
      </c>
      <c r="G1355" s="11">
        <v>43112</v>
      </c>
      <c r="H1355" s="8" t="s">
        <v>25</v>
      </c>
      <c r="J1355" s="8" t="s">
        <v>25</v>
      </c>
      <c r="N1355" s="8" t="s">
        <v>58</v>
      </c>
      <c r="O1355" s="8" t="s">
        <v>59</v>
      </c>
      <c r="P1355" s="8" t="s">
        <v>59</v>
      </c>
      <c r="R1355" s="8">
        <v>0</v>
      </c>
      <c r="S1355" s="8">
        <v>0</v>
      </c>
      <c r="T1355" s="8">
        <v>1</v>
      </c>
      <c r="U1355" s="8">
        <v>2</v>
      </c>
      <c r="AG1355" s="8" t="str">
        <f t="shared" si="85"/>
        <v/>
      </c>
      <c r="AI1355" s="8" t="str">
        <f t="shared" si="86"/>
        <v/>
      </c>
      <c r="AJ1355" s="8" t="str">
        <f t="shared" si="87"/>
        <v/>
      </c>
      <c r="AL1355" s="8" t="str">
        <f t="shared" si="88"/>
        <v/>
      </c>
    </row>
    <row r="1356" spans="1:38" x14ac:dyDescent="0.25">
      <c r="A1356" s="8" t="s">
        <v>5239</v>
      </c>
      <c r="B1356" s="8" t="s">
        <v>5240</v>
      </c>
      <c r="C1356" s="8">
        <v>30874230</v>
      </c>
      <c r="D1356" s="8">
        <v>5</v>
      </c>
      <c r="E1356" s="11">
        <v>43110</v>
      </c>
      <c r="F1356" s="8" t="s">
        <v>57</v>
      </c>
      <c r="G1356" s="11">
        <v>43112</v>
      </c>
      <c r="H1356" s="8" t="s">
        <v>25</v>
      </c>
      <c r="J1356" s="8" t="s">
        <v>25</v>
      </c>
      <c r="N1356" s="8" t="s">
        <v>58</v>
      </c>
      <c r="O1356" s="8" t="s">
        <v>59</v>
      </c>
      <c r="P1356" s="8" t="s">
        <v>59</v>
      </c>
      <c r="R1356" s="8">
        <v>0</v>
      </c>
      <c r="S1356" s="8">
        <v>0</v>
      </c>
      <c r="T1356" s="8">
        <v>1</v>
      </c>
      <c r="U1356" s="8">
        <v>2</v>
      </c>
      <c r="AG1356" s="8" t="str">
        <f t="shared" si="85"/>
        <v/>
      </c>
      <c r="AI1356" s="8" t="str">
        <f t="shared" si="86"/>
        <v/>
      </c>
      <c r="AJ1356" s="8" t="str">
        <f t="shared" si="87"/>
        <v/>
      </c>
      <c r="AL1356" s="8" t="str">
        <f t="shared" si="88"/>
        <v/>
      </c>
    </row>
    <row r="1357" spans="1:38" x14ac:dyDescent="0.25">
      <c r="A1357" s="8" t="s">
        <v>1125</v>
      </c>
      <c r="B1357" s="8" t="s">
        <v>1126</v>
      </c>
      <c r="C1357" s="8">
        <v>30826466</v>
      </c>
      <c r="D1357" s="8">
        <v>5</v>
      </c>
      <c r="E1357" s="11">
        <v>43108</v>
      </c>
      <c r="F1357" s="8" t="s">
        <v>58</v>
      </c>
      <c r="G1357" s="11">
        <v>43109</v>
      </c>
      <c r="H1357" s="8" t="s">
        <v>25</v>
      </c>
      <c r="I1357" s="11">
        <v>43115</v>
      </c>
      <c r="J1357" s="8" t="s">
        <v>145</v>
      </c>
      <c r="N1357" s="8" t="s">
        <v>58</v>
      </c>
      <c r="O1357" s="8" t="s">
        <v>59</v>
      </c>
      <c r="P1357" s="8" t="s">
        <v>59</v>
      </c>
      <c r="R1357" s="8">
        <v>0</v>
      </c>
      <c r="S1357" s="8">
        <v>0</v>
      </c>
      <c r="T1357" s="8">
        <v>1</v>
      </c>
      <c r="U1357" s="8">
        <v>2</v>
      </c>
      <c r="X1357" s="8">
        <v>5</v>
      </c>
      <c r="AG1357" s="8" t="str">
        <f t="shared" si="85"/>
        <v/>
      </c>
      <c r="AI1357" s="8" t="str">
        <f t="shared" si="86"/>
        <v/>
      </c>
      <c r="AJ1357" s="8" t="str">
        <f t="shared" si="87"/>
        <v/>
      </c>
      <c r="AL1357" s="8" t="str">
        <f t="shared" si="88"/>
        <v/>
      </c>
    </row>
    <row r="1358" spans="1:38" x14ac:dyDescent="0.25">
      <c r="A1358" s="8" t="s">
        <v>5241</v>
      </c>
      <c r="B1358" s="8" t="s">
        <v>5242</v>
      </c>
      <c r="C1358" s="8">
        <v>30903566</v>
      </c>
      <c r="D1358" s="8">
        <v>5</v>
      </c>
      <c r="E1358" s="11">
        <v>43111</v>
      </c>
      <c r="F1358" s="8" t="s">
        <v>57</v>
      </c>
      <c r="G1358" s="11">
        <v>43112</v>
      </c>
      <c r="H1358" s="8" t="s">
        <v>25</v>
      </c>
      <c r="J1358" s="8" t="s">
        <v>25</v>
      </c>
      <c r="N1358" s="8" t="s">
        <v>58</v>
      </c>
      <c r="O1358" s="8" t="s">
        <v>59</v>
      </c>
      <c r="P1358" s="8" t="s">
        <v>59</v>
      </c>
      <c r="R1358" s="8">
        <v>0</v>
      </c>
      <c r="S1358" s="8">
        <v>0</v>
      </c>
      <c r="T1358" s="8">
        <v>1</v>
      </c>
      <c r="U1358" s="8">
        <v>2</v>
      </c>
      <c r="AG1358" s="8" t="str">
        <f t="shared" si="85"/>
        <v/>
      </c>
      <c r="AI1358" s="8" t="str">
        <f t="shared" si="86"/>
        <v/>
      </c>
      <c r="AJ1358" s="8" t="str">
        <f t="shared" si="87"/>
        <v/>
      </c>
      <c r="AL1358" s="8" t="str">
        <f t="shared" si="88"/>
        <v/>
      </c>
    </row>
    <row r="1359" spans="1:38" x14ac:dyDescent="0.25">
      <c r="A1359" s="8" t="s">
        <v>3719</v>
      </c>
      <c r="B1359" s="8" t="s">
        <v>3720</v>
      </c>
      <c r="C1359" s="8">
        <v>30867953</v>
      </c>
      <c r="D1359" s="8">
        <v>5</v>
      </c>
      <c r="E1359" s="11">
        <v>43110</v>
      </c>
      <c r="F1359" s="8" t="s">
        <v>58</v>
      </c>
      <c r="G1359" s="11">
        <v>43111</v>
      </c>
      <c r="H1359" s="8" t="s">
        <v>25</v>
      </c>
      <c r="I1359" s="11">
        <v>43115</v>
      </c>
      <c r="J1359" s="8" t="s">
        <v>25</v>
      </c>
      <c r="N1359" s="8" t="s">
        <v>58</v>
      </c>
      <c r="O1359" s="8" t="s">
        <v>59</v>
      </c>
      <c r="P1359" s="8" t="s">
        <v>59</v>
      </c>
      <c r="R1359" s="8">
        <v>0</v>
      </c>
      <c r="S1359" s="8">
        <v>0</v>
      </c>
      <c r="T1359" s="8">
        <v>1</v>
      </c>
      <c r="U1359" s="8">
        <v>2</v>
      </c>
      <c r="X1359" s="8">
        <v>5</v>
      </c>
      <c r="AG1359" s="8" t="str">
        <f t="shared" si="85"/>
        <v/>
      </c>
      <c r="AI1359" s="8" t="str">
        <f t="shared" si="86"/>
        <v/>
      </c>
      <c r="AJ1359" s="8" t="str">
        <f t="shared" si="87"/>
        <v/>
      </c>
      <c r="AL1359" s="8" t="str">
        <f t="shared" si="88"/>
        <v/>
      </c>
    </row>
    <row r="1360" spans="1:38" x14ac:dyDescent="0.25">
      <c r="A1360" s="8" t="s">
        <v>7093</v>
      </c>
      <c r="B1360" s="8" t="s">
        <v>7094</v>
      </c>
      <c r="C1360" s="8">
        <v>30939103</v>
      </c>
      <c r="D1360" s="8">
        <v>3</v>
      </c>
      <c r="E1360" s="11">
        <v>43115</v>
      </c>
      <c r="F1360" s="8" t="s">
        <v>57</v>
      </c>
      <c r="G1360" s="11">
        <v>43115</v>
      </c>
      <c r="H1360" s="8" t="s">
        <v>25</v>
      </c>
      <c r="J1360" s="8" t="s">
        <v>25</v>
      </c>
      <c r="N1360" s="8" t="s">
        <v>58</v>
      </c>
      <c r="O1360" s="8" t="s">
        <v>59</v>
      </c>
      <c r="P1360" s="8" t="s">
        <v>59</v>
      </c>
      <c r="R1360" s="8">
        <v>0</v>
      </c>
      <c r="S1360" s="8">
        <v>0</v>
      </c>
      <c r="T1360" s="8">
        <v>1</v>
      </c>
      <c r="U1360" s="8">
        <v>2</v>
      </c>
      <c r="AG1360" s="8" t="str">
        <f t="shared" si="85"/>
        <v/>
      </c>
      <c r="AI1360" s="8" t="str">
        <f t="shared" si="86"/>
        <v/>
      </c>
      <c r="AJ1360" s="8" t="str">
        <f t="shared" si="87"/>
        <v/>
      </c>
      <c r="AL1360" s="8" t="str">
        <f t="shared" si="88"/>
        <v/>
      </c>
    </row>
    <row r="1361" spans="1:38" x14ac:dyDescent="0.25">
      <c r="A1361" s="8" t="s">
        <v>1127</v>
      </c>
      <c r="B1361" s="8" t="s">
        <v>1128</v>
      </c>
      <c r="C1361" s="8">
        <v>30844596</v>
      </c>
      <c r="D1361" s="8">
        <v>3</v>
      </c>
      <c r="E1361" s="11">
        <v>43109</v>
      </c>
      <c r="F1361" s="8" t="s">
        <v>57</v>
      </c>
      <c r="G1361" s="11">
        <v>43109</v>
      </c>
      <c r="H1361" s="8" t="s">
        <v>25</v>
      </c>
      <c r="J1361" s="8" t="s">
        <v>145</v>
      </c>
      <c r="N1361" s="8" t="s">
        <v>58</v>
      </c>
      <c r="O1361" s="8" t="s">
        <v>59</v>
      </c>
      <c r="P1361" s="8" t="s">
        <v>59</v>
      </c>
      <c r="R1361" s="8">
        <v>0</v>
      </c>
      <c r="S1361" s="8">
        <v>0</v>
      </c>
      <c r="T1361" s="8">
        <v>1</v>
      </c>
      <c r="U1361" s="8">
        <v>2</v>
      </c>
      <c r="AG1361" s="8" t="str">
        <f t="shared" si="85"/>
        <v/>
      </c>
      <c r="AI1361" s="8" t="str">
        <f t="shared" si="86"/>
        <v/>
      </c>
      <c r="AJ1361" s="8" t="str">
        <f t="shared" si="87"/>
        <v/>
      </c>
      <c r="AL1361" s="8" t="str">
        <f t="shared" si="88"/>
        <v/>
      </c>
    </row>
    <row r="1362" spans="1:38" x14ac:dyDescent="0.25">
      <c r="A1362" s="8" t="s">
        <v>5243</v>
      </c>
      <c r="B1362" s="8" t="s">
        <v>5244</v>
      </c>
      <c r="C1362" s="8">
        <v>30894400</v>
      </c>
      <c r="D1362" s="8">
        <v>5</v>
      </c>
      <c r="E1362" s="11">
        <v>43111</v>
      </c>
      <c r="F1362" s="8" t="s">
        <v>60</v>
      </c>
      <c r="G1362" s="11">
        <v>43112</v>
      </c>
      <c r="H1362" s="8" t="s">
        <v>25</v>
      </c>
      <c r="J1362" s="8" t="s">
        <v>25</v>
      </c>
      <c r="L1362" s="8" t="s">
        <v>4797</v>
      </c>
      <c r="M1362" s="8" t="s">
        <v>66</v>
      </c>
      <c r="N1362" s="8" t="s">
        <v>58</v>
      </c>
      <c r="O1362" s="8" t="s">
        <v>59</v>
      </c>
      <c r="P1362" s="8" t="s">
        <v>59</v>
      </c>
      <c r="R1362" s="8">
        <v>0</v>
      </c>
      <c r="S1362" s="8">
        <v>0</v>
      </c>
      <c r="T1362" s="8">
        <v>1</v>
      </c>
      <c r="U1362" s="8">
        <v>2</v>
      </c>
      <c r="AG1362" s="8" t="str">
        <f t="shared" si="85"/>
        <v/>
      </c>
      <c r="AI1362" s="8" t="str">
        <f t="shared" si="86"/>
        <v/>
      </c>
      <c r="AJ1362" s="8" t="str">
        <f t="shared" si="87"/>
        <v/>
      </c>
      <c r="AL1362" s="8" t="str">
        <f t="shared" si="88"/>
        <v/>
      </c>
    </row>
    <row r="1363" spans="1:38" x14ac:dyDescent="0.25">
      <c r="A1363" s="8" t="s">
        <v>2145</v>
      </c>
      <c r="B1363" s="8" t="s">
        <v>2146</v>
      </c>
      <c r="C1363" s="8">
        <v>30816407</v>
      </c>
      <c r="D1363" s="8">
        <v>5</v>
      </c>
      <c r="E1363" s="11">
        <v>43108</v>
      </c>
      <c r="F1363" s="8" t="s">
        <v>58</v>
      </c>
      <c r="G1363" s="11">
        <v>43110</v>
      </c>
      <c r="H1363" s="8" t="s">
        <v>25</v>
      </c>
      <c r="I1363" s="11">
        <v>43110</v>
      </c>
      <c r="J1363" s="8" t="s">
        <v>25</v>
      </c>
      <c r="N1363" s="8" t="s">
        <v>58</v>
      </c>
      <c r="O1363" s="8" t="s">
        <v>59</v>
      </c>
      <c r="P1363" s="8" t="s">
        <v>59</v>
      </c>
      <c r="R1363" s="8">
        <v>0</v>
      </c>
      <c r="S1363" s="8">
        <v>0</v>
      </c>
      <c r="T1363" s="8">
        <v>1</v>
      </c>
      <c r="U1363" s="8">
        <v>2</v>
      </c>
      <c r="X1363" s="8">
        <v>5</v>
      </c>
      <c r="AG1363" s="8" t="str">
        <f t="shared" si="85"/>
        <v/>
      </c>
      <c r="AI1363" s="8" t="str">
        <f t="shared" si="86"/>
        <v/>
      </c>
      <c r="AJ1363" s="8" t="str">
        <f t="shared" si="87"/>
        <v/>
      </c>
      <c r="AL1363" s="8" t="str">
        <f t="shared" si="88"/>
        <v/>
      </c>
    </row>
    <row r="1364" spans="1:38" x14ac:dyDescent="0.25">
      <c r="A1364" s="8" t="s">
        <v>5245</v>
      </c>
      <c r="B1364" s="8" t="s">
        <v>5246</v>
      </c>
      <c r="C1364" s="8">
        <v>30916835</v>
      </c>
      <c r="D1364" s="8">
        <v>4</v>
      </c>
      <c r="E1364" s="11">
        <v>43112</v>
      </c>
      <c r="F1364" s="8" t="s">
        <v>57</v>
      </c>
      <c r="G1364" s="11">
        <v>43112</v>
      </c>
      <c r="H1364" s="8" t="s">
        <v>25</v>
      </c>
      <c r="J1364" s="8" t="s">
        <v>25</v>
      </c>
      <c r="N1364" s="8" t="s">
        <v>58</v>
      </c>
      <c r="O1364" s="8" t="s">
        <v>59</v>
      </c>
      <c r="P1364" s="8" t="s">
        <v>59</v>
      </c>
      <c r="R1364" s="8">
        <v>0</v>
      </c>
      <c r="S1364" s="8">
        <v>0</v>
      </c>
      <c r="T1364" s="8">
        <v>1</v>
      </c>
      <c r="U1364" s="8">
        <v>2</v>
      </c>
      <c r="AG1364" s="8" t="str">
        <f t="shared" si="85"/>
        <v/>
      </c>
      <c r="AI1364" s="8" t="str">
        <f t="shared" si="86"/>
        <v/>
      </c>
      <c r="AJ1364" s="8" t="str">
        <f t="shared" si="87"/>
        <v/>
      </c>
      <c r="AL1364" s="8" t="str">
        <f t="shared" si="88"/>
        <v/>
      </c>
    </row>
    <row r="1365" spans="1:38" x14ac:dyDescent="0.25">
      <c r="A1365" s="8" t="s">
        <v>5247</v>
      </c>
      <c r="B1365" s="8" t="s">
        <v>5248</v>
      </c>
      <c r="C1365" s="8">
        <v>30878519</v>
      </c>
      <c r="D1365" s="8">
        <v>5</v>
      </c>
      <c r="E1365" s="11">
        <v>43110</v>
      </c>
      <c r="F1365" s="8" t="s">
        <v>57</v>
      </c>
      <c r="G1365" s="11">
        <v>43112</v>
      </c>
      <c r="H1365" s="8" t="s">
        <v>25</v>
      </c>
      <c r="J1365" s="8" t="s">
        <v>25</v>
      </c>
      <c r="N1365" s="8" t="s">
        <v>58</v>
      </c>
      <c r="O1365" s="8" t="s">
        <v>59</v>
      </c>
      <c r="P1365" s="8" t="s">
        <v>59</v>
      </c>
      <c r="R1365" s="8">
        <v>0</v>
      </c>
      <c r="S1365" s="8">
        <v>0</v>
      </c>
      <c r="T1365" s="8">
        <v>1</v>
      </c>
      <c r="U1365" s="8">
        <v>2</v>
      </c>
      <c r="AG1365" s="8" t="str">
        <f t="shared" si="85"/>
        <v/>
      </c>
      <c r="AI1365" s="8" t="str">
        <f t="shared" si="86"/>
        <v/>
      </c>
      <c r="AJ1365" s="8" t="str">
        <f t="shared" si="87"/>
        <v/>
      </c>
      <c r="AL1365" s="8" t="str">
        <f t="shared" si="88"/>
        <v/>
      </c>
    </row>
    <row r="1366" spans="1:38" x14ac:dyDescent="0.25">
      <c r="A1366" s="8" t="s">
        <v>2147</v>
      </c>
      <c r="B1366" s="8" t="s">
        <v>2148</v>
      </c>
      <c r="C1366" s="8">
        <v>30830886</v>
      </c>
      <c r="D1366" s="8">
        <v>5</v>
      </c>
      <c r="E1366" s="11">
        <v>43109</v>
      </c>
      <c r="F1366" s="8" t="s">
        <v>58</v>
      </c>
      <c r="G1366" s="11">
        <v>43110</v>
      </c>
      <c r="H1366" s="8" t="s">
        <v>25</v>
      </c>
      <c r="I1366" s="11">
        <v>43112</v>
      </c>
      <c r="J1366" s="8" t="s">
        <v>25</v>
      </c>
      <c r="N1366" s="8" t="s">
        <v>58</v>
      </c>
      <c r="O1366" s="8" t="s">
        <v>59</v>
      </c>
      <c r="P1366" s="8" t="s">
        <v>59</v>
      </c>
      <c r="R1366" s="8">
        <v>0</v>
      </c>
      <c r="S1366" s="8">
        <v>0</v>
      </c>
      <c r="T1366" s="8">
        <v>1</v>
      </c>
      <c r="U1366" s="8">
        <v>2</v>
      </c>
      <c r="X1366" s="8">
        <v>5</v>
      </c>
      <c r="AG1366" s="8" t="str">
        <f t="shared" si="85"/>
        <v/>
      </c>
      <c r="AI1366" s="8" t="str">
        <f t="shared" si="86"/>
        <v/>
      </c>
      <c r="AJ1366" s="8" t="str">
        <f t="shared" si="87"/>
        <v/>
      </c>
      <c r="AL1366" s="8" t="str">
        <f t="shared" si="88"/>
        <v/>
      </c>
    </row>
    <row r="1367" spans="1:38" x14ac:dyDescent="0.25">
      <c r="A1367" s="8" t="s">
        <v>3721</v>
      </c>
      <c r="B1367" s="8" t="s">
        <v>3722</v>
      </c>
      <c r="C1367" s="8">
        <v>30889618</v>
      </c>
      <c r="D1367" s="8">
        <v>5</v>
      </c>
      <c r="E1367" s="11">
        <v>43111</v>
      </c>
      <c r="F1367" s="8" t="s">
        <v>57</v>
      </c>
      <c r="G1367" s="11">
        <v>43111</v>
      </c>
      <c r="H1367" s="8" t="s">
        <v>25</v>
      </c>
      <c r="J1367" s="8" t="s">
        <v>145</v>
      </c>
      <c r="N1367" s="8" t="s">
        <v>58</v>
      </c>
      <c r="O1367" s="8" t="s">
        <v>59</v>
      </c>
      <c r="P1367" s="8" t="s">
        <v>59</v>
      </c>
      <c r="R1367" s="8">
        <v>0</v>
      </c>
      <c r="S1367" s="8">
        <v>0</v>
      </c>
      <c r="T1367" s="8">
        <v>1</v>
      </c>
      <c r="U1367" s="8">
        <v>2</v>
      </c>
      <c r="Y1367" s="8">
        <v>6</v>
      </c>
      <c r="AG1367" s="8" t="str">
        <f t="shared" si="85"/>
        <v/>
      </c>
      <c r="AI1367" s="8" t="str">
        <f t="shared" si="86"/>
        <v/>
      </c>
      <c r="AJ1367" s="8" t="str">
        <f t="shared" si="87"/>
        <v/>
      </c>
      <c r="AL1367" s="8" t="str">
        <f t="shared" si="88"/>
        <v/>
      </c>
    </row>
    <row r="1368" spans="1:38" x14ac:dyDescent="0.25">
      <c r="A1368" s="8" t="s">
        <v>7095</v>
      </c>
      <c r="B1368" s="8" t="s">
        <v>7096</v>
      </c>
      <c r="C1368" s="8">
        <v>30917706</v>
      </c>
      <c r="D1368" s="8">
        <v>5</v>
      </c>
      <c r="E1368" s="11">
        <v>43112</v>
      </c>
      <c r="F1368" s="8" t="s">
        <v>57</v>
      </c>
      <c r="G1368" s="11">
        <v>43115</v>
      </c>
      <c r="H1368" s="8" t="s">
        <v>25</v>
      </c>
      <c r="J1368" s="8" t="s">
        <v>25</v>
      </c>
      <c r="N1368" s="8" t="s">
        <v>58</v>
      </c>
      <c r="O1368" s="8" t="s">
        <v>59</v>
      </c>
      <c r="P1368" s="8" t="s">
        <v>59</v>
      </c>
      <c r="R1368" s="8">
        <v>0</v>
      </c>
      <c r="S1368" s="8">
        <v>0</v>
      </c>
      <c r="T1368" s="8">
        <v>1</v>
      </c>
      <c r="U1368" s="8">
        <v>2</v>
      </c>
      <c r="AG1368" s="8" t="str">
        <f t="shared" si="85"/>
        <v/>
      </c>
      <c r="AI1368" s="8" t="str">
        <f t="shared" si="86"/>
        <v/>
      </c>
      <c r="AJ1368" s="8" t="str">
        <f t="shared" si="87"/>
        <v/>
      </c>
      <c r="AL1368" s="8" t="str">
        <f t="shared" si="88"/>
        <v/>
      </c>
    </row>
    <row r="1369" spans="1:38" x14ac:dyDescent="0.25">
      <c r="A1369" s="8" t="s">
        <v>7097</v>
      </c>
      <c r="B1369" s="8" t="s">
        <v>7098</v>
      </c>
      <c r="C1369" s="8">
        <v>30930442</v>
      </c>
      <c r="D1369" s="8">
        <v>5</v>
      </c>
      <c r="E1369" s="11">
        <v>43115</v>
      </c>
      <c r="F1369" s="8" t="s">
        <v>57</v>
      </c>
      <c r="G1369" s="11">
        <v>43115</v>
      </c>
      <c r="H1369" s="8" t="s">
        <v>25</v>
      </c>
      <c r="J1369" s="8" t="s">
        <v>25</v>
      </c>
      <c r="N1369" s="8" t="s">
        <v>58</v>
      </c>
      <c r="O1369" s="8" t="s">
        <v>59</v>
      </c>
      <c r="P1369" s="8" t="s">
        <v>59</v>
      </c>
      <c r="R1369" s="8">
        <v>0</v>
      </c>
      <c r="S1369" s="8">
        <v>0</v>
      </c>
      <c r="T1369" s="8">
        <v>1</v>
      </c>
      <c r="U1369" s="8">
        <v>2</v>
      </c>
      <c r="AG1369" s="8" t="str">
        <f t="shared" si="85"/>
        <v/>
      </c>
      <c r="AI1369" s="8" t="str">
        <f t="shared" si="86"/>
        <v/>
      </c>
      <c r="AJ1369" s="8" t="str">
        <f t="shared" si="87"/>
        <v/>
      </c>
      <c r="AL1369" s="8" t="str">
        <f t="shared" si="88"/>
        <v/>
      </c>
    </row>
    <row r="1370" spans="1:38" x14ac:dyDescent="0.25">
      <c r="A1370" s="8" t="s">
        <v>2149</v>
      </c>
      <c r="B1370" s="8" t="s">
        <v>2150</v>
      </c>
      <c r="C1370" s="8">
        <v>30869485</v>
      </c>
      <c r="D1370" s="8">
        <v>5</v>
      </c>
      <c r="E1370" s="11">
        <v>43110</v>
      </c>
      <c r="F1370" s="8" t="s">
        <v>57</v>
      </c>
      <c r="G1370" s="11">
        <v>43110</v>
      </c>
      <c r="H1370" s="8" t="s">
        <v>25</v>
      </c>
      <c r="J1370" s="8" t="s">
        <v>25</v>
      </c>
      <c r="N1370" s="8" t="s">
        <v>58</v>
      </c>
      <c r="O1370" s="8" t="s">
        <v>59</v>
      </c>
      <c r="P1370" s="8" t="s">
        <v>59</v>
      </c>
      <c r="R1370" s="8">
        <v>0</v>
      </c>
      <c r="S1370" s="8">
        <v>0</v>
      </c>
      <c r="T1370" s="8">
        <v>1</v>
      </c>
      <c r="U1370" s="8">
        <v>2</v>
      </c>
      <c r="AG1370" s="8" t="str">
        <f t="shared" si="85"/>
        <v/>
      </c>
      <c r="AI1370" s="8" t="str">
        <f t="shared" si="86"/>
        <v/>
      </c>
      <c r="AJ1370" s="8" t="str">
        <f t="shared" si="87"/>
        <v/>
      </c>
      <c r="AL1370" s="8" t="str">
        <f t="shared" si="88"/>
        <v/>
      </c>
    </row>
    <row r="1371" spans="1:38" x14ac:dyDescent="0.25">
      <c r="A1371" s="8" t="s">
        <v>5249</v>
      </c>
      <c r="B1371" s="8" t="s">
        <v>5250</v>
      </c>
      <c r="C1371" s="8">
        <v>30913509</v>
      </c>
      <c r="D1371" s="8">
        <v>5</v>
      </c>
      <c r="E1371" s="11">
        <v>43112</v>
      </c>
      <c r="F1371" s="8" t="s">
        <v>57</v>
      </c>
      <c r="G1371" s="11">
        <v>43112</v>
      </c>
      <c r="H1371" s="8" t="s">
        <v>25</v>
      </c>
      <c r="J1371" s="8" t="s">
        <v>25</v>
      </c>
      <c r="N1371" s="8" t="s">
        <v>58</v>
      </c>
      <c r="O1371" s="8" t="s">
        <v>59</v>
      </c>
      <c r="P1371" s="8" t="s">
        <v>59</v>
      </c>
      <c r="R1371" s="8">
        <v>0</v>
      </c>
      <c r="S1371" s="8">
        <v>0</v>
      </c>
      <c r="T1371" s="8">
        <v>1</v>
      </c>
      <c r="U1371" s="8">
        <v>2</v>
      </c>
      <c r="AG1371" s="8" t="str">
        <f t="shared" si="85"/>
        <v/>
      </c>
      <c r="AI1371" s="8" t="str">
        <f t="shared" si="86"/>
        <v/>
      </c>
      <c r="AJ1371" s="8" t="str">
        <f t="shared" si="87"/>
        <v/>
      </c>
      <c r="AL1371" s="8" t="str">
        <f t="shared" si="88"/>
        <v/>
      </c>
    </row>
    <row r="1372" spans="1:38" x14ac:dyDescent="0.25">
      <c r="A1372" s="8" t="s">
        <v>7099</v>
      </c>
      <c r="B1372" s="8" t="s">
        <v>7100</v>
      </c>
      <c r="C1372" s="8">
        <v>30932544</v>
      </c>
      <c r="D1372" s="8">
        <v>5</v>
      </c>
      <c r="E1372" s="11">
        <v>43115</v>
      </c>
      <c r="F1372" s="8" t="s">
        <v>57</v>
      </c>
      <c r="G1372" s="11">
        <v>43115</v>
      </c>
      <c r="H1372" s="8" t="s">
        <v>25</v>
      </c>
      <c r="J1372" s="8" t="s">
        <v>25</v>
      </c>
      <c r="N1372" s="8" t="s">
        <v>58</v>
      </c>
      <c r="O1372" s="8" t="s">
        <v>59</v>
      </c>
      <c r="P1372" s="8" t="s">
        <v>59</v>
      </c>
      <c r="R1372" s="8">
        <v>0</v>
      </c>
      <c r="S1372" s="8">
        <v>0</v>
      </c>
      <c r="T1372" s="8">
        <v>1</v>
      </c>
      <c r="U1372" s="8">
        <v>2</v>
      </c>
      <c r="AG1372" s="8" t="str">
        <f t="shared" si="85"/>
        <v/>
      </c>
      <c r="AI1372" s="8" t="str">
        <f t="shared" si="86"/>
        <v/>
      </c>
      <c r="AJ1372" s="8" t="str">
        <f t="shared" si="87"/>
        <v/>
      </c>
      <c r="AL1372" s="8" t="str">
        <f t="shared" si="88"/>
        <v/>
      </c>
    </row>
    <row r="1373" spans="1:38" x14ac:dyDescent="0.25">
      <c r="A1373" s="8" t="s">
        <v>3723</v>
      </c>
      <c r="B1373" s="8" t="s">
        <v>3724</v>
      </c>
      <c r="C1373" s="8">
        <v>30867447</v>
      </c>
      <c r="D1373" s="8">
        <v>4</v>
      </c>
      <c r="E1373" s="11">
        <v>43110</v>
      </c>
      <c r="F1373" s="8" t="s">
        <v>57</v>
      </c>
      <c r="G1373" s="11">
        <v>43111</v>
      </c>
      <c r="H1373" s="8" t="s">
        <v>25</v>
      </c>
      <c r="J1373" s="8" t="s">
        <v>25</v>
      </c>
      <c r="N1373" s="8" t="s">
        <v>58</v>
      </c>
      <c r="O1373" s="8" t="s">
        <v>59</v>
      </c>
      <c r="P1373" s="8" t="s">
        <v>59</v>
      </c>
      <c r="R1373" s="8">
        <v>0</v>
      </c>
      <c r="S1373" s="8">
        <v>0</v>
      </c>
      <c r="T1373" s="8">
        <v>1</v>
      </c>
      <c r="U1373" s="8">
        <v>2</v>
      </c>
      <c r="AG1373" s="8" t="str">
        <f t="shared" si="85"/>
        <v/>
      </c>
      <c r="AI1373" s="8" t="str">
        <f t="shared" si="86"/>
        <v/>
      </c>
      <c r="AJ1373" s="8" t="str">
        <f t="shared" si="87"/>
        <v/>
      </c>
      <c r="AL1373" s="8" t="str">
        <f t="shared" si="88"/>
        <v/>
      </c>
    </row>
    <row r="1374" spans="1:38" x14ac:dyDescent="0.25">
      <c r="A1374" s="8" t="s">
        <v>2151</v>
      </c>
      <c r="B1374" s="8" t="s">
        <v>2152</v>
      </c>
      <c r="C1374" s="8">
        <v>30840055</v>
      </c>
      <c r="D1374" s="8">
        <v>5</v>
      </c>
      <c r="E1374" s="11">
        <v>43109</v>
      </c>
      <c r="F1374" s="8" t="s">
        <v>57</v>
      </c>
      <c r="G1374" s="11">
        <v>43110</v>
      </c>
      <c r="H1374" s="8" t="s">
        <v>25</v>
      </c>
      <c r="J1374" s="8" t="s">
        <v>25</v>
      </c>
      <c r="N1374" s="8" t="s">
        <v>58</v>
      </c>
      <c r="O1374" s="8" t="s">
        <v>59</v>
      </c>
      <c r="P1374" s="8" t="s">
        <v>59</v>
      </c>
      <c r="R1374" s="8">
        <v>0</v>
      </c>
      <c r="S1374" s="8">
        <v>0</v>
      </c>
      <c r="T1374" s="8">
        <v>1</v>
      </c>
      <c r="U1374" s="8">
        <v>2</v>
      </c>
      <c r="AG1374" s="8" t="str">
        <f t="shared" si="85"/>
        <v/>
      </c>
      <c r="AI1374" s="8" t="str">
        <f t="shared" si="86"/>
        <v/>
      </c>
      <c r="AJ1374" s="8" t="str">
        <f t="shared" si="87"/>
        <v/>
      </c>
      <c r="AL1374" s="8" t="str">
        <f t="shared" si="88"/>
        <v/>
      </c>
    </row>
    <row r="1375" spans="1:38" x14ac:dyDescent="0.25">
      <c r="A1375" s="8" t="s">
        <v>7101</v>
      </c>
      <c r="B1375" s="8" t="s">
        <v>7102</v>
      </c>
      <c r="C1375" s="8">
        <v>30930605</v>
      </c>
      <c r="D1375" s="8">
        <v>5</v>
      </c>
      <c r="E1375" s="11">
        <v>43115</v>
      </c>
      <c r="F1375" s="8" t="s">
        <v>58</v>
      </c>
      <c r="G1375" s="11">
        <v>43115</v>
      </c>
      <c r="H1375" s="8" t="s">
        <v>25</v>
      </c>
      <c r="I1375" s="11">
        <v>43115</v>
      </c>
      <c r="J1375" s="8" t="s">
        <v>25</v>
      </c>
      <c r="N1375" s="8" t="s">
        <v>58</v>
      </c>
      <c r="O1375" s="8" t="s">
        <v>59</v>
      </c>
      <c r="P1375" s="8" t="s">
        <v>59</v>
      </c>
      <c r="R1375" s="8">
        <v>0</v>
      </c>
      <c r="S1375" s="8">
        <v>0</v>
      </c>
      <c r="T1375" s="8">
        <v>1</v>
      </c>
      <c r="U1375" s="8">
        <v>2</v>
      </c>
      <c r="X1375" s="8">
        <v>5</v>
      </c>
      <c r="AG1375" s="8" t="str">
        <f t="shared" si="85"/>
        <v/>
      </c>
      <c r="AI1375" s="8" t="str">
        <f t="shared" si="86"/>
        <v/>
      </c>
      <c r="AJ1375" s="8" t="str">
        <f t="shared" si="87"/>
        <v/>
      </c>
      <c r="AL1375" s="8" t="str">
        <f t="shared" si="88"/>
        <v/>
      </c>
    </row>
    <row r="1376" spans="1:38" x14ac:dyDescent="0.25">
      <c r="A1376" s="8" t="s">
        <v>3725</v>
      </c>
      <c r="B1376" s="8" t="s">
        <v>3726</v>
      </c>
      <c r="C1376" s="8">
        <v>30843863</v>
      </c>
      <c r="D1376" s="8">
        <v>5</v>
      </c>
      <c r="E1376" s="11">
        <v>43109</v>
      </c>
      <c r="F1376" s="8" t="s">
        <v>58</v>
      </c>
      <c r="G1376" s="11">
        <v>43111</v>
      </c>
      <c r="H1376" s="8" t="s">
        <v>25</v>
      </c>
      <c r="I1376" s="11">
        <v>43115</v>
      </c>
      <c r="J1376" s="8" t="s">
        <v>25</v>
      </c>
      <c r="N1376" s="8" t="s">
        <v>58</v>
      </c>
      <c r="O1376" s="8" t="s">
        <v>59</v>
      </c>
      <c r="P1376" s="8" t="s">
        <v>59</v>
      </c>
      <c r="R1376" s="8">
        <v>0</v>
      </c>
      <c r="S1376" s="8">
        <v>0</v>
      </c>
      <c r="T1376" s="8">
        <v>1</v>
      </c>
      <c r="U1376" s="8">
        <v>2</v>
      </c>
      <c r="X1376" s="8">
        <v>5</v>
      </c>
      <c r="AG1376" s="8" t="str">
        <f t="shared" si="85"/>
        <v/>
      </c>
      <c r="AI1376" s="8" t="str">
        <f t="shared" si="86"/>
        <v/>
      </c>
      <c r="AJ1376" s="8" t="str">
        <f t="shared" si="87"/>
        <v/>
      </c>
      <c r="AL1376" s="8" t="str">
        <f t="shared" si="88"/>
        <v/>
      </c>
    </row>
    <row r="1377" spans="1:38" x14ac:dyDescent="0.25">
      <c r="A1377" s="8" t="s">
        <v>2153</v>
      </c>
      <c r="B1377" s="8" t="s">
        <v>2154</v>
      </c>
      <c r="C1377" s="8">
        <v>30832490</v>
      </c>
      <c r="D1377" s="8">
        <v>5</v>
      </c>
      <c r="E1377" s="11">
        <v>43109</v>
      </c>
      <c r="F1377" s="8" t="s">
        <v>58</v>
      </c>
      <c r="G1377" s="11">
        <v>43110</v>
      </c>
      <c r="H1377" s="8" t="s">
        <v>25</v>
      </c>
      <c r="I1377" s="11">
        <v>43111</v>
      </c>
      <c r="J1377" s="8" t="s">
        <v>25</v>
      </c>
      <c r="N1377" s="8" t="s">
        <v>58</v>
      </c>
      <c r="O1377" s="8" t="s">
        <v>59</v>
      </c>
      <c r="P1377" s="8" t="s">
        <v>59</v>
      </c>
      <c r="R1377" s="8">
        <v>0</v>
      </c>
      <c r="S1377" s="8">
        <v>0</v>
      </c>
      <c r="T1377" s="8">
        <v>1</v>
      </c>
      <c r="U1377" s="8">
        <v>2</v>
      </c>
      <c r="X1377" s="8">
        <v>5</v>
      </c>
      <c r="AG1377" s="8" t="str">
        <f t="shared" si="85"/>
        <v/>
      </c>
      <c r="AI1377" s="8" t="str">
        <f t="shared" si="86"/>
        <v/>
      </c>
      <c r="AJ1377" s="8" t="str">
        <f t="shared" si="87"/>
        <v/>
      </c>
      <c r="AL1377" s="8" t="str">
        <f t="shared" si="88"/>
        <v/>
      </c>
    </row>
    <row r="1378" spans="1:38" x14ac:dyDescent="0.25">
      <c r="A1378" s="8" t="s">
        <v>3727</v>
      </c>
      <c r="B1378" s="8" t="s">
        <v>3728</v>
      </c>
      <c r="C1378" s="8">
        <v>30844050</v>
      </c>
      <c r="D1378" s="8">
        <v>5</v>
      </c>
      <c r="E1378" s="11">
        <v>43109</v>
      </c>
      <c r="F1378" s="8" t="s">
        <v>58</v>
      </c>
      <c r="G1378" s="11">
        <v>43111</v>
      </c>
      <c r="H1378" s="8" t="s">
        <v>25</v>
      </c>
      <c r="I1378" s="11">
        <v>43115</v>
      </c>
      <c r="J1378" s="8" t="s">
        <v>25</v>
      </c>
      <c r="N1378" s="8" t="s">
        <v>58</v>
      </c>
      <c r="O1378" s="8" t="s">
        <v>59</v>
      </c>
      <c r="P1378" s="8" t="s">
        <v>59</v>
      </c>
      <c r="R1378" s="8">
        <v>0</v>
      </c>
      <c r="S1378" s="8">
        <v>0</v>
      </c>
      <c r="T1378" s="8">
        <v>1</v>
      </c>
      <c r="U1378" s="8">
        <v>2</v>
      </c>
      <c r="X1378" s="8">
        <v>5</v>
      </c>
      <c r="AG1378" s="8" t="str">
        <f t="shared" si="85"/>
        <v/>
      </c>
      <c r="AI1378" s="8" t="str">
        <f t="shared" si="86"/>
        <v/>
      </c>
      <c r="AJ1378" s="8" t="str">
        <f t="shared" si="87"/>
        <v/>
      </c>
      <c r="AL1378" s="8" t="str">
        <f t="shared" si="88"/>
        <v/>
      </c>
    </row>
    <row r="1379" spans="1:38" x14ac:dyDescent="0.25">
      <c r="A1379" s="8" t="s">
        <v>406</v>
      </c>
      <c r="B1379" s="8" t="s">
        <v>407</v>
      </c>
      <c r="C1379" s="8">
        <v>30810077</v>
      </c>
      <c r="D1379" s="8">
        <v>5</v>
      </c>
      <c r="E1379" s="11">
        <v>43108</v>
      </c>
      <c r="F1379" s="8" t="s">
        <v>58</v>
      </c>
      <c r="G1379" s="11">
        <v>43108</v>
      </c>
      <c r="H1379" s="8" t="s">
        <v>25</v>
      </c>
      <c r="I1379" s="11">
        <v>43108</v>
      </c>
      <c r="J1379" s="8" t="s">
        <v>25</v>
      </c>
      <c r="N1379" s="8" t="s">
        <v>58</v>
      </c>
      <c r="O1379" s="8" t="s">
        <v>59</v>
      </c>
      <c r="P1379" s="8" t="s">
        <v>59</v>
      </c>
      <c r="R1379" s="8">
        <v>0</v>
      </c>
      <c r="S1379" s="8">
        <v>0</v>
      </c>
      <c r="T1379" s="8">
        <v>1</v>
      </c>
      <c r="U1379" s="8">
        <v>2</v>
      </c>
      <c r="X1379" s="8">
        <v>5</v>
      </c>
      <c r="AG1379" s="8" t="str">
        <f t="shared" si="85"/>
        <v/>
      </c>
      <c r="AI1379" s="8" t="str">
        <f t="shared" si="86"/>
        <v/>
      </c>
      <c r="AJ1379" s="8" t="str">
        <f t="shared" si="87"/>
        <v/>
      </c>
      <c r="AL1379" s="8" t="str">
        <f t="shared" si="88"/>
        <v/>
      </c>
    </row>
    <row r="1380" spans="1:38" x14ac:dyDescent="0.25">
      <c r="A1380" s="8" t="s">
        <v>408</v>
      </c>
      <c r="B1380" s="8" t="s">
        <v>409</v>
      </c>
      <c r="C1380" s="8">
        <v>30824876</v>
      </c>
      <c r="D1380" s="8">
        <v>5</v>
      </c>
      <c r="E1380" s="11">
        <v>43108</v>
      </c>
      <c r="F1380" s="8" t="s">
        <v>58</v>
      </c>
      <c r="G1380" s="11">
        <v>43108</v>
      </c>
      <c r="H1380" s="8" t="s">
        <v>25</v>
      </c>
      <c r="I1380" s="11">
        <v>43111</v>
      </c>
      <c r="J1380" s="8" t="s">
        <v>25</v>
      </c>
      <c r="N1380" s="8" t="s">
        <v>58</v>
      </c>
      <c r="O1380" s="8" t="s">
        <v>59</v>
      </c>
      <c r="P1380" s="8" t="s">
        <v>59</v>
      </c>
      <c r="R1380" s="8">
        <v>0</v>
      </c>
      <c r="S1380" s="8">
        <v>0</v>
      </c>
      <c r="T1380" s="8">
        <v>1</v>
      </c>
      <c r="U1380" s="8">
        <v>2</v>
      </c>
      <c r="X1380" s="8">
        <v>5</v>
      </c>
      <c r="AG1380" s="8" t="str">
        <f t="shared" si="85"/>
        <v/>
      </c>
      <c r="AI1380" s="8" t="str">
        <f t="shared" si="86"/>
        <v/>
      </c>
      <c r="AJ1380" s="8" t="str">
        <f t="shared" si="87"/>
        <v/>
      </c>
      <c r="AL1380" s="8" t="str">
        <f t="shared" si="88"/>
        <v/>
      </c>
    </row>
    <row r="1381" spans="1:38" x14ac:dyDescent="0.25">
      <c r="A1381" s="8" t="s">
        <v>3729</v>
      </c>
      <c r="B1381" s="8" t="s">
        <v>3730</v>
      </c>
      <c r="C1381" s="8">
        <v>30863717</v>
      </c>
      <c r="D1381" s="8">
        <v>5</v>
      </c>
      <c r="E1381" s="11">
        <v>43110</v>
      </c>
      <c r="F1381" s="8" t="s">
        <v>58</v>
      </c>
      <c r="G1381" s="11">
        <v>43111</v>
      </c>
      <c r="H1381" s="8" t="s">
        <v>25</v>
      </c>
      <c r="I1381" s="11">
        <v>43115</v>
      </c>
      <c r="J1381" s="8" t="s">
        <v>25</v>
      </c>
      <c r="N1381" s="8" t="s">
        <v>58</v>
      </c>
      <c r="O1381" s="8" t="s">
        <v>59</v>
      </c>
      <c r="P1381" s="8" t="s">
        <v>59</v>
      </c>
      <c r="R1381" s="8">
        <v>0</v>
      </c>
      <c r="S1381" s="8">
        <v>0</v>
      </c>
      <c r="T1381" s="8">
        <v>1</v>
      </c>
      <c r="U1381" s="8">
        <v>2</v>
      </c>
      <c r="X1381" s="8">
        <v>5</v>
      </c>
      <c r="AG1381" s="8" t="str">
        <f t="shared" si="85"/>
        <v/>
      </c>
      <c r="AI1381" s="8" t="str">
        <f t="shared" si="86"/>
        <v/>
      </c>
      <c r="AJ1381" s="8" t="str">
        <f t="shared" si="87"/>
        <v/>
      </c>
      <c r="AL1381" s="8" t="str">
        <f t="shared" si="88"/>
        <v/>
      </c>
    </row>
    <row r="1382" spans="1:38" x14ac:dyDescent="0.25">
      <c r="A1382" s="8" t="s">
        <v>5251</v>
      </c>
      <c r="B1382" s="8" t="s">
        <v>5252</v>
      </c>
      <c r="C1382" s="8">
        <v>30887533</v>
      </c>
      <c r="D1382" s="8">
        <v>4</v>
      </c>
      <c r="E1382" s="11">
        <v>43111</v>
      </c>
      <c r="F1382" s="8" t="s">
        <v>57</v>
      </c>
      <c r="G1382" s="11">
        <v>43112</v>
      </c>
      <c r="H1382" s="8" t="s">
        <v>25</v>
      </c>
      <c r="J1382" s="8" t="s">
        <v>25</v>
      </c>
      <c r="N1382" s="8" t="s">
        <v>58</v>
      </c>
      <c r="O1382" s="8" t="s">
        <v>59</v>
      </c>
      <c r="P1382" s="8" t="s">
        <v>59</v>
      </c>
      <c r="R1382" s="8">
        <v>0</v>
      </c>
      <c r="S1382" s="8">
        <v>0</v>
      </c>
      <c r="T1382" s="8">
        <v>1</v>
      </c>
      <c r="U1382" s="8">
        <v>2</v>
      </c>
      <c r="AG1382" s="8" t="str">
        <f t="shared" si="85"/>
        <v/>
      </c>
      <c r="AI1382" s="8" t="str">
        <f t="shared" si="86"/>
        <v/>
      </c>
      <c r="AJ1382" s="8" t="str">
        <f t="shared" si="87"/>
        <v/>
      </c>
      <c r="AL1382" s="8" t="str">
        <f t="shared" si="88"/>
        <v/>
      </c>
    </row>
    <row r="1383" spans="1:38" x14ac:dyDescent="0.25">
      <c r="A1383" s="8" t="s">
        <v>1129</v>
      </c>
      <c r="B1383" s="8" t="s">
        <v>1130</v>
      </c>
      <c r="C1383" s="8">
        <v>30818593</v>
      </c>
      <c r="D1383" s="8">
        <v>4</v>
      </c>
      <c r="E1383" s="11">
        <v>43108</v>
      </c>
      <c r="F1383" s="8" t="s">
        <v>58</v>
      </c>
      <c r="G1383" s="11">
        <v>43109</v>
      </c>
      <c r="H1383" s="8" t="s">
        <v>25</v>
      </c>
      <c r="I1383" s="11">
        <v>43111</v>
      </c>
      <c r="J1383" s="8" t="s">
        <v>25</v>
      </c>
      <c r="N1383" s="8" t="s">
        <v>58</v>
      </c>
      <c r="O1383" s="8" t="s">
        <v>59</v>
      </c>
      <c r="P1383" s="8" t="s">
        <v>59</v>
      </c>
      <c r="R1383" s="8">
        <v>0</v>
      </c>
      <c r="S1383" s="8">
        <v>0</v>
      </c>
      <c r="T1383" s="8">
        <v>1</v>
      </c>
      <c r="U1383" s="8">
        <v>2</v>
      </c>
      <c r="X1383" s="8">
        <v>5</v>
      </c>
      <c r="AG1383" s="8" t="str">
        <f t="shared" si="85"/>
        <v/>
      </c>
      <c r="AI1383" s="8" t="str">
        <f t="shared" si="86"/>
        <v/>
      </c>
      <c r="AJ1383" s="8" t="str">
        <f t="shared" si="87"/>
        <v/>
      </c>
      <c r="AL1383" s="8" t="str">
        <f t="shared" si="88"/>
        <v/>
      </c>
    </row>
    <row r="1384" spans="1:38" x14ac:dyDescent="0.25">
      <c r="A1384" s="8" t="s">
        <v>7103</v>
      </c>
      <c r="B1384" s="8" t="s">
        <v>7104</v>
      </c>
      <c r="C1384" s="8">
        <v>30898698</v>
      </c>
      <c r="D1384" s="8">
        <v>5</v>
      </c>
      <c r="E1384" s="11">
        <v>43111</v>
      </c>
      <c r="F1384" s="8" t="s">
        <v>57</v>
      </c>
      <c r="G1384" s="11">
        <v>43115</v>
      </c>
      <c r="H1384" s="8" t="s">
        <v>25</v>
      </c>
      <c r="J1384" s="8" t="s">
        <v>25</v>
      </c>
      <c r="N1384" s="8" t="s">
        <v>58</v>
      </c>
      <c r="O1384" s="8" t="s">
        <v>59</v>
      </c>
      <c r="P1384" s="8" t="s">
        <v>59</v>
      </c>
      <c r="R1384" s="8">
        <v>0</v>
      </c>
      <c r="S1384" s="8">
        <v>0</v>
      </c>
      <c r="T1384" s="8">
        <v>1</v>
      </c>
      <c r="U1384" s="8">
        <v>2</v>
      </c>
      <c r="AG1384" s="8" t="str">
        <f t="shared" si="85"/>
        <v/>
      </c>
      <c r="AI1384" s="8" t="str">
        <f t="shared" si="86"/>
        <v/>
      </c>
      <c r="AJ1384" s="8" t="str">
        <f t="shared" si="87"/>
        <v/>
      </c>
      <c r="AL1384" s="8" t="str">
        <f t="shared" si="88"/>
        <v/>
      </c>
    </row>
    <row r="1385" spans="1:38" x14ac:dyDescent="0.25">
      <c r="A1385" s="8" t="s">
        <v>5253</v>
      </c>
      <c r="B1385" s="8" t="s">
        <v>5254</v>
      </c>
      <c r="C1385" s="8">
        <v>30891153</v>
      </c>
      <c r="D1385" s="8">
        <v>5</v>
      </c>
      <c r="E1385" s="11">
        <v>43111</v>
      </c>
      <c r="F1385" s="8" t="s">
        <v>57</v>
      </c>
      <c r="G1385" s="11">
        <v>43112</v>
      </c>
      <c r="H1385" s="8" t="s">
        <v>25</v>
      </c>
      <c r="J1385" s="8" t="s">
        <v>25</v>
      </c>
      <c r="N1385" s="8" t="s">
        <v>58</v>
      </c>
      <c r="O1385" s="8" t="s">
        <v>59</v>
      </c>
      <c r="P1385" s="8" t="s">
        <v>59</v>
      </c>
      <c r="R1385" s="8">
        <v>0</v>
      </c>
      <c r="S1385" s="8">
        <v>0</v>
      </c>
      <c r="T1385" s="8">
        <v>1</v>
      </c>
      <c r="U1385" s="8">
        <v>2</v>
      </c>
      <c r="AG1385" s="8" t="str">
        <f t="shared" si="85"/>
        <v/>
      </c>
      <c r="AI1385" s="8" t="str">
        <f t="shared" si="86"/>
        <v/>
      </c>
      <c r="AJ1385" s="8" t="str">
        <f t="shared" si="87"/>
        <v/>
      </c>
      <c r="AL1385" s="8" t="str">
        <f t="shared" si="88"/>
        <v/>
      </c>
    </row>
    <row r="1386" spans="1:38" x14ac:dyDescent="0.25">
      <c r="A1386" s="8" t="s">
        <v>3731</v>
      </c>
      <c r="B1386" s="8" t="s">
        <v>3732</v>
      </c>
      <c r="C1386" s="8">
        <v>30858505</v>
      </c>
      <c r="D1386" s="8">
        <v>5</v>
      </c>
      <c r="E1386" s="11">
        <v>43110</v>
      </c>
      <c r="F1386" s="8" t="s">
        <v>57</v>
      </c>
      <c r="G1386" s="11">
        <v>43111</v>
      </c>
      <c r="H1386" s="8" t="s">
        <v>25</v>
      </c>
      <c r="J1386" s="8" t="s">
        <v>25</v>
      </c>
      <c r="N1386" s="8" t="s">
        <v>58</v>
      </c>
      <c r="O1386" s="8" t="s">
        <v>59</v>
      </c>
      <c r="P1386" s="8" t="s">
        <v>59</v>
      </c>
      <c r="R1386" s="8">
        <v>0</v>
      </c>
      <c r="S1386" s="8">
        <v>0</v>
      </c>
      <c r="T1386" s="8">
        <v>1</v>
      </c>
      <c r="U1386" s="8">
        <v>2</v>
      </c>
      <c r="AG1386" s="8" t="str">
        <f t="shared" si="85"/>
        <v/>
      </c>
      <c r="AI1386" s="8" t="str">
        <f t="shared" si="86"/>
        <v/>
      </c>
      <c r="AJ1386" s="8" t="str">
        <f t="shared" si="87"/>
        <v/>
      </c>
      <c r="AL1386" s="8" t="str">
        <f t="shared" si="88"/>
        <v/>
      </c>
    </row>
    <row r="1387" spans="1:38" x14ac:dyDescent="0.25">
      <c r="A1387" s="8" t="s">
        <v>7105</v>
      </c>
      <c r="B1387" s="8" t="s">
        <v>7106</v>
      </c>
      <c r="C1387" s="8">
        <v>30932929</v>
      </c>
      <c r="D1387" s="8">
        <v>5</v>
      </c>
      <c r="E1387" s="11">
        <v>43115</v>
      </c>
      <c r="F1387" s="8" t="s">
        <v>57</v>
      </c>
      <c r="G1387" s="11">
        <v>43115</v>
      </c>
      <c r="H1387" s="8" t="s">
        <v>25</v>
      </c>
      <c r="J1387" s="8" t="s">
        <v>25</v>
      </c>
      <c r="N1387" s="8" t="s">
        <v>58</v>
      </c>
      <c r="O1387" s="8" t="s">
        <v>59</v>
      </c>
      <c r="P1387" s="8" t="s">
        <v>59</v>
      </c>
      <c r="R1387" s="8">
        <v>0</v>
      </c>
      <c r="S1387" s="8">
        <v>0</v>
      </c>
      <c r="T1387" s="8">
        <v>1</v>
      </c>
      <c r="U1387" s="8">
        <v>2</v>
      </c>
      <c r="AG1387" s="8" t="str">
        <f t="shared" si="85"/>
        <v/>
      </c>
      <c r="AI1387" s="8" t="str">
        <f t="shared" si="86"/>
        <v/>
      </c>
      <c r="AJ1387" s="8" t="str">
        <f t="shared" si="87"/>
        <v/>
      </c>
      <c r="AL1387" s="8" t="str">
        <f t="shared" si="88"/>
        <v/>
      </c>
    </row>
    <row r="1388" spans="1:38" x14ac:dyDescent="0.25">
      <c r="A1388" s="8" t="s">
        <v>7107</v>
      </c>
      <c r="B1388" s="8" t="s">
        <v>7108</v>
      </c>
      <c r="C1388" s="8">
        <v>30921854</v>
      </c>
      <c r="D1388" s="8">
        <v>5</v>
      </c>
      <c r="E1388" s="11">
        <v>43112</v>
      </c>
      <c r="F1388" s="8" t="s">
        <v>57</v>
      </c>
      <c r="G1388" s="11">
        <v>43115</v>
      </c>
      <c r="H1388" s="8" t="s">
        <v>25</v>
      </c>
      <c r="J1388" s="8" t="s">
        <v>25</v>
      </c>
      <c r="N1388" s="8" t="s">
        <v>58</v>
      </c>
      <c r="O1388" s="8" t="s">
        <v>59</v>
      </c>
      <c r="P1388" s="8" t="s">
        <v>59</v>
      </c>
      <c r="R1388" s="8">
        <v>0</v>
      </c>
      <c r="S1388" s="8">
        <v>0</v>
      </c>
      <c r="T1388" s="8">
        <v>1</v>
      </c>
      <c r="U1388" s="8">
        <v>2</v>
      </c>
      <c r="AG1388" s="8" t="str">
        <f t="shared" si="85"/>
        <v/>
      </c>
      <c r="AI1388" s="8" t="str">
        <f t="shared" si="86"/>
        <v/>
      </c>
      <c r="AJ1388" s="8" t="str">
        <f t="shared" si="87"/>
        <v/>
      </c>
      <c r="AL1388" s="8" t="str">
        <f t="shared" si="88"/>
        <v/>
      </c>
    </row>
    <row r="1389" spans="1:38" x14ac:dyDescent="0.25">
      <c r="A1389" s="8" t="s">
        <v>2155</v>
      </c>
      <c r="B1389" s="8" t="s">
        <v>2156</v>
      </c>
      <c r="C1389" s="8">
        <v>30838940</v>
      </c>
      <c r="D1389" s="8">
        <v>5</v>
      </c>
      <c r="E1389" s="11">
        <v>43109</v>
      </c>
      <c r="F1389" s="8" t="s">
        <v>58</v>
      </c>
      <c r="G1389" s="11">
        <v>43110</v>
      </c>
      <c r="H1389" s="8" t="s">
        <v>25</v>
      </c>
      <c r="I1389" s="11">
        <v>43115</v>
      </c>
      <c r="J1389" s="8" t="s">
        <v>145</v>
      </c>
      <c r="N1389" s="8" t="s">
        <v>58</v>
      </c>
      <c r="O1389" s="8" t="s">
        <v>59</v>
      </c>
      <c r="P1389" s="8" t="s">
        <v>59</v>
      </c>
      <c r="R1389" s="8">
        <v>0</v>
      </c>
      <c r="S1389" s="8">
        <v>0</v>
      </c>
      <c r="T1389" s="8">
        <v>1</v>
      </c>
      <c r="U1389" s="8">
        <v>2</v>
      </c>
      <c r="X1389" s="8">
        <v>5</v>
      </c>
      <c r="AG1389" s="8" t="str">
        <f t="shared" si="85"/>
        <v/>
      </c>
      <c r="AI1389" s="8" t="str">
        <f t="shared" si="86"/>
        <v/>
      </c>
      <c r="AJ1389" s="8" t="str">
        <f t="shared" si="87"/>
        <v/>
      </c>
      <c r="AL1389" s="8" t="str">
        <f t="shared" si="88"/>
        <v/>
      </c>
    </row>
    <row r="1390" spans="1:38" x14ac:dyDescent="0.25">
      <c r="A1390" s="8" t="s">
        <v>2157</v>
      </c>
      <c r="B1390" s="8" t="s">
        <v>2158</v>
      </c>
      <c r="C1390" s="8">
        <v>30820760</v>
      </c>
      <c r="D1390" s="8">
        <v>5</v>
      </c>
      <c r="E1390" s="11">
        <v>43108</v>
      </c>
      <c r="F1390" s="8" t="s">
        <v>57</v>
      </c>
      <c r="G1390" s="11">
        <v>43110</v>
      </c>
      <c r="H1390" s="8" t="s">
        <v>25</v>
      </c>
      <c r="J1390" s="8" t="s">
        <v>25</v>
      </c>
      <c r="N1390" s="8" t="s">
        <v>58</v>
      </c>
      <c r="O1390" s="8" t="s">
        <v>59</v>
      </c>
      <c r="P1390" s="8" t="s">
        <v>59</v>
      </c>
      <c r="R1390" s="8">
        <v>0</v>
      </c>
      <c r="S1390" s="8">
        <v>0</v>
      </c>
      <c r="T1390" s="8">
        <v>1</v>
      </c>
      <c r="U1390" s="8">
        <v>2</v>
      </c>
      <c r="AG1390" s="8" t="str">
        <f t="shared" si="85"/>
        <v/>
      </c>
      <c r="AI1390" s="8" t="str">
        <f t="shared" si="86"/>
        <v/>
      </c>
      <c r="AJ1390" s="8" t="str">
        <f t="shared" si="87"/>
        <v/>
      </c>
      <c r="AL1390" s="8" t="str">
        <f t="shared" si="88"/>
        <v/>
      </c>
    </row>
    <row r="1391" spans="1:38" x14ac:dyDescent="0.25">
      <c r="A1391" s="8" t="s">
        <v>7109</v>
      </c>
      <c r="B1391" s="8" t="s">
        <v>7110</v>
      </c>
      <c r="C1391" s="8">
        <v>30915198</v>
      </c>
      <c r="D1391" s="8">
        <v>5</v>
      </c>
      <c r="E1391" s="11">
        <v>43112</v>
      </c>
      <c r="F1391" s="8" t="s">
        <v>57</v>
      </c>
      <c r="G1391" s="11">
        <v>43115</v>
      </c>
      <c r="H1391" s="8" t="s">
        <v>25</v>
      </c>
      <c r="J1391" s="8" t="s">
        <v>25</v>
      </c>
      <c r="N1391" s="8" t="s">
        <v>58</v>
      </c>
      <c r="O1391" s="8" t="s">
        <v>59</v>
      </c>
      <c r="P1391" s="8" t="s">
        <v>59</v>
      </c>
      <c r="R1391" s="8">
        <v>0</v>
      </c>
      <c r="S1391" s="8">
        <v>0</v>
      </c>
      <c r="T1391" s="8">
        <v>1</v>
      </c>
      <c r="U1391" s="8">
        <v>2</v>
      </c>
      <c r="AG1391" s="8" t="str">
        <f t="shared" si="85"/>
        <v/>
      </c>
      <c r="AI1391" s="8" t="str">
        <f t="shared" si="86"/>
        <v/>
      </c>
      <c r="AJ1391" s="8" t="str">
        <f t="shared" si="87"/>
        <v/>
      </c>
      <c r="AL1391" s="8" t="str">
        <f t="shared" si="88"/>
        <v/>
      </c>
    </row>
    <row r="1392" spans="1:38" x14ac:dyDescent="0.25">
      <c r="A1392" s="8" t="s">
        <v>5255</v>
      </c>
      <c r="B1392" s="8" t="s">
        <v>5256</v>
      </c>
      <c r="C1392" s="8">
        <v>30905282</v>
      </c>
      <c r="D1392" s="8">
        <v>4</v>
      </c>
      <c r="E1392" s="11">
        <v>43112</v>
      </c>
      <c r="F1392" s="8" t="s">
        <v>60</v>
      </c>
      <c r="G1392" s="11">
        <v>43112</v>
      </c>
      <c r="H1392" s="8" t="s">
        <v>25</v>
      </c>
      <c r="J1392" s="8" t="s">
        <v>25</v>
      </c>
      <c r="L1392" s="8" t="s">
        <v>4797</v>
      </c>
      <c r="N1392" s="8" t="s">
        <v>58</v>
      </c>
      <c r="O1392" s="8" t="s">
        <v>59</v>
      </c>
      <c r="P1392" s="8" t="s">
        <v>59</v>
      </c>
      <c r="R1392" s="8">
        <v>0</v>
      </c>
      <c r="S1392" s="8">
        <v>0</v>
      </c>
      <c r="T1392" s="8">
        <v>1</v>
      </c>
      <c r="U1392" s="8">
        <v>2</v>
      </c>
      <c r="W1392" s="8">
        <v>4</v>
      </c>
      <c r="AG1392" s="8" t="str">
        <f t="shared" si="85"/>
        <v/>
      </c>
      <c r="AI1392" s="8" t="str">
        <f t="shared" si="86"/>
        <v/>
      </c>
      <c r="AJ1392" s="8" t="str">
        <f t="shared" si="87"/>
        <v/>
      </c>
      <c r="AL1392" s="8" t="str">
        <f t="shared" si="88"/>
        <v/>
      </c>
    </row>
    <row r="1393" spans="1:38" x14ac:dyDescent="0.25">
      <c r="A1393" s="8" t="s">
        <v>5257</v>
      </c>
      <c r="B1393" s="8" t="s">
        <v>5258</v>
      </c>
      <c r="C1393" s="8">
        <v>30873773</v>
      </c>
      <c r="D1393" s="8">
        <v>5</v>
      </c>
      <c r="E1393" s="11">
        <v>43110</v>
      </c>
      <c r="F1393" s="8" t="s">
        <v>58</v>
      </c>
      <c r="G1393" s="11">
        <v>43112</v>
      </c>
      <c r="H1393" s="8" t="s">
        <v>25</v>
      </c>
      <c r="I1393" s="11">
        <v>43115</v>
      </c>
      <c r="J1393" s="8" t="s">
        <v>25</v>
      </c>
      <c r="N1393" s="8" t="s">
        <v>58</v>
      </c>
      <c r="O1393" s="8" t="s">
        <v>59</v>
      </c>
      <c r="P1393" s="8" t="s">
        <v>59</v>
      </c>
      <c r="R1393" s="8">
        <v>0</v>
      </c>
      <c r="S1393" s="8">
        <v>0</v>
      </c>
      <c r="T1393" s="8">
        <v>1</v>
      </c>
      <c r="U1393" s="8">
        <v>2</v>
      </c>
      <c r="X1393" s="8">
        <v>5</v>
      </c>
      <c r="AG1393" s="8" t="str">
        <f t="shared" si="85"/>
        <v/>
      </c>
      <c r="AI1393" s="8" t="str">
        <f t="shared" si="86"/>
        <v/>
      </c>
      <c r="AJ1393" s="8" t="str">
        <f t="shared" si="87"/>
        <v/>
      </c>
      <c r="AL1393" s="8" t="str">
        <f t="shared" si="88"/>
        <v/>
      </c>
    </row>
    <row r="1394" spans="1:38" x14ac:dyDescent="0.25">
      <c r="A1394" s="8" t="s">
        <v>5259</v>
      </c>
      <c r="B1394" s="8" t="s">
        <v>5260</v>
      </c>
      <c r="C1394" s="8">
        <v>30915199</v>
      </c>
      <c r="D1394" s="8">
        <v>5</v>
      </c>
      <c r="E1394" s="11">
        <v>43112</v>
      </c>
      <c r="F1394" s="8" t="s">
        <v>58</v>
      </c>
      <c r="G1394" s="11">
        <v>43112</v>
      </c>
      <c r="H1394" s="8" t="s">
        <v>25</v>
      </c>
      <c r="I1394" s="11">
        <v>43113</v>
      </c>
      <c r="J1394" s="8" t="s">
        <v>25</v>
      </c>
      <c r="N1394" s="8" t="s">
        <v>58</v>
      </c>
      <c r="O1394" s="8" t="s">
        <v>59</v>
      </c>
      <c r="P1394" s="8" t="s">
        <v>59</v>
      </c>
      <c r="R1394" s="8">
        <v>0</v>
      </c>
      <c r="S1394" s="8">
        <v>0</v>
      </c>
      <c r="T1394" s="8">
        <v>1</v>
      </c>
      <c r="U1394" s="8">
        <v>2</v>
      </c>
      <c r="X1394" s="8">
        <v>5</v>
      </c>
      <c r="AG1394" s="8" t="str">
        <f t="shared" si="85"/>
        <v/>
      </c>
      <c r="AI1394" s="8" t="str">
        <f t="shared" si="86"/>
        <v/>
      </c>
      <c r="AJ1394" s="8" t="str">
        <f t="shared" si="87"/>
        <v/>
      </c>
      <c r="AL1394" s="8" t="str">
        <f t="shared" si="88"/>
        <v/>
      </c>
    </row>
    <row r="1395" spans="1:38" x14ac:dyDescent="0.25">
      <c r="A1395" s="8" t="s">
        <v>3733</v>
      </c>
      <c r="B1395" s="8" t="s">
        <v>3734</v>
      </c>
      <c r="C1395" s="8">
        <v>30856880</v>
      </c>
      <c r="D1395" s="8">
        <v>5</v>
      </c>
      <c r="E1395" s="11">
        <v>43110</v>
      </c>
      <c r="F1395" s="8" t="s">
        <v>60</v>
      </c>
      <c r="G1395" s="11">
        <v>43111</v>
      </c>
      <c r="H1395" s="8" t="s">
        <v>25</v>
      </c>
      <c r="J1395" s="8" t="s">
        <v>25</v>
      </c>
      <c r="L1395" s="8" t="s">
        <v>4797</v>
      </c>
      <c r="N1395" s="8" t="s">
        <v>58</v>
      </c>
      <c r="O1395" s="8" t="s">
        <v>59</v>
      </c>
      <c r="P1395" s="8" t="s">
        <v>59</v>
      </c>
      <c r="R1395" s="8">
        <v>0</v>
      </c>
      <c r="S1395" s="8">
        <v>0</v>
      </c>
      <c r="T1395" s="8">
        <v>1</v>
      </c>
      <c r="U1395" s="8">
        <v>2</v>
      </c>
      <c r="W1395" s="8">
        <v>4</v>
      </c>
      <c r="AG1395" s="8" t="str">
        <f t="shared" si="85"/>
        <v/>
      </c>
      <c r="AI1395" s="8" t="str">
        <f t="shared" si="86"/>
        <v/>
      </c>
      <c r="AJ1395" s="8" t="str">
        <f t="shared" si="87"/>
        <v/>
      </c>
      <c r="AL1395" s="8" t="str">
        <f t="shared" si="88"/>
        <v/>
      </c>
    </row>
    <row r="1396" spans="1:38" x14ac:dyDescent="0.25">
      <c r="A1396" s="8" t="s">
        <v>3735</v>
      </c>
      <c r="B1396" s="8" t="s">
        <v>3736</v>
      </c>
      <c r="C1396" s="8">
        <v>30856960</v>
      </c>
      <c r="D1396" s="8">
        <v>5</v>
      </c>
      <c r="E1396" s="11">
        <v>43110</v>
      </c>
      <c r="F1396" s="8" t="s">
        <v>60</v>
      </c>
      <c r="G1396" s="11">
        <v>43111</v>
      </c>
      <c r="H1396" s="8" t="s">
        <v>25</v>
      </c>
      <c r="J1396" s="8" t="s">
        <v>25</v>
      </c>
      <c r="L1396" s="8" t="s">
        <v>4797</v>
      </c>
      <c r="N1396" s="8" t="s">
        <v>58</v>
      </c>
      <c r="O1396" s="8" t="s">
        <v>59</v>
      </c>
      <c r="P1396" s="8" t="s">
        <v>59</v>
      </c>
      <c r="R1396" s="8">
        <v>0</v>
      </c>
      <c r="S1396" s="8">
        <v>0</v>
      </c>
      <c r="T1396" s="8">
        <v>1</v>
      </c>
      <c r="U1396" s="8">
        <v>2</v>
      </c>
      <c r="W1396" s="8">
        <v>4</v>
      </c>
      <c r="AG1396" s="8" t="str">
        <f t="shared" si="85"/>
        <v/>
      </c>
      <c r="AI1396" s="8" t="str">
        <f t="shared" si="86"/>
        <v/>
      </c>
      <c r="AJ1396" s="8" t="str">
        <f t="shared" si="87"/>
        <v/>
      </c>
      <c r="AL1396" s="8" t="str">
        <f t="shared" si="88"/>
        <v/>
      </c>
    </row>
    <row r="1397" spans="1:38" x14ac:dyDescent="0.25">
      <c r="A1397" s="8" t="s">
        <v>410</v>
      </c>
      <c r="B1397" s="8" t="s">
        <v>411</v>
      </c>
      <c r="C1397" s="8">
        <v>30828595</v>
      </c>
      <c r="D1397" s="8">
        <v>5</v>
      </c>
      <c r="E1397" s="11">
        <v>43108</v>
      </c>
      <c r="F1397" s="8" t="s">
        <v>58</v>
      </c>
      <c r="G1397" s="11">
        <v>43108</v>
      </c>
      <c r="H1397" s="8" t="s">
        <v>25</v>
      </c>
      <c r="I1397" s="11">
        <v>43109</v>
      </c>
      <c r="J1397" s="8" t="s">
        <v>25</v>
      </c>
      <c r="N1397" s="8" t="s">
        <v>58</v>
      </c>
      <c r="O1397" s="8" t="s">
        <v>59</v>
      </c>
      <c r="P1397" s="8" t="s">
        <v>59</v>
      </c>
      <c r="R1397" s="8">
        <v>0</v>
      </c>
      <c r="S1397" s="8">
        <v>0</v>
      </c>
      <c r="T1397" s="8">
        <v>1</v>
      </c>
      <c r="U1397" s="8">
        <v>2</v>
      </c>
      <c r="X1397" s="8">
        <v>5</v>
      </c>
      <c r="AG1397" s="8" t="str">
        <f t="shared" si="85"/>
        <v/>
      </c>
      <c r="AI1397" s="8" t="str">
        <f t="shared" si="86"/>
        <v/>
      </c>
      <c r="AJ1397" s="8" t="str">
        <f t="shared" si="87"/>
        <v/>
      </c>
      <c r="AL1397" s="8" t="str">
        <f t="shared" si="88"/>
        <v/>
      </c>
    </row>
    <row r="1398" spans="1:38" x14ac:dyDescent="0.25">
      <c r="A1398" s="8" t="s">
        <v>3737</v>
      </c>
      <c r="B1398" s="8" t="s">
        <v>3738</v>
      </c>
      <c r="C1398" s="8">
        <v>30888826</v>
      </c>
      <c r="D1398" s="8">
        <v>5</v>
      </c>
      <c r="E1398" s="11">
        <v>43111</v>
      </c>
      <c r="F1398" s="8" t="s">
        <v>57</v>
      </c>
      <c r="G1398" s="11">
        <v>43111</v>
      </c>
      <c r="H1398" s="8" t="s">
        <v>25</v>
      </c>
      <c r="J1398" s="8" t="s">
        <v>25</v>
      </c>
      <c r="N1398" s="8" t="s">
        <v>58</v>
      </c>
      <c r="O1398" s="8" t="s">
        <v>59</v>
      </c>
      <c r="P1398" s="8" t="s">
        <v>59</v>
      </c>
      <c r="R1398" s="8">
        <v>0</v>
      </c>
      <c r="S1398" s="8">
        <v>0</v>
      </c>
      <c r="T1398" s="8">
        <v>1</v>
      </c>
      <c r="U1398" s="8">
        <v>2</v>
      </c>
      <c r="AG1398" s="8" t="str">
        <f t="shared" si="85"/>
        <v/>
      </c>
      <c r="AI1398" s="8" t="str">
        <f t="shared" si="86"/>
        <v/>
      </c>
      <c r="AJ1398" s="8" t="str">
        <f t="shared" si="87"/>
        <v/>
      </c>
      <c r="AL1398" s="8" t="str">
        <f t="shared" si="88"/>
        <v/>
      </c>
    </row>
    <row r="1399" spans="1:38" x14ac:dyDescent="0.25">
      <c r="A1399" s="8" t="s">
        <v>3739</v>
      </c>
      <c r="B1399" s="8" t="s">
        <v>3740</v>
      </c>
      <c r="C1399" s="8">
        <v>30890549</v>
      </c>
      <c r="D1399" s="8">
        <v>5</v>
      </c>
      <c r="E1399" s="11">
        <v>43111</v>
      </c>
      <c r="F1399" s="8" t="s">
        <v>57</v>
      </c>
      <c r="G1399" s="11">
        <v>43111</v>
      </c>
      <c r="H1399" s="8" t="s">
        <v>25</v>
      </c>
      <c r="J1399" s="8" t="s">
        <v>25</v>
      </c>
      <c r="N1399" s="8" t="s">
        <v>58</v>
      </c>
      <c r="O1399" s="8" t="s">
        <v>59</v>
      </c>
      <c r="P1399" s="8" t="s">
        <v>59</v>
      </c>
      <c r="R1399" s="8">
        <v>0</v>
      </c>
      <c r="S1399" s="8">
        <v>0</v>
      </c>
      <c r="T1399" s="8">
        <v>1</v>
      </c>
      <c r="U1399" s="8">
        <v>2</v>
      </c>
      <c r="AG1399" s="8" t="str">
        <f t="shared" si="85"/>
        <v/>
      </c>
      <c r="AI1399" s="8" t="str">
        <f t="shared" si="86"/>
        <v/>
      </c>
      <c r="AJ1399" s="8" t="str">
        <f t="shared" si="87"/>
        <v/>
      </c>
      <c r="AL1399" s="8" t="str">
        <f t="shared" si="88"/>
        <v/>
      </c>
    </row>
    <row r="1400" spans="1:38" x14ac:dyDescent="0.25">
      <c r="A1400" s="8" t="s">
        <v>5261</v>
      </c>
      <c r="B1400" s="8" t="s">
        <v>5262</v>
      </c>
      <c r="C1400" s="8">
        <v>30883038</v>
      </c>
      <c r="D1400" s="8">
        <v>5</v>
      </c>
      <c r="E1400" s="11">
        <v>43111</v>
      </c>
      <c r="F1400" s="8" t="s">
        <v>57</v>
      </c>
      <c r="G1400" s="11">
        <v>43112</v>
      </c>
      <c r="H1400" s="8" t="s">
        <v>25</v>
      </c>
      <c r="J1400" s="8" t="s">
        <v>25</v>
      </c>
      <c r="N1400" s="8" t="s">
        <v>58</v>
      </c>
      <c r="O1400" s="8" t="s">
        <v>59</v>
      </c>
      <c r="P1400" s="8" t="s">
        <v>59</v>
      </c>
      <c r="R1400" s="8">
        <v>0</v>
      </c>
      <c r="S1400" s="8">
        <v>0</v>
      </c>
      <c r="T1400" s="8">
        <v>1</v>
      </c>
      <c r="U1400" s="8">
        <v>2</v>
      </c>
      <c r="AG1400" s="8" t="str">
        <f t="shared" si="85"/>
        <v/>
      </c>
      <c r="AI1400" s="8" t="str">
        <f t="shared" si="86"/>
        <v/>
      </c>
      <c r="AJ1400" s="8" t="str">
        <f t="shared" si="87"/>
        <v/>
      </c>
      <c r="AL1400" s="8" t="str">
        <f t="shared" si="88"/>
        <v/>
      </c>
    </row>
    <row r="1401" spans="1:38" x14ac:dyDescent="0.25">
      <c r="A1401" s="8" t="s">
        <v>412</v>
      </c>
      <c r="B1401" s="8" t="s">
        <v>413</v>
      </c>
      <c r="C1401" s="8">
        <v>30814450</v>
      </c>
      <c r="D1401" s="8">
        <v>5</v>
      </c>
      <c r="E1401" s="11">
        <v>43108</v>
      </c>
      <c r="F1401" s="8" t="s">
        <v>58</v>
      </c>
      <c r="G1401" s="11">
        <v>43108</v>
      </c>
      <c r="H1401" s="8" t="s">
        <v>25</v>
      </c>
      <c r="I1401" s="11">
        <v>43111</v>
      </c>
      <c r="J1401" s="8" t="s">
        <v>25</v>
      </c>
      <c r="N1401" s="8" t="s">
        <v>58</v>
      </c>
      <c r="O1401" s="8" t="s">
        <v>59</v>
      </c>
      <c r="P1401" s="8" t="s">
        <v>59</v>
      </c>
      <c r="R1401" s="8">
        <v>0</v>
      </c>
      <c r="S1401" s="8">
        <v>0</v>
      </c>
      <c r="T1401" s="8">
        <v>1</v>
      </c>
      <c r="U1401" s="8">
        <v>2</v>
      </c>
      <c r="X1401" s="8">
        <v>5</v>
      </c>
      <c r="AG1401" s="8" t="str">
        <f t="shared" si="85"/>
        <v/>
      </c>
      <c r="AI1401" s="8" t="str">
        <f t="shared" si="86"/>
        <v/>
      </c>
      <c r="AJ1401" s="8" t="str">
        <f t="shared" si="87"/>
        <v/>
      </c>
      <c r="AL1401" s="8" t="str">
        <f t="shared" si="88"/>
        <v/>
      </c>
    </row>
    <row r="1402" spans="1:38" x14ac:dyDescent="0.25">
      <c r="A1402" s="8" t="s">
        <v>1131</v>
      </c>
      <c r="B1402" s="8" t="s">
        <v>1132</v>
      </c>
      <c r="C1402" s="8">
        <v>30833665</v>
      </c>
      <c r="D1402" s="8">
        <v>5</v>
      </c>
      <c r="E1402" s="11">
        <v>43109</v>
      </c>
      <c r="F1402" s="8" t="s">
        <v>58</v>
      </c>
      <c r="G1402" s="11">
        <v>43109</v>
      </c>
      <c r="H1402" s="8" t="s">
        <v>25</v>
      </c>
      <c r="I1402" s="11">
        <v>43111</v>
      </c>
      <c r="J1402" s="8" t="s">
        <v>25</v>
      </c>
      <c r="N1402" s="8" t="s">
        <v>58</v>
      </c>
      <c r="O1402" s="8" t="s">
        <v>59</v>
      </c>
      <c r="P1402" s="8" t="s">
        <v>59</v>
      </c>
      <c r="R1402" s="8">
        <v>0</v>
      </c>
      <c r="S1402" s="8">
        <v>0</v>
      </c>
      <c r="T1402" s="8">
        <v>1</v>
      </c>
      <c r="U1402" s="8">
        <v>2</v>
      </c>
      <c r="X1402" s="8">
        <v>5</v>
      </c>
      <c r="AG1402" s="8" t="str">
        <f t="shared" si="85"/>
        <v/>
      </c>
      <c r="AI1402" s="8" t="str">
        <f t="shared" si="86"/>
        <v/>
      </c>
      <c r="AJ1402" s="8" t="str">
        <f t="shared" si="87"/>
        <v/>
      </c>
      <c r="AL1402" s="8" t="str">
        <f t="shared" si="88"/>
        <v/>
      </c>
    </row>
    <row r="1403" spans="1:38" x14ac:dyDescent="0.25">
      <c r="A1403" s="8" t="s">
        <v>3741</v>
      </c>
      <c r="B1403" s="8" t="s">
        <v>3742</v>
      </c>
      <c r="C1403" s="8">
        <v>30857026</v>
      </c>
      <c r="D1403" s="8">
        <v>5</v>
      </c>
      <c r="E1403" s="11">
        <v>43110</v>
      </c>
      <c r="F1403" s="8" t="s">
        <v>57</v>
      </c>
      <c r="G1403" s="11">
        <v>43111</v>
      </c>
      <c r="H1403" s="8" t="s">
        <v>25</v>
      </c>
      <c r="J1403" s="8" t="s">
        <v>25</v>
      </c>
      <c r="N1403" s="8" t="s">
        <v>58</v>
      </c>
      <c r="O1403" s="8" t="s">
        <v>59</v>
      </c>
      <c r="P1403" s="8" t="s">
        <v>59</v>
      </c>
      <c r="R1403" s="8">
        <v>0</v>
      </c>
      <c r="S1403" s="8">
        <v>0</v>
      </c>
      <c r="T1403" s="8">
        <v>1</v>
      </c>
      <c r="U1403" s="8">
        <v>2</v>
      </c>
      <c r="AG1403" s="8" t="str">
        <f t="shared" si="85"/>
        <v/>
      </c>
      <c r="AI1403" s="8" t="str">
        <f t="shared" si="86"/>
        <v/>
      </c>
      <c r="AJ1403" s="8" t="str">
        <f t="shared" si="87"/>
        <v/>
      </c>
      <c r="AL1403" s="8" t="str">
        <f t="shared" si="88"/>
        <v/>
      </c>
    </row>
    <row r="1404" spans="1:38" x14ac:dyDescent="0.25">
      <c r="A1404" s="8" t="s">
        <v>1133</v>
      </c>
      <c r="B1404" s="8" t="s">
        <v>1134</v>
      </c>
      <c r="C1404" s="8">
        <v>30830895</v>
      </c>
      <c r="D1404" s="8">
        <v>4</v>
      </c>
      <c r="E1404" s="11">
        <v>43109</v>
      </c>
      <c r="F1404" s="8" t="s">
        <v>57</v>
      </c>
      <c r="G1404" s="11">
        <v>43109</v>
      </c>
      <c r="H1404" s="8" t="s">
        <v>25</v>
      </c>
      <c r="J1404" s="8" t="s">
        <v>25</v>
      </c>
      <c r="N1404" s="8" t="s">
        <v>58</v>
      </c>
      <c r="O1404" s="8" t="s">
        <v>59</v>
      </c>
      <c r="P1404" s="8" t="s">
        <v>59</v>
      </c>
      <c r="R1404" s="8">
        <v>0</v>
      </c>
      <c r="S1404" s="8">
        <v>0</v>
      </c>
      <c r="T1404" s="8">
        <v>1</v>
      </c>
      <c r="U1404" s="8">
        <v>2</v>
      </c>
      <c r="AG1404" s="8" t="str">
        <f t="shared" si="85"/>
        <v/>
      </c>
      <c r="AI1404" s="8" t="str">
        <f t="shared" si="86"/>
        <v/>
      </c>
      <c r="AJ1404" s="8" t="str">
        <f t="shared" si="87"/>
        <v/>
      </c>
      <c r="AL1404" s="8" t="str">
        <f t="shared" si="88"/>
        <v/>
      </c>
    </row>
    <row r="1405" spans="1:38" x14ac:dyDescent="0.25">
      <c r="A1405" s="8" t="s">
        <v>3743</v>
      </c>
      <c r="B1405" s="8" t="s">
        <v>3744</v>
      </c>
      <c r="C1405" s="8">
        <v>30858085</v>
      </c>
      <c r="D1405" s="8">
        <v>5</v>
      </c>
      <c r="E1405" s="11">
        <v>43110</v>
      </c>
      <c r="F1405" s="8" t="s">
        <v>60</v>
      </c>
      <c r="G1405" s="11">
        <v>43111</v>
      </c>
      <c r="H1405" s="8" t="s">
        <v>25</v>
      </c>
      <c r="J1405" s="8" t="s">
        <v>25</v>
      </c>
      <c r="L1405" s="8" t="s">
        <v>6525</v>
      </c>
      <c r="N1405" s="8" t="s">
        <v>58</v>
      </c>
      <c r="O1405" s="8" t="s">
        <v>59</v>
      </c>
      <c r="P1405" s="8" t="s">
        <v>59</v>
      </c>
      <c r="R1405" s="8">
        <v>0</v>
      </c>
      <c r="S1405" s="8">
        <v>0</v>
      </c>
      <c r="T1405" s="8">
        <v>1</v>
      </c>
      <c r="U1405" s="8">
        <v>2</v>
      </c>
      <c r="W1405" s="8">
        <v>4</v>
      </c>
      <c r="AG1405" s="8" t="str">
        <f t="shared" si="85"/>
        <v/>
      </c>
      <c r="AI1405" s="8" t="str">
        <f t="shared" si="86"/>
        <v/>
      </c>
      <c r="AJ1405" s="8" t="str">
        <f t="shared" si="87"/>
        <v/>
      </c>
      <c r="AL1405" s="8" t="str">
        <f t="shared" si="88"/>
        <v/>
      </c>
    </row>
    <row r="1406" spans="1:38" x14ac:dyDescent="0.25">
      <c r="A1406" s="8" t="s">
        <v>7111</v>
      </c>
      <c r="B1406" s="8" t="s">
        <v>7112</v>
      </c>
      <c r="C1406" s="8">
        <v>30911057</v>
      </c>
      <c r="D1406" s="8">
        <v>5</v>
      </c>
      <c r="E1406" s="11">
        <v>43112</v>
      </c>
      <c r="F1406" s="8" t="s">
        <v>57</v>
      </c>
      <c r="G1406" s="11">
        <v>43115</v>
      </c>
      <c r="H1406" s="8" t="s">
        <v>25</v>
      </c>
      <c r="J1406" s="8" t="s">
        <v>25</v>
      </c>
      <c r="N1406" s="8" t="s">
        <v>58</v>
      </c>
      <c r="O1406" s="8" t="s">
        <v>59</v>
      </c>
      <c r="P1406" s="8" t="s">
        <v>59</v>
      </c>
      <c r="R1406" s="8">
        <v>0</v>
      </c>
      <c r="S1406" s="8">
        <v>0</v>
      </c>
      <c r="T1406" s="8">
        <v>1</v>
      </c>
      <c r="U1406" s="8">
        <v>2</v>
      </c>
      <c r="AG1406" s="8" t="str">
        <f t="shared" si="85"/>
        <v/>
      </c>
      <c r="AI1406" s="8" t="str">
        <f t="shared" si="86"/>
        <v/>
      </c>
      <c r="AJ1406" s="8" t="str">
        <f t="shared" si="87"/>
        <v/>
      </c>
      <c r="AL1406" s="8" t="str">
        <f t="shared" si="88"/>
        <v/>
      </c>
    </row>
    <row r="1407" spans="1:38" x14ac:dyDescent="0.25">
      <c r="A1407" s="8" t="s">
        <v>3745</v>
      </c>
      <c r="B1407" s="8" t="s">
        <v>3746</v>
      </c>
      <c r="C1407" s="8">
        <v>30870141</v>
      </c>
      <c r="D1407" s="8">
        <v>5</v>
      </c>
      <c r="E1407" s="11">
        <v>43110</v>
      </c>
      <c r="F1407" s="8" t="s">
        <v>58</v>
      </c>
      <c r="G1407" s="11">
        <v>43111</v>
      </c>
      <c r="H1407" s="8" t="s">
        <v>25</v>
      </c>
      <c r="I1407" s="11">
        <v>43112</v>
      </c>
      <c r="J1407" s="8" t="s">
        <v>25</v>
      </c>
      <c r="N1407" s="8" t="s">
        <v>58</v>
      </c>
      <c r="O1407" s="8" t="s">
        <v>59</v>
      </c>
      <c r="P1407" s="8" t="s">
        <v>59</v>
      </c>
      <c r="R1407" s="8">
        <v>0</v>
      </c>
      <c r="S1407" s="8">
        <v>0</v>
      </c>
      <c r="T1407" s="8">
        <v>1</v>
      </c>
      <c r="U1407" s="8">
        <v>2</v>
      </c>
      <c r="X1407" s="8">
        <v>5</v>
      </c>
      <c r="AG1407" s="8" t="str">
        <f t="shared" si="85"/>
        <v/>
      </c>
      <c r="AI1407" s="8" t="str">
        <f t="shared" si="86"/>
        <v/>
      </c>
      <c r="AJ1407" s="8" t="str">
        <f t="shared" si="87"/>
        <v/>
      </c>
      <c r="AL1407" s="8" t="str">
        <f t="shared" si="88"/>
        <v/>
      </c>
    </row>
    <row r="1408" spans="1:38" x14ac:dyDescent="0.25">
      <c r="A1408" s="8" t="s">
        <v>5263</v>
      </c>
      <c r="B1408" s="8" t="s">
        <v>5264</v>
      </c>
      <c r="C1408" s="8">
        <v>30893670</v>
      </c>
      <c r="D1408" s="8">
        <v>5</v>
      </c>
      <c r="E1408" s="11">
        <v>43111</v>
      </c>
      <c r="F1408" s="8" t="s">
        <v>57</v>
      </c>
      <c r="G1408" s="11">
        <v>43112</v>
      </c>
      <c r="H1408" s="8" t="s">
        <v>25</v>
      </c>
      <c r="J1408" s="8" t="s">
        <v>25</v>
      </c>
      <c r="N1408" s="8" t="s">
        <v>58</v>
      </c>
      <c r="O1408" s="8" t="s">
        <v>59</v>
      </c>
      <c r="P1408" s="8" t="s">
        <v>59</v>
      </c>
      <c r="R1408" s="8">
        <v>0</v>
      </c>
      <c r="S1408" s="8">
        <v>0</v>
      </c>
      <c r="T1408" s="8">
        <v>1</v>
      </c>
      <c r="U1408" s="8">
        <v>2</v>
      </c>
      <c r="AG1408" s="8" t="str">
        <f t="shared" si="85"/>
        <v/>
      </c>
      <c r="AI1408" s="8" t="str">
        <f t="shared" si="86"/>
        <v/>
      </c>
      <c r="AJ1408" s="8" t="str">
        <f t="shared" si="87"/>
        <v/>
      </c>
      <c r="AL1408" s="8" t="str">
        <f t="shared" si="88"/>
        <v/>
      </c>
    </row>
    <row r="1409" spans="1:38" x14ac:dyDescent="0.25">
      <c r="A1409" s="8" t="s">
        <v>2159</v>
      </c>
      <c r="B1409" s="8" t="s">
        <v>2160</v>
      </c>
      <c r="C1409" s="8">
        <v>30821298</v>
      </c>
      <c r="D1409" s="8">
        <v>5</v>
      </c>
      <c r="E1409" s="11">
        <v>43108</v>
      </c>
      <c r="F1409" s="8" t="s">
        <v>58</v>
      </c>
      <c r="G1409" s="11">
        <v>43110</v>
      </c>
      <c r="H1409" s="8" t="s">
        <v>25</v>
      </c>
      <c r="I1409" s="11">
        <v>43112</v>
      </c>
      <c r="J1409" s="8" t="s">
        <v>25</v>
      </c>
      <c r="N1409" s="8" t="s">
        <v>58</v>
      </c>
      <c r="O1409" s="8" t="s">
        <v>59</v>
      </c>
      <c r="P1409" s="8" t="s">
        <v>59</v>
      </c>
      <c r="R1409" s="8">
        <v>0</v>
      </c>
      <c r="S1409" s="8">
        <v>0</v>
      </c>
      <c r="T1409" s="8">
        <v>1</v>
      </c>
      <c r="U1409" s="8">
        <v>2</v>
      </c>
      <c r="X1409" s="8">
        <v>5</v>
      </c>
      <c r="AG1409" s="8" t="str">
        <f t="shared" si="85"/>
        <v/>
      </c>
      <c r="AI1409" s="8" t="str">
        <f t="shared" si="86"/>
        <v/>
      </c>
      <c r="AJ1409" s="8" t="str">
        <f t="shared" si="87"/>
        <v/>
      </c>
      <c r="AL1409" s="8" t="str">
        <f t="shared" si="88"/>
        <v/>
      </c>
    </row>
    <row r="1410" spans="1:38" x14ac:dyDescent="0.25">
      <c r="A1410" s="8" t="s">
        <v>5265</v>
      </c>
      <c r="B1410" s="8" t="s">
        <v>5266</v>
      </c>
      <c r="C1410" s="8">
        <v>30894404</v>
      </c>
      <c r="D1410" s="8">
        <v>5</v>
      </c>
      <c r="E1410" s="11">
        <v>43111</v>
      </c>
      <c r="F1410" s="8" t="s">
        <v>57</v>
      </c>
      <c r="G1410" s="11">
        <v>43112</v>
      </c>
      <c r="H1410" s="8" t="s">
        <v>25</v>
      </c>
      <c r="J1410" s="8" t="s">
        <v>25</v>
      </c>
      <c r="N1410" s="8" t="s">
        <v>58</v>
      </c>
      <c r="O1410" s="8" t="s">
        <v>59</v>
      </c>
      <c r="P1410" s="8" t="s">
        <v>59</v>
      </c>
      <c r="R1410" s="8">
        <v>0</v>
      </c>
      <c r="S1410" s="8">
        <v>0</v>
      </c>
      <c r="T1410" s="8">
        <v>1</v>
      </c>
      <c r="U1410" s="8">
        <v>2</v>
      </c>
      <c r="AG1410" s="8" t="str">
        <f t="shared" si="85"/>
        <v/>
      </c>
      <c r="AI1410" s="8" t="str">
        <f t="shared" si="86"/>
        <v/>
      </c>
      <c r="AJ1410" s="8" t="str">
        <f t="shared" si="87"/>
        <v/>
      </c>
      <c r="AL1410" s="8" t="str">
        <f t="shared" si="88"/>
        <v/>
      </c>
    </row>
    <row r="1411" spans="1:38" x14ac:dyDescent="0.25">
      <c r="A1411" s="8" t="s">
        <v>3747</v>
      </c>
      <c r="B1411" s="8" t="s">
        <v>3748</v>
      </c>
      <c r="C1411" s="8">
        <v>30842235</v>
      </c>
      <c r="D1411" s="8">
        <v>5</v>
      </c>
      <c r="E1411" s="11">
        <v>43109</v>
      </c>
      <c r="F1411" s="8" t="s">
        <v>58</v>
      </c>
      <c r="G1411" s="11">
        <v>43111</v>
      </c>
      <c r="H1411" s="8" t="s">
        <v>25</v>
      </c>
      <c r="I1411" s="11">
        <v>43112</v>
      </c>
      <c r="J1411" s="8" t="s">
        <v>25</v>
      </c>
      <c r="N1411" s="8" t="s">
        <v>58</v>
      </c>
      <c r="O1411" s="8" t="s">
        <v>59</v>
      </c>
      <c r="P1411" s="8" t="s">
        <v>59</v>
      </c>
      <c r="R1411" s="8">
        <v>0</v>
      </c>
      <c r="S1411" s="8">
        <v>0</v>
      </c>
      <c r="T1411" s="8">
        <v>1</v>
      </c>
      <c r="U1411" s="8">
        <v>2</v>
      </c>
      <c r="X1411" s="8">
        <v>5</v>
      </c>
      <c r="AG1411" s="8" t="str">
        <f t="shared" ref="AG1411:AG1474" si="89">IF(AND(U1411="",G1411&lt;&gt;"",NOT(OR(R1411,S1411))),IF(NETWORKDAYS.INTL(G1411,TODAY(),11)&lt;5,"En Plazo",IF(NETWORKDAYS.INTL(G1411,TODAY(),11)=5,"Riesgo Incumplimiento","FALTA_02")),"")</f>
        <v/>
      </c>
      <c r="AI1411" s="8" t="str">
        <f t="shared" ref="AI1411:AI1474" si="90">IF(AND(O1411&lt;&gt;"B1",F1411="Rejected"),IF(W1411="","FALTA_04",""),"")</f>
        <v/>
      </c>
      <c r="AJ1411" s="8" t="str">
        <f t="shared" ref="AJ1411:AJ1474" si="91">IF(AND(X1411="",I1411&lt;&gt;"",NOT(OR(R1411,S1411))),IF(NETWORKDAYS.INTL(G1411,TODAY(),11)&lt;=1,"En Plazo",IF(OR(AND(X1411="",O1411&lt;&gt;"M1"),AND(O1411="M1",(OR(Q1411="S - S",Q1411="S - T",)))),"FALTA_05","")),"")</f>
        <v/>
      </c>
      <c r="AL1411" s="8" t="str">
        <f t="shared" ref="AL1411:AL1474" si="92">IF(AND(O1411="B1",F1411="Rejected"),IF(Z1411="","FALTA_07",""),"")</f>
        <v/>
      </c>
    </row>
    <row r="1412" spans="1:38" x14ac:dyDescent="0.25">
      <c r="A1412" s="8" t="s">
        <v>7113</v>
      </c>
      <c r="B1412" s="8" t="s">
        <v>7114</v>
      </c>
      <c r="C1412" s="8">
        <v>30911248</v>
      </c>
      <c r="D1412" s="8">
        <v>5</v>
      </c>
      <c r="E1412" s="11">
        <v>43112</v>
      </c>
      <c r="F1412" s="8" t="s">
        <v>57</v>
      </c>
      <c r="G1412" s="11">
        <v>43115</v>
      </c>
      <c r="H1412" s="8" t="s">
        <v>25</v>
      </c>
      <c r="J1412" s="8" t="s">
        <v>25</v>
      </c>
      <c r="N1412" s="8" t="s">
        <v>58</v>
      </c>
      <c r="O1412" s="8" t="s">
        <v>59</v>
      </c>
      <c r="P1412" s="8" t="s">
        <v>59</v>
      </c>
      <c r="R1412" s="8">
        <v>0</v>
      </c>
      <c r="S1412" s="8">
        <v>0</v>
      </c>
      <c r="T1412" s="8">
        <v>1</v>
      </c>
      <c r="U1412" s="8">
        <v>2</v>
      </c>
      <c r="AG1412" s="8" t="str">
        <f t="shared" si="89"/>
        <v/>
      </c>
      <c r="AI1412" s="8" t="str">
        <f t="shared" si="90"/>
        <v/>
      </c>
      <c r="AJ1412" s="8" t="str">
        <f t="shared" si="91"/>
        <v/>
      </c>
      <c r="AL1412" s="8" t="str">
        <f t="shared" si="92"/>
        <v/>
      </c>
    </row>
    <row r="1413" spans="1:38" x14ac:dyDescent="0.25">
      <c r="A1413" s="8" t="s">
        <v>7115</v>
      </c>
      <c r="B1413" s="8" t="s">
        <v>7116</v>
      </c>
      <c r="C1413" s="8">
        <v>30935827</v>
      </c>
      <c r="D1413" s="8">
        <v>5</v>
      </c>
      <c r="E1413" s="11">
        <v>43115</v>
      </c>
      <c r="F1413" s="8" t="s">
        <v>57</v>
      </c>
      <c r="G1413" s="11">
        <v>43115</v>
      </c>
      <c r="H1413" s="8" t="s">
        <v>25</v>
      </c>
      <c r="J1413" s="8" t="s">
        <v>25</v>
      </c>
      <c r="N1413" s="8" t="s">
        <v>58</v>
      </c>
      <c r="O1413" s="8" t="s">
        <v>59</v>
      </c>
      <c r="P1413" s="8" t="s">
        <v>59</v>
      </c>
      <c r="R1413" s="8">
        <v>0</v>
      </c>
      <c r="S1413" s="8">
        <v>0</v>
      </c>
      <c r="T1413" s="8">
        <v>1</v>
      </c>
      <c r="U1413" s="8">
        <v>2</v>
      </c>
      <c r="AG1413" s="8" t="str">
        <f t="shared" si="89"/>
        <v/>
      </c>
      <c r="AI1413" s="8" t="str">
        <f t="shared" si="90"/>
        <v/>
      </c>
      <c r="AJ1413" s="8" t="str">
        <f t="shared" si="91"/>
        <v/>
      </c>
      <c r="AL1413" s="8" t="str">
        <f t="shared" si="92"/>
        <v/>
      </c>
    </row>
    <row r="1414" spans="1:38" x14ac:dyDescent="0.25">
      <c r="A1414" s="8" t="s">
        <v>7117</v>
      </c>
      <c r="B1414" s="8" t="s">
        <v>7118</v>
      </c>
      <c r="C1414" s="8">
        <v>30898878</v>
      </c>
      <c r="D1414" s="8">
        <v>5</v>
      </c>
      <c r="E1414" s="11">
        <v>43111</v>
      </c>
      <c r="F1414" s="8" t="s">
        <v>57</v>
      </c>
      <c r="G1414" s="11">
        <v>43115</v>
      </c>
      <c r="H1414" s="8" t="s">
        <v>25</v>
      </c>
      <c r="J1414" s="8" t="s">
        <v>25</v>
      </c>
      <c r="N1414" s="8" t="s">
        <v>58</v>
      </c>
      <c r="O1414" s="8" t="s">
        <v>59</v>
      </c>
      <c r="P1414" s="8" t="s">
        <v>59</v>
      </c>
      <c r="R1414" s="8">
        <v>0</v>
      </c>
      <c r="S1414" s="8">
        <v>0</v>
      </c>
      <c r="T1414" s="8">
        <v>1</v>
      </c>
      <c r="U1414" s="8">
        <v>2</v>
      </c>
      <c r="AG1414" s="8" t="str">
        <f t="shared" si="89"/>
        <v/>
      </c>
      <c r="AI1414" s="8" t="str">
        <f t="shared" si="90"/>
        <v/>
      </c>
      <c r="AJ1414" s="8" t="str">
        <f t="shared" si="91"/>
        <v/>
      </c>
      <c r="AL1414" s="8" t="str">
        <f t="shared" si="92"/>
        <v/>
      </c>
    </row>
    <row r="1415" spans="1:38" x14ac:dyDescent="0.25">
      <c r="A1415" s="8" t="s">
        <v>2161</v>
      </c>
      <c r="B1415" s="8" t="s">
        <v>2162</v>
      </c>
      <c r="C1415" s="8">
        <v>30864367</v>
      </c>
      <c r="D1415" s="8">
        <v>5</v>
      </c>
      <c r="E1415" s="11">
        <v>43110</v>
      </c>
      <c r="F1415" s="8" t="s">
        <v>57</v>
      </c>
      <c r="G1415" s="11">
        <v>43110</v>
      </c>
      <c r="H1415" s="8" t="s">
        <v>25</v>
      </c>
      <c r="J1415" s="8" t="s">
        <v>25</v>
      </c>
      <c r="N1415" s="8" t="s">
        <v>58</v>
      </c>
      <c r="O1415" s="8" t="s">
        <v>59</v>
      </c>
      <c r="P1415" s="8" t="s">
        <v>59</v>
      </c>
      <c r="R1415" s="8">
        <v>0</v>
      </c>
      <c r="S1415" s="8">
        <v>0</v>
      </c>
      <c r="T1415" s="8">
        <v>1</v>
      </c>
      <c r="U1415" s="8">
        <v>2</v>
      </c>
      <c r="AG1415" s="8" t="str">
        <f t="shared" si="89"/>
        <v/>
      </c>
      <c r="AI1415" s="8" t="str">
        <f t="shared" si="90"/>
        <v/>
      </c>
      <c r="AJ1415" s="8" t="str">
        <f t="shared" si="91"/>
        <v/>
      </c>
      <c r="AL1415" s="8" t="str">
        <f t="shared" si="92"/>
        <v/>
      </c>
    </row>
    <row r="1416" spans="1:38" x14ac:dyDescent="0.25">
      <c r="A1416" s="8" t="s">
        <v>5267</v>
      </c>
      <c r="B1416" s="8" t="s">
        <v>5268</v>
      </c>
      <c r="C1416" s="8">
        <v>30890224</v>
      </c>
      <c r="D1416" s="8">
        <v>5</v>
      </c>
      <c r="E1416" s="11">
        <v>43111</v>
      </c>
      <c r="F1416" s="8" t="s">
        <v>58</v>
      </c>
      <c r="G1416" s="11">
        <v>43112</v>
      </c>
      <c r="H1416" s="8" t="s">
        <v>25</v>
      </c>
      <c r="I1416" s="11">
        <v>43112</v>
      </c>
      <c r="J1416" s="8" t="s">
        <v>25</v>
      </c>
      <c r="N1416" s="8" t="s">
        <v>58</v>
      </c>
      <c r="O1416" s="8" t="s">
        <v>59</v>
      </c>
      <c r="P1416" s="8" t="s">
        <v>59</v>
      </c>
      <c r="R1416" s="8">
        <v>0</v>
      </c>
      <c r="S1416" s="8">
        <v>0</v>
      </c>
      <c r="T1416" s="8">
        <v>1</v>
      </c>
      <c r="U1416" s="8">
        <v>2</v>
      </c>
      <c r="X1416" s="8">
        <v>5</v>
      </c>
      <c r="AG1416" s="8" t="str">
        <f t="shared" si="89"/>
        <v/>
      </c>
      <c r="AI1416" s="8" t="str">
        <f t="shared" si="90"/>
        <v/>
      </c>
      <c r="AJ1416" s="8" t="str">
        <f t="shared" si="91"/>
        <v/>
      </c>
      <c r="AL1416" s="8" t="str">
        <f t="shared" si="92"/>
        <v/>
      </c>
    </row>
    <row r="1417" spans="1:38" x14ac:dyDescent="0.25">
      <c r="A1417" s="8" t="s">
        <v>5269</v>
      </c>
      <c r="B1417" s="8" t="s">
        <v>5270</v>
      </c>
      <c r="C1417" s="8">
        <v>30900567</v>
      </c>
      <c r="D1417" s="8">
        <v>5</v>
      </c>
      <c r="E1417" s="11">
        <v>43111</v>
      </c>
      <c r="F1417" s="8" t="s">
        <v>57</v>
      </c>
      <c r="G1417" s="11">
        <v>43112</v>
      </c>
      <c r="H1417" s="8" t="s">
        <v>25</v>
      </c>
      <c r="J1417" s="8" t="s">
        <v>25</v>
      </c>
      <c r="N1417" s="8" t="s">
        <v>58</v>
      </c>
      <c r="O1417" s="8" t="s">
        <v>59</v>
      </c>
      <c r="P1417" s="8" t="s">
        <v>59</v>
      </c>
      <c r="R1417" s="8">
        <v>0</v>
      </c>
      <c r="S1417" s="8">
        <v>0</v>
      </c>
      <c r="T1417" s="8">
        <v>1</v>
      </c>
      <c r="U1417" s="8">
        <v>2</v>
      </c>
      <c r="AG1417" s="8" t="str">
        <f t="shared" si="89"/>
        <v/>
      </c>
      <c r="AI1417" s="8" t="str">
        <f t="shared" si="90"/>
        <v/>
      </c>
      <c r="AJ1417" s="8" t="str">
        <f t="shared" si="91"/>
        <v/>
      </c>
      <c r="AL1417" s="8" t="str">
        <f t="shared" si="92"/>
        <v/>
      </c>
    </row>
    <row r="1418" spans="1:38" x14ac:dyDescent="0.25">
      <c r="A1418" s="8" t="s">
        <v>2163</v>
      </c>
      <c r="B1418" s="8" t="s">
        <v>2164</v>
      </c>
      <c r="C1418" s="8">
        <v>30832232</v>
      </c>
      <c r="D1418" s="8">
        <v>5</v>
      </c>
      <c r="E1418" s="11">
        <v>43109</v>
      </c>
      <c r="F1418" s="8" t="s">
        <v>58</v>
      </c>
      <c r="G1418" s="11">
        <v>43110</v>
      </c>
      <c r="H1418" s="8" t="s">
        <v>25</v>
      </c>
      <c r="I1418" s="11">
        <v>43115</v>
      </c>
      <c r="J1418" s="8" t="s">
        <v>145</v>
      </c>
      <c r="N1418" s="8" t="s">
        <v>58</v>
      </c>
      <c r="O1418" s="8" t="s">
        <v>59</v>
      </c>
      <c r="P1418" s="8" t="s">
        <v>59</v>
      </c>
      <c r="R1418" s="8">
        <v>0</v>
      </c>
      <c r="S1418" s="8">
        <v>0</v>
      </c>
      <c r="T1418" s="8">
        <v>1</v>
      </c>
      <c r="U1418" s="8">
        <v>2</v>
      </c>
      <c r="X1418" s="8">
        <v>5</v>
      </c>
      <c r="AG1418" s="8" t="str">
        <f t="shared" si="89"/>
        <v/>
      </c>
      <c r="AI1418" s="8" t="str">
        <f t="shared" si="90"/>
        <v/>
      </c>
      <c r="AJ1418" s="8" t="str">
        <f t="shared" si="91"/>
        <v/>
      </c>
      <c r="AL1418" s="8" t="str">
        <f t="shared" si="92"/>
        <v/>
      </c>
    </row>
    <row r="1419" spans="1:38" x14ac:dyDescent="0.25">
      <c r="A1419" s="8" t="s">
        <v>7119</v>
      </c>
      <c r="B1419" s="8" t="s">
        <v>7120</v>
      </c>
      <c r="C1419" s="8">
        <v>30915200</v>
      </c>
      <c r="D1419" s="8">
        <v>5</v>
      </c>
      <c r="E1419" s="11">
        <v>43112</v>
      </c>
      <c r="F1419" s="8" t="s">
        <v>58</v>
      </c>
      <c r="G1419" s="11">
        <v>43115</v>
      </c>
      <c r="H1419" s="8" t="s">
        <v>25</v>
      </c>
      <c r="I1419" s="11">
        <v>43115</v>
      </c>
      <c r="J1419" s="8" t="s">
        <v>25</v>
      </c>
      <c r="N1419" s="8" t="s">
        <v>58</v>
      </c>
      <c r="O1419" s="8" t="s">
        <v>59</v>
      </c>
      <c r="P1419" s="8" t="s">
        <v>59</v>
      </c>
      <c r="R1419" s="8">
        <v>0</v>
      </c>
      <c r="S1419" s="8">
        <v>0</v>
      </c>
      <c r="T1419" s="8">
        <v>1</v>
      </c>
      <c r="U1419" s="8">
        <v>2</v>
      </c>
      <c r="X1419" s="8">
        <v>5</v>
      </c>
      <c r="AG1419" s="8" t="str">
        <f t="shared" si="89"/>
        <v/>
      </c>
      <c r="AI1419" s="8" t="str">
        <f t="shared" si="90"/>
        <v/>
      </c>
      <c r="AJ1419" s="8" t="str">
        <f t="shared" si="91"/>
        <v/>
      </c>
      <c r="AL1419" s="8" t="str">
        <f t="shared" si="92"/>
        <v/>
      </c>
    </row>
    <row r="1420" spans="1:38" x14ac:dyDescent="0.25">
      <c r="A1420" s="8" t="s">
        <v>414</v>
      </c>
      <c r="B1420" s="8" t="s">
        <v>415</v>
      </c>
      <c r="C1420" s="8">
        <v>30815534</v>
      </c>
      <c r="D1420" s="8">
        <v>5</v>
      </c>
      <c r="E1420" s="11">
        <v>43108</v>
      </c>
      <c r="F1420" s="8" t="s">
        <v>57</v>
      </c>
      <c r="G1420" s="11">
        <v>43108</v>
      </c>
      <c r="H1420" s="8" t="s">
        <v>25</v>
      </c>
      <c r="J1420" s="8" t="s">
        <v>25</v>
      </c>
      <c r="N1420" s="8" t="s">
        <v>58</v>
      </c>
      <c r="O1420" s="8" t="s">
        <v>59</v>
      </c>
      <c r="P1420" s="8" t="s">
        <v>59</v>
      </c>
      <c r="R1420" s="8">
        <v>0</v>
      </c>
      <c r="S1420" s="8">
        <v>0</v>
      </c>
      <c r="T1420" s="8">
        <v>1</v>
      </c>
      <c r="U1420" s="8">
        <v>2</v>
      </c>
      <c r="AG1420" s="8" t="str">
        <f t="shared" si="89"/>
        <v/>
      </c>
      <c r="AI1420" s="8" t="str">
        <f t="shared" si="90"/>
        <v/>
      </c>
      <c r="AJ1420" s="8" t="str">
        <f t="shared" si="91"/>
        <v/>
      </c>
      <c r="AL1420" s="8" t="str">
        <f t="shared" si="92"/>
        <v/>
      </c>
    </row>
    <row r="1421" spans="1:38" x14ac:dyDescent="0.25">
      <c r="A1421" s="8" t="s">
        <v>2165</v>
      </c>
      <c r="B1421" s="8" t="s">
        <v>2166</v>
      </c>
      <c r="C1421" s="8">
        <v>30822643</v>
      </c>
      <c r="D1421" s="8">
        <v>5</v>
      </c>
      <c r="E1421" s="11">
        <v>43108</v>
      </c>
      <c r="F1421" s="8" t="s">
        <v>58</v>
      </c>
      <c r="G1421" s="11">
        <v>43110</v>
      </c>
      <c r="H1421" s="8" t="s">
        <v>25</v>
      </c>
      <c r="I1421" s="11">
        <v>43112</v>
      </c>
      <c r="J1421" s="8" t="s">
        <v>25</v>
      </c>
      <c r="N1421" s="8" t="s">
        <v>58</v>
      </c>
      <c r="O1421" s="8" t="s">
        <v>59</v>
      </c>
      <c r="P1421" s="8" t="s">
        <v>59</v>
      </c>
      <c r="R1421" s="8">
        <v>0</v>
      </c>
      <c r="S1421" s="8">
        <v>0</v>
      </c>
      <c r="T1421" s="8">
        <v>1</v>
      </c>
      <c r="U1421" s="8">
        <v>2</v>
      </c>
      <c r="X1421" s="8">
        <v>5</v>
      </c>
      <c r="AG1421" s="8" t="str">
        <f t="shared" si="89"/>
        <v/>
      </c>
      <c r="AI1421" s="8" t="str">
        <f t="shared" si="90"/>
        <v/>
      </c>
      <c r="AJ1421" s="8" t="str">
        <f t="shared" si="91"/>
        <v/>
      </c>
      <c r="AL1421" s="8" t="str">
        <f t="shared" si="92"/>
        <v/>
      </c>
    </row>
    <row r="1422" spans="1:38" x14ac:dyDescent="0.25">
      <c r="A1422" s="8" t="s">
        <v>1135</v>
      </c>
      <c r="B1422" s="8" t="s">
        <v>1136</v>
      </c>
      <c r="C1422" s="8">
        <v>30818680</v>
      </c>
      <c r="D1422" s="8">
        <v>5</v>
      </c>
      <c r="E1422" s="11">
        <v>43108</v>
      </c>
      <c r="F1422" s="8" t="s">
        <v>57</v>
      </c>
      <c r="G1422" s="11">
        <v>43109</v>
      </c>
      <c r="H1422" s="8" t="s">
        <v>25</v>
      </c>
      <c r="J1422" s="8" t="s">
        <v>25</v>
      </c>
      <c r="N1422" s="8" t="s">
        <v>58</v>
      </c>
      <c r="O1422" s="8" t="s">
        <v>59</v>
      </c>
      <c r="P1422" s="8" t="s">
        <v>59</v>
      </c>
      <c r="R1422" s="8">
        <v>0</v>
      </c>
      <c r="S1422" s="8">
        <v>0</v>
      </c>
      <c r="T1422" s="8">
        <v>1</v>
      </c>
      <c r="U1422" s="8">
        <v>2</v>
      </c>
      <c r="AG1422" s="8" t="str">
        <f t="shared" si="89"/>
        <v/>
      </c>
      <c r="AI1422" s="8" t="str">
        <f t="shared" si="90"/>
        <v/>
      </c>
      <c r="AJ1422" s="8" t="str">
        <f t="shared" si="91"/>
        <v/>
      </c>
      <c r="AL1422" s="8" t="str">
        <f t="shared" si="92"/>
        <v/>
      </c>
    </row>
    <row r="1423" spans="1:38" x14ac:dyDescent="0.25">
      <c r="A1423" s="8" t="s">
        <v>3749</v>
      </c>
      <c r="B1423" s="8" t="s">
        <v>3750</v>
      </c>
      <c r="C1423" s="8">
        <v>30881763</v>
      </c>
      <c r="D1423" s="8">
        <v>4</v>
      </c>
      <c r="E1423" s="11">
        <v>43111</v>
      </c>
      <c r="F1423" s="8" t="s">
        <v>58</v>
      </c>
      <c r="G1423" s="11">
        <v>43111</v>
      </c>
      <c r="H1423" s="8" t="s">
        <v>25</v>
      </c>
      <c r="I1423" s="11">
        <v>43111</v>
      </c>
      <c r="J1423" s="8" t="s">
        <v>25</v>
      </c>
      <c r="N1423" s="8" t="s">
        <v>58</v>
      </c>
      <c r="O1423" s="8" t="s">
        <v>59</v>
      </c>
      <c r="P1423" s="8" t="s">
        <v>59</v>
      </c>
      <c r="R1423" s="8">
        <v>0</v>
      </c>
      <c r="S1423" s="8">
        <v>0</v>
      </c>
      <c r="T1423" s="8">
        <v>1</v>
      </c>
      <c r="U1423" s="8">
        <v>2</v>
      </c>
      <c r="X1423" s="8">
        <v>5</v>
      </c>
      <c r="AG1423" s="8" t="str">
        <f t="shared" si="89"/>
        <v/>
      </c>
      <c r="AI1423" s="8" t="str">
        <f t="shared" si="90"/>
        <v/>
      </c>
      <c r="AJ1423" s="8" t="str">
        <f t="shared" si="91"/>
        <v/>
      </c>
      <c r="AL1423" s="8" t="str">
        <f t="shared" si="92"/>
        <v/>
      </c>
    </row>
    <row r="1424" spans="1:38" x14ac:dyDescent="0.25">
      <c r="A1424" s="8" t="s">
        <v>5271</v>
      </c>
      <c r="B1424" s="8" t="s">
        <v>5272</v>
      </c>
      <c r="C1424" s="8">
        <v>30892852</v>
      </c>
      <c r="D1424" s="8">
        <v>5</v>
      </c>
      <c r="E1424" s="11">
        <v>43111</v>
      </c>
      <c r="F1424" s="8" t="s">
        <v>58</v>
      </c>
      <c r="G1424" s="11">
        <v>43112</v>
      </c>
      <c r="H1424" s="8" t="s">
        <v>25</v>
      </c>
      <c r="I1424" s="11">
        <v>43112</v>
      </c>
      <c r="J1424" s="8" t="s">
        <v>25</v>
      </c>
      <c r="N1424" s="8" t="s">
        <v>58</v>
      </c>
      <c r="O1424" s="8" t="s">
        <v>59</v>
      </c>
      <c r="P1424" s="8" t="s">
        <v>59</v>
      </c>
      <c r="R1424" s="8">
        <v>0</v>
      </c>
      <c r="S1424" s="8">
        <v>0</v>
      </c>
      <c r="T1424" s="8">
        <v>1</v>
      </c>
      <c r="U1424" s="8">
        <v>2</v>
      </c>
      <c r="X1424" s="8">
        <v>5</v>
      </c>
      <c r="AG1424" s="8" t="str">
        <f t="shared" si="89"/>
        <v/>
      </c>
      <c r="AI1424" s="8" t="str">
        <f t="shared" si="90"/>
        <v/>
      </c>
      <c r="AJ1424" s="8" t="str">
        <f t="shared" si="91"/>
        <v/>
      </c>
      <c r="AL1424" s="8" t="str">
        <f t="shared" si="92"/>
        <v/>
      </c>
    </row>
    <row r="1425" spans="1:38" x14ac:dyDescent="0.25">
      <c r="A1425" s="8" t="s">
        <v>7121</v>
      </c>
      <c r="B1425" s="8" t="s">
        <v>7122</v>
      </c>
      <c r="C1425" s="8">
        <v>30911950</v>
      </c>
      <c r="D1425" s="8">
        <v>5</v>
      </c>
      <c r="E1425" s="11">
        <v>43112</v>
      </c>
      <c r="F1425" s="8" t="s">
        <v>58</v>
      </c>
      <c r="G1425" s="11">
        <v>43115</v>
      </c>
      <c r="H1425" s="8" t="s">
        <v>25</v>
      </c>
      <c r="I1425" s="11">
        <v>43115</v>
      </c>
      <c r="J1425" s="8" t="s">
        <v>25</v>
      </c>
      <c r="N1425" s="8" t="s">
        <v>58</v>
      </c>
      <c r="O1425" s="8" t="s">
        <v>59</v>
      </c>
      <c r="P1425" s="8" t="s">
        <v>59</v>
      </c>
      <c r="R1425" s="8">
        <v>0</v>
      </c>
      <c r="S1425" s="8">
        <v>0</v>
      </c>
      <c r="T1425" s="8">
        <v>1</v>
      </c>
      <c r="U1425" s="8">
        <v>2</v>
      </c>
      <c r="X1425" s="8">
        <v>5</v>
      </c>
      <c r="AG1425" s="8" t="str">
        <f t="shared" si="89"/>
        <v/>
      </c>
      <c r="AI1425" s="8" t="str">
        <f t="shared" si="90"/>
        <v/>
      </c>
      <c r="AJ1425" s="8" t="str">
        <f t="shared" si="91"/>
        <v/>
      </c>
      <c r="AL1425" s="8" t="str">
        <f t="shared" si="92"/>
        <v/>
      </c>
    </row>
    <row r="1426" spans="1:38" x14ac:dyDescent="0.25">
      <c r="A1426" s="8" t="s">
        <v>2167</v>
      </c>
      <c r="B1426" s="8" t="s">
        <v>2168</v>
      </c>
      <c r="C1426" s="8">
        <v>30827502</v>
      </c>
      <c r="D1426" s="8">
        <v>5</v>
      </c>
      <c r="E1426" s="11">
        <v>43108</v>
      </c>
      <c r="F1426" s="8" t="s">
        <v>58</v>
      </c>
      <c r="G1426" s="11">
        <v>43110</v>
      </c>
      <c r="H1426" s="8" t="s">
        <v>25</v>
      </c>
      <c r="I1426" s="11">
        <v>43112</v>
      </c>
      <c r="J1426" s="8" t="s">
        <v>25</v>
      </c>
      <c r="N1426" s="8" t="s">
        <v>58</v>
      </c>
      <c r="O1426" s="8" t="s">
        <v>59</v>
      </c>
      <c r="P1426" s="8" t="s">
        <v>59</v>
      </c>
      <c r="R1426" s="8">
        <v>0</v>
      </c>
      <c r="S1426" s="8">
        <v>0</v>
      </c>
      <c r="T1426" s="8">
        <v>1</v>
      </c>
      <c r="U1426" s="8">
        <v>2</v>
      </c>
      <c r="X1426" s="8">
        <v>5</v>
      </c>
      <c r="AG1426" s="8" t="str">
        <f t="shared" si="89"/>
        <v/>
      </c>
      <c r="AI1426" s="8" t="str">
        <f t="shared" si="90"/>
        <v/>
      </c>
      <c r="AJ1426" s="8" t="str">
        <f t="shared" si="91"/>
        <v/>
      </c>
      <c r="AL1426" s="8" t="str">
        <f t="shared" si="92"/>
        <v/>
      </c>
    </row>
    <row r="1427" spans="1:38" x14ac:dyDescent="0.25">
      <c r="A1427" s="8" t="s">
        <v>7123</v>
      </c>
      <c r="B1427" s="8" t="s">
        <v>7124</v>
      </c>
      <c r="C1427" s="8">
        <v>30906502</v>
      </c>
      <c r="D1427" s="8">
        <v>5</v>
      </c>
      <c r="E1427" s="11">
        <v>43112</v>
      </c>
      <c r="F1427" s="8" t="s">
        <v>57</v>
      </c>
      <c r="G1427" s="11">
        <v>43115</v>
      </c>
      <c r="H1427" s="8" t="s">
        <v>25</v>
      </c>
      <c r="J1427" s="8" t="s">
        <v>25</v>
      </c>
      <c r="N1427" s="8" t="s">
        <v>58</v>
      </c>
      <c r="O1427" s="8" t="s">
        <v>59</v>
      </c>
      <c r="P1427" s="8" t="s">
        <v>59</v>
      </c>
      <c r="R1427" s="8">
        <v>0</v>
      </c>
      <c r="S1427" s="8">
        <v>0</v>
      </c>
      <c r="T1427" s="8">
        <v>1</v>
      </c>
      <c r="U1427" s="8">
        <v>2</v>
      </c>
      <c r="AG1427" s="8" t="str">
        <f t="shared" si="89"/>
        <v/>
      </c>
      <c r="AI1427" s="8" t="str">
        <f t="shared" si="90"/>
        <v/>
      </c>
      <c r="AJ1427" s="8" t="str">
        <f t="shared" si="91"/>
        <v/>
      </c>
      <c r="AL1427" s="8" t="str">
        <f t="shared" si="92"/>
        <v/>
      </c>
    </row>
    <row r="1428" spans="1:38" x14ac:dyDescent="0.25">
      <c r="A1428" s="8" t="s">
        <v>7125</v>
      </c>
      <c r="B1428" s="8" t="s">
        <v>7126</v>
      </c>
      <c r="C1428" s="8">
        <v>30906501</v>
      </c>
      <c r="D1428" s="8">
        <v>5</v>
      </c>
      <c r="E1428" s="11">
        <v>43112</v>
      </c>
      <c r="F1428" s="8" t="s">
        <v>57</v>
      </c>
      <c r="G1428" s="11">
        <v>43115</v>
      </c>
      <c r="H1428" s="8" t="s">
        <v>25</v>
      </c>
      <c r="J1428" s="8" t="s">
        <v>25</v>
      </c>
      <c r="N1428" s="8" t="s">
        <v>58</v>
      </c>
      <c r="O1428" s="8" t="s">
        <v>59</v>
      </c>
      <c r="P1428" s="8" t="s">
        <v>59</v>
      </c>
      <c r="R1428" s="8">
        <v>0</v>
      </c>
      <c r="S1428" s="8">
        <v>0</v>
      </c>
      <c r="T1428" s="8">
        <v>1</v>
      </c>
      <c r="U1428" s="8">
        <v>2</v>
      </c>
      <c r="AG1428" s="8" t="str">
        <f t="shared" si="89"/>
        <v/>
      </c>
      <c r="AI1428" s="8" t="str">
        <f t="shared" si="90"/>
        <v/>
      </c>
      <c r="AJ1428" s="8" t="str">
        <f t="shared" si="91"/>
        <v/>
      </c>
      <c r="AL1428" s="8" t="str">
        <f t="shared" si="92"/>
        <v/>
      </c>
    </row>
    <row r="1429" spans="1:38" x14ac:dyDescent="0.25">
      <c r="A1429" s="8" t="s">
        <v>3751</v>
      </c>
      <c r="B1429" s="8" t="s">
        <v>118</v>
      </c>
      <c r="C1429" s="8">
        <v>30890124</v>
      </c>
      <c r="D1429" s="8">
        <v>5</v>
      </c>
      <c r="E1429" s="11">
        <v>43111</v>
      </c>
      <c r="F1429" s="8" t="s">
        <v>58</v>
      </c>
      <c r="G1429" s="11">
        <v>43111</v>
      </c>
      <c r="H1429" s="8" t="s">
        <v>25</v>
      </c>
      <c r="I1429" s="11">
        <v>43115</v>
      </c>
      <c r="J1429" s="8" t="s">
        <v>25</v>
      </c>
      <c r="N1429" s="8" t="s">
        <v>58</v>
      </c>
      <c r="O1429" s="8" t="s">
        <v>59</v>
      </c>
      <c r="P1429" s="8" t="s">
        <v>59</v>
      </c>
      <c r="R1429" s="8">
        <v>0</v>
      </c>
      <c r="S1429" s="8">
        <v>0</v>
      </c>
      <c r="T1429" s="8">
        <v>1</v>
      </c>
      <c r="U1429" s="8">
        <v>2</v>
      </c>
      <c r="X1429" s="8">
        <v>5</v>
      </c>
      <c r="AG1429" s="8" t="str">
        <f t="shared" si="89"/>
        <v/>
      </c>
      <c r="AI1429" s="8" t="str">
        <f t="shared" si="90"/>
        <v/>
      </c>
      <c r="AJ1429" s="8" t="str">
        <f t="shared" si="91"/>
        <v/>
      </c>
      <c r="AL1429" s="8" t="str">
        <f t="shared" si="92"/>
        <v/>
      </c>
    </row>
    <row r="1430" spans="1:38" x14ac:dyDescent="0.25">
      <c r="A1430" s="8" t="s">
        <v>3752</v>
      </c>
      <c r="B1430" s="8" t="s">
        <v>3753</v>
      </c>
      <c r="C1430" s="8">
        <v>30844502</v>
      </c>
      <c r="D1430" s="8">
        <v>5</v>
      </c>
      <c r="E1430" s="11">
        <v>43109</v>
      </c>
      <c r="F1430" s="8" t="s">
        <v>57</v>
      </c>
      <c r="G1430" s="11">
        <v>43111</v>
      </c>
      <c r="H1430" s="8" t="s">
        <v>25</v>
      </c>
      <c r="J1430" s="8" t="s">
        <v>25</v>
      </c>
      <c r="N1430" s="8" t="s">
        <v>58</v>
      </c>
      <c r="O1430" s="8" t="s">
        <v>59</v>
      </c>
      <c r="P1430" s="8" t="s">
        <v>59</v>
      </c>
      <c r="R1430" s="8">
        <v>0</v>
      </c>
      <c r="S1430" s="8">
        <v>0</v>
      </c>
      <c r="T1430" s="8">
        <v>1</v>
      </c>
      <c r="U1430" s="8">
        <v>2</v>
      </c>
      <c r="AG1430" s="8" t="str">
        <f t="shared" si="89"/>
        <v/>
      </c>
      <c r="AI1430" s="8" t="str">
        <f t="shared" si="90"/>
        <v/>
      </c>
      <c r="AJ1430" s="8" t="str">
        <f t="shared" si="91"/>
        <v/>
      </c>
      <c r="AL1430" s="8" t="str">
        <f t="shared" si="92"/>
        <v/>
      </c>
    </row>
    <row r="1431" spans="1:38" x14ac:dyDescent="0.25">
      <c r="A1431" s="8" t="s">
        <v>2169</v>
      </c>
      <c r="B1431" s="8" t="s">
        <v>2170</v>
      </c>
      <c r="C1431" s="8">
        <v>30842033</v>
      </c>
      <c r="D1431" s="8">
        <v>5</v>
      </c>
      <c r="E1431" s="11">
        <v>43109</v>
      </c>
      <c r="F1431" s="8" t="s">
        <v>57</v>
      </c>
      <c r="G1431" s="11">
        <v>43110</v>
      </c>
      <c r="H1431" s="8" t="s">
        <v>25</v>
      </c>
      <c r="J1431" s="8" t="s">
        <v>25</v>
      </c>
      <c r="N1431" s="8" t="s">
        <v>58</v>
      </c>
      <c r="O1431" s="8" t="s">
        <v>59</v>
      </c>
      <c r="P1431" s="8" t="s">
        <v>59</v>
      </c>
      <c r="R1431" s="8">
        <v>0</v>
      </c>
      <c r="S1431" s="8">
        <v>0</v>
      </c>
      <c r="T1431" s="8">
        <v>1</v>
      </c>
      <c r="U1431" s="8">
        <v>2</v>
      </c>
      <c r="AG1431" s="8" t="str">
        <f t="shared" si="89"/>
        <v/>
      </c>
      <c r="AI1431" s="8" t="str">
        <f t="shared" si="90"/>
        <v/>
      </c>
      <c r="AJ1431" s="8" t="str">
        <f t="shared" si="91"/>
        <v/>
      </c>
      <c r="AL1431" s="8" t="str">
        <f t="shared" si="92"/>
        <v/>
      </c>
    </row>
    <row r="1432" spans="1:38" x14ac:dyDescent="0.25">
      <c r="A1432" s="8" t="s">
        <v>2171</v>
      </c>
      <c r="B1432" s="8" t="s">
        <v>2172</v>
      </c>
      <c r="C1432" s="8">
        <v>30814435</v>
      </c>
      <c r="D1432" s="8">
        <v>5</v>
      </c>
      <c r="E1432" s="11">
        <v>43108</v>
      </c>
      <c r="F1432" s="8" t="s">
        <v>57</v>
      </c>
      <c r="G1432" s="11">
        <v>43110</v>
      </c>
      <c r="H1432" s="8" t="s">
        <v>25</v>
      </c>
      <c r="J1432" s="8" t="s">
        <v>25</v>
      </c>
      <c r="N1432" s="8" t="s">
        <v>58</v>
      </c>
      <c r="O1432" s="8" t="s">
        <v>59</v>
      </c>
      <c r="P1432" s="8" t="s">
        <v>59</v>
      </c>
      <c r="R1432" s="8">
        <v>0</v>
      </c>
      <c r="S1432" s="8">
        <v>0</v>
      </c>
      <c r="T1432" s="8">
        <v>1</v>
      </c>
      <c r="U1432" s="8">
        <v>2</v>
      </c>
      <c r="AG1432" s="8" t="str">
        <f t="shared" si="89"/>
        <v/>
      </c>
      <c r="AI1432" s="8" t="str">
        <f t="shared" si="90"/>
        <v/>
      </c>
      <c r="AJ1432" s="8" t="str">
        <f t="shared" si="91"/>
        <v/>
      </c>
      <c r="AL1432" s="8" t="str">
        <f t="shared" si="92"/>
        <v/>
      </c>
    </row>
    <row r="1433" spans="1:38" x14ac:dyDescent="0.25">
      <c r="A1433" s="8" t="s">
        <v>5273</v>
      </c>
      <c r="B1433" s="8" t="s">
        <v>5274</v>
      </c>
      <c r="C1433" s="8">
        <v>30884925</v>
      </c>
      <c r="D1433" s="8">
        <v>5</v>
      </c>
      <c r="E1433" s="11">
        <v>43111</v>
      </c>
      <c r="F1433" s="8" t="s">
        <v>57</v>
      </c>
      <c r="G1433" s="11">
        <v>43112</v>
      </c>
      <c r="H1433" s="8" t="s">
        <v>25</v>
      </c>
      <c r="J1433" s="8" t="s">
        <v>25</v>
      </c>
      <c r="N1433" s="8" t="s">
        <v>58</v>
      </c>
      <c r="O1433" s="8" t="s">
        <v>59</v>
      </c>
      <c r="P1433" s="8" t="s">
        <v>59</v>
      </c>
      <c r="R1433" s="8">
        <v>0</v>
      </c>
      <c r="S1433" s="8">
        <v>0</v>
      </c>
      <c r="T1433" s="8">
        <v>1</v>
      </c>
      <c r="U1433" s="8">
        <v>2</v>
      </c>
      <c r="AG1433" s="8" t="str">
        <f t="shared" si="89"/>
        <v/>
      </c>
      <c r="AI1433" s="8" t="str">
        <f t="shared" si="90"/>
        <v/>
      </c>
      <c r="AJ1433" s="8" t="str">
        <f t="shared" si="91"/>
        <v/>
      </c>
      <c r="AL1433" s="8" t="str">
        <f t="shared" si="92"/>
        <v/>
      </c>
    </row>
    <row r="1434" spans="1:38" x14ac:dyDescent="0.25">
      <c r="A1434" s="8" t="s">
        <v>1137</v>
      </c>
      <c r="B1434" s="8" t="s">
        <v>1138</v>
      </c>
      <c r="C1434" s="8">
        <v>30818388</v>
      </c>
      <c r="D1434" s="8">
        <v>5</v>
      </c>
      <c r="E1434" s="11">
        <v>43108</v>
      </c>
      <c r="F1434" s="8" t="s">
        <v>57</v>
      </c>
      <c r="G1434" s="11">
        <v>43109</v>
      </c>
      <c r="H1434" s="8" t="s">
        <v>25</v>
      </c>
      <c r="J1434" s="8" t="s">
        <v>25</v>
      </c>
      <c r="N1434" s="8" t="s">
        <v>58</v>
      </c>
      <c r="O1434" s="8" t="s">
        <v>59</v>
      </c>
      <c r="P1434" s="8" t="s">
        <v>59</v>
      </c>
      <c r="R1434" s="8">
        <v>0</v>
      </c>
      <c r="S1434" s="8">
        <v>0</v>
      </c>
      <c r="T1434" s="8">
        <v>1</v>
      </c>
      <c r="U1434" s="8">
        <v>2</v>
      </c>
      <c r="AG1434" s="8" t="str">
        <f t="shared" si="89"/>
        <v/>
      </c>
      <c r="AI1434" s="8" t="str">
        <f t="shared" si="90"/>
        <v/>
      </c>
      <c r="AJ1434" s="8" t="str">
        <f t="shared" si="91"/>
        <v/>
      </c>
      <c r="AL1434" s="8" t="str">
        <f t="shared" si="92"/>
        <v/>
      </c>
    </row>
    <row r="1435" spans="1:38" x14ac:dyDescent="0.25">
      <c r="A1435" s="8" t="s">
        <v>7127</v>
      </c>
      <c r="B1435" s="8" t="s">
        <v>7128</v>
      </c>
      <c r="C1435" s="8">
        <v>30930874</v>
      </c>
      <c r="D1435" s="8">
        <v>3</v>
      </c>
      <c r="E1435" s="11">
        <v>43115</v>
      </c>
      <c r="F1435" s="8" t="s">
        <v>57</v>
      </c>
      <c r="G1435" s="11">
        <v>43115</v>
      </c>
      <c r="H1435" s="8" t="s">
        <v>25</v>
      </c>
      <c r="J1435" s="8" t="s">
        <v>25</v>
      </c>
      <c r="N1435" s="8" t="s">
        <v>58</v>
      </c>
      <c r="O1435" s="8" t="s">
        <v>59</v>
      </c>
      <c r="P1435" s="8" t="s">
        <v>59</v>
      </c>
      <c r="R1435" s="8">
        <v>0</v>
      </c>
      <c r="S1435" s="8">
        <v>0</v>
      </c>
      <c r="T1435" s="8">
        <v>1</v>
      </c>
      <c r="U1435" s="8">
        <v>2</v>
      </c>
      <c r="AG1435" s="8" t="str">
        <f t="shared" si="89"/>
        <v/>
      </c>
      <c r="AI1435" s="8" t="str">
        <f t="shared" si="90"/>
        <v/>
      </c>
      <c r="AJ1435" s="8" t="str">
        <f t="shared" si="91"/>
        <v/>
      </c>
      <c r="AL1435" s="8" t="str">
        <f t="shared" si="92"/>
        <v/>
      </c>
    </row>
    <row r="1436" spans="1:38" x14ac:dyDescent="0.25">
      <c r="A1436" s="8" t="s">
        <v>2173</v>
      </c>
      <c r="B1436" s="8" t="s">
        <v>2174</v>
      </c>
      <c r="C1436" s="8">
        <v>30863385</v>
      </c>
      <c r="D1436" s="8">
        <v>5</v>
      </c>
      <c r="E1436" s="11">
        <v>43110</v>
      </c>
      <c r="F1436" s="8" t="s">
        <v>57</v>
      </c>
      <c r="G1436" s="11">
        <v>43110</v>
      </c>
      <c r="H1436" s="8" t="s">
        <v>25</v>
      </c>
      <c r="J1436" s="8" t="s">
        <v>25</v>
      </c>
      <c r="N1436" s="8" t="s">
        <v>58</v>
      </c>
      <c r="O1436" s="8" t="s">
        <v>59</v>
      </c>
      <c r="P1436" s="8" t="s">
        <v>59</v>
      </c>
      <c r="R1436" s="8">
        <v>0</v>
      </c>
      <c r="S1436" s="8">
        <v>0</v>
      </c>
      <c r="T1436" s="8">
        <v>1</v>
      </c>
      <c r="U1436" s="8">
        <v>2</v>
      </c>
      <c r="AG1436" s="8" t="str">
        <f t="shared" si="89"/>
        <v/>
      </c>
      <c r="AI1436" s="8" t="str">
        <f t="shared" si="90"/>
        <v/>
      </c>
      <c r="AJ1436" s="8" t="str">
        <f t="shared" si="91"/>
        <v/>
      </c>
      <c r="AL1436" s="8" t="str">
        <f t="shared" si="92"/>
        <v/>
      </c>
    </row>
    <row r="1437" spans="1:38" x14ac:dyDescent="0.25">
      <c r="A1437" s="8" t="s">
        <v>5275</v>
      </c>
      <c r="B1437" s="8" t="s">
        <v>5276</v>
      </c>
      <c r="C1437" s="8">
        <v>30873592</v>
      </c>
      <c r="D1437" s="8">
        <v>4</v>
      </c>
      <c r="E1437" s="11">
        <v>43110</v>
      </c>
      <c r="F1437" s="8" t="s">
        <v>57</v>
      </c>
      <c r="G1437" s="11">
        <v>43112</v>
      </c>
      <c r="H1437" s="8" t="s">
        <v>25</v>
      </c>
      <c r="J1437" s="8" t="s">
        <v>25</v>
      </c>
      <c r="N1437" s="8" t="s">
        <v>58</v>
      </c>
      <c r="O1437" s="8" t="s">
        <v>59</v>
      </c>
      <c r="P1437" s="8" t="s">
        <v>59</v>
      </c>
      <c r="R1437" s="8">
        <v>0</v>
      </c>
      <c r="S1437" s="8">
        <v>0</v>
      </c>
      <c r="T1437" s="8">
        <v>1</v>
      </c>
      <c r="U1437" s="8">
        <v>2</v>
      </c>
      <c r="AG1437" s="8" t="str">
        <f t="shared" si="89"/>
        <v/>
      </c>
      <c r="AI1437" s="8" t="str">
        <f t="shared" si="90"/>
        <v/>
      </c>
      <c r="AJ1437" s="8" t="str">
        <f t="shared" si="91"/>
        <v/>
      </c>
      <c r="AL1437" s="8" t="str">
        <f t="shared" si="92"/>
        <v/>
      </c>
    </row>
    <row r="1438" spans="1:38" x14ac:dyDescent="0.25">
      <c r="A1438" s="8" t="s">
        <v>3754</v>
      </c>
      <c r="B1438" s="8" t="s">
        <v>3755</v>
      </c>
      <c r="C1438" s="8">
        <v>30865204</v>
      </c>
      <c r="D1438" s="8">
        <v>5</v>
      </c>
      <c r="E1438" s="11">
        <v>43110</v>
      </c>
      <c r="F1438" s="8" t="s">
        <v>58</v>
      </c>
      <c r="G1438" s="11">
        <v>43111</v>
      </c>
      <c r="H1438" s="8" t="s">
        <v>25</v>
      </c>
      <c r="I1438" s="11">
        <v>43115</v>
      </c>
      <c r="J1438" s="8" t="s">
        <v>25</v>
      </c>
      <c r="N1438" s="8" t="s">
        <v>58</v>
      </c>
      <c r="O1438" s="8" t="s">
        <v>59</v>
      </c>
      <c r="P1438" s="8" t="s">
        <v>59</v>
      </c>
      <c r="R1438" s="8">
        <v>0</v>
      </c>
      <c r="S1438" s="8">
        <v>0</v>
      </c>
      <c r="T1438" s="8">
        <v>1</v>
      </c>
      <c r="U1438" s="8">
        <v>2</v>
      </c>
      <c r="X1438" s="8">
        <v>5</v>
      </c>
      <c r="AG1438" s="8" t="str">
        <f t="shared" si="89"/>
        <v/>
      </c>
      <c r="AI1438" s="8" t="str">
        <f t="shared" si="90"/>
        <v/>
      </c>
      <c r="AJ1438" s="8" t="str">
        <f t="shared" si="91"/>
        <v/>
      </c>
      <c r="AL1438" s="8" t="str">
        <f t="shared" si="92"/>
        <v/>
      </c>
    </row>
    <row r="1439" spans="1:38" x14ac:dyDescent="0.25">
      <c r="A1439" s="8" t="s">
        <v>2175</v>
      </c>
      <c r="B1439" s="8" t="s">
        <v>2176</v>
      </c>
      <c r="C1439" s="8">
        <v>30825182</v>
      </c>
      <c r="D1439" s="8">
        <v>5</v>
      </c>
      <c r="E1439" s="11">
        <v>43108</v>
      </c>
      <c r="F1439" s="8" t="s">
        <v>57</v>
      </c>
      <c r="G1439" s="11">
        <v>43110</v>
      </c>
      <c r="H1439" s="8" t="s">
        <v>25</v>
      </c>
      <c r="J1439" s="8" t="s">
        <v>25</v>
      </c>
      <c r="N1439" s="8" t="s">
        <v>58</v>
      </c>
      <c r="O1439" s="8" t="s">
        <v>59</v>
      </c>
      <c r="P1439" s="8" t="s">
        <v>59</v>
      </c>
      <c r="R1439" s="8">
        <v>0</v>
      </c>
      <c r="S1439" s="8">
        <v>0</v>
      </c>
      <c r="T1439" s="8">
        <v>1</v>
      </c>
      <c r="U1439" s="8">
        <v>2</v>
      </c>
      <c r="AG1439" s="8" t="str">
        <f t="shared" si="89"/>
        <v/>
      </c>
      <c r="AI1439" s="8" t="str">
        <f t="shared" si="90"/>
        <v/>
      </c>
      <c r="AJ1439" s="8" t="str">
        <f t="shared" si="91"/>
        <v/>
      </c>
      <c r="AL1439" s="8" t="str">
        <f t="shared" si="92"/>
        <v/>
      </c>
    </row>
    <row r="1440" spans="1:38" x14ac:dyDescent="0.25">
      <c r="A1440" s="8" t="s">
        <v>7129</v>
      </c>
      <c r="B1440" s="8" t="s">
        <v>7130</v>
      </c>
      <c r="C1440" s="8">
        <v>30931808</v>
      </c>
      <c r="D1440" s="8">
        <v>5</v>
      </c>
      <c r="E1440" s="11">
        <v>43115</v>
      </c>
      <c r="F1440" s="8" t="s">
        <v>57</v>
      </c>
      <c r="G1440" s="11">
        <v>43115</v>
      </c>
      <c r="H1440" s="8" t="s">
        <v>25</v>
      </c>
      <c r="J1440" s="8" t="s">
        <v>25</v>
      </c>
      <c r="N1440" s="8" t="s">
        <v>58</v>
      </c>
      <c r="O1440" s="8" t="s">
        <v>59</v>
      </c>
      <c r="P1440" s="8" t="s">
        <v>59</v>
      </c>
      <c r="R1440" s="8">
        <v>0</v>
      </c>
      <c r="S1440" s="8">
        <v>0</v>
      </c>
      <c r="T1440" s="8">
        <v>1</v>
      </c>
      <c r="U1440" s="8">
        <v>2</v>
      </c>
      <c r="AG1440" s="8" t="str">
        <f t="shared" si="89"/>
        <v/>
      </c>
      <c r="AI1440" s="8" t="str">
        <f t="shared" si="90"/>
        <v/>
      </c>
      <c r="AJ1440" s="8" t="str">
        <f t="shared" si="91"/>
        <v/>
      </c>
      <c r="AL1440" s="8" t="str">
        <f t="shared" si="92"/>
        <v/>
      </c>
    </row>
    <row r="1441" spans="1:38" x14ac:dyDescent="0.25">
      <c r="A1441" s="8" t="s">
        <v>1139</v>
      </c>
      <c r="B1441" s="8" t="s">
        <v>1140</v>
      </c>
      <c r="C1441" s="8">
        <v>30815070</v>
      </c>
      <c r="D1441" s="8">
        <v>5</v>
      </c>
      <c r="E1441" s="11">
        <v>43108</v>
      </c>
      <c r="F1441" s="8" t="s">
        <v>58</v>
      </c>
      <c r="G1441" s="11">
        <v>43109</v>
      </c>
      <c r="H1441" s="8" t="s">
        <v>25</v>
      </c>
      <c r="I1441" s="11">
        <v>43115</v>
      </c>
      <c r="J1441" s="8" t="s">
        <v>145</v>
      </c>
      <c r="N1441" s="8" t="s">
        <v>58</v>
      </c>
      <c r="O1441" s="8" t="s">
        <v>59</v>
      </c>
      <c r="P1441" s="8" t="s">
        <v>59</v>
      </c>
      <c r="R1441" s="8">
        <v>0</v>
      </c>
      <c r="S1441" s="8">
        <v>0</v>
      </c>
      <c r="T1441" s="8">
        <v>1</v>
      </c>
      <c r="U1441" s="8">
        <v>2</v>
      </c>
      <c r="X1441" s="8">
        <v>5</v>
      </c>
      <c r="AG1441" s="8" t="str">
        <f t="shared" si="89"/>
        <v/>
      </c>
      <c r="AI1441" s="8" t="str">
        <f t="shared" si="90"/>
        <v/>
      </c>
      <c r="AJ1441" s="8" t="str">
        <f t="shared" si="91"/>
        <v/>
      </c>
      <c r="AL1441" s="8" t="str">
        <f t="shared" si="92"/>
        <v/>
      </c>
    </row>
    <row r="1442" spans="1:38" x14ac:dyDescent="0.25">
      <c r="A1442" s="8" t="s">
        <v>3756</v>
      </c>
      <c r="B1442" s="8" t="s">
        <v>3757</v>
      </c>
      <c r="C1442" s="8">
        <v>30865651</v>
      </c>
      <c r="D1442" s="8">
        <v>4</v>
      </c>
      <c r="E1442" s="11">
        <v>43110</v>
      </c>
      <c r="F1442" s="8" t="s">
        <v>57</v>
      </c>
      <c r="G1442" s="11">
        <v>43111</v>
      </c>
      <c r="H1442" s="8" t="s">
        <v>25</v>
      </c>
      <c r="J1442" s="8" t="s">
        <v>25</v>
      </c>
      <c r="N1442" s="8" t="s">
        <v>58</v>
      </c>
      <c r="O1442" s="8" t="s">
        <v>59</v>
      </c>
      <c r="P1442" s="8" t="s">
        <v>59</v>
      </c>
      <c r="R1442" s="8">
        <v>0</v>
      </c>
      <c r="S1442" s="8">
        <v>0</v>
      </c>
      <c r="T1442" s="8">
        <v>1</v>
      </c>
      <c r="U1442" s="8">
        <v>2</v>
      </c>
      <c r="AG1442" s="8" t="str">
        <f t="shared" si="89"/>
        <v/>
      </c>
      <c r="AI1442" s="8" t="str">
        <f t="shared" si="90"/>
        <v/>
      </c>
      <c r="AJ1442" s="8" t="str">
        <f t="shared" si="91"/>
        <v/>
      </c>
      <c r="AL1442" s="8" t="str">
        <f t="shared" si="92"/>
        <v/>
      </c>
    </row>
    <row r="1443" spans="1:38" x14ac:dyDescent="0.25">
      <c r="A1443" s="8" t="s">
        <v>5277</v>
      </c>
      <c r="B1443" s="8" t="s">
        <v>5278</v>
      </c>
      <c r="C1443" s="8">
        <v>30917101</v>
      </c>
      <c r="D1443" s="8">
        <v>3</v>
      </c>
      <c r="E1443" s="11">
        <v>43112</v>
      </c>
      <c r="F1443" s="8" t="s">
        <v>57</v>
      </c>
      <c r="G1443" s="11">
        <v>43112</v>
      </c>
      <c r="H1443" s="8" t="s">
        <v>25</v>
      </c>
      <c r="J1443" s="8" t="s">
        <v>25</v>
      </c>
      <c r="N1443" s="8" t="s">
        <v>58</v>
      </c>
      <c r="O1443" s="8" t="s">
        <v>59</v>
      </c>
      <c r="P1443" s="8" t="s">
        <v>59</v>
      </c>
      <c r="R1443" s="8">
        <v>0</v>
      </c>
      <c r="S1443" s="8">
        <v>0</v>
      </c>
      <c r="T1443" s="8">
        <v>1</v>
      </c>
      <c r="U1443" s="8">
        <v>2</v>
      </c>
      <c r="AG1443" s="8" t="str">
        <f t="shared" si="89"/>
        <v/>
      </c>
      <c r="AI1443" s="8" t="str">
        <f t="shared" si="90"/>
        <v/>
      </c>
      <c r="AJ1443" s="8" t="str">
        <f t="shared" si="91"/>
        <v/>
      </c>
      <c r="AL1443" s="8" t="str">
        <f t="shared" si="92"/>
        <v/>
      </c>
    </row>
    <row r="1444" spans="1:38" x14ac:dyDescent="0.25">
      <c r="A1444" s="8" t="s">
        <v>1141</v>
      </c>
      <c r="B1444" s="8" t="s">
        <v>1142</v>
      </c>
      <c r="C1444" s="8">
        <v>30819977</v>
      </c>
      <c r="D1444" s="8">
        <v>5</v>
      </c>
      <c r="E1444" s="11">
        <v>43108</v>
      </c>
      <c r="F1444" s="8" t="s">
        <v>58</v>
      </c>
      <c r="G1444" s="11">
        <v>43109</v>
      </c>
      <c r="H1444" s="8" t="s">
        <v>25</v>
      </c>
      <c r="I1444" s="11">
        <v>43115</v>
      </c>
      <c r="J1444" s="8" t="s">
        <v>145</v>
      </c>
      <c r="N1444" s="8" t="s">
        <v>58</v>
      </c>
      <c r="O1444" s="8" t="s">
        <v>59</v>
      </c>
      <c r="P1444" s="8" t="s">
        <v>59</v>
      </c>
      <c r="R1444" s="8">
        <v>0</v>
      </c>
      <c r="S1444" s="8">
        <v>0</v>
      </c>
      <c r="T1444" s="8">
        <v>1</v>
      </c>
      <c r="U1444" s="8">
        <v>2</v>
      </c>
      <c r="X1444" s="8">
        <v>5</v>
      </c>
      <c r="AG1444" s="8" t="str">
        <f t="shared" si="89"/>
        <v/>
      </c>
      <c r="AI1444" s="8" t="str">
        <f t="shared" si="90"/>
        <v/>
      </c>
      <c r="AJ1444" s="8" t="str">
        <f t="shared" si="91"/>
        <v/>
      </c>
      <c r="AL1444" s="8" t="str">
        <f t="shared" si="92"/>
        <v/>
      </c>
    </row>
    <row r="1445" spans="1:38" x14ac:dyDescent="0.25">
      <c r="A1445" s="8" t="s">
        <v>3758</v>
      </c>
      <c r="B1445" s="8" t="s">
        <v>3759</v>
      </c>
      <c r="C1445" s="8">
        <v>30858427</v>
      </c>
      <c r="D1445" s="8">
        <v>5</v>
      </c>
      <c r="E1445" s="11">
        <v>43110</v>
      </c>
      <c r="F1445" s="8" t="s">
        <v>57</v>
      </c>
      <c r="G1445" s="11">
        <v>43111</v>
      </c>
      <c r="H1445" s="8" t="s">
        <v>25</v>
      </c>
      <c r="J1445" s="8" t="s">
        <v>25</v>
      </c>
      <c r="N1445" s="8" t="s">
        <v>58</v>
      </c>
      <c r="O1445" s="8" t="s">
        <v>59</v>
      </c>
      <c r="P1445" s="8" t="s">
        <v>59</v>
      </c>
      <c r="R1445" s="8">
        <v>0</v>
      </c>
      <c r="S1445" s="8">
        <v>0</v>
      </c>
      <c r="T1445" s="8">
        <v>1</v>
      </c>
      <c r="U1445" s="8">
        <v>2</v>
      </c>
      <c r="AG1445" s="8" t="str">
        <f t="shared" si="89"/>
        <v/>
      </c>
      <c r="AI1445" s="8" t="str">
        <f t="shared" si="90"/>
        <v/>
      </c>
      <c r="AJ1445" s="8" t="str">
        <f t="shared" si="91"/>
        <v/>
      </c>
      <c r="AL1445" s="8" t="str">
        <f t="shared" si="92"/>
        <v/>
      </c>
    </row>
    <row r="1446" spans="1:38" x14ac:dyDescent="0.25">
      <c r="A1446" s="8" t="s">
        <v>2177</v>
      </c>
      <c r="B1446" s="8" t="s">
        <v>2178</v>
      </c>
      <c r="C1446" s="8">
        <v>30830890</v>
      </c>
      <c r="D1446" s="8">
        <v>4</v>
      </c>
      <c r="E1446" s="11">
        <v>43109</v>
      </c>
      <c r="F1446" s="8" t="s">
        <v>57</v>
      </c>
      <c r="G1446" s="11">
        <v>43110</v>
      </c>
      <c r="H1446" s="8" t="s">
        <v>25</v>
      </c>
      <c r="J1446" s="8" t="s">
        <v>25</v>
      </c>
      <c r="N1446" s="8" t="s">
        <v>58</v>
      </c>
      <c r="O1446" s="8" t="s">
        <v>59</v>
      </c>
      <c r="P1446" s="8" t="s">
        <v>59</v>
      </c>
      <c r="R1446" s="8">
        <v>0</v>
      </c>
      <c r="S1446" s="8">
        <v>0</v>
      </c>
      <c r="T1446" s="8">
        <v>1</v>
      </c>
      <c r="U1446" s="8">
        <v>2</v>
      </c>
      <c r="AG1446" s="8" t="str">
        <f t="shared" si="89"/>
        <v/>
      </c>
      <c r="AI1446" s="8" t="str">
        <f t="shared" si="90"/>
        <v/>
      </c>
      <c r="AJ1446" s="8" t="str">
        <f t="shared" si="91"/>
        <v/>
      </c>
      <c r="AL1446" s="8" t="str">
        <f t="shared" si="92"/>
        <v/>
      </c>
    </row>
    <row r="1447" spans="1:38" x14ac:dyDescent="0.25">
      <c r="A1447" s="8" t="s">
        <v>416</v>
      </c>
      <c r="B1447" s="8" t="s">
        <v>417</v>
      </c>
      <c r="C1447" s="8">
        <v>30822490</v>
      </c>
      <c r="D1447" s="8">
        <v>5</v>
      </c>
      <c r="E1447" s="11">
        <v>43108</v>
      </c>
      <c r="F1447" s="8" t="s">
        <v>58</v>
      </c>
      <c r="G1447" s="11">
        <v>43108</v>
      </c>
      <c r="H1447" s="8" t="s">
        <v>25</v>
      </c>
      <c r="I1447" s="11">
        <v>43110</v>
      </c>
      <c r="J1447" s="8" t="s">
        <v>25</v>
      </c>
      <c r="N1447" s="8" t="s">
        <v>58</v>
      </c>
      <c r="O1447" s="8" t="s">
        <v>59</v>
      </c>
      <c r="P1447" s="8" t="s">
        <v>59</v>
      </c>
      <c r="R1447" s="8">
        <v>0</v>
      </c>
      <c r="S1447" s="8">
        <v>0</v>
      </c>
      <c r="T1447" s="8">
        <v>1</v>
      </c>
      <c r="U1447" s="8">
        <v>2</v>
      </c>
      <c r="X1447" s="8">
        <v>5</v>
      </c>
      <c r="AG1447" s="8" t="str">
        <f t="shared" si="89"/>
        <v/>
      </c>
      <c r="AI1447" s="8" t="str">
        <f t="shared" si="90"/>
        <v/>
      </c>
      <c r="AJ1447" s="8" t="str">
        <f t="shared" si="91"/>
        <v/>
      </c>
      <c r="AL1447" s="8" t="str">
        <f t="shared" si="92"/>
        <v/>
      </c>
    </row>
    <row r="1448" spans="1:38" x14ac:dyDescent="0.25">
      <c r="A1448" s="8" t="s">
        <v>2179</v>
      </c>
      <c r="B1448" s="8" t="s">
        <v>2180</v>
      </c>
      <c r="C1448" s="8">
        <v>30865068</v>
      </c>
      <c r="D1448" s="8">
        <v>5</v>
      </c>
      <c r="E1448" s="11">
        <v>43110</v>
      </c>
      <c r="F1448" s="8" t="s">
        <v>57</v>
      </c>
      <c r="G1448" s="11">
        <v>43110</v>
      </c>
      <c r="H1448" s="8" t="s">
        <v>25</v>
      </c>
      <c r="J1448" s="8" t="s">
        <v>25</v>
      </c>
      <c r="N1448" s="8" t="s">
        <v>58</v>
      </c>
      <c r="O1448" s="8" t="s">
        <v>59</v>
      </c>
      <c r="P1448" s="8" t="s">
        <v>59</v>
      </c>
      <c r="R1448" s="8">
        <v>0</v>
      </c>
      <c r="S1448" s="8">
        <v>0</v>
      </c>
      <c r="T1448" s="8">
        <v>1</v>
      </c>
      <c r="U1448" s="8">
        <v>2</v>
      </c>
      <c r="AG1448" s="8" t="str">
        <f t="shared" si="89"/>
        <v/>
      </c>
      <c r="AI1448" s="8" t="str">
        <f t="shared" si="90"/>
        <v/>
      </c>
      <c r="AJ1448" s="8" t="str">
        <f t="shared" si="91"/>
        <v/>
      </c>
      <c r="AL1448" s="8" t="str">
        <f t="shared" si="92"/>
        <v/>
      </c>
    </row>
    <row r="1449" spans="1:38" x14ac:dyDescent="0.25">
      <c r="A1449" s="8" t="s">
        <v>2181</v>
      </c>
      <c r="B1449" s="8" t="s">
        <v>2182</v>
      </c>
      <c r="C1449" s="8">
        <v>30814673</v>
      </c>
      <c r="D1449" s="8">
        <v>5</v>
      </c>
      <c r="E1449" s="11">
        <v>43108</v>
      </c>
      <c r="F1449" s="8" t="s">
        <v>58</v>
      </c>
      <c r="G1449" s="11">
        <v>43110</v>
      </c>
      <c r="H1449" s="8" t="s">
        <v>25</v>
      </c>
      <c r="I1449" s="11">
        <v>43115</v>
      </c>
      <c r="J1449" s="8" t="s">
        <v>145</v>
      </c>
      <c r="N1449" s="8" t="s">
        <v>58</v>
      </c>
      <c r="O1449" s="8" t="s">
        <v>59</v>
      </c>
      <c r="P1449" s="8" t="s">
        <v>59</v>
      </c>
      <c r="R1449" s="8">
        <v>0</v>
      </c>
      <c r="S1449" s="8">
        <v>0</v>
      </c>
      <c r="T1449" s="8">
        <v>1</v>
      </c>
      <c r="U1449" s="8">
        <v>2</v>
      </c>
      <c r="X1449" s="8">
        <v>5</v>
      </c>
      <c r="AG1449" s="8" t="str">
        <f t="shared" si="89"/>
        <v/>
      </c>
      <c r="AI1449" s="8" t="str">
        <f t="shared" si="90"/>
        <v/>
      </c>
      <c r="AJ1449" s="8" t="str">
        <f t="shared" si="91"/>
        <v/>
      </c>
      <c r="AL1449" s="8" t="str">
        <f t="shared" si="92"/>
        <v/>
      </c>
    </row>
    <row r="1450" spans="1:38" x14ac:dyDescent="0.25">
      <c r="A1450" s="8" t="s">
        <v>5279</v>
      </c>
      <c r="B1450" s="8" t="s">
        <v>5280</v>
      </c>
      <c r="C1450" s="8">
        <v>30873123</v>
      </c>
      <c r="D1450" s="8">
        <v>5</v>
      </c>
      <c r="E1450" s="11">
        <v>43110</v>
      </c>
      <c r="F1450" s="8" t="s">
        <v>57</v>
      </c>
      <c r="G1450" s="11">
        <v>43112</v>
      </c>
      <c r="H1450" s="8" t="s">
        <v>25</v>
      </c>
      <c r="J1450" s="8" t="s">
        <v>25</v>
      </c>
      <c r="N1450" s="8" t="s">
        <v>58</v>
      </c>
      <c r="O1450" s="8" t="s">
        <v>59</v>
      </c>
      <c r="P1450" s="8" t="s">
        <v>59</v>
      </c>
      <c r="R1450" s="8">
        <v>0</v>
      </c>
      <c r="S1450" s="8">
        <v>0</v>
      </c>
      <c r="T1450" s="8">
        <v>1</v>
      </c>
      <c r="U1450" s="8">
        <v>2</v>
      </c>
      <c r="AG1450" s="8" t="str">
        <f t="shared" si="89"/>
        <v/>
      </c>
      <c r="AI1450" s="8" t="str">
        <f t="shared" si="90"/>
        <v/>
      </c>
      <c r="AJ1450" s="8" t="str">
        <f t="shared" si="91"/>
        <v/>
      </c>
      <c r="AL1450" s="8" t="str">
        <f t="shared" si="92"/>
        <v/>
      </c>
    </row>
    <row r="1451" spans="1:38" x14ac:dyDescent="0.25">
      <c r="A1451" s="8" t="s">
        <v>5281</v>
      </c>
      <c r="B1451" s="8" t="s">
        <v>5282</v>
      </c>
      <c r="C1451" s="8">
        <v>30909955</v>
      </c>
      <c r="D1451" s="8">
        <v>5</v>
      </c>
      <c r="E1451" s="11">
        <v>43112</v>
      </c>
      <c r="F1451" s="8" t="s">
        <v>58</v>
      </c>
      <c r="G1451" s="11">
        <v>43112</v>
      </c>
      <c r="H1451" s="8" t="s">
        <v>25</v>
      </c>
      <c r="I1451" s="11">
        <v>43115</v>
      </c>
      <c r="J1451" s="8" t="s">
        <v>25</v>
      </c>
      <c r="N1451" s="8" t="s">
        <v>58</v>
      </c>
      <c r="O1451" s="8" t="s">
        <v>59</v>
      </c>
      <c r="P1451" s="8" t="s">
        <v>59</v>
      </c>
      <c r="R1451" s="8">
        <v>0</v>
      </c>
      <c r="S1451" s="8">
        <v>0</v>
      </c>
      <c r="T1451" s="8">
        <v>1</v>
      </c>
      <c r="U1451" s="8">
        <v>2</v>
      </c>
      <c r="X1451" s="8">
        <v>5</v>
      </c>
      <c r="AG1451" s="8" t="str">
        <f t="shared" si="89"/>
        <v/>
      </c>
      <c r="AI1451" s="8" t="str">
        <f t="shared" si="90"/>
        <v/>
      </c>
      <c r="AJ1451" s="8" t="str">
        <f t="shared" si="91"/>
        <v/>
      </c>
      <c r="AL1451" s="8" t="str">
        <f t="shared" si="92"/>
        <v/>
      </c>
    </row>
    <row r="1452" spans="1:38" x14ac:dyDescent="0.25">
      <c r="A1452" s="8" t="s">
        <v>1143</v>
      </c>
      <c r="B1452" s="8" t="s">
        <v>1144</v>
      </c>
      <c r="C1452" s="8">
        <v>30818165</v>
      </c>
      <c r="D1452" s="8">
        <v>5</v>
      </c>
      <c r="E1452" s="11">
        <v>43108</v>
      </c>
      <c r="F1452" s="8" t="s">
        <v>57</v>
      </c>
      <c r="G1452" s="11">
        <v>43109</v>
      </c>
      <c r="H1452" s="8" t="s">
        <v>25</v>
      </c>
      <c r="J1452" s="8" t="s">
        <v>25</v>
      </c>
      <c r="N1452" s="8" t="s">
        <v>58</v>
      </c>
      <c r="O1452" s="8" t="s">
        <v>59</v>
      </c>
      <c r="P1452" s="8" t="s">
        <v>59</v>
      </c>
      <c r="R1452" s="8">
        <v>0</v>
      </c>
      <c r="S1452" s="8">
        <v>0</v>
      </c>
      <c r="T1452" s="8">
        <v>1</v>
      </c>
      <c r="U1452" s="8">
        <v>2</v>
      </c>
      <c r="AG1452" s="8" t="str">
        <f t="shared" si="89"/>
        <v/>
      </c>
      <c r="AI1452" s="8" t="str">
        <f t="shared" si="90"/>
        <v/>
      </c>
      <c r="AJ1452" s="8" t="str">
        <f t="shared" si="91"/>
        <v/>
      </c>
      <c r="AL1452" s="8" t="str">
        <f t="shared" si="92"/>
        <v/>
      </c>
    </row>
    <row r="1453" spans="1:38" x14ac:dyDescent="0.25">
      <c r="A1453" s="8" t="s">
        <v>7131</v>
      </c>
      <c r="B1453" s="8" t="s">
        <v>7132</v>
      </c>
      <c r="C1453" s="8">
        <v>30900134</v>
      </c>
      <c r="D1453" s="8">
        <v>5</v>
      </c>
      <c r="E1453" s="11">
        <v>43111</v>
      </c>
      <c r="F1453" s="8" t="s">
        <v>58</v>
      </c>
      <c r="G1453" s="11">
        <v>43115</v>
      </c>
      <c r="H1453" s="8" t="s">
        <v>25</v>
      </c>
      <c r="I1453" s="11">
        <v>43115</v>
      </c>
      <c r="J1453" s="8" t="s">
        <v>25</v>
      </c>
      <c r="N1453" s="8" t="s">
        <v>58</v>
      </c>
      <c r="O1453" s="8" t="s">
        <v>59</v>
      </c>
      <c r="P1453" s="8" t="s">
        <v>59</v>
      </c>
      <c r="R1453" s="8">
        <v>0</v>
      </c>
      <c r="S1453" s="8">
        <v>0</v>
      </c>
      <c r="T1453" s="8">
        <v>1</v>
      </c>
      <c r="U1453" s="8">
        <v>2</v>
      </c>
      <c r="X1453" s="8">
        <v>5</v>
      </c>
      <c r="AG1453" s="8" t="str">
        <f t="shared" si="89"/>
        <v/>
      </c>
      <c r="AI1453" s="8" t="str">
        <f t="shared" si="90"/>
        <v/>
      </c>
      <c r="AJ1453" s="8" t="str">
        <f t="shared" si="91"/>
        <v/>
      </c>
      <c r="AL1453" s="8" t="str">
        <f t="shared" si="92"/>
        <v/>
      </c>
    </row>
    <row r="1454" spans="1:38" x14ac:dyDescent="0.25">
      <c r="A1454" s="8" t="s">
        <v>5283</v>
      </c>
      <c r="B1454" s="8" t="s">
        <v>5284</v>
      </c>
      <c r="C1454" s="8">
        <v>30895398</v>
      </c>
      <c r="D1454" s="8">
        <v>5</v>
      </c>
      <c r="E1454" s="11">
        <v>43111</v>
      </c>
      <c r="F1454" s="8" t="s">
        <v>57</v>
      </c>
      <c r="G1454" s="11">
        <v>43112</v>
      </c>
      <c r="H1454" s="8" t="s">
        <v>25</v>
      </c>
      <c r="J1454" s="8" t="s">
        <v>25</v>
      </c>
      <c r="N1454" s="8" t="s">
        <v>58</v>
      </c>
      <c r="O1454" s="8" t="s">
        <v>59</v>
      </c>
      <c r="P1454" s="8" t="s">
        <v>59</v>
      </c>
      <c r="R1454" s="8">
        <v>0</v>
      </c>
      <c r="S1454" s="8">
        <v>0</v>
      </c>
      <c r="T1454" s="8">
        <v>1</v>
      </c>
      <c r="U1454" s="8">
        <v>2</v>
      </c>
      <c r="AG1454" s="8" t="str">
        <f t="shared" si="89"/>
        <v/>
      </c>
      <c r="AI1454" s="8" t="str">
        <f t="shared" si="90"/>
        <v/>
      </c>
      <c r="AJ1454" s="8" t="str">
        <f t="shared" si="91"/>
        <v/>
      </c>
      <c r="AL1454" s="8" t="str">
        <f t="shared" si="92"/>
        <v/>
      </c>
    </row>
    <row r="1455" spans="1:38" x14ac:dyDescent="0.25">
      <c r="A1455" s="8" t="s">
        <v>7133</v>
      </c>
      <c r="B1455" s="8" t="s">
        <v>7134</v>
      </c>
      <c r="C1455" s="8">
        <v>30931245</v>
      </c>
      <c r="D1455" s="8">
        <v>5</v>
      </c>
      <c r="E1455" s="11">
        <v>43115</v>
      </c>
      <c r="F1455" s="8" t="s">
        <v>57</v>
      </c>
      <c r="G1455" s="11">
        <v>43115</v>
      </c>
      <c r="H1455" s="8" t="s">
        <v>25</v>
      </c>
      <c r="J1455" s="8" t="s">
        <v>25</v>
      </c>
      <c r="N1455" s="8" t="s">
        <v>58</v>
      </c>
      <c r="O1455" s="8" t="s">
        <v>59</v>
      </c>
      <c r="P1455" s="8" t="s">
        <v>59</v>
      </c>
      <c r="R1455" s="8">
        <v>0</v>
      </c>
      <c r="S1455" s="8">
        <v>0</v>
      </c>
      <c r="T1455" s="8">
        <v>1</v>
      </c>
      <c r="U1455" s="8">
        <v>2</v>
      </c>
      <c r="AG1455" s="8" t="str">
        <f t="shared" si="89"/>
        <v/>
      </c>
      <c r="AI1455" s="8" t="str">
        <f t="shared" si="90"/>
        <v/>
      </c>
      <c r="AJ1455" s="8" t="str">
        <f t="shared" si="91"/>
        <v/>
      </c>
      <c r="AL1455" s="8" t="str">
        <f t="shared" si="92"/>
        <v/>
      </c>
    </row>
    <row r="1456" spans="1:38" x14ac:dyDescent="0.25">
      <c r="A1456" s="8" t="s">
        <v>7135</v>
      </c>
      <c r="B1456" s="8" t="s">
        <v>7136</v>
      </c>
      <c r="C1456" s="8">
        <v>30933979</v>
      </c>
      <c r="D1456" s="8">
        <v>5</v>
      </c>
      <c r="E1456" s="11">
        <v>43115</v>
      </c>
      <c r="F1456" s="8" t="s">
        <v>57</v>
      </c>
      <c r="G1456" s="11">
        <v>43115</v>
      </c>
      <c r="H1456" s="8" t="s">
        <v>25</v>
      </c>
      <c r="J1456" s="8" t="s">
        <v>25</v>
      </c>
      <c r="N1456" s="8" t="s">
        <v>58</v>
      </c>
      <c r="O1456" s="8" t="s">
        <v>59</v>
      </c>
      <c r="P1456" s="8" t="s">
        <v>59</v>
      </c>
      <c r="R1456" s="8">
        <v>0</v>
      </c>
      <c r="S1456" s="8">
        <v>0</v>
      </c>
      <c r="T1456" s="8">
        <v>1</v>
      </c>
      <c r="U1456" s="8">
        <v>2</v>
      </c>
      <c r="AG1456" s="8" t="str">
        <f t="shared" si="89"/>
        <v/>
      </c>
      <c r="AI1456" s="8" t="str">
        <f t="shared" si="90"/>
        <v/>
      </c>
      <c r="AJ1456" s="8" t="str">
        <f t="shared" si="91"/>
        <v/>
      </c>
      <c r="AL1456" s="8" t="str">
        <f t="shared" si="92"/>
        <v/>
      </c>
    </row>
    <row r="1457" spans="1:38" x14ac:dyDescent="0.25">
      <c r="A1457" s="8" t="s">
        <v>1145</v>
      </c>
      <c r="B1457" s="8" t="s">
        <v>1146</v>
      </c>
      <c r="C1457" s="8">
        <v>30837247</v>
      </c>
      <c r="D1457" s="8">
        <v>5</v>
      </c>
      <c r="E1457" s="11">
        <v>43109</v>
      </c>
      <c r="F1457" s="8" t="s">
        <v>58</v>
      </c>
      <c r="G1457" s="11">
        <v>43109</v>
      </c>
      <c r="H1457" s="8" t="s">
        <v>25</v>
      </c>
      <c r="I1457" s="11">
        <v>43115</v>
      </c>
      <c r="J1457" s="8" t="s">
        <v>145</v>
      </c>
      <c r="N1457" s="8" t="s">
        <v>58</v>
      </c>
      <c r="O1457" s="8" t="s">
        <v>59</v>
      </c>
      <c r="P1457" s="8" t="s">
        <v>59</v>
      </c>
      <c r="R1457" s="8">
        <v>0</v>
      </c>
      <c r="S1457" s="8">
        <v>0</v>
      </c>
      <c r="T1457" s="8">
        <v>1</v>
      </c>
      <c r="U1457" s="8">
        <v>2</v>
      </c>
      <c r="X1457" s="8">
        <v>5</v>
      </c>
      <c r="AG1457" s="8" t="str">
        <f t="shared" si="89"/>
        <v/>
      </c>
      <c r="AI1457" s="8" t="str">
        <f t="shared" si="90"/>
        <v/>
      </c>
      <c r="AJ1457" s="8" t="str">
        <f t="shared" si="91"/>
        <v/>
      </c>
      <c r="AL1457" s="8" t="str">
        <f t="shared" si="92"/>
        <v/>
      </c>
    </row>
    <row r="1458" spans="1:38" x14ac:dyDescent="0.25">
      <c r="A1458" s="8" t="s">
        <v>3760</v>
      </c>
      <c r="B1458" s="8" t="s">
        <v>3761</v>
      </c>
      <c r="C1458" s="8">
        <v>30865224</v>
      </c>
      <c r="D1458" s="8">
        <v>5</v>
      </c>
      <c r="E1458" s="11">
        <v>43110</v>
      </c>
      <c r="F1458" s="8" t="s">
        <v>58</v>
      </c>
      <c r="G1458" s="11">
        <v>43111</v>
      </c>
      <c r="H1458" s="8" t="s">
        <v>25</v>
      </c>
      <c r="I1458" s="11">
        <v>43115</v>
      </c>
      <c r="J1458" s="8" t="s">
        <v>25</v>
      </c>
      <c r="N1458" s="8" t="s">
        <v>58</v>
      </c>
      <c r="O1458" s="8" t="s">
        <v>59</v>
      </c>
      <c r="P1458" s="8" t="s">
        <v>59</v>
      </c>
      <c r="R1458" s="8">
        <v>0</v>
      </c>
      <c r="S1458" s="8">
        <v>0</v>
      </c>
      <c r="T1458" s="8">
        <v>1</v>
      </c>
      <c r="U1458" s="8">
        <v>2</v>
      </c>
      <c r="X1458" s="8">
        <v>5</v>
      </c>
      <c r="AG1458" s="8" t="str">
        <f t="shared" si="89"/>
        <v/>
      </c>
      <c r="AI1458" s="8" t="str">
        <f t="shared" si="90"/>
        <v/>
      </c>
      <c r="AJ1458" s="8" t="str">
        <f t="shared" si="91"/>
        <v/>
      </c>
      <c r="AL1458" s="8" t="str">
        <f t="shared" si="92"/>
        <v/>
      </c>
    </row>
    <row r="1459" spans="1:38" x14ac:dyDescent="0.25">
      <c r="A1459" s="8" t="s">
        <v>7137</v>
      </c>
      <c r="B1459" s="8" t="s">
        <v>7138</v>
      </c>
      <c r="C1459" s="8">
        <v>30915201</v>
      </c>
      <c r="D1459" s="8">
        <v>5</v>
      </c>
      <c r="E1459" s="11">
        <v>43112</v>
      </c>
      <c r="F1459" s="8" t="s">
        <v>57</v>
      </c>
      <c r="G1459" s="11">
        <v>43115</v>
      </c>
      <c r="H1459" s="8" t="s">
        <v>25</v>
      </c>
      <c r="J1459" s="8" t="s">
        <v>25</v>
      </c>
      <c r="N1459" s="8" t="s">
        <v>58</v>
      </c>
      <c r="O1459" s="8" t="s">
        <v>59</v>
      </c>
      <c r="P1459" s="8" t="s">
        <v>59</v>
      </c>
      <c r="R1459" s="8">
        <v>0</v>
      </c>
      <c r="S1459" s="8">
        <v>0</v>
      </c>
      <c r="T1459" s="8">
        <v>1</v>
      </c>
      <c r="U1459" s="8">
        <v>2</v>
      </c>
      <c r="AG1459" s="8" t="str">
        <f t="shared" si="89"/>
        <v/>
      </c>
      <c r="AI1459" s="8" t="str">
        <f t="shared" si="90"/>
        <v/>
      </c>
      <c r="AJ1459" s="8" t="str">
        <f t="shared" si="91"/>
        <v/>
      </c>
      <c r="AL1459" s="8" t="str">
        <f t="shared" si="92"/>
        <v/>
      </c>
    </row>
    <row r="1460" spans="1:38" x14ac:dyDescent="0.25">
      <c r="A1460" s="8" t="s">
        <v>3762</v>
      </c>
      <c r="B1460" s="8" t="s">
        <v>3763</v>
      </c>
      <c r="C1460" s="8">
        <v>30899249</v>
      </c>
      <c r="D1460" s="8">
        <v>5</v>
      </c>
      <c r="E1460" s="11">
        <v>43111</v>
      </c>
      <c r="F1460" s="8" t="s">
        <v>58</v>
      </c>
      <c r="G1460" s="11">
        <v>43111</v>
      </c>
      <c r="H1460" s="8" t="s">
        <v>25</v>
      </c>
      <c r="I1460" s="11">
        <v>43115</v>
      </c>
      <c r="J1460" s="8" t="s">
        <v>25</v>
      </c>
      <c r="N1460" s="8" t="s">
        <v>58</v>
      </c>
      <c r="O1460" s="8" t="s">
        <v>59</v>
      </c>
      <c r="P1460" s="8" t="s">
        <v>59</v>
      </c>
      <c r="R1460" s="8">
        <v>0</v>
      </c>
      <c r="S1460" s="8">
        <v>0</v>
      </c>
      <c r="T1460" s="8">
        <v>1</v>
      </c>
      <c r="U1460" s="8">
        <v>2</v>
      </c>
      <c r="X1460" s="8">
        <v>5</v>
      </c>
      <c r="AG1460" s="8" t="str">
        <f t="shared" si="89"/>
        <v/>
      </c>
      <c r="AI1460" s="8" t="str">
        <f t="shared" si="90"/>
        <v/>
      </c>
      <c r="AJ1460" s="8" t="str">
        <f t="shared" si="91"/>
        <v/>
      </c>
      <c r="AL1460" s="8" t="str">
        <f t="shared" si="92"/>
        <v/>
      </c>
    </row>
    <row r="1461" spans="1:38" x14ac:dyDescent="0.25">
      <c r="A1461" s="8" t="s">
        <v>5285</v>
      </c>
      <c r="B1461" s="8" t="s">
        <v>5286</v>
      </c>
      <c r="C1461" s="8">
        <v>30893847</v>
      </c>
      <c r="D1461" s="8">
        <v>5</v>
      </c>
      <c r="E1461" s="11">
        <v>43111</v>
      </c>
      <c r="F1461" s="8" t="s">
        <v>57</v>
      </c>
      <c r="G1461" s="11">
        <v>43112</v>
      </c>
      <c r="H1461" s="8" t="s">
        <v>25</v>
      </c>
      <c r="J1461" s="8" t="s">
        <v>25</v>
      </c>
      <c r="N1461" s="8" t="s">
        <v>58</v>
      </c>
      <c r="O1461" s="8" t="s">
        <v>59</v>
      </c>
      <c r="P1461" s="8" t="s">
        <v>59</v>
      </c>
      <c r="R1461" s="8">
        <v>0</v>
      </c>
      <c r="S1461" s="8">
        <v>0</v>
      </c>
      <c r="T1461" s="8">
        <v>1</v>
      </c>
      <c r="U1461" s="8">
        <v>2</v>
      </c>
      <c r="AG1461" s="8" t="str">
        <f t="shared" si="89"/>
        <v/>
      </c>
      <c r="AI1461" s="8" t="str">
        <f t="shared" si="90"/>
        <v/>
      </c>
      <c r="AJ1461" s="8" t="str">
        <f t="shared" si="91"/>
        <v/>
      </c>
      <c r="AL1461" s="8" t="str">
        <f t="shared" si="92"/>
        <v/>
      </c>
    </row>
    <row r="1462" spans="1:38" x14ac:dyDescent="0.25">
      <c r="A1462" s="8" t="s">
        <v>1147</v>
      </c>
      <c r="B1462" s="8" t="s">
        <v>1148</v>
      </c>
      <c r="C1462" s="8">
        <v>30829461</v>
      </c>
      <c r="D1462" s="8">
        <v>5</v>
      </c>
      <c r="E1462" s="11">
        <v>43108</v>
      </c>
      <c r="F1462" s="8" t="s">
        <v>57</v>
      </c>
      <c r="G1462" s="11">
        <v>43109</v>
      </c>
      <c r="H1462" s="8" t="s">
        <v>25</v>
      </c>
      <c r="J1462" s="8" t="s">
        <v>25</v>
      </c>
      <c r="N1462" s="8" t="s">
        <v>58</v>
      </c>
      <c r="O1462" s="8" t="s">
        <v>59</v>
      </c>
      <c r="P1462" s="8" t="s">
        <v>59</v>
      </c>
      <c r="R1462" s="8">
        <v>0</v>
      </c>
      <c r="S1462" s="8">
        <v>0</v>
      </c>
      <c r="T1462" s="8">
        <v>1</v>
      </c>
      <c r="U1462" s="8">
        <v>2</v>
      </c>
      <c r="AG1462" s="8" t="str">
        <f t="shared" si="89"/>
        <v/>
      </c>
      <c r="AI1462" s="8" t="str">
        <f t="shared" si="90"/>
        <v/>
      </c>
      <c r="AJ1462" s="8" t="str">
        <f t="shared" si="91"/>
        <v/>
      </c>
      <c r="AL1462" s="8" t="str">
        <f t="shared" si="92"/>
        <v/>
      </c>
    </row>
    <row r="1463" spans="1:38" x14ac:dyDescent="0.25">
      <c r="A1463" s="8" t="s">
        <v>5287</v>
      </c>
      <c r="B1463" s="8" t="s">
        <v>5288</v>
      </c>
      <c r="C1463" s="8">
        <v>30904075</v>
      </c>
      <c r="D1463" s="8">
        <v>5</v>
      </c>
      <c r="E1463" s="11">
        <v>43111</v>
      </c>
      <c r="F1463" s="8" t="s">
        <v>60</v>
      </c>
      <c r="G1463" s="11">
        <v>43112</v>
      </c>
      <c r="H1463" s="8" t="s">
        <v>25</v>
      </c>
      <c r="J1463" s="8" t="s">
        <v>25</v>
      </c>
      <c r="L1463" s="8" t="s">
        <v>6525</v>
      </c>
      <c r="N1463" s="8" t="s">
        <v>58</v>
      </c>
      <c r="O1463" s="8" t="s">
        <v>59</v>
      </c>
      <c r="P1463" s="8" t="s">
        <v>59</v>
      </c>
      <c r="R1463" s="8">
        <v>0</v>
      </c>
      <c r="S1463" s="8">
        <v>0</v>
      </c>
      <c r="T1463" s="8">
        <v>1</v>
      </c>
      <c r="U1463" s="8">
        <v>2</v>
      </c>
      <c r="W1463" s="8">
        <v>4</v>
      </c>
      <c r="AG1463" s="8" t="str">
        <f t="shared" si="89"/>
        <v/>
      </c>
      <c r="AI1463" s="8" t="str">
        <f t="shared" si="90"/>
        <v/>
      </c>
      <c r="AJ1463" s="8" t="str">
        <f t="shared" si="91"/>
        <v/>
      </c>
      <c r="AL1463" s="8" t="str">
        <f t="shared" si="92"/>
        <v/>
      </c>
    </row>
    <row r="1464" spans="1:38" x14ac:dyDescent="0.25">
      <c r="A1464" s="8" t="s">
        <v>1149</v>
      </c>
      <c r="B1464" s="8" t="s">
        <v>1150</v>
      </c>
      <c r="C1464" s="8">
        <v>30818830</v>
      </c>
      <c r="D1464" s="8">
        <v>5</v>
      </c>
      <c r="E1464" s="11">
        <v>43108</v>
      </c>
      <c r="F1464" s="8" t="s">
        <v>58</v>
      </c>
      <c r="G1464" s="11">
        <v>43109</v>
      </c>
      <c r="H1464" s="8" t="s">
        <v>25</v>
      </c>
      <c r="I1464" s="11">
        <v>43115</v>
      </c>
      <c r="J1464" s="8" t="s">
        <v>145</v>
      </c>
      <c r="N1464" s="8" t="s">
        <v>58</v>
      </c>
      <c r="O1464" s="8" t="s">
        <v>59</v>
      </c>
      <c r="P1464" s="8" t="s">
        <v>59</v>
      </c>
      <c r="R1464" s="8">
        <v>0</v>
      </c>
      <c r="S1464" s="8">
        <v>0</v>
      </c>
      <c r="T1464" s="8">
        <v>1</v>
      </c>
      <c r="U1464" s="8">
        <v>2</v>
      </c>
      <c r="X1464" s="8">
        <v>5</v>
      </c>
      <c r="AG1464" s="8" t="str">
        <f t="shared" si="89"/>
        <v/>
      </c>
      <c r="AI1464" s="8" t="str">
        <f t="shared" si="90"/>
        <v/>
      </c>
      <c r="AJ1464" s="8" t="str">
        <f t="shared" si="91"/>
        <v/>
      </c>
      <c r="AL1464" s="8" t="str">
        <f t="shared" si="92"/>
        <v/>
      </c>
    </row>
    <row r="1465" spans="1:38" x14ac:dyDescent="0.25">
      <c r="A1465" s="8" t="s">
        <v>3764</v>
      </c>
      <c r="B1465" s="8" t="s">
        <v>3765</v>
      </c>
      <c r="C1465" s="8">
        <v>30874098</v>
      </c>
      <c r="D1465" s="8">
        <v>5</v>
      </c>
      <c r="E1465" s="11">
        <v>43110</v>
      </c>
      <c r="F1465" s="8" t="s">
        <v>58</v>
      </c>
      <c r="G1465" s="11">
        <v>43111</v>
      </c>
      <c r="H1465" s="8" t="s">
        <v>25</v>
      </c>
      <c r="I1465" s="11">
        <v>43111</v>
      </c>
      <c r="J1465" s="8" t="s">
        <v>25</v>
      </c>
      <c r="N1465" s="8" t="s">
        <v>58</v>
      </c>
      <c r="O1465" s="8" t="s">
        <v>59</v>
      </c>
      <c r="P1465" s="8" t="s">
        <v>59</v>
      </c>
      <c r="R1465" s="8">
        <v>0</v>
      </c>
      <c r="S1465" s="8">
        <v>0</v>
      </c>
      <c r="T1465" s="8">
        <v>1</v>
      </c>
      <c r="U1465" s="8">
        <v>2</v>
      </c>
      <c r="X1465" s="8">
        <v>5</v>
      </c>
      <c r="AG1465" s="8" t="str">
        <f t="shared" si="89"/>
        <v/>
      </c>
      <c r="AI1465" s="8" t="str">
        <f t="shared" si="90"/>
        <v/>
      </c>
      <c r="AJ1465" s="8" t="str">
        <f t="shared" si="91"/>
        <v/>
      </c>
      <c r="AL1465" s="8" t="str">
        <f t="shared" si="92"/>
        <v/>
      </c>
    </row>
    <row r="1466" spans="1:38" x14ac:dyDescent="0.25">
      <c r="A1466" s="8" t="s">
        <v>2183</v>
      </c>
      <c r="B1466" s="8" t="s">
        <v>2184</v>
      </c>
      <c r="C1466" s="8">
        <v>30840841</v>
      </c>
      <c r="D1466" s="8">
        <v>5</v>
      </c>
      <c r="E1466" s="11">
        <v>43109</v>
      </c>
      <c r="F1466" s="8" t="s">
        <v>58</v>
      </c>
      <c r="G1466" s="11">
        <v>43110</v>
      </c>
      <c r="H1466" s="8" t="s">
        <v>25</v>
      </c>
      <c r="I1466" s="11">
        <v>43110</v>
      </c>
      <c r="J1466" s="8" t="s">
        <v>25</v>
      </c>
      <c r="N1466" s="8" t="s">
        <v>58</v>
      </c>
      <c r="O1466" s="8" t="s">
        <v>59</v>
      </c>
      <c r="P1466" s="8" t="s">
        <v>59</v>
      </c>
      <c r="R1466" s="8">
        <v>0</v>
      </c>
      <c r="S1466" s="8">
        <v>0</v>
      </c>
      <c r="T1466" s="8">
        <v>1</v>
      </c>
      <c r="U1466" s="8">
        <v>2</v>
      </c>
      <c r="X1466" s="8">
        <v>5</v>
      </c>
      <c r="AG1466" s="8" t="str">
        <f t="shared" si="89"/>
        <v/>
      </c>
      <c r="AI1466" s="8" t="str">
        <f t="shared" si="90"/>
        <v/>
      </c>
      <c r="AJ1466" s="8" t="str">
        <f t="shared" si="91"/>
        <v/>
      </c>
      <c r="AL1466" s="8" t="str">
        <f t="shared" si="92"/>
        <v/>
      </c>
    </row>
    <row r="1467" spans="1:38" x14ac:dyDescent="0.25">
      <c r="A1467" s="8" t="s">
        <v>3766</v>
      </c>
      <c r="B1467" s="8" t="s">
        <v>3767</v>
      </c>
      <c r="C1467" s="8">
        <v>30878704</v>
      </c>
      <c r="D1467" s="8">
        <v>5</v>
      </c>
      <c r="E1467" s="11">
        <v>43110</v>
      </c>
      <c r="F1467" s="8" t="s">
        <v>57</v>
      </c>
      <c r="G1467" s="11">
        <v>43111</v>
      </c>
      <c r="H1467" s="8" t="s">
        <v>25</v>
      </c>
      <c r="J1467" s="8" t="s">
        <v>25</v>
      </c>
      <c r="N1467" s="8" t="s">
        <v>58</v>
      </c>
      <c r="O1467" s="8" t="s">
        <v>59</v>
      </c>
      <c r="P1467" s="8" t="s">
        <v>59</v>
      </c>
      <c r="R1467" s="8">
        <v>0</v>
      </c>
      <c r="S1467" s="8">
        <v>0</v>
      </c>
      <c r="T1467" s="8">
        <v>1</v>
      </c>
      <c r="U1467" s="8">
        <v>2</v>
      </c>
      <c r="AG1467" s="8" t="str">
        <f t="shared" si="89"/>
        <v/>
      </c>
      <c r="AI1467" s="8" t="str">
        <f t="shared" si="90"/>
        <v/>
      </c>
      <c r="AJ1467" s="8" t="str">
        <f t="shared" si="91"/>
        <v/>
      </c>
      <c r="AL1467" s="8" t="str">
        <f t="shared" si="92"/>
        <v/>
      </c>
    </row>
    <row r="1468" spans="1:38" x14ac:dyDescent="0.25">
      <c r="A1468" s="8" t="s">
        <v>7139</v>
      </c>
      <c r="B1468" s="8" t="s">
        <v>7140</v>
      </c>
      <c r="C1468" s="8">
        <v>30911063</v>
      </c>
      <c r="D1468" s="8">
        <v>5</v>
      </c>
      <c r="E1468" s="11">
        <v>43112</v>
      </c>
      <c r="F1468" s="8" t="s">
        <v>57</v>
      </c>
      <c r="G1468" s="11">
        <v>43115</v>
      </c>
      <c r="H1468" s="8" t="s">
        <v>25</v>
      </c>
      <c r="J1468" s="8" t="s">
        <v>25</v>
      </c>
      <c r="N1468" s="8" t="s">
        <v>58</v>
      </c>
      <c r="O1468" s="8" t="s">
        <v>59</v>
      </c>
      <c r="P1468" s="8" t="s">
        <v>59</v>
      </c>
      <c r="R1468" s="8">
        <v>0</v>
      </c>
      <c r="S1468" s="8">
        <v>0</v>
      </c>
      <c r="T1468" s="8">
        <v>1</v>
      </c>
      <c r="U1468" s="8">
        <v>2</v>
      </c>
      <c r="AG1468" s="8" t="str">
        <f t="shared" si="89"/>
        <v/>
      </c>
      <c r="AI1468" s="8" t="str">
        <f t="shared" si="90"/>
        <v/>
      </c>
      <c r="AJ1468" s="8" t="str">
        <f t="shared" si="91"/>
        <v/>
      </c>
      <c r="AL1468" s="8" t="str">
        <f t="shared" si="92"/>
        <v/>
      </c>
    </row>
    <row r="1469" spans="1:38" x14ac:dyDescent="0.25">
      <c r="A1469" s="8" t="s">
        <v>7141</v>
      </c>
      <c r="B1469" s="8" t="s">
        <v>7142</v>
      </c>
      <c r="C1469" s="8">
        <v>30911194</v>
      </c>
      <c r="D1469" s="8">
        <v>5</v>
      </c>
      <c r="E1469" s="11">
        <v>43112</v>
      </c>
      <c r="F1469" s="8" t="s">
        <v>57</v>
      </c>
      <c r="G1469" s="11">
        <v>43115</v>
      </c>
      <c r="H1469" s="8" t="s">
        <v>25</v>
      </c>
      <c r="J1469" s="8" t="s">
        <v>25</v>
      </c>
      <c r="N1469" s="8" t="s">
        <v>58</v>
      </c>
      <c r="O1469" s="8" t="s">
        <v>59</v>
      </c>
      <c r="P1469" s="8" t="s">
        <v>59</v>
      </c>
      <c r="R1469" s="8">
        <v>0</v>
      </c>
      <c r="S1469" s="8">
        <v>0</v>
      </c>
      <c r="T1469" s="8">
        <v>1</v>
      </c>
      <c r="U1469" s="8">
        <v>2</v>
      </c>
      <c r="AG1469" s="8" t="str">
        <f t="shared" si="89"/>
        <v/>
      </c>
      <c r="AI1469" s="8" t="str">
        <f t="shared" si="90"/>
        <v/>
      </c>
      <c r="AJ1469" s="8" t="str">
        <f t="shared" si="91"/>
        <v/>
      </c>
      <c r="AL1469" s="8" t="str">
        <f t="shared" si="92"/>
        <v/>
      </c>
    </row>
    <row r="1470" spans="1:38" x14ac:dyDescent="0.25">
      <c r="A1470" s="8" t="s">
        <v>3768</v>
      </c>
      <c r="B1470" s="8" t="s">
        <v>3769</v>
      </c>
      <c r="C1470" s="8">
        <v>30848143</v>
      </c>
      <c r="D1470" s="8">
        <v>5</v>
      </c>
      <c r="E1470" s="11">
        <v>43109</v>
      </c>
      <c r="F1470" s="8" t="s">
        <v>57</v>
      </c>
      <c r="G1470" s="11">
        <v>43111</v>
      </c>
      <c r="H1470" s="8" t="s">
        <v>25</v>
      </c>
      <c r="J1470" s="8" t="s">
        <v>25</v>
      </c>
      <c r="N1470" s="8" t="s">
        <v>58</v>
      </c>
      <c r="O1470" s="8" t="s">
        <v>59</v>
      </c>
      <c r="P1470" s="8" t="s">
        <v>59</v>
      </c>
      <c r="R1470" s="8">
        <v>0</v>
      </c>
      <c r="S1470" s="8">
        <v>0</v>
      </c>
      <c r="T1470" s="8">
        <v>1</v>
      </c>
      <c r="U1470" s="8">
        <v>2</v>
      </c>
      <c r="AG1470" s="8" t="str">
        <f t="shared" si="89"/>
        <v/>
      </c>
      <c r="AI1470" s="8" t="str">
        <f t="shared" si="90"/>
        <v/>
      </c>
      <c r="AJ1470" s="8" t="str">
        <f t="shared" si="91"/>
        <v/>
      </c>
      <c r="AL1470" s="8" t="str">
        <f t="shared" si="92"/>
        <v/>
      </c>
    </row>
    <row r="1471" spans="1:38" x14ac:dyDescent="0.25">
      <c r="A1471" s="8" t="s">
        <v>2185</v>
      </c>
      <c r="B1471" s="8" t="s">
        <v>2186</v>
      </c>
      <c r="C1471" s="8">
        <v>30822444</v>
      </c>
      <c r="D1471" s="8">
        <v>5</v>
      </c>
      <c r="E1471" s="11">
        <v>43108</v>
      </c>
      <c r="F1471" s="8" t="s">
        <v>57</v>
      </c>
      <c r="G1471" s="11">
        <v>43110</v>
      </c>
      <c r="H1471" s="8" t="s">
        <v>25</v>
      </c>
      <c r="J1471" s="8" t="s">
        <v>25</v>
      </c>
      <c r="N1471" s="8" t="s">
        <v>58</v>
      </c>
      <c r="O1471" s="8" t="s">
        <v>59</v>
      </c>
      <c r="P1471" s="8" t="s">
        <v>59</v>
      </c>
      <c r="R1471" s="8">
        <v>0</v>
      </c>
      <c r="S1471" s="8">
        <v>0</v>
      </c>
      <c r="T1471" s="8">
        <v>1</v>
      </c>
      <c r="U1471" s="8">
        <v>2</v>
      </c>
      <c r="AG1471" s="8" t="str">
        <f t="shared" si="89"/>
        <v/>
      </c>
      <c r="AI1471" s="8" t="str">
        <f t="shared" si="90"/>
        <v/>
      </c>
      <c r="AJ1471" s="8" t="str">
        <f t="shared" si="91"/>
        <v/>
      </c>
      <c r="AL1471" s="8" t="str">
        <f t="shared" si="92"/>
        <v/>
      </c>
    </row>
    <row r="1472" spans="1:38" x14ac:dyDescent="0.25">
      <c r="A1472" s="8" t="s">
        <v>2187</v>
      </c>
      <c r="B1472" s="8" t="s">
        <v>83</v>
      </c>
      <c r="C1472" s="8">
        <v>30877076</v>
      </c>
      <c r="D1472" s="8">
        <v>5</v>
      </c>
      <c r="E1472" s="11">
        <v>43110</v>
      </c>
      <c r="F1472" s="8" t="s">
        <v>57</v>
      </c>
      <c r="G1472" s="11">
        <v>43110</v>
      </c>
      <c r="H1472" s="8" t="s">
        <v>25</v>
      </c>
      <c r="J1472" s="8" t="s">
        <v>25</v>
      </c>
      <c r="N1472" s="8" t="s">
        <v>58</v>
      </c>
      <c r="O1472" s="8" t="s">
        <v>59</v>
      </c>
      <c r="P1472" s="8" t="s">
        <v>59</v>
      </c>
      <c r="R1472" s="8">
        <v>0</v>
      </c>
      <c r="S1472" s="8">
        <v>0</v>
      </c>
      <c r="T1472" s="8">
        <v>1</v>
      </c>
      <c r="U1472" s="8">
        <v>2</v>
      </c>
      <c r="AG1472" s="8" t="str">
        <f t="shared" si="89"/>
        <v/>
      </c>
      <c r="AI1472" s="8" t="str">
        <f t="shared" si="90"/>
        <v/>
      </c>
      <c r="AJ1472" s="8" t="str">
        <f t="shared" si="91"/>
        <v/>
      </c>
      <c r="AL1472" s="8" t="str">
        <f t="shared" si="92"/>
        <v/>
      </c>
    </row>
    <row r="1473" spans="1:38" x14ac:dyDescent="0.25">
      <c r="A1473" s="8" t="s">
        <v>1151</v>
      </c>
      <c r="B1473" s="8" t="s">
        <v>1152</v>
      </c>
      <c r="C1473" s="8">
        <v>30817191</v>
      </c>
      <c r="D1473" s="8">
        <v>5</v>
      </c>
      <c r="E1473" s="11">
        <v>43108</v>
      </c>
      <c r="F1473" s="8" t="s">
        <v>58</v>
      </c>
      <c r="G1473" s="11">
        <v>43109</v>
      </c>
      <c r="H1473" s="8" t="s">
        <v>25</v>
      </c>
      <c r="I1473" s="11">
        <v>43111</v>
      </c>
      <c r="J1473" s="8" t="s">
        <v>25</v>
      </c>
      <c r="N1473" s="8" t="s">
        <v>58</v>
      </c>
      <c r="O1473" s="8" t="s">
        <v>59</v>
      </c>
      <c r="P1473" s="8" t="s">
        <v>59</v>
      </c>
      <c r="R1473" s="8">
        <v>0</v>
      </c>
      <c r="S1473" s="8">
        <v>0</v>
      </c>
      <c r="T1473" s="8">
        <v>1</v>
      </c>
      <c r="U1473" s="8">
        <v>2</v>
      </c>
      <c r="X1473" s="8">
        <v>5</v>
      </c>
      <c r="AG1473" s="8" t="str">
        <f t="shared" si="89"/>
        <v/>
      </c>
      <c r="AI1473" s="8" t="str">
        <f t="shared" si="90"/>
        <v/>
      </c>
      <c r="AJ1473" s="8" t="str">
        <f t="shared" si="91"/>
        <v/>
      </c>
      <c r="AL1473" s="8" t="str">
        <f t="shared" si="92"/>
        <v/>
      </c>
    </row>
    <row r="1474" spans="1:38" x14ac:dyDescent="0.25">
      <c r="A1474" s="8" t="s">
        <v>3770</v>
      </c>
      <c r="B1474" s="8" t="s">
        <v>3771</v>
      </c>
      <c r="C1474" s="8">
        <v>30865206</v>
      </c>
      <c r="D1474" s="8">
        <v>5</v>
      </c>
      <c r="E1474" s="11">
        <v>43110</v>
      </c>
      <c r="F1474" s="8" t="s">
        <v>57</v>
      </c>
      <c r="G1474" s="11">
        <v>43111</v>
      </c>
      <c r="H1474" s="8" t="s">
        <v>25</v>
      </c>
      <c r="J1474" s="8" t="s">
        <v>25</v>
      </c>
      <c r="N1474" s="8" t="s">
        <v>58</v>
      </c>
      <c r="O1474" s="8" t="s">
        <v>59</v>
      </c>
      <c r="P1474" s="8" t="s">
        <v>59</v>
      </c>
      <c r="R1474" s="8">
        <v>0</v>
      </c>
      <c r="S1474" s="8">
        <v>0</v>
      </c>
      <c r="T1474" s="8">
        <v>1</v>
      </c>
      <c r="U1474" s="8">
        <v>2</v>
      </c>
      <c r="AG1474" s="8" t="str">
        <f t="shared" si="89"/>
        <v/>
      </c>
      <c r="AI1474" s="8" t="str">
        <f t="shared" si="90"/>
        <v/>
      </c>
      <c r="AJ1474" s="8" t="str">
        <f t="shared" si="91"/>
        <v/>
      </c>
      <c r="AL1474" s="8" t="str">
        <f t="shared" si="92"/>
        <v/>
      </c>
    </row>
    <row r="1475" spans="1:38" x14ac:dyDescent="0.25">
      <c r="A1475" s="8" t="s">
        <v>2188</v>
      </c>
      <c r="B1475" s="8" t="s">
        <v>2189</v>
      </c>
      <c r="C1475" s="8">
        <v>30826237</v>
      </c>
      <c r="D1475" s="8">
        <v>5</v>
      </c>
      <c r="E1475" s="11">
        <v>43108</v>
      </c>
      <c r="F1475" s="8" t="s">
        <v>57</v>
      </c>
      <c r="G1475" s="11">
        <v>43110</v>
      </c>
      <c r="H1475" s="8" t="s">
        <v>25</v>
      </c>
      <c r="J1475" s="8" t="s">
        <v>25</v>
      </c>
      <c r="N1475" s="8" t="s">
        <v>58</v>
      </c>
      <c r="O1475" s="8" t="s">
        <v>59</v>
      </c>
      <c r="P1475" s="8" t="s">
        <v>59</v>
      </c>
      <c r="R1475" s="8">
        <v>0</v>
      </c>
      <c r="S1475" s="8">
        <v>0</v>
      </c>
      <c r="T1475" s="8">
        <v>1</v>
      </c>
      <c r="U1475" s="8">
        <v>2</v>
      </c>
      <c r="AG1475" s="8" t="str">
        <f t="shared" ref="AG1475:AG1538" si="93">IF(AND(U1475="",G1475&lt;&gt;"",NOT(OR(R1475,S1475))),IF(NETWORKDAYS.INTL(G1475,TODAY(),11)&lt;5,"En Plazo",IF(NETWORKDAYS.INTL(G1475,TODAY(),11)=5,"Riesgo Incumplimiento","FALTA_02")),"")</f>
        <v/>
      </c>
      <c r="AI1475" s="8" t="str">
        <f t="shared" ref="AI1475:AI1538" si="94">IF(AND(O1475&lt;&gt;"B1",F1475="Rejected"),IF(W1475="","FALTA_04",""),"")</f>
        <v/>
      </c>
      <c r="AJ1475" s="8" t="str">
        <f t="shared" ref="AJ1475:AJ1538" si="95">IF(AND(X1475="",I1475&lt;&gt;"",NOT(OR(R1475,S1475))),IF(NETWORKDAYS.INTL(G1475,TODAY(),11)&lt;=1,"En Plazo",IF(OR(AND(X1475="",O1475&lt;&gt;"M1"),AND(O1475="M1",(OR(Q1475="S - S",Q1475="S - T",)))),"FALTA_05","")),"")</f>
        <v/>
      </c>
      <c r="AL1475" s="8" t="str">
        <f t="shared" ref="AL1475:AL1538" si="96">IF(AND(O1475="B1",F1475="Rejected"),IF(Z1475="","FALTA_07",""),"")</f>
        <v/>
      </c>
    </row>
    <row r="1476" spans="1:38" x14ac:dyDescent="0.25">
      <c r="A1476" s="8" t="s">
        <v>418</v>
      </c>
      <c r="B1476" s="8" t="s">
        <v>73</v>
      </c>
      <c r="C1476" s="8">
        <v>30818577</v>
      </c>
      <c r="D1476" s="8">
        <v>5</v>
      </c>
      <c r="E1476" s="11">
        <v>43108</v>
      </c>
      <c r="F1476" s="8" t="s">
        <v>58</v>
      </c>
      <c r="G1476" s="11">
        <v>43108</v>
      </c>
      <c r="H1476" s="8" t="s">
        <v>25</v>
      </c>
      <c r="I1476" s="11">
        <v>43110</v>
      </c>
      <c r="J1476" s="8" t="s">
        <v>25</v>
      </c>
      <c r="N1476" s="8" t="s">
        <v>58</v>
      </c>
      <c r="O1476" s="8" t="s">
        <v>59</v>
      </c>
      <c r="P1476" s="8" t="s">
        <v>59</v>
      </c>
      <c r="R1476" s="8">
        <v>0</v>
      </c>
      <c r="S1476" s="8">
        <v>0</v>
      </c>
      <c r="T1476" s="8">
        <v>1</v>
      </c>
      <c r="U1476" s="8">
        <v>2</v>
      </c>
      <c r="X1476" s="8">
        <v>5</v>
      </c>
      <c r="AG1476" s="8" t="str">
        <f t="shared" si="93"/>
        <v/>
      </c>
      <c r="AI1476" s="8" t="str">
        <f t="shared" si="94"/>
        <v/>
      </c>
      <c r="AJ1476" s="8" t="str">
        <f t="shared" si="95"/>
        <v/>
      </c>
      <c r="AL1476" s="8" t="str">
        <f t="shared" si="96"/>
        <v/>
      </c>
    </row>
    <row r="1477" spans="1:38" x14ac:dyDescent="0.25">
      <c r="A1477" s="8" t="s">
        <v>2190</v>
      </c>
      <c r="B1477" s="8" t="s">
        <v>2191</v>
      </c>
      <c r="C1477" s="8">
        <v>30832242</v>
      </c>
      <c r="D1477" s="8">
        <v>5</v>
      </c>
      <c r="E1477" s="11">
        <v>43109</v>
      </c>
      <c r="F1477" s="8" t="s">
        <v>58</v>
      </c>
      <c r="G1477" s="11">
        <v>43110</v>
      </c>
      <c r="H1477" s="8" t="s">
        <v>25</v>
      </c>
      <c r="I1477" s="11">
        <v>43115</v>
      </c>
      <c r="J1477" s="8" t="s">
        <v>145</v>
      </c>
      <c r="N1477" s="8" t="s">
        <v>58</v>
      </c>
      <c r="O1477" s="8" t="s">
        <v>59</v>
      </c>
      <c r="P1477" s="8" t="s">
        <v>59</v>
      </c>
      <c r="R1477" s="8">
        <v>0</v>
      </c>
      <c r="S1477" s="8">
        <v>0</v>
      </c>
      <c r="T1477" s="8">
        <v>1</v>
      </c>
      <c r="U1477" s="8">
        <v>2</v>
      </c>
      <c r="X1477" s="8">
        <v>5</v>
      </c>
      <c r="AG1477" s="8" t="str">
        <f t="shared" si="93"/>
        <v/>
      </c>
      <c r="AI1477" s="8" t="str">
        <f t="shared" si="94"/>
        <v/>
      </c>
      <c r="AJ1477" s="8" t="str">
        <f t="shared" si="95"/>
        <v/>
      </c>
      <c r="AL1477" s="8" t="str">
        <f t="shared" si="96"/>
        <v/>
      </c>
    </row>
    <row r="1478" spans="1:38" x14ac:dyDescent="0.25">
      <c r="A1478" s="8" t="s">
        <v>5289</v>
      </c>
      <c r="B1478" s="8" t="s">
        <v>5290</v>
      </c>
      <c r="C1478" s="8">
        <v>30915202</v>
      </c>
      <c r="D1478" s="8">
        <v>5</v>
      </c>
      <c r="E1478" s="11">
        <v>43112</v>
      </c>
      <c r="F1478" s="8" t="s">
        <v>57</v>
      </c>
      <c r="G1478" s="11">
        <v>43112</v>
      </c>
      <c r="H1478" s="8" t="s">
        <v>25</v>
      </c>
      <c r="J1478" s="8" t="s">
        <v>25</v>
      </c>
      <c r="N1478" s="8" t="s">
        <v>58</v>
      </c>
      <c r="O1478" s="8" t="s">
        <v>59</v>
      </c>
      <c r="P1478" s="8" t="s">
        <v>59</v>
      </c>
      <c r="R1478" s="8">
        <v>0</v>
      </c>
      <c r="S1478" s="8">
        <v>0</v>
      </c>
      <c r="T1478" s="8">
        <v>1</v>
      </c>
      <c r="U1478" s="8">
        <v>2</v>
      </c>
      <c r="AG1478" s="8" t="str">
        <f t="shared" si="93"/>
        <v/>
      </c>
      <c r="AI1478" s="8" t="str">
        <f t="shared" si="94"/>
        <v/>
      </c>
      <c r="AJ1478" s="8" t="str">
        <f t="shared" si="95"/>
        <v/>
      </c>
      <c r="AL1478" s="8" t="str">
        <f t="shared" si="96"/>
        <v/>
      </c>
    </row>
    <row r="1479" spans="1:38" x14ac:dyDescent="0.25">
      <c r="A1479" s="8" t="s">
        <v>1153</v>
      </c>
      <c r="B1479" s="8" t="s">
        <v>1154</v>
      </c>
      <c r="C1479" s="8">
        <v>30829177</v>
      </c>
      <c r="D1479" s="8">
        <v>5</v>
      </c>
      <c r="E1479" s="11">
        <v>43108</v>
      </c>
      <c r="F1479" s="8" t="s">
        <v>58</v>
      </c>
      <c r="G1479" s="11">
        <v>43109</v>
      </c>
      <c r="H1479" s="8" t="s">
        <v>25</v>
      </c>
      <c r="I1479" s="11">
        <v>43111</v>
      </c>
      <c r="J1479" s="8" t="s">
        <v>25</v>
      </c>
      <c r="N1479" s="8" t="s">
        <v>58</v>
      </c>
      <c r="O1479" s="8" t="s">
        <v>59</v>
      </c>
      <c r="P1479" s="8" t="s">
        <v>59</v>
      </c>
      <c r="R1479" s="8">
        <v>0</v>
      </c>
      <c r="S1479" s="8">
        <v>0</v>
      </c>
      <c r="T1479" s="8">
        <v>1</v>
      </c>
      <c r="U1479" s="8">
        <v>2</v>
      </c>
      <c r="X1479" s="8">
        <v>5</v>
      </c>
      <c r="AG1479" s="8" t="str">
        <f t="shared" si="93"/>
        <v/>
      </c>
      <c r="AI1479" s="8" t="str">
        <f t="shared" si="94"/>
        <v/>
      </c>
      <c r="AJ1479" s="8" t="str">
        <f t="shared" si="95"/>
        <v/>
      </c>
      <c r="AL1479" s="8" t="str">
        <f t="shared" si="96"/>
        <v/>
      </c>
    </row>
    <row r="1480" spans="1:38" x14ac:dyDescent="0.25">
      <c r="A1480" s="8" t="s">
        <v>7143</v>
      </c>
      <c r="B1480" s="8" t="s">
        <v>7144</v>
      </c>
      <c r="C1480" s="8">
        <v>30945957</v>
      </c>
      <c r="D1480" s="8">
        <v>5</v>
      </c>
      <c r="E1480" s="11">
        <v>43115</v>
      </c>
      <c r="F1480" s="8" t="s">
        <v>57</v>
      </c>
      <c r="G1480" s="11">
        <v>43115</v>
      </c>
      <c r="H1480" s="8" t="s">
        <v>25</v>
      </c>
      <c r="J1480" s="8" t="s">
        <v>25</v>
      </c>
      <c r="N1480" s="8" t="s">
        <v>58</v>
      </c>
      <c r="O1480" s="8" t="s">
        <v>59</v>
      </c>
      <c r="P1480" s="8" t="s">
        <v>59</v>
      </c>
      <c r="R1480" s="8">
        <v>0</v>
      </c>
      <c r="S1480" s="8">
        <v>0</v>
      </c>
      <c r="T1480" s="8">
        <v>1</v>
      </c>
      <c r="U1480" s="8">
        <v>2</v>
      </c>
      <c r="AG1480" s="8" t="str">
        <f t="shared" si="93"/>
        <v/>
      </c>
      <c r="AI1480" s="8" t="str">
        <f t="shared" si="94"/>
        <v/>
      </c>
      <c r="AJ1480" s="8" t="str">
        <f t="shared" si="95"/>
        <v/>
      </c>
      <c r="AL1480" s="8" t="str">
        <f t="shared" si="96"/>
        <v/>
      </c>
    </row>
    <row r="1481" spans="1:38" x14ac:dyDescent="0.25">
      <c r="A1481" s="8" t="s">
        <v>3772</v>
      </c>
      <c r="B1481" s="8" t="s">
        <v>3773</v>
      </c>
      <c r="C1481" s="8">
        <v>30849912</v>
      </c>
      <c r="D1481" s="8">
        <v>5</v>
      </c>
      <c r="E1481" s="11">
        <v>43109</v>
      </c>
      <c r="F1481" s="8" t="s">
        <v>58</v>
      </c>
      <c r="G1481" s="11">
        <v>43111</v>
      </c>
      <c r="H1481" s="8" t="s">
        <v>25</v>
      </c>
      <c r="I1481" s="11">
        <v>43111</v>
      </c>
      <c r="J1481" s="8" t="s">
        <v>25</v>
      </c>
      <c r="N1481" s="8" t="s">
        <v>58</v>
      </c>
      <c r="O1481" s="8" t="s">
        <v>59</v>
      </c>
      <c r="P1481" s="8" t="s">
        <v>59</v>
      </c>
      <c r="R1481" s="8">
        <v>0</v>
      </c>
      <c r="S1481" s="8">
        <v>0</v>
      </c>
      <c r="T1481" s="8">
        <v>1</v>
      </c>
      <c r="U1481" s="8">
        <v>2</v>
      </c>
      <c r="X1481" s="8">
        <v>5</v>
      </c>
      <c r="AG1481" s="8" t="str">
        <f t="shared" si="93"/>
        <v/>
      </c>
      <c r="AI1481" s="8" t="str">
        <f t="shared" si="94"/>
        <v/>
      </c>
      <c r="AJ1481" s="8" t="str">
        <f t="shared" si="95"/>
        <v/>
      </c>
      <c r="AL1481" s="8" t="str">
        <f t="shared" si="96"/>
        <v/>
      </c>
    </row>
    <row r="1482" spans="1:38" x14ac:dyDescent="0.25">
      <c r="A1482" s="8" t="s">
        <v>2192</v>
      </c>
      <c r="B1482" s="8" t="s">
        <v>2193</v>
      </c>
      <c r="C1482" s="8">
        <v>30811183</v>
      </c>
      <c r="D1482" s="8">
        <v>4</v>
      </c>
      <c r="E1482" s="11">
        <v>43108</v>
      </c>
      <c r="F1482" s="8" t="s">
        <v>58</v>
      </c>
      <c r="G1482" s="11">
        <v>43110</v>
      </c>
      <c r="H1482" s="8" t="s">
        <v>25</v>
      </c>
      <c r="I1482" s="11">
        <v>43111</v>
      </c>
      <c r="J1482" s="8" t="s">
        <v>25</v>
      </c>
      <c r="N1482" s="8" t="s">
        <v>58</v>
      </c>
      <c r="O1482" s="8" t="s">
        <v>59</v>
      </c>
      <c r="P1482" s="8" t="s">
        <v>59</v>
      </c>
      <c r="R1482" s="8">
        <v>0</v>
      </c>
      <c r="S1482" s="8">
        <v>0</v>
      </c>
      <c r="T1482" s="8">
        <v>1</v>
      </c>
      <c r="U1482" s="8">
        <v>2</v>
      </c>
      <c r="X1482" s="8">
        <v>5</v>
      </c>
      <c r="AG1482" s="8" t="str">
        <f t="shared" si="93"/>
        <v/>
      </c>
      <c r="AI1482" s="8" t="str">
        <f t="shared" si="94"/>
        <v/>
      </c>
      <c r="AJ1482" s="8" t="str">
        <f t="shared" si="95"/>
        <v/>
      </c>
      <c r="AL1482" s="8" t="str">
        <f t="shared" si="96"/>
        <v/>
      </c>
    </row>
    <row r="1483" spans="1:38" x14ac:dyDescent="0.25">
      <c r="A1483" s="8" t="s">
        <v>2194</v>
      </c>
      <c r="B1483" s="8" t="s">
        <v>2195</v>
      </c>
      <c r="C1483" s="8">
        <v>30811801</v>
      </c>
      <c r="D1483" s="8">
        <v>4</v>
      </c>
      <c r="E1483" s="11">
        <v>43108</v>
      </c>
      <c r="F1483" s="8" t="s">
        <v>58</v>
      </c>
      <c r="G1483" s="11">
        <v>43110</v>
      </c>
      <c r="H1483" s="8" t="s">
        <v>25</v>
      </c>
      <c r="I1483" s="11">
        <v>43111</v>
      </c>
      <c r="J1483" s="8" t="s">
        <v>25</v>
      </c>
      <c r="N1483" s="8" t="s">
        <v>58</v>
      </c>
      <c r="O1483" s="8" t="s">
        <v>59</v>
      </c>
      <c r="P1483" s="8" t="s">
        <v>59</v>
      </c>
      <c r="R1483" s="8">
        <v>0</v>
      </c>
      <c r="S1483" s="8">
        <v>0</v>
      </c>
      <c r="T1483" s="8">
        <v>1</v>
      </c>
      <c r="U1483" s="8">
        <v>2</v>
      </c>
      <c r="X1483" s="8">
        <v>5</v>
      </c>
      <c r="AG1483" s="8" t="str">
        <f t="shared" si="93"/>
        <v/>
      </c>
      <c r="AI1483" s="8" t="str">
        <f t="shared" si="94"/>
        <v/>
      </c>
      <c r="AJ1483" s="8" t="str">
        <f t="shared" si="95"/>
        <v/>
      </c>
      <c r="AL1483" s="8" t="str">
        <f t="shared" si="96"/>
        <v/>
      </c>
    </row>
    <row r="1484" spans="1:38" x14ac:dyDescent="0.25">
      <c r="A1484" s="8" t="s">
        <v>7145</v>
      </c>
      <c r="B1484" s="8" t="s">
        <v>7146</v>
      </c>
      <c r="C1484" s="8">
        <v>30896926</v>
      </c>
      <c r="D1484" s="8">
        <v>5</v>
      </c>
      <c r="E1484" s="11">
        <v>43111</v>
      </c>
      <c r="F1484" s="8" t="s">
        <v>57</v>
      </c>
      <c r="G1484" s="11">
        <v>43115</v>
      </c>
      <c r="H1484" s="8" t="s">
        <v>25</v>
      </c>
      <c r="J1484" s="8" t="s">
        <v>25</v>
      </c>
      <c r="N1484" s="8" t="s">
        <v>58</v>
      </c>
      <c r="O1484" s="8" t="s">
        <v>59</v>
      </c>
      <c r="P1484" s="8" t="s">
        <v>59</v>
      </c>
      <c r="R1484" s="8">
        <v>0</v>
      </c>
      <c r="S1484" s="8">
        <v>0</v>
      </c>
      <c r="T1484" s="8">
        <v>1</v>
      </c>
      <c r="U1484" s="8">
        <v>2</v>
      </c>
      <c r="AG1484" s="8" t="str">
        <f t="shared" si="93"/>
        <v/>
      </c>
      <c r="AI1484" s="8" t="str">
        <f t="shared" si="94"/>
        <v/>
      </c>
      <c r="AJ1484" s="8" t="str">
        <f t="shared" si="95"/>
        <v/>
      </c>
      <c r="AL1484" s="8" t="str">
        <f t="shared" si="96"/>
        <v/>
      </c>
    </row>
    <row r="1485" spans="1:38" x14ac:dyDescent="0.25">
      <c r="A1485" s="8" t="s">
        <v>2196</v>
      </c>
      <c r="B1485" s="8" t="s">
        <v>2197</v>
      </c>
      <c r="C1485" s="8">
        <v>30813705</v>
      </c>
      <c r="D1485" s="8">
        <v>5</v>
      </c>
      <c r="E1485" s="11">
        <v>43108</v>
      </c>
      <c r="F1485" s="8" t="s">
        <v>58</v>
      </c>
      <c r="G1485" s="11">
        <v>43110</v>
      </c>
      <c r="H1485" s="8" t="s">
        <v>25</v>
      </c>
      <c r="I1485" s="11">
        <v>43111</v>
      </c>
      <c r="J1485" s="8" t="s">
        <v>25</v>
      </c>
      <c r="N1485" s="8" t="s">
        <v>58</v>
      </c>
      <c r="O1485" s="8" t="s">
        <v>59</v>
      </c>
      <c r="P1485" s="8" t="s">
        <v>59</v>
      </c>
      <c r="R1485" s="8">
        <v>0</v>
      </c>
      <c r="S1485" s="8">
        <v>0</v>
      </c>
      <c r="T1485" s="8">
        <v>1</v>
      </c>
      <c r="U1485" s="8">
        <v>2</v>
      </c>
      <c r="X1485" s="8">
        <v>5</v>
      </c>
      <c r="AG1485" s="8" t="str">
        <f t="shared" si="93"/>
        <v/>
      </c>
      <c r="AI1485" s="8" t="str">
        <f t="shared" si="94"/>
        <v/>
      </c>
      <c r="AJ1485" s="8" t="str">
        <f t="shared" si="95"/>
        <v/>
      </c>
      <c r="AL1485" s="8" t="str">
        <f t="shared" si="96"/>
        <v/>
      </c>
    </row>
    <row r="1486" spans="1:38" x14ac:dyDescent="0.25">
      <c r="A1486" s="8" t="s">
        <v>5291</v>
      </c>
      <c r="B1486" s="8" t="s">
        <v>5292</v>
      </c>
      <c r="C1486" s="8">
        <v>30892416</v>
      </c>
      <c r="D1486" s="8">
        <v>5</v>
      </c>
      <c r="E1486" s="11">
        <v>43111</v>
      </c>
      <c r="F1486" s="8" t="s">
        <v>57</v>
      </c>
      <c r="G1486" s="11">
        <v>43112</v>
      </c>
      <c r="H1486" s="8" t="s">
        <v>25</v>
      </c>
      <c r="J1486" s="8" t="s">
        <v>25</v>
      </c>
      <c r="N1486" s="8" t="s">
        <v>58</v>
      </c>
      <c r="O1486" s="8" t="s">
        <v>59</v>
      </c>
      <c r="P1486" s="8" t="s">
        <v>59</v>
      </c>
      <c r="R1486" s="8">
        <v>0</v>
      </c>
      <c r="S1486" s="8">
        <v>0</v>
      </c>
      <c r="T1486" s="8">
        <v>1</v>
      </c>
      <c r="U1486" s="8">
        <v>2</v>
      </c>
      <c r="AG1486" s="8" t="str">
        <f t="shared" si="93"/>
        <v/>
      </c>
      <c r="AI1486" s="8" t="str">
        <f t="shared" si="94"/>
        <v/>
      </c>
      <c r="AJ1486" s="8" t="str">
        <f t="shared" si="95"/>
        <v/>
      </c>
      <c r="AL1486" s="8" t="str">
        <f t="shared" si="96"/>
        <v/>
      </c>
    </row>
    <row r="1487" spans="1:38" x14ac:dyDescent="0.25">
      <c r="A1487" s="8" t="s">
        <v>2198</v>
      </c>
      <c r="B1487" s="8" t="s">
        <v>2199</v>
      </c>
      <c r="C1487" s="8">
        <v>30816809</v>
      </c>
      <c r="D1487" s="8">
        <v>5</v>
      </c>
      <c r="E1487" s="11">
        <v>43108</v>
      </c>
      <c r="F1487" s="8" t="s">
        <v>58</v>
      </c>
      <c r="G1487" s="11">
        <v>43110</v>
      </c>
      <c r="H1487" s="8" t="s">
        <v>25</v>
      </c>
      <c r="I1487" s="11">
        <v>43111</v>
      </c>
      <c r="J1487" s="8" t="s">
        <v>25</v>
      </c>
      <c r="N1487" s="8" t="s">
        <v>58</v>
      </c>
      <c r="O1487" s="8" t="s">
        <v>59</v>
      </c>
      <c r="P1487" s="8" t="s">
        <v>59</v>
      </c>
      <c r="R1487" s="8">
        <v>0</v>
      </c>
      <c r="S1487" s="8">
        <v>0</v>
      </c>
      <c r="T1487" s="8">
        <v>1</v>
      </c>
      <c r="U1487" s="8">
        <v>2</v>
      </c>
      <c r="X1487" s="8">
        <v>5</v>
      </c>
      <c r="AG1487" s="8" t="str">
        <f t="shared" si="93"/>
        <v/>
      </c>
      <c r="AI1487" s="8" t="str">
        <f t="shared" si="94"/>
        <v/>
      </c>
      <c r="AJ1487" s="8" t="str">
        <f t="shared" si="95"/>
        <v/>
      </c>
      <c r="AL1487" s="8" t="str">
        <f t="shared" si="96"/>
        <v/>
      </c>
    </row>
    <row r="1488" spans="1:38" x14ac:dyDescent="0.25">
      <c r="A1488" s="8" t="s">
        <v>2200</v>
      </c>
      <c r="B1488" s="8" t="s">
        <v>2201</v>
      </c>
      <c r="C1488" s="8">
        <v>30820078</v>
      </c>
      <c r="D1488" s="8">
        <v>5</v>
      </c>
      <c r="E1488" s="11">
        <v>43108</v>
      </c>
      <c r="F1488" s="8" t="s">
        <v>58</v>
      </c>
      <c r="G1488" s="11">
        <v>43110</v>
      </c>
      <c r="H1488" s="8" t="s">
        <v>25</v>
      </c>
      <c r="I1488" s="11">
        <v>43111</v>
      </c>
      <c r="J1488" s="8" t="s">
        <v>25</v>
      </c>
      <c r="N1488" s="8" t="s">
        <v>58</v>
      </c>
      <c r="O1488" s="8" t="s">
        <v>59</v>
      </c>
      <c r="P1488" s="8" t="s">
        <v>59</v>
      </c>
      <c r="R1488" s="8">
        <v>0</v>
      </c>
      <c r="S1488" s="8">
        <v>0</v>
      </c>
      <c r="T1488" s="8">
        <v>1</v>
      </c>
      <c r="U1488" s="8">
        <v>2</v>
      </c>
      <c r="X1488" s="8">
        <v>5</v>
      </c>
      <c r="AG1488" s="8" t="str">
        <f t="shared" si="93"/>
        <v/>
      </c>
      <c r="AI1488" s="8" t="str">
        <f t="shared" si="94"/>
        <v/>
      </c>
      <c r="AJ1488" s="8" t="str">
        <f t="shared" si="95"/>
        <v/>
      </c>
      <c r="AL1488" s="8" t="str">
        <f t="shared" si="96"/>
        <v/>
      </c>
    </row>
    <row r="1489" spans="1:38" x14ac:dyDescent="0.25">
      <c r="A1489" s="8" t="s">
        <v>5293</v>
      </c>
      <c r="B1489" s="8" t="s">
        <v>5294</v>
      </c>
      <c r="C1489" s="8">
        <v>30895564</v>
      </c>
      <c r="D1489" s="8">
        <v>5</v>
      </c>
      <c r="E1489" s="11">
        <v>43111</v>
      </c>
      <c r="F1489" s="8" t="s">
        <v>57</v>
      </c>
      <c r="G1489" s="11">
        <v>43112</v>
      </c>
      <c r="H1489" s="8" t="s">
        <v>25</v>
      </c>
      <c r="J1489" s="8" t="s">
        <v>25</v>
      </c>
      <c r="N1489" s="8" t="s">
        <v>58</v>
      </c>
      <c r="O1489" s="8" t="s">
        <v>59</v>
      </c>
      <c r="P1489" s="8" t="s">
        <v>59</v>
      </c>
      <c r="R1489" s="8">
        <v>0</v>
      </c>
      <c r="S1489" s="8">
        <v>0</v>
      </c>
      <c r="T1489" s="8">
        <v>1</v>
      </c>
      <c r="U1489" s="8">
        <v>2</v>
      </c>
      <c r="AG1489" s="8" t="str">
        <f t="shared" si="93"/>
        <v/>
      </c>
      <c r="AI1489" s="8" t="str">
        <f t="shared" si="94"/>
        <v/>
      </c>
      <c r="AJ1489" s="8" t="str">
        <f t="shared" si="95"/>
        <v/>
      </c>
      <c r="AL1489" s="8" t="str">
        <f t="shared" si="96"/>
        <v/>
      </c>
    </row>
    <row r="1490" spans="1:38" x14ac:dyDescent="0.25">
      <c r="A1490" s="8" t="s">
        <v>2202</v>
      </c>
      <c r="B1490" s="8" t="s">
        <v>2203</v>
      </c>
      <c r="C1490" s="8">
        <v>30811747</v>
      </c>
      <c r="D1490" s="8">
        <v>5</v>
      </c>
      <c r="E1490" s="11">
        <v>43108</v>
      </c>
      <c r="F1490" s="8" t="s">
        <v>58</v>
      </c>
      <c r="G1490" s="11">
        <v>43110</v>
      </c>
      <c r="H1490" s="8" t="s">
        <v>25</v>
      </c>
      <c r="I1490" s="11">
        <v>43111</v>
      </c>
      <c r="J1490" s="8" t="s">
        <v>25</v>
      </c>
      <c r="N1490" s="8" t="s">
        <v>58</v>
      </c>
      <c r="O1490" s="8" t="s">
        <v>59</v>
      </c>
      <c r="P1490" s="8" t="s">
        <v>59</v>
      </c>
      <c r="R1490" s="8">
        <v>0</v>
      </c>
      <c r="S1490" s="8">
        <v>0</v>
      </c>
      <c r="T1490" s="8">
        <v>1</v>
      </c>
      <c r="U1490" s="8">
        <v>2</v>
      </c>
      <c r="X1490" s="8">
        <v>5</v>
      </c>
      <c r="AG1490" s="8" t="str">
        <f t="shared" si="93"/>
        <v/>
      </c>
      <c r="AI1490" s="8" t="str">
        <f t="shared" si="94"/>
        <v/>
      </c>
      <c r="AJ1490" s="8" t="str">
        <f t="shared" si="95"/>
        <v/>
      </c>
      <c r="AL1490" s="8" t="str">
        <f t="shared" si="96"/>
        <v/>
      </c>
    </row>
    <row r="1491" spans="1:38" x14ac:dyDescent="0.25">
      <c r="A1491" s="8" t="s">
        <v>7147</v>
      </c>
      <c r="B1491" s="8" t="s">
        <v>7148</v>
      </c>
      <c r="C1491" s="8">
        <v>30917649</v>
      </c>
      <c r="D1491" s="8">
        <v>5</v>
      </c>
      <c r="E1491" s="11">
        <v>43112</v>
      </c>
      <c r="F1491" s="8" t="s">
        <v>57</v>
      </c>
      <c r="G1491" s="11">
        <v>43115</v>
      </c>
      <c r="H1491" s="8" t="s">
        <v>25</v>
      </c>
      <c r="J1491" s="8" t="s">
        <v>25</v>
      </c>
      <c r="N1491" s="8" t="s">
        <v>58</v>
      </c>
      <c r="O1491" s="8" t="s">
        <v>59</v>
      </c>
      <c r="P1491" s="8" t="s">
        <v>59</v>
      </c>
      <c r="R1491" s="8">
        <v>0</v>
      </c>
      <c r="S1491" s="8">
        <v>0</v>
      </c>
      <c r="T1491" s="8">
        <v>1</v>
      </c>
      <c r="U1491" s="8">
        <v>2</v>
      </c>
      <c r="AG1491" s="8" t="str">
        <f t="shared" si="93"/>
        <v/>
      </c>
      <c r="AI1491" s="8" t="str">
        <f t="shared" si="94"/>
        <v/>
      </c>
      <c r="AJ1491" s="8" t="str">
        <f t="shared" si="95"/>
        <v/>
      </c>
      <c r="AL1491" s="8" t="str">
        <f t="shared" si="96"/>
        <v/>
      </c>
    </row>
    <row r="1492" spans="1:38" x14ac:dyDescent="0.25">
      <c r="A1492" s="8" t="s">
        <v>2204</v>
      </c>
      <c r="B1492" s="8" t="s">
        <v>2205</v>
      </c>
      <c r="C1492" s="8">
        <v>30810300</v>
      </c>
      <c r="D1492" s="8">
        <v>5</v>
      </c>
      <c r="E1492" s="11">
        <v>43108</v>
      </c>
      <c r="F1492" s="8" t="s">
        <v>58</v>
      </c>
      <c r="G1492" s="11">
        <v>43110</v>
      </c>
      <c r="H1492" s="8" t="s">
        <v>25</v>
      </c>
      <c r="I1492" s="11">
        <v>43111</v>
      </c>
      <c r="J1492" s="8" t="s">
        <v>25</v>
      </c>
      <c r="N1492" s="8" t="s">
        <v>58</v>
      </c>
      <c r="O1492" s="8" t="s">
        <v>59</v>
      </c>
      <c r="P1492" s="8" t="s">
        <v>59</v>
      </c>
      <c r="R1492" s="8">
        <v>0</v>
      </c>
      <c r="S1492" s="8">
        <v>0</v>
      </c>
      <c r="T1492" s="8">
        <v>1</v>
      </c>
      <c r="U1492" s="8">
        <v>2</v>
      </c>
      <c r="X1492" s="8">
        <v>5</v>
      </c>
      <c r="AG1492" s="8" t="str">
        <f t="shared" si="93"/>
        <v/>
      </c>
      <c r="AI1492" s="8" t="str">
        <f t="shared" si="94"/>
        <v/>
      </c>
      <c r="AJ1492" s="8" t="str">
        <f t="shared" si="95"/>
        <v/>
      </c>
      <c r="AL1492" s="8" t="str">
        <f t="shared" si="96"/>
        <v/>
      </c>
    </row>
    <row r="1493" spans="1:38" x14ac:dyDescent="0.25">
      <c r="A1493" s="8" t="s">
        <v>2206</v>
      </c>
      <c r="B1493" s="8" t="s">
        <v>2207</v>
      </c>
      <c r="C1493" s="8">
        <v>30821474</v>
      </c>
      <c r="D1493" s="8">
        <v>5</v>
      </c>
      <c r="E1493" s="11">
        <v>43108</v>
      </c>
      <c r="F1493" s="8" t="s">
        <v>58</v>
      </c>
      <c r="G1493" s="11">
        <v>43110</v>
      </c>
      <c r="H1493" s="8" t="s">
        <v>25</v>
      </c>
      <c r="I1493" s="11">
        <v>43111</v>
      </c>
      <c r="J1493" s="8" t="s">
        <v>25</v>
      </c>
      <c r="N1493" s="8" t="s">
        <v>58</v>
      </c>
      <c r="O1493" s="8" t="s">
        <v>59</v>
      </c>
      <c r="P1493" s="8" t="s">
        <v>59</v>
      </c>
      <c r="R1493" s="8">
        <v>0</v>
      </c>
      <c r="S1493" s="8">
        <v>0</v>
      </c>
      <c r="T1493" s="8">
        <v>1</v>
      </c>
      <c r="U1493" s="8">
        <v>2</v>
      </c>
      <c r="X1493" s="8">
        <v>5</v>
      </c>
      <c r="AG1493" s="8" t="str">
        <f t="shared" si="93"/>
        <v/>
      </c>
      <c r="AI1493" s="8" t="str">
        <f t="shared" si="94"/>
        <v/>
      </c>
      <c r="AJ1493" s="8" t="str">
        <f t="shared" si="95"/>
        <v/>
      </c>
      <c r="AL1493" s="8" t="str">
        <f t="shared" si="96"/>
        <v/>
      </c>
    </row>
    <row r="1494" spans="1:38" x14ac:dyDescent="0.25">
      <c r="A1494" s="8" t="s">
        <v>2208</v>
      </c>
      <c r="B1494" s="8" t="s">
        <v>2209</v>
      </c>
      <c r="C1494" s="8">
        <v>30840682</v>
      </c>
      <c r="D1494" s="8">
        <v>5</v>
      </c>
      <c r="E1494" s="11">
        <v>43109</v>
      </c>
      <c r="F1494" s="8" t="s">
        <v>57</v>
      </c>
      <c r="G1494" s="11">
        <v>43110</v>
      </c>
      <c r="H1494" s="8" t="s">
        <v>25</v>
      </c>
      <c r="J1494" s="8" t="s">
        <v>25</v>
      </c>
      <c r="N1494" s="8" t="s">
        <v>58</v>
      </c>
      <c r="O1494" s="8" t="s">
        <v>59</v>
      </c>
      <c r="P1494" s="8" t="s">
        <v>59</v>
      </c>
      <c r="R1494" s="8">
        <v>0</v>
      </c>
      <c r="S1494" s="8">
        <v>0</v>
      </c>
      <c r="T1494" s="8">
        <v>1</v>
      </c>
      <c r="U1494" s="8">
        <v>2</v>
      </c>
      <c r="AG1494" s="8" t="str">
        <f t="shared" si="93"/>
        <v/>
      </c>
      <c r="AI1494" s="8" t="str">
        <f t="shared" si="94"/>
        <v/>
      </c>
      <c r="AJ1494" s="8" t="str">
        <f t="shared" si="95"/>
        <v/>
      </c>
      <c r="AL1494" s="8" t="str">
        <f t="shared" si="96"/>
        <v/>
      </c>
    </row>
    <row r="1495" spans="1:38" x14ac:dyDescent="0.25">
      <c r="A1495" s="8" t="s">
        <v>3774</v>
      </c>
      <c r="B1495" s="8" t="s">
        <v>3775</v>
      </c>
      <c r="C1495" s="8">
        <v>30861909</v>
      </c>
      <c r="D1495" s="8">
        <v>5</v>
      </c>
      <c r="E1495" s="11">
        <v>43110</v>
      </c>
      <c r="F1495" s="8" t="s">
        <v>57</v>
      </c>
      <c r="G1495" s="11">
        <v>43111</v>
      </c>
      <c r="H1495" s="8" t="s">
        <v>25</v>
      </c>
      <c r="J1495" s="8" t="s">
        <v>25</v>
      </c>
      <c r="N1495" s="8" t="s">
        <v>58</v>
      </c>
      <c r="O1495" s="8" t="s">
        <v>59</v>
      </c>
      <c r="P1495" s="8" t="s">
        <v>59</v>
      </c>
      <c r="R1495" s="8">
        <v>0</v>
      </c>
      <c r="S1495" s="8">
        <v>0</v>
      </c>
      <c r="T1495" s="8">
        <v>1</v>
      </c>
      <c r="U1495" s="8">
        <v>2</v>
      </c>
      <c r="AG1495" s="8" t="str">
        <f t="shared" si="93"/>
        <v/>
      </c>
      <c r="AI1495" s="8" t="str">
        <f t="shared" si="94"/>
        <v/>
      </c>
      <c r="AJ1495" s="8" t="str">
        <f t="shared" si="95"/>
        <v/>
      </c>
      <c r="AL1495" s="8" t="str">
        <f t="shared" si="96"/>
        <v/>
      </c>
    </row>
    <row r="1496" spans="1:38" x14ac:dyDescent="0.25">
      <c r="A1496" s="8" t="s">
        <v>5295</v>
      </c>
      <c r="B1496" s="8" t="s">
        <v>5296</v>
      </c>
      <c r="C1496" s="8">
        <v>30891795</v>
      </c>
      <c r="D1496" s="8">
        <v>5</v>
      </c>
      <c r="E1496" s="11">
        <v>43111</v>
      </c>
      <c r="F1496" s="8" t="s">
        <v>57</v>
      </c>
      <c r="G1496" s="11">
        <v>43112</v>
      </c>
      <c r="H1496" s="8" t="s">
        <v>25</v>
      </c>
      <c r="J1496" s="8" t="s">
        <v>25</v>
      </c>
      <c r="N1496" s="8" t="s">
        <v>58</v>
      </c>
      <c r="O1496" s="8" t="s">
        <v>59</v>
      </c>
      <c r="P1496" s="8" t="s">
        <v>59</v>
      </c>
      <c r="R1496" s="8">
        <v>0</v>
      </c>
      <c r="S1496" s="8">
        <v>0</v>
      </c>
      <c r="T1496" s="8">
        <v>1</v>
      </c>
      <c r="U1496" s="8">
        <v>2</v>
      </c>
      <c r="AG1496" s="8" t="str">
        <f t="shared" si="93"/>
        <v/>
      </c>
      <c r="AI1496" s="8" t="str">
        <f t="shared" si="94"/>
        <v/>
      </c>
      <c r="AJ1496" s="8" t="str">
        <f t="shared" si="95"/>
        <v/>
      </c>
      <c r="AL1496" s="8" t="str">
        <f t="shared" si="96"/>
        <v/>
      </c>
    </row>
    <row r="1497" spans="1:38" x14ac:dyDescent="0.25">
      <c r="A1497" s="8" t="s">
        <v>5297</v>
      </c>
      <c r="B1497" s="8" t="s">
        <v>5298</v>
      </c>
      <c r="C1497" s="8">
        <v>30909930</v>
      </c>
      <c r="D1497" s="8">
        <v>5</v>
      </c>
      <c r="E1497" s="11">
        <v>43112</v>
      </c>
      <c r="F1497" s="8" t="s">
        <v>57</v>
      </c>
      <c r="G1497" s="11">
        <v>43112</v>
      </c>
      <c r="H1497" s="8" t="s">
        <v>25</v>
      </c>
      <c r="J1497" s="8" t="s">
        <v>25</v>
      </c>
      <c r="N1497" s="8" t="s">
        <v>58</v>
      </c>
      <c r="O1497" s="8" t="s">
        <v>59</v>
      </c>
      <c r="P1497" s="8" t="s">
        <v>59</v>
      </c>
      <c r="R1497" s="8">
        <v>0</v>
      </c>
      <c r="S1497" s="8">
        <v>0</v>
      </c>
      <c r="T1497" s="8">
        <v>1</v>
      </c>
      <c r="U1497" s="8">
        <v>2</v>
      </c>
      <c r="AG1497" s="8" t="str">
        <f t="shared" si="93"/>
        <v/>
      </c>
      <c r="AI1497" s="8" t="str">
        <f t="shared" si="94"/>
        <v/>
      </c>
      <c r="AJ1497" s="8" t="str">
        <f t="shared" si="95"/>
        <v/>
      </c>
      <c r="AL1497" s="8" t="str">
        <f t="shared" si="96"/>
        <v/>
      </c>
    </row>
    <row r="1498" spans="1:38" x14ac:dyDescent="0.25">
      <c r="A1498" s="8" t="s">
        <v>2210</v>
      </c>
      <c r="B1498" s="8" t="s">
        <v>2211</v>
      </c>
      <c r="C1498" s="8">
        <v>30816160</v>
      </c>
      <c r="D1498" s="8">
        <v>5</v>
      </c>
      <c r="E1498" s="11">
        <v>43108</v>
      </c>
      <c r="F1498" s="8" t="s">
        <v>57</v>
      </c>
      <c r="G1498" s="11">
        <v>43110</v>
      </c>
      <c r="H1498" s="8" t="s">
        <v>25</v>
      </c>
      <c r="J1498" s="8" t="s">
        <v>25</v>
      </c>
      <c r="N1498" s="8" t="s">
        <v>58</v>
      </c>
      <c r="O1498" s="8" t="s">
        <v>59</v>
      </c>
      <c r="P1498" s="8" t="s">
        <v>59</v>
      </c>
      <c r="R1498" s="8">
        <v>0</v>
      </c>
      <c r="S1498" s="8">
        <v>0</v>
      </c>
      <c r="T1498" s="8">
        <v>1</v>
      </c>
      <c r="U1498" s="8">
        <v>2</v>
      </c>
      <c r="AG1498" s="8" t="str">
        <f t="shared" si="93"/>
        <v/>
      </c>
      <c r="AI1498" s="8" t="str">
        <f t="shared" si="94"/>
        <v/>
      </c>
      <c r="AJ1498" s="8" t="str">
        <f t="shared" si="95"/>
        <v/>
      </c>
      <c r="AL1498" s="8" t="str">
        <f t="shared" si="96"/>
        <v/>
      </c>
    </row>
    <row r="1499" spans="1:38" x14ac:dyDescent="0.25">
      <c r="A1499" s="8" t="s">
        <v>7149</v>
      </c>
      <c r="B1499" s="8" t="s">
        <v>7150</v>
      </c>
      <c r="C1499" s="8">
        <v>30914848</v>
      </c>
      <c r="D1499" s="8">
        <v>5</v>
      </c>
      <c r="E1499" s="11">
        <v>43112</v>
      </c>
      <c r="F1499" s="8" t="s">
        <v>57</v>
      </c>
      <c r="G1499" s="11">
        <v>43115</v>
      </c>
      <c r="H1499" s="8" t="s">
        <v>25</v>
      </c>
      <c r="J1499" s="8" t="s">
        <v>25</v>
      </c>
      <c r="N1499" s="8" t="s">
        <v>58</v>
      </c>
      <c r="O1499" s="8" t="s">
        <v>59</v>
      </c>
      <c r="P1499" s="8" t="s">
        <v>59</v>
      </c>
      <c r="R1499" s="8">
        <v>0</v>
      </c>
      <c r="S1499" s="8">
        <v>0</v>
      </c>
      <c r="T1499" s="8">
        <v>1</v>
      </c>
      <c r="U1499" s="8">
        <v>2</v>
      </c>
      <c r="AG1499" s="8" t="str">
        <f t="shared" si="93"/>
        <v/>
      </c>
      <c r="AI1499" s="8" t="str">
        <f t="shared" si="94"/>
        <v/>
      </c>
      <c r="AJ1499" s="8" t="str">
        <f t="shared" si="95"/>
        <v/>
      </c>
      <c r="AL1499" s="8" t="str">
        <f t="shared" si="96"/>
        <v/>
      </c>
    </row>
    <row r="1500" spans="1:38" x14ac:dyDescent="0.25">
      <c r="A1500" s="8" t="s">
        <v>7151</v>
      </c>
      <c r="B1500" s="8" t="s">
        <v>7152</v>
      </c>
      <c r="C1500" s="8">
        <v>30913449</v>
      </c>
      <c r="D1500" s="8">
        <v>5</v>
      </c>
      <c r="E1500" s="11">
        <v>43112</v>
      </c>
      <c r="F1500" s="8" t="s">
        <v>58</v>
      </c>
      <c r="G1500" s="11">
        <v>43115</v>
      </c>
      <c r="H1500" s="8" t="s">
        <v>25</v>
      </c>
      <c r="I1500" s="11">
        <v>43115</v>
      </c>
      <c r="J1500" s="8" t="s">
        <v>25</v>
      </c>
      <c r="N1500" s="8" t="s">
        <v>58</v>
      </c>
      <c r="O1500" s="8" t="s">
        <v>59</v>
      </c>
      <c r="P1500" s="8" t="s">
        <v>59</v>
      </c>
      <c r="R1500" s="8">
        <v>0</v>
      </c>
      <c r="S1500" s="8">
        <v>0</v>
      </c>
      <c r="T1500" s="8">
        <v>1</v>
      </c>
      <c r="U1500" s="8">
        <v>2</v>
      </c>
      <c r="X1500" s="8">
        <v>5</v>
      </c>
      <c r="AG1500" s="8" t="str">
        <f t="shared" si="93"/>
        <v/>
      </c>
      <c r="AI1500" s="8" t="str">
        <f t="shared" si="94"/>
        <v/>
      </c>
      <c r="AJ1500" s="8" t="str">
        <f t="shared" si="95"/>
        <v/>
      </c>
      <c r="AL1500" s="8" t="str">
        <f t="shared" si="96"/>
        <v/>
      </c>
    </row>
    <row r="1501" spans="1:38" x14ac:dyDescent="0.25">
      <c r="A1501" s="8" t="s">
        <v>2212</v>
      </c>
      <c r="B1501" s="8" t="s">
        <v>2213</v>
      </c>
      <c r="C1501" s="8">
        <v>30865774</v>
      </c>
      <c r="D1501" s="8">
        <v>5</v>
      </c>
      <c r="E1501" s="11">
        <v>43110</v>
      </c>
      <c r="F1501" s="8" t="s">
        <v>60</v>
      </c>
      <c r="G1501" s="11">
        <v>43110</v>
      </c>
      <c r="H1501" s="8" t="s">
        <v>25</v>
      </c>
      <c r="J1501" s="8" t="s">
        <v>145</v>
      </c>
      <c r="L1501" s="8" t="s">
        <v>6525</v>
      </c>
      <c r="N1501" s="8" t="s">
        <v>58</v>
      </c>
      <c r="O1501" s="8" t="s">
        <v>59</v>
      </c>
      <c r="P1501" s="8" t="s">
        <v>59</v>
      </c>
      <c r="R1501" s="8">
        <v>0</v>
      </c>
      <c r="S1501" s="8">
        <v>0</v>
      </c>
      <c r="T1501" s="8">
        <v>1</v>
      </c>
      <c r="U1501" s="8">
        <v>2</v>
      </c>
      <c r="W1501" s="8">
        <v>4</v>
      </c>
      <c r="AG1501" s="8" t="str">
        <f t="shared" si="93"/>
        <v/>
      </c>
      <c r="AI1501" s="8" t="str">
        <f t="shared" si="94"/>
        <v/>
      </c>
      <c r="AJ1501" s="8" t="str">
        <f t="shared" si="95"/>
        <v/>
      </c>
      <c r="AL1501" s="8" t="str">
        <f t="shared" si="96"/>
        <v/>
      </c>
    </row>
    <row r="1502" spans="1:38" x14ac:dyDescent="0.25">
      <c r="A1502" s="8" t="s">
        <v>2214</v>
      </c>
      <c r="B1502" s="8" t="s">
        <v>2215</v>
      </c>
      <c r="C1502" s="8">
        <v>30841473</v>
      </c>
      <c r="D1502" s="8">
        <v>4</v>
      </c>
      <c r="E1502" s="11">
        <v>43109</v>
      </c>
      <c r="F1502" s="8" t="s">
        <v>57</v>
      </c>
      <c r="G1502" s="11">
        <v>43110</v>
      </c>
      <c r="H1502" s="8" t="s">
        <v>25</v>
      </c>
      <c r="J1502" s="8" t="s">
        <v>25</v>
      </c>
      <c r="N1502" s="8" t="s">
        <v>58</v>
      </c>
      <c r="O1502" s="8" t="s">
        <v>59</v>
      </c>
      <c r="P1502" s="8" t="s">
        <v>59</v>
      </c>
      <c r="R1502" s="8">
        <v>0</v>
      </c>
      <c r="S1502" s="8">
        <v>0</v>
      </c>
      <c r="T1502" s="8">
        <v>1</v>
      </c>
      <c r="U1502" s="8">
        <v>2</v>
      </c>
      <c r="AG1502" s="8" t="str">
        <f t="shared" si="93"/>
        <v/>
      </c>
      <c r="AI1502" s="8" t="str">
        <f t="shared" si="94"/>
        <v/>
      </c>
      <c r="AJ1502" s="8" t="str">
        <f t="shared" si="95"/>
        <v/>
      </c>
      <c r="AL1502" s="8" t="str">
        <f t="shared" si="96"/>
        <v/>
      </c>
    </row>
    <row r="1503" spans="1:38" x14ac:dyDescent="0.25">
      <c r="A1503" s="8" t="s">
        <v>2216</v>
      </c>
      <c r="B1503" s="8" t="s">
        <v>2217</v>
      </c>
      <c r="C1503" s="8">
        <v>30876549</v>
      </c>
      <c r="D1503" s="8">
        <v>5</v>
      </c>
      <c r="E1503" s="11">
        <v>43110</v>
      </c>
      <c r="F1503" s="8" t="s">
        <v>57</v>
      </c>
      <c r="G1503" s="11">
        <v>43110</v>
      </c>
      <c r="H1503" s="8" t="s">
        <v>25</v>
      </c>
      <c r="J1503" s="8" t="s">
        <v>25</v>
      </c>
      <c r="N1503" s="8" t="s">
        <v>58</v>
      </c>
      <c r="O1503" s="8" t="s">
        <v>59</v>
      </c>
      <c r="P1503" s="8" t="s">
        <v>59</v>
      </c>
      <c r="R1503" s="8">
        <v>0</v>
      </c>
      <c r="S1503" s="8">
        <v>0</v>
      </c>
      <c r="T1503" s="8">
        <v>1</v>
      </c>
      <c r="U1503" s="8">
        <v>2</v>
      </c>
      <c r="AG1503" s="8" t="str">
        <f t="shared" si="93"/>
        <v/>
      </c>
      <c r="AI1503" s="8" t="str">
        <f t="shared" si="94"/>
        <v/>
      </c>
      <c r="AJ1503" s="8" t="str">
        <f t="shared" si="95"/>
        <v/>
      </c>
      <c r="AL1503" s="8" t="str">
        <f t="shared" si="96"/>
        <v/>
      </c>
    </row>
    <row r="1504" spans="1:38" x14ac:dyDescent="0.25">
      <c r="A1504" s="8" t="s">
        <v>5299</v>
      </c>
      <c r="B1504" s="8" t="s">
        <v>5300</v>
      </c>
      <c r="C1504" s="8">
        <v>30890701</v>
      </c>
      <c r="D1504" s="8">
        <v>5</v>
      </c>
      <c r="E1504" s="11">
        <v>43111</v>
      </c>
      <c r="F1504" s="8" t="s">
        <v>57</v>
      </c>
      <c r="G1504" s="11">
        <v>43112</v>
      </c>
      <c r="H1504" s="8" t="s">
        <v>25</v>
      </c>
      <c r="J1504" s="8" t="s">
        <v>25</v>
      </c>
      <c r="N1504" s="8" t="s">
        <v>58</v>
      </c>
      <c r="O1504" s="8" t="s">
        <v>59</v>
      </c>
      <c r="P1504" s="8" t="s">
        <v>59</v>
      </c>
      <c r="R1504" s="8">
        <v>0</v>
      </c>
      <c r="S1504" s="8">
        <v>0</v>
      </c>
      <c r="T1504" s="8">
        <v>1</v>
      </c>
      <c r="U1504" s="8">
        <v>2</v>
      </c>
      <c r="AG1504" s="8" t="str">
        <f t="shared" si="93"/>
        <v/>
      </c>
      <c r="AI1504" s="8" t="str">
        <f t="shared" si="94"/>
        <v/>
      </c>
      <c r="AJ1504" s="8" t="str">
        <f t="shared" si="95"/>
        <v/>
      </c>
      <c r="AL1504" s="8" t="str">
        <f t="shared" si="96"/>
        <v/>
      </c>
    </row>
    <row r="1505" spans="1:38" x14ac:dyDescent="0.25">
      <c r="A1505" s="8" t="s">
        <v>5301</v>
      </c>
      <c r="B1505" s="8" t="s">
        <v>5302</v>
      </c>
      <c r="C1505" s="8">
        <v>30900677</v>
      </c>
      <c r="D1505" s="8">
        <v>5</v>
      </c>
      <c r="E1505" s="11">
        <v>43111</v>
      </c>
      <c r="F1505" s="8" t="s">
        <v>58</v>
      </c>
      <c r="G1505" s="11">
        <v>43112</v>
      </c>
      <c r="H1505" s="8" t="s">
        <v>25</v>
      </c>
      <c r="I1505" s="11">
        <v>43115</v>
      </c>
      <c r="J1505" s="8" t="s">
        <v>25</v>
      </c>
      <c r="N1505" s="8" t="s">
        <v>58</v>
      </c>
      <c r="O1505" s="8" t="s">
        <v>59</v>
      </c>
      <c r="P1505" s="8" t="s">
        <v>59</v>
      </c>
      <c r="R1505" s="8">
        <v>0</v>
      </c>
      <c r="S1505" s="8">
        <v>0</v>
      </c>
      <c r="T1505" s="8">
        <v>1</v>
      </c>
      <c r="U1505" s="8">
        <v>2</v>
      </c>
      <c r="X1505" s="8">
        <v>5</v>
      </c>
      <c r="AG1505" s="8" t="str">
        <f t="shared" si="93"/>
        <v/>
      </c>
      <c r="AI1505" s="8" t="str">
        <f t="shared" si="94"/>
        <v/>
      </c>
      <c r="AJ1505" s="8" t="str">
        <f t="shared" si="95"/>
        <v/>
      </c>
      <c r="AL1505" s="8" t="str">
        <f t="shared" si="96"/>
        <v/>
      </c>
    </row>
    <row r="1506" spans="1:38" x14ac:dyDescent="0.25">
      <c r="A1506" s="8" t="s">
        <v>1155</v>
      </c>
      <c r="B1506" s="8" t="s">
        <v>1156</v>
      </c>
      <c r="C1506" s="8">
        <v>30819929</v>
      </c>
      <c r="D1506" s="8">
        <v>5</v>
      </c>
      <c r="E1506" s="11">
        <v>43108</v>
      </c>
      <c r="F1506" s="8" t="s">
        <v>58</v>
      </c>
      <c r="G1506" s="11">
        <v>43109</v>
      </c>
      <c r="H1506" s="8" t="s">
        <v>25</v>
      </c>
      <c r="I1506" s="11">
        <v>43112</v>
      </c>
      <c r="J1506" s="8" t="s">
        <v>25</v>
      </c>
      <c r="N1506" s="8" t="s">
        <v>58</v>
      </c>
      <c r="O1506" s="8" t="s">
        <v>59</v>
      </c>
      <c r="P1506" s="8" t="s">
        <v>59</v>
      </c>
      <c r="R1506" s="8">
        <v>0</v>
      </c>
      <c r="S1506" s="8">
        <v>0</v>
      </c>
      <c r="T1506" s="8">
        <v>1</v>
      </c>
      <c r="U1506" s="8">
        <v>2</v>
      </c>
      <c r="X1506" s="8">
        <v>5</v>
      </c>
      <c r="AG1506" s="8" t="str">
        <f t="shared" si="93"/>
        <v/>
      </c>
      <c r="AI1506" s="8" t="str">
        <f t="shared" si="94"/>
        <v/>
      </c>
      <c r="AJ1506" s="8" t="str">
        <f t="shared" si="95"/>
        <v/>
      </c>
      <c r="AL1506" s="8" t="str">
        <f t="shared" si="96"/>
        <v/>
      </c>
    </row>
    <row r="1507" spans="1:38" x14ac:dyDescent="0.25">
      <c r="A1507" s="8" t="s">
        <v>5303</v>
      </c>
      <c r="B1507" s="8" t="s">
        <v>5304</v>
      </c>
      <c r="C1507" s="8">
        <v>30890683</v>
      </c>
      <c r="D1507" s="8">
        <v>5</v>
      </c>
      <c r="E1507" s="11">
        <v>43111</v>
      </c>
      <c r="F1507" s="8" t="s">
        <v>57</v>
      </c>
      <c r="G1507" s="11">
        <v>43112</v>
      </c>
      <c r="H1507" s="8" t="s">
        <v>25</v>
      </c>
      <c r="J1507" s="8" t="s">
        <v>25</v>
      </c>
      <c r="N1507" s="8" t="s">
        <v>58</v>
      </c>
      <c r="O1507" s="8" t="s">
        <v>59</v>
      </c>
      <c r="P1507" s="8" t="s">
        <v>59</v>
      </c>
      <c r="R1507" s="8">
        <v>0</v>
      </c>
      <c r="S1507" s="8">
        <v>0</v>
      </c>
      <c r="T1507" s="8">
        <v>1</v>
      </c>
      <c r="U1507" s="8">
        <v>2</v>
      </c>
      <c r="AG1507" s="8" t="str">
        <f t="shared" si="93"/>
        <v/>
      </c>
      <c r="AI1507" s="8" t="str">
        <f t="shared" si="94"/>
        <v/>
      </c>
      <c r="AJ1507" s="8" t="str">
        <f t="shared" si="95"/>
        <v/>
      </c>
      <c r="AL1507" s="8" t="str">
        <f t="shared" si="96"/>
        <v/>
      </c>
    </row>
    <row r="1508" spans="1:38" x14ac:dyDescent="0.25">
      <c r="A1508" s="8" t="s">
        <v>7153</v>
      </c>
      <c r="B1508" s="8" t="s">
        <v>7154</v>
      </c>
      <c r="C1508" s="8">
        <v>30931365</v>
      </c>
      <c r="D1508" s="8">
        <v>4</v>
      </c>
      <c r="E1508" s="11">
        <v>43115</v>
      </c>
      <c r="F1508" s="8" t="s">
        <v>57</v>
      </c>
      <c r="G1508" s="11">
        <v>43115</v>
      </c>
      <c r="H1508" s="8" t="s">
        <v>25</v>
      </c>
      <c r="J1508" s="8" t="s">
        <v>25</v>
      </c>
      <c r="N1508" s="8" t="s">
        <v>58</v>
      </c>
      <c r="O1508" s="8" t="s">
        <v>59</v>
      </c>
      <c r="P1508" s="8" t="s">
        <v>59</v>
      </c>
      <c r="R1508" s="8">
        <v>0</v>
      </c>
      <c r="S1508" s="8">
        <v>0</v>
      </c>
      <c r="T1508" s="8">
        <v>1</v>
      </c>
      <c r="U1508" s="8">
        <v>2</v>
      </c>
      <c r="AG1508" s="8" t="str">
        <f t="shared" si="93"/>
        <v/>
      </c>
      <c r="AI1508" s="8" t="str">
        <f t="shared" si="94"/>
        <v/>
      </c>
      <c r="AJ1508" s="8" t="str">
        <f t="shared" si="95"/>
        <v/>
      </c>
      <c r="AL1508" s="8" t="str">
        <f t="shared" si="96"/>
        <v/>
      </c>
    </row>
    <row r="1509" spans="1:38" x14ac:dyDescent="0.25">
      <c r="A1509" s="8" t="s">
        <v>5305</v>
      </c>
      <c r="B1509" s="8" t="s">
        <v>5306</v>
      </c>
      <c r="C1509" s="8">
        <v>30916284</v>
      </c>
      <c r="D1509" s="8">
        <v>5</v>
      </c>
      <c r="E1509" s="11">
        <v>43112</v>
      </c>
      <c r="F1509" s="8" t="s">
        <v>57</v>
      </c>
      <c r="G1509" s="11">
        <v>43112</v>
      </c>
      <c r="H1509" s="8" t="s">
        <v>25</v>
      </c>
      <c r="J1509" s="8" t="s">
        <v>25</v>
      </c>
      <c r="N1509" s="8" t="s">
        <v>58</v>
      </c>
      <c r="O1509" s="8" t="s">
        <v>59</v>
      </c>
      <c r="P1509" s="8" t="s">
        <v>59</v>
      </c>
      <c r="R1509" s="8">
        <v>0</v>
      </c>
      <c r="S1509" s="8">
        <v>0</v>
      </c>
      <c r="T1509" s="8">
        <v>1</v>
      </c>
      <c r="U1509" s="8">
        <v>2</v>
      </c>
      <c r="AG1509" s="8" t="str">
        <f t="shared" si="93"/>
        <v/>
      </c>
      <c r="AI1509" s="8" t="str">
        <f t="shared" si="94"/>
        <v/>
      </c>
      <c r="AJ1509" s="8" t="str">
        <f t="shared" si="95"/>
        <v/>
      </c>
      <c r="AL1509" s="8" t="str">
        <f t="shared" si="96"/>
        <v/>
      </c>
    </row>
    <row r="1510" spans="1:38" x14ac:dyDescent="0.25">
      <c r="A1510" s="8" t="s">
        <v>3776</v>
      </c>
      <c r="B1510" s="8" t="s">
        <v>419</v>
      </c>
      <c r="C1510" s="8">
        <v>30890051</v>
      </c>
      <c r="D1510" s="8">
        <v>5</v>
      </c>
      <c r="E1510" s="11">
        <v>43111</v>
      </c>
      <c r="F1510" s="8" t="s">
        <v>57</v>
      </c>
      <c r="G1510" s="11">
        <v>43111</v>
      </c>
      <c r="H1510" s="8" t="s">
        <v>25</v>
      </c>
      <c r="J1510" s="8" t="s">
        <v>25</v>
      </c>
      <c r="N1510" s="8" t="s">
        <v>58</v>
      </c>
      <c r="O1510" s="8" t="s">
        <v>59</v>
      </c>
      <c r="P1510" s="8" t="s">
        <v>59</v>
      </c>
      <c r="R1510" s="8">
        <v>0</v>
      </c>
      <c r="S1510" s="8">
        <v>0</v>
      </c>
      <c r="T1510" s="8">
        <v>1</v>
      </c>
      <c r="U1510" s="8">
        <v>2</v>
      </c>
      <c r="AG1510" s="8" t="str">
        <f t="shared" si="93"/>
        <v/>
      </c>
      <c r="AI1510" s="8" t="str">
        <f t="shared" si="94"/>
        <v/>
      </c>
      <c r="AJ1510" s="8" t="str">
        <f t="shared" si="95"/>
        <v/>
      </c>
      <c r="AL1510" s="8" t="str">
        <f t="shared" si="96"/>
        <v/>
      </c>
    </row>
    <row r="1511" spans="1:38" x14ac:dyDescent="0.25">
      <c r="A1511" s="8" t="s">
        <v>3777</v>
      </c>
      <c r="B1511" s="8" t="s">
        <v>3778</v>
      </c>
      <c r="C1511" s="8">
        <v>30860289</v>
      </c>
      <c r="D1511" s="8">
        <v>5</v>
      </c>
      <c r="E1511" s="11">
        <v>43110</v>
      </c>
      <c r="F1511" s="8" t="s">
        <v>58</v>
      </c>
      <c r="G1511" s="11">
        <v>43111</v>
      </c>
      <c r="H1511" s="8" t="s">
        <v>25</v>
      </c>
      <c r="I1511" s="11">
        <v>43111</v>
      </c>
      <c r="J1511" s="8" t="s">
        <v>25</v>
      </c>
      <c r="N1511" s="8" t="s">
        <v>58</v>
      </c>
      <c r="O1511" s="8" t="s">
        <v>59</v>
      </c>
      <c r="P1511" s="8" t="s">
        <v>59</v>
      </c>
      <c r="R1511" s="8">
        <v>0</v>
      </c>
      <c r="S1511" s="8">
        <v>0</v>
      </c>
      <c r="T1511" s="8">
        <v>1</v>
      </c>
      <c r="U1511" s="8">
        <v>2</v>
      </c>
      <c r="X1511" s="8">
        <v>5</v>
      </c>
      <c r="AG1511" s="8" t="str">
        <f t="shared" si="93"/>
        <v/>
      </c>
      <c r="AI1511" s="8" t="str">
        <f t="shared" si="94"/>
        <v/>
      </c>
      <c r="AJ1511" s="8" t="str">
        <f t="shared" si="95"/>
        <v/>
      </c>
      <c r="AL1511" s="8" t="str">
        <f t="shared" si="96"/>
        <v/>
      </c>
    </row>
    <row r="1512" spans="1:38" x14ac:dyDescent="0.25">
      <c r="A1512" s="8" t="s">
        <v>3779</v>
      </c>
      <c r="B1512" s="8" t="s">
        <v>3780</v>
      </c>
      <c r="C1512" s="8">
        <v>30858878</v>
      </c>
      <c r="D1512" s="8">
        <v>5</v>
      </c>
      <c r="E1512" s="11">
        <v>43110</v>
      </c>
      <c r="F1512" s="8" t="s">
        <v>58</v>
      </c>
      <c r="G1512" s="11">
        <v>43111</v>
      </c>
      <c r="H1512" s="8" t="s">
        <v>25</v>
      </c>
      <c r="I1512" s="11">
        <v>43111</v>
      </c>
      <c r="J1512" s="8" t="s">
        <v>25</v>
      </c>
      <c r="N1512" s="8" t="s">
        <v>58</v>
      </c>
      <c r="O1512" s="8" t="s">
        <v>59</v>
      </c>
      <c r="P1512" s="8" t="s">
        <v>59</v>
      </c>
      <c r="R1512" s="8">
        <v>0</v>
      </c>
      <c r="S1512" s="8">
        <v>0</v>
      </c>
      <c r="T1512" s="8">
        <v>1</v>
      </c>
      <c r="U1512" s="8">
        <v>2</v>
      </c>
      <c r="X1512" s="8">
        <v>5</v>
      </c>
      <c r="AG1512" s="8" t="str">
        <f t="shared" si="93"/>
        <v/>
      </c>
      <c r="AI1512" s="8" t="str">
        <f t="shared" si="94"/>
        <v/>
      </c>
      <c r="AJ1512" s="8" t="str">
        <f t="shared" si="95"/>
        <v/>
      </c>
      <c r="AL1512" s="8" t="str">
        <f t="shared" si="96"/>
        <v/>
      </c>
    </row>
    <row r="1513" spans="1:38" x14ac:dyDescent="0.25">
      <c r="A1513" s="8" t="s">
        <v>7155</v>
      </c>
      <c r="B1513" s="8" t="s">
        <v>7156</v>
      </c>
      <c r="C1513" s="8">
        <v>30908506</v>
      </c>
      <c r="D1513" s="8">
        <v>5</v>
      </c>
      <c r="E1513" s="11">
        <v>43112</v>
      </c>
      <c r="F1513" s="8" t="s">
        <v>57</v>
      </c>
      <c r="G1513" s="11">
        <v>43115</v>
      </c>
      <c r="H1513" s="8" t="s">
        <v>25</v>
      </c>
      <c r="J1513" s="8" t="s">
        <v>25</v>
      </c>
      <c r="N1513" s="8" t="s">
        <v>58</v>
      </c>
      <c r="O1513" s="8" t="s">
        <v>59</v>
      </c>
      <c r="P1513" s="8" t="s">
        <v>59</v>
      </c>
      <c r="R1513" s="8">
        <v>0</v>
      </c>
      <c r="S1513" s="8">
        <v>0</v>
      </c>
      <c r="T1513" s="8">
        <v>1</v>
      </c>
      <c r="U1513" s="8">
        <v>2</v>
      </c>
      <c r="AG1513" s="8" t="str">
        <f t="shared" si="93"/>
        <v/>
      </c>
      <c r="AI1513" s="8" t="str">
        <f t="shared" si="94"/>
        <v/>
      </c>
      <c r="AJ1513" s="8" t="str">
        <f t="shared" si="95"/>
        <v/>
      </c>
      <c r="AL1513" s="8" t="str">
        <f t="shared" si="96"/>
        <v/>
      </c>
    </row>
    <row r="1514" spans="1:38" x14ac:dyDescent="0.25">
      <c r="A1514" s="8" t="s">
        <v>3781</v>
      </c>
      <c r="B1514" s="8" t="s">
        <v>3782</v>
      </c>
      <c r="C1514" s="8">
        <v>30859928</v>
      </c>
      <c r="D1514" s="8">
        <v>5</v>
      </c>
      <c r="E1514" s="11">
        <v>43110</v>
      </c>
      <c r="F1514" s="8" t="s">
        <v>58</v>
      </c>
      <c r="G1514" s="11">
        <v>43111</v>
      </c>
      <c r="H1514" s="8" t="s">
        <v>25</v>
      </c>
      <c r="I1514" s="11">
        <v>43111</v>
      </c>
      <c r="J1514" s="8" t="s">
        <v>25</v>
      </c>
      <c r="N1514" s="8" t="s">
        <v>58</v>
      </c>
      <c r="O1514" s="8" t="s">
        <v>59</v>
      </c>
      <c r="P1514" s="8" t="s">
        <v>59</v>
      </c>
      <c r="R1514" s="8">
        <v>0</v>
      </c>
      <c r="S1514" s="8">
        <v>0</v>
      </c>
      <c r="T1514" s="8">
        <v>1</v>
      </c>
      <c r="U1514" s="8">
        <v>2</v>
      </c>
      <c r="X1514" s="8">
        <v>5</v>
      </c>
      <c r="AG1514" s="8" t="str">
        <f t="shared" si="93"/>
        <v/>
      </c>
      <c r="AI1514" s="8" t="str">
        <f t="shared" si="94"/>
        <v/>
      </c>
      <c r="AJ1514" s="8" t="str">
        <f t="shared" si="95"/>
        <v/>
      </c>
      <c r="AL1514" s="8" t="str">
        <f t="shared" si="96"/>
        <v/>
      </c>
    </row>
    <row r="1515" spans="1:38" x14ac:dyDescent="0.25">
      <c r="A1515" s="8" t="s">
        <v>5307</v>
      </c>
      <c r="B1515" s="8" t="s">
        <v>5308</v>
      </c>
      <c r="C1515" s="8">
        <v>30893691</v>
      </c>
      <c r="D1515" s="8">
        <v>5</v>
      </c>
      <c r="E1515" s="11">
        <v>43111</v>
      </c>
      <c r="F1515" s="8" t="s">
        <v>57</v>
      </c>
      <c r="G1515" s="11">
        <v>43112</v>
      </c>
      <c r="H1515" s="8" t="s">
        <v>25</v>
      </c>
      <c r="J1515" s="8" t="s">
        <v>25</v>
      </c>
      <c r="N1515" s="8" t="s">
        <v>58</v>
      </c>
      <c r="O1515" s="8" t="s">
        <v>59</v>
      </c>
      <c r="P1515" s="8" t="s">
        <v>59</v>
      </c>
      <c r="R1515" s="8">
        <v>0</v>
      </c>
      <c r="S1515" s="8">
        <v>0</v>
      </c>
      <c r="T1515" s="8">
        <v>1</v>
      </c>
      <c r="U1515" s="8">
        <v>2</v>
      </c>
      <c r="AG1515" s="8" t="str">
        <f t="shared" si="93"/>
        <v/>
      </c>
      <c r="AI1515" s="8" t="str">
        <f t="shared" si="94"/>
        <v/>
      </c>
      <c r="AJ1515" s="8" t="str">
        <f t="shared" si="95"/>
        <v/>
      </c>
      <c r="AL1515" s="8" t="str">
        <f t="shared" si="96"/>
        <v/>
      </c>
    </row>
    <row r="1516" spans="1:38" x14ac:dyDescent="0.25">
      <c r="A1516" s="8" t="s">
        <v>5309</v>
      </c>
      <c r="B1516" s="8" t="s">
        <v>5310</v>
      </c>
      <c r="C1516" s="8">
        <v>30889150</v>
      </c>
      <c r="D1516" s="8">
        <v>5</v>
      </c>
      <c r="E1516" s="11">
        <v>43111</v>
      </c>
      <c r="F1516" s="8" t="s">
        <v>57</v>
      </c>
      <c r="G1516" s="11">
        <v>43112</v>
      </c>
      <c r="H1516" s="8" t="s">
        <v>25</v>
      </c>
      <c r="J1516" s="8" t="s">
        <v>25</v>
      </c>
      <c r="N1516" s="8" t="s">
        <v>58</v>
      </c>
      <c r="O1516" s="8" t="s">
        <v>59</v>
      </c>
      <c r="P1516" s="8" t="s">
        <v>59</v>
      </c>
      <c r="R1516" s="8">
        <v>0</v>
      </c>
      <c r="S1516" s="8">
        <v>0</v>
      </c>
      <c r="T1516" s="8">
        <v>1</v>
      </c>
      <c r="U1516" s="8">
        <v>2</v>
      </c>
      <c r="AG1516" s="8" t="str">
        <f t="shared" si="93"/>
        <v/>
      </c>
      <c r="AI1516" s="8" t="str">
        <f t="shared" si="94"/>
        <v/>
      </c>
      <c r="AJ1516" s="8" t="str">
        <f t="shared" si="95"/>
        <v/>
      </c>
      <c r="AL1516" s="8" t="str">
        <f t="shared" si="96"/>
        <v/>
      </c>
    </row>
    <row r="1517" spans="1:38" x14ac:dyDescent="0.25">
      <c r="A1517" s="8" t="s">
        <v>5311</v>
      </c>
      <c r="B1517" s="8" t="s">
        <v>5312</v>
      </c>
      <c r="C1517" s="8">
        <v>30889854</v>
      </c>
      <c r="D1517" s="8">
        <v>5</v>
      </c>
      <c r="E1517" s="11">
        <v>43111</v>
      </c>
      <c r="F1517" s="8" t="s">
        <v>57</v>
      </c>
      <c r="G1517" s="11">
        <v>43112</v>
      </c>
      <c r="H1517" s="8" t="s">
        <v>25</v>
      </c>
      <c r="J1517" s="8" t="s">
        <v>25</v>
      </c>
      <c r="N1517" s="8" t="s">
        <v>58</v>
      </c>
      <c r="O1517" s="8" t="s">
        <v>59</v>
      </c>
      <c r="P1517" s="8" t="s">
        <v>59</v>
      </c>
      <c r="R1517" s="8">
        <v>0</v>
      </c>
      <c r="S1517" s="8">
        <v>0</v>
      </c>
      <c r="T1517" s="8">
        <v>1</v>
      </c>
      <c r="U1517" s="8">
        <v>2</v>
      </c>
      <c r="AG1517" s="8" t="str">
        <f t="shared" si="93"/>
        <v/>
      </c>
      <c r="AI1517" s="8" t="str">
        <f t="shared" si="94"/>
        <v/>
      </c>
      <c r="AJ1517" s="8" t="str">
        <f t="shared" si="95"/>
        <v/>
      </c>
      <c r="AL1517" s="8" t="str">
        <f t="shared" si="96"/>
        <v/>
      </c>
    </row>
    <row r="1518" spans="1:38" x14ac:dyDescent="0.25">
      <c r="A1518" s="8" t="s">
        <v>2218</v>
      </c>
      <c r="B1518" s="8" t="s">
        <v>2219</v>
      </c>
      <c r="C1518" s="8">
        <v>30806969</v>
      </c>
      <c r="D1518" s="8">
        <v>5</v>
      </c>
      <c r="E1518" s="11">
        <v>43108</v>
      </c>
      <c r="F1518" s="8" t="s">
        <v>58</v>
      </c>
      <c r="G1518" s="11">
        <v>43110</v>
      </c>
      <c r="H1518" s="8" t="s">
        <v>25</v>
      </c>
      <c r="I1518" s="11">
        <v>43112</v>
      </c>
      <c r="J1518" s="8" t="s">
        <v>25</v>
      </c>
      <c r="N1518" s="8" t="s">
        <v>58</v>
      </c>
      <c r="O1518" s="8" t="s">
        <v>59</v>
      </c>
      <c r="P1518" s="8" t="s">
        <v>59</v>
      </c>
      <c r="R1518" s="8">
        <v>0</v>
      </c>
      <c r="S1518" s="8">
        <v>0</v>
      </c>
      <c r="T1518" s="8">
        <v>1</v>
      </c>
      <c r="U1518" s="8">
        <v>2</v>
      </c>
      <c r="X1518" s="8">
        <v>5</v>
      </c>
      <c r="AG1518" s="8" t="str">
        <f t="shared" si="93"/>
        <v/>
      </c>
      <c r="AI1518" s="8" t="str">
        <f t="shared" si="94"/>
        <v/>
      </c>
      <c r="AJ1518" s="8" t="str">
        <f t="shared" si="95"/>
        <v/>
      </c>
      <c r="AL1518" s="8" t="str">
        <f t="shared" si="96"/>
        <v/>
      </c>
    </row>
    <row r="1519" spans="1:38" x14ac:dyDescent="0.25">
      <c r="A1519" s="8" t="s">
        <v>5313</v>
      </c>
      <c r="B1519" s="8" t="s">
        <v>5314</v>
      </c>
      <c r="C1519" s="8">
        <v>30881719</v>
      </c>
      <c r="D1519" s="8">
        <v>5</v>
      </c>
      <c r="E1519" s="11">
        <v>43111</v>
      </c>
      <c r="F1519" s="8" t="s">
        <v>57</v>
      </c>
      <c r="G1519" s="11">
        <v>43112</v>
      </c>
      <c r="H1519" s="8" t="s">
        <v>25</v>
      </c>
      <c r="J1519" s="8" t="s">
        <v>25</v>
      </c>
      <c r="N1519" s="8" t="s">
        <v>58</v>
      </c>
      <c r="O1519" s="8" t="s">
        <v>59</v>
      </c>
      <c r="P1519" s="8" t="s">
        <v>59</v>
      </c>
      <c r="R1519" s="8">
        <v>0</v>
      </c>
      <c r="S1519" s="8">
        <v>0</v>
      </c>
      <c r="T1519" s="8">
        <v>1</v>
      </c>
      <c r="U1519" s="8">
        <v>2</v>
      </c>
      <c r="AG1519" s="8" t="str">
        <f t="shared" si="93"/>
        <v/>
      </c>
      <c r="AI1519" s="8" t="str">
        <f t="shared" si="94"/>
        <v/>
      </c>
      <c r="AJ1519" s="8" t="str">
        <f t="shared" si="95"/>
        <v/>
      </c>
      <c r="AL1519" s="8" t="str">
        <f t="shared" si="96"/>
        <v/>
      </c>
    </row>
    <row r="1520" spans="1:38" x14ac:dyDescent="0.25">
      <c r="A1520" s="8" t="s">
        <v>2220</v>
      </c>
      <c r="B1520" s="8" t="s">
        <v>2221</v>
      </c>
      <c r="C1520" s="8">
        <v>30808131</v>
      </c>
      <c r="D1520" s="8">
        <v>5</v>
      </c>
      <c r="E1520" s="11">
        <v>43108</v>
      </c>
      <c r="F1520" s="8" t="s">
        <v>58</v>
      </c>
      <c r="G1520" s="11">
        <v>43110</v>
      </c>
      <c r="H1520" s="8" t="s">
        <v>25</v>
      </c>
      <c r="I1520" s="11">
        <v>43112</v>
      </c>
      <c r="J1520" s="8" t="s">
        <v>25</v>
      </c>
      <c r="N1520" s="8" t="s">
        <v>58</v>
      </c>
      <c r="O1520" s="8" t="s">
        <v>59</v>
      </c>
      <c r="P1520" s="8" t="s">
        <v>59</v>
      </c>
      <c r="R1520" s="8">
        <v>0</v>
      </c>
      <c r="S1520" s="8">
        <v>0</v>
      </c>
      <c r="T1520" s="8">
        <v>1</v>
      </c>
      <c r="U1520" s="8">
        <v>2</v>
      </c>
      <c r="X1520" s="8">
        <v>5</v>
      </c>
      <c r="AG1520" s="8" t="str">
        <f t="shared" si="93"/>
        <v/>
      </c>
      <c r="AI1520" s="8" t="str">
        <f t="shared" si="94"/>
        <v/>
      </c>
      <c r="AJ1520" s="8" t="str">
        <f t="shared" si="95"/>
        <v/>
      </c>
      <c r="AL1520" s="8" t="str">
        <f t="shared" si="96"/>
        <v/>
      </c>
    </row>
    <row r="1521" spans="1:38" x14ac:dyDescent="0.25">
      <c r="A1521" s="8" t="s">
        <v>3783</v>
      </c>
      <c r="B1521" s="8" t="s">
        <v>3784</v>
      </c>
      <c r="C1521" s="8">
        <v>30851199</v>
      </c>
      <c r="D1521" s="8">
        <v>5</v>
      </c>
      <c r="E1521" s="11">
        <v>43109</v>
      </c>
      <c r="F1521" s="8" t="s">
        <v>58</v>
      </c>
      <c r="G1521" s="11">
        <v>43111</v>
      </c>
      <c r="H1521" s="8" t="s">
        <v>25</v>
      </c>
      <c r="I1521" s="11">
        <v>43112</v>
      </c>
      <c r="J1521" s="8" t="s">
        <v>25</v>
      </c>
      <c r="N1521" s="8" t="s">
        <v>58</v>
      </c>
      <c r="O1521" s="8" t="s">
        <v>59</v>
      </c>
      <c r="P1521" s="8" t="s">
        <v>59</v>
      </c>
      <c r="R1521" s="8">
        <v>0</v>
      </c>
      <c r="S1521" s="8">
        <v>0</v>
      </c>
      <c r="T1521" s="8">
        <v>1</v>
      </c>
      <c r="U1521" s="8">
        <v>2</v>
      </c>
      <c r="X1521" s="8">
        <v>5</v>
      </c>
      <c r="AG1521" s="8" t="str">
        <f t="shared" si="93"/>
        <v/>
      </c>
      <c r="AI1521" s="8" t="str">
        <f t="shared" si="94"/>
        <v/>
      </c>
      <c r="AJ1521" s="8" t="str">
        <f t="shared" si="95"/>
        <v/>
      </c>
      <c r="AL1521" s="8" t="str">
        <f t="shared" si="96"/>
        <v/>
      </c>
    </row>
    <row r="1522" spans="1:38" x14ac:dyDescent="0.25">
      <c r="A1522" s="8" t="s">
        <v>3785</v>
      </c>
      <c r="B1522" s="8" t="s">
        <v>3786</v>
      </c>
      <c r="C1522" s="8">
        <v>30861497</v>
      </c>
      <c r="D1522" s="8">
        <v>5</v>
      </c>
      <c r="E1522" s="11">
        <v>43110</v>
      </c>
      <c r="F1522" s="8" t="s">
        <v>58</v>
      </c>
      <c r="G1522" s="11">
        <v>43111</v>
      </c>
      <c r="H1522" s="8" t="s">
        <v>25</v>
      </c>
      <c r="I1522" s="11">
        <v>43111</v>
      </c>
      <c r="J1522" s="8" t="s">
        <v>25</v>
      </c>
      <c r="N1522" s="8" t="s">
        <v>58</v>
      </c>
      <c r="O1522" s="8" t="s">
        <v>59</v>
      </c>
      <c r="P1522" s="8" t="s">
        <v>59</v>
      </c>
      <c r="R1522" s="8">
        <v>0</v>
      </c>
      <c r="S1522" s="8">
        <v>0</v>
      </c>
      <c r="T1522" s="8">
        <v>1</v>
      </c>
      <c r="U1522" s="8">
        <v>2</v>
      </c>
      <c r="X1522" s="8">
        <v>5</v>
      </c>
      <c r="AG1522" s="8" t="str">
        <f t="shared" si="93"/>
        <v/>
      </c>
      <c r="AI1522" s="8" t="str">
        <f t="shared" si="94"/>
        <v/>
      </c>
      <c r="AJ1522" s="8" t="str">
        <f t="shared" si="95"/>
        <v/>
      </c>
      <c r="AL1522" s="8" t="str">
        <f t="shared" si="96"/>
        <v/>
      </c>
    </row>
    <row r="1523" spans="1:38" x14ac:dyDescent="0.25">
      <c r="A1523" s="8" t="s">
        <v>5315</v>
      </c>
      <c r="B1523" s="8" t="s">
        <v>5316</v>
      </c>
      <c r="C1523" s="8">
        <v>30888241</v>
      </c>
      <c r="D1523" s="8">
        <v>5</v>
      </c>
      <c r="E1523" s="11">
        <v>43111</v>
      </c>
      <c r="F1523" s="8" t="s">
        <v>57</v>
      </c>
      <c r="G1523" s="11">
        <v>43112</v>
      </c>
      <c r="H1523" s="8" t="s">
        <v>25</v>
      </c>
      <c r="J1523" s="8" t="s">
        <v>25</v>
      </c>
      <c r="N1523" s="8" t="s">
        <v>58</v>
      </c>
      <c r="O1523" s="8" t="s">
        <v>59</v>
      </c>
      <c r="P1523" s="8" t="s">
        <v>59</v>
      </c>
      <c r="R1523" s="8">
        <v>0</v>
      </c>
      <c r="S1523" s="8">
        <v>0</v>
      </c>
      <c r="T1523" s="8">
        <v>1</v>
      </c>
      <c r="U1523" s="8">
        <v>2</v>
      </c>
      <c r="AG1523" s="8" t="str">
        <f t="shared" si="93"/>
        <v/>
      </c>
      <c r="AI1523" s="8" t="str">
        <f t="shared" si="94"/>
        <v/>
      </c>
      <c r="AJ1523" s="8" t="str">
        <f t="shared" si="95"/>
        <v/>
      </c>
      <c r="AL1523" s="8" t="str">
        <f t="shared" si="96"/>
        <v/>
      </c>
    </row>
    <row r="1524" spans="1:38" x14ac:dyDescent="0.25">
      <c r="A1524" s="8" t="s">
        <v>3787</v>
      </c>
      <c r="B1524" s="8" t="s">
        <v>3788</v>
      </c>
      <c r="C1524" s="8">
        <v>30870957</v>
      </c>
      <c r="D1524" s="8">
        <v>5</v>
      </c>
      <c r="E1524" s="11">
        <v>43110</v>
      </c>
      <c r="F1524" s="8" t="s">
        <v>58</v>
      </c>
      <c r="G1524" s="11">
        <v>43111</v>
      </c>
      <c r="H1524" s="8" t="s">
        <v>25</v>
      </c>
      <c r="I1524" s="11">
        <v>43111</v>
      </c>
      <c r="J1524" s="8" t="s">
        <v>25</v>
      </c>
      <c r="N1524" s="8" t="s">
        <v>58</v>
      </c>
      <c r="O1524" s="8" t="s">
        <v>59</v>
      </c>
      <c r="P1524" s="8" t="s">
        <v>59</v>
      </c>
      <c r="R1524" s="8">
        <v>0</v>
      </c>
      <c r="S1524" s="8">
        <v>0</v>
      </c>
      <c r="T1524" s="8">
        <v>1</v>
      </c>
      <c r="U1524" s="8">
        <v>2</v>
      </c>
      <c r="X1524" s="8">
        <v>5</v>
      </c>
      <c r="AG1524" s="8" t="str">
        <f t="shared" si="93"/>
        <v/>
      </c>
      <c r="AI1524" s="8" t="str">
        <f t="shared" si="94"/>
        <v/>
      </c>
      <c r="AJ1524" s="8" t="str">
        <f t="shared" si="95"/>
        <v/>
      </c>
      <c r="AL1524" s="8" t="str">
        <f t="shared" si="96"/>
        <v/>
      </c>
    </row>
    <row r="1525" spans="1:38" x14ac:dyDescent="0.25">
      <c r="A1525" s="8" t="s">
        <v>5317</v>
      </c>
      <c r="B1525" s="8" t="s">
        <v>5318</v>
      </c>
      <c r="C1525" s="8">
        <v>30891552</v>
      </c>
      <c r="D1525" s="8">
        <v>5</v>
      </c>
      <c r="E1525" s="11">
        <v>43111</v>
      </c>
      <c r="F1525" s="8" t="s">
        <v>57</v>
      </c>
      <c r="G1525" s="11">
        <v>43112</v>
      </c>
      <c r="H1525" s="8" t="s">
        <v>25</v>
      </c>
      <c r="J1525" s="8" t="s">
        <v>25</v>
      </c>
      <c r="N1525" s="8" t="s">
        <v>58</v>
      </c>
      <c r="O1525" s="8" t="s">
        <v>59</v>
      </c>
      <c r="P1525" s="8" t="s">
        <v>59</v>
      </c>
      <c r="R1525" s="8">
        <v>0</v>
      </c>
      <c r="S1525" s="8">
        <v>0</v>
      </c>
      <c r="T1525" s="8">
        <v>1</v>
      </c>
      <c r="U1525" s="8">
        <v>2</v>
      </c>
      <c r="AG1525" s="8" t="str">
        <f t="shared" si="93"/>
        <v/>
      </c>
      <c r="AI1525" s="8" t="str">
        <f t="shared" si="94"/>
        <v/>
      </c>
      <c r="AJ1525" s="8" t="str">
        <f t="shared" si="95"/>
        <v/>
      </c>
      <c r="AL1525" s="8" t="str">
        <f t="shared" si="96"/>
        <v/>
      </c>
    </row>
    <row r="1526" spans="1:38" x14ac:dyDescent="0.25">
      <c r="A1526" s="8" t="s">
        <v>5319</v>
      </c>
      <c r="B1526" s="8" t="s">
        <v>5320</v>
      </c>
      <c r="C1526" s="8">
        <v>30881113</v>
      </c>
      <c r="D1526" s="8">
        <v>5</v>
      </c>
      <c r="E1526" s="11">
        <v>43111</v>
      </c>
      <c r="F1526" s="8" t="s">
        <v>57</v>
      </c>
      <c r="G1526" s="11">
        <v>43112</v>
      </c>
      <c r="H1526" s="8" t="s">
        <v>25</v>
      </c>
      <c r="J1526" s="8" t="s">
        <v>25</v>
      </c>
      <c r="N1526" s="8" t="s">
        <v>58</v>
      </c>
      <c r="O1526" s="8" t="s">
        <v>59</v>
      </c>
      <c r="P1526" s="8" t="s">
        <v>59</v>
      </c>
      <c r="R1526" s="8">
        <v>0</v>
      </c>
      <c r="S1526" s="8">
        <v>0</v>
      </c>
      <c r="T1526" s="8">
        <v>1</v>
      </c>
      <c r="U1526" s="8">
        <v>2</v>
      </c>
      <c r="AG1526" s="8" t="str">
        <f t="shared" si="93"/>
        <v/>
      </c>
      <c r="AI1526" s="8" t="str">
        <f t="shared" si="94"/>
        <v/>
      </c>
      <c r="AJ1526" s="8" t="str">
        <f t="shared" si="95"/>
        <v/>
      </c>
      <c r="AL1526" s="8" t="str">
        <f t="shared" si="96"/>
        <v/>
      </c>
    </row>
    <row r="1527" spans="1:38" x14ac:dyDescent="0.25">
      <c r="A1527" s="8" t="s">
        <v>2222</v>
      </c>
      <c r="B1527" s="8" t="s">
        <v>2223</v>
      </c>
      <c r="C1527" s="8">
        <v>30827960</v>
      </c>
      <c r="D1527" s="8">
        <v>5</v>
      </c>
      <c r="E1527" s="11">
        <v>43108</v>
      </c>
      <c r="F1527" s="8" t="s">
        <v>58</v>
      </c>
      <c r="G1527" s="11">
        <v>43110</v>
      </c>
      <c r="H1527" s="8" t="s">
        <v>25</v>
      </c>
      <c r="I1527" s="11">
        <v>43111</v>
      </c>
      <c r="J1527" s="8" t="s">
        <v>25</v>
      </c>
      <c r="N1527" s="8" t="s">
        <v>58</v>
      </c>
      <c r="O1527" s="8" t="s">
        <v>59</v>
      </c>
      <c r="P1527" s="8" t="s">
        <v>59</v>
      </c>
      <c r="R1527" s="8">
        <v>0</v>
      </c>
      <c r="S1527" s="8">
        <v>0</v>
      </c>
      <c r="T1527" s="8">
        <v>1</v>
      </c>
      <c r="U1527" s="8">
        <v>2</v>
      </c>
      <c r="X1527" s="8">
        <v>5</v>
      </c>
      <c r="AG1527" s="8" t="str">
        <f t="shared" si="93"/>
        <v/>
      </c>
      <c r="AI1527" s="8" t="str">
        <f t="shared" si="94"/>
        <v/>
      </c>
      <c r="AJ1527" s="8" t="str">
        <f t="shared" si="95"/>
        <v/>
      </c>
      <c r="AL1527" s="8" t="str">
        <f t="shared" si="96"/>
        <v/>
      </c>
    </row>
    <row r="1528" spans="1:38" x14ac:dyDescent="0.25">
      <c r="A1528" s="8" t="s">
        <v>1157</v>
      </c>
      <c r="B1528" s="8" t="s">
        <v>1158</v>
      </c>
      <c r="C1528" s="8">
        <v>30846225</v>
      </c>
      <c r="D1528" s="8">
        <v>5</v>
      </c>
      <c r="E1528" s="11">
        <v>43109</v>
      </c>
      <c r="F1528" s="8" t="s">
        <v>58</v>
      </c>
      <c r="G1528" s="11">
        <v>43109</v>
      </c>
      <c r="H1528" s="8" t="s">
        <v>25</v>
      </c>
      <c r="I1528" s="11">
        <v>43111</v>
      </c>
      <c r="J1528" s="8" t="s">
        <v>25</v>
      </c>
      <c r="N1528" s="8" t="s">
        <v>58</v>
      </c>
      <c r="O1528" s="8" t="s">
        <v>59</v>
      </c>
      <c r="P1528" s="8" t="s">
        <v>59</v>
      </c>
      <c r="R1528" s="8">
        <v>0</v>
      </c>
      <c r="S1528" s="8">
        <v>0</v>
      </c>
      <c r="T1528" s="8">
        <v>1</v>
      </c>
      <c r="U1528" s="8">
        <v>2</v>
      </c>
      <c r="X1528" s="8">
        <v>5</v>
      </c>
      <c r="AG1528" s="8" t="str">
        <f t="shared" si="93"/>
        <v/>
      </c>
      <c r="AI1528" s="8" t="str">
        <f t="shared" si="94"/>
        <v/>
      </c>
      <c r="AJ1528" s="8" t="str">
        <f t="shared" si="95"/>
        <v/>
      </c>
      <c r="AL1528" s="8" t="str">
        <f t="shared" si="96"/>
        <v/>
      </c>
    </row>
    <row r="1529" spans="1:38" x14ac:dyDescent="0.25">
      <c r="A1529" s="8" t="s">
        <v>5321</v>
      </c>
      <c r="B1529" s="8" t="s">
        <v>5322</v>
      </c>
      <c r="C1529" s="8">
        <v>30891738</v>
      </c>
      <c r="D1529" s="8">
        <v>5</v>
      </c>
      <c r="E1529" s="11">
        <v>43111</v>
      </c>
      <c r="F1529" s="8" t="s">
        <v>57</v>
      </c>
      <c r="G1529" s="11">
        <v>43112</v>
      </c>
      <c r="H1529" s="8" t="s">
        <v>25</v>
      </c>
      <c r="J1529" s="8" t="s">
        <v>25</v>
      </c>
      <c r="N1529" s="8" t="s">
        <v>58</v>
      </c>
      <c r="O1529" s="8" t="s">
        <v>59</v>
      </c>
      <c r="P1529" s="8" t="s">
        <v>59</v>
      </c>
      <c r="R1529" s="8">
        <v>0</v>
      </c>
      <c r="S1529" s="8">
        <v>0</v>
      </c>
      <c r="T1529" s="8">
        <v>1</v>
      </c>
      <c r="U1529" s="8">
        <v>2</v>
      </c>
      <c r="AG1529" s="8" t="str">
        <f t="shared" si="93"/>
        <v/>
      </c>
      <c r="AI1529" s="8" t="str">
        <f t="shared" si="94"/>
        <v/>
      </c>
      <c r="AJ1529" s="8" t="str">
        <f t="shared" si="95"/>
        <v/>
      </c>
      <c r="AL1529" s="8" t="str">
        <f t="shared" si="96"/>
        <v/>
      </c>
    </row>
    <row r="1530" spans="1:38" x14ac:dyDescent="0.25">
      <c r="A1530" s="8" t="s">
        <v>7157</v>
      </c>
      <c r="B1530" s="8" t="s">
        <v>7158</v>
      </c>
      <c r="C1530" s="8">
        <v>30900888</v>
      </c>
      <c r="D1530" s="8">
        <v>5</v>
      </c>
      <c r="E1530" s="11">
        <v>43111</v>
      </c>
      <c r="F1530" s="8" t="s">
        <v>57</v>
      </c>
      <c r="G1530" s="11">
        <v>43115</v>
      </c>
      <c r="H1530" s="8" t="s">
        <v>25</v>
      </c>
      <c r="J1530" s="8" t="s">
        <v>25</v>
      </c>
      <c r="N1530" s="8" t="s">
        <v>58</v>
      </c>
      <c r="O1530" s="8" t="s">
        <v>59</v>
      </c>
      <c r="P1530" s="8" t="s">
        <v>59</v>
      </c>
      <c r="R1530" s="8">
        <v>0</v>
      </c>
      <c r="S1530" s="8">
        <v>0</v>
      </c>
      <c r="T1530" s="8">
        <v>1</v>
      </c>
      <c r="U1530" s="8">
        <v>2</v>
      </c>
      <c r="AG1530" s="8" t="str">
        <f t="shared" si="93"/>
        <v/>
      </c>
      <c r="AI1530" s="8" t="str">
        <f t="shared" si="94"/>
        <v/>
      </c>
      <c r="AJ1530" s="8" t="str">
        <f t="shared" si="95"/>
        <v/>
      </c>
      <c r="AL1530" s="8" t="str">
        <f t="shared" si="96"/>
        <v/>
      </c>
    </row>
    <row r="1531" spans="1:38" x14ac:dyDescent="0.25">
      <c r="A1531" s="8" t="s">
        <v>2224</v>
      </c>
      <c r="B1531" s="8" t="s">
        <v>2225</v>
      </c>
      <c r="C1531" s="8">
        <v>30840835</v>
      </c>
      <c r="D1531" s="8">
        <v>5</v>
      </c>
      <c r="E1531" s="11">
        <v>43109</v>
      </c>
      <c r="F1531" s="8" t="s">
        <v>58</v>
      </c>
      <c r="G1531" s="11">
        <v>43110</v>
      </c>
      <c r="H1531" s="8" t="s">
        <v>25</v>
      </c>
      <c r="I1531" s="11">
        <v>43115</v>
      </c>
      <c r="J1531" s="8" t="s">
        <v>145</v>
      </c>
      <c r="N1531" s="8" t="s">
        <v>58</v>
      </c>
      <c r="O1531" s="8" t="s">
        <v>59</v>
      </c>
      <c r="P1531" s="8" t="s">
        <v>59</v>
      </c>
      <c r="R1531" s="8">
        <v>0</v>
      </c>
      <c r="S1531" s="8">
        <v>0</v>
      </c>
      <c r="T1531" s="8">
        <v>1</v>
      </c>
      <c r="U1531" s="8">
        <v>2</v>
      </c>
      <c r="X1531" s="8">
        <v>5</v>
      </c>
      <c r="AG1531" s="8" t="str">
        <f t="shared" si="93"/>
        <v/>
      </c>
      <c r="AI1531" s="8" t="str">
        <f t="shared" si="94"/>
        <v/>
      </c>
      <c r="AJ1531" s="8" t="str">
        <f t="shared" si="95"/>
        <v/>
      </c>
      <c r="AL1531" s="8" t="str">
        <f t="shared" si="96"/>
        <v/>
      </c>
    </row>
    <row r="1532" spans="1:38" x14ac:dyDescent="0.25">
      <c r="A1532" s="8" t="s">
        <v>7159</v>
      </c>
      <c r="B1532" s="8" t="s">
        <v>7160</v>
      </c>
      <c r="C1532" s="8">
        <v>30916492</v>
      </c>
      <c r="D1532" s="8">
        <v>5</v>
      </c>
      <c r="E1532" s="11">
        <v>43112</v>
      </c>
      <c r="F1532" s="8" t="s">
        <v>58</v>
      </c>
      <c r="G1532" s="11">
        <v>43115</v>
      </c>
      <c r="H1532" s="8" t="s">
        <v>25</v>
      </c>
      <c r="I1532" s="11">
        <v>43115</v>
      </c>
      <c r="J1532" s="8" t="s">
        <v>25</v>
      </c>
      <c r="N1532" s="8" t="s">
        <v>58</v>
      </c>
      <c r="O1532" s="8" t="s">
        <v>59</v>
      </c>
      <c r="P1532" s="8" t="s">
        <v>59</v>
      </c>
      <c r="R1532" s="8">
        <v>0</v>
      </c>
      <c r="S1532" s="8">
        <v>0</v>
      </c>
      <c r="T1532" s="8">
        <v>1</v>
      </c>
      <c r="U1532" s="8">
        <v>2</v>
      </c>
      <c r="X1532" s="8">
        <v>5</v>
      </c>
      <c r="AG1532" s="8" t="str">
        <f t="shared" si="93"/>
        <v/>
      </c>
      <c r="AI1532" s="8" t="str">
        <f t="shared" si="94"/>
        <v/>
      </c>
      <c r="AJ1532" s="8" t="str">
        <f t="shared" si="95"/>
        <v/>
      </c>
      <c r="AL1532" s="8" t="str">
        <f t="shared" si="96"/>
        <v/>
      </c>
    </row>
    <row r="1533" spans="1:38" x14ac:dyDescent="0.25">
      <c r="A1533" s="8" t="s">
        <v>2226</v>
      </c>
      <c r="B1533" s="8" t="s">
        <v>2227</v>
      </c>
      <c r="C1533" s="8">
        <v>30836270</v>
      </c>
      <c r="D1533" s="8">
        <v>5</v>
      </c>
      <c r="E1533" s="11">
        <v>43109</v>
      </c>
      <c r="F1533" s="8" t="s">
        <v>58</v>
      </c>
      <c r="G1533" s="11">
        <v>43110</v>
      </c>
      <c r="H1533" s="8" t="s">
        <v>25</v>
      </c>
      <c r="I1533" s="11">
        <v>43115</v>
      </c>
      <c r="J1533" s="8" t="s">
        <v>145</v>
      </c>
      <c r="N1533" s="8" t="s">
        <v>58</v>
      </c>
      <c r="O1533" s="8" t="s">
        <v>59</v>
      </c>
      <c r="P1533" s="8" t="s">
        <v>59</v>
      </c>
      <c r="R1533" s="8">
        <v>0</v>
      </c>
      <c r="S1533" s="8">
        <v>0</v>
      </c>
      <c r="T1533" s="8">
        <v>1</v>
      </c>
      <c r="U1533" s="8">
        <v>2</v>
      </c>
      <c r="X1533" s="8">
        <v>5</v>
      </c>
      <c r="AG1533" s="8" t="str">
        <f t="shared" si="93"/>
        <v/>
      </c>
      <c r="AI1533" s="8" t="str">
        <f t="shared" si="94"/>
        <v/>
      </c>
      <c r="AJ1533" s="8" t="str">
        <f t="shared" si="95"/>
        <v/>
      </c>
      <c r="AL1533" s="8" t="str">
        <f t="shared" si="96"/>
        <v/>
      </c>
    </row>
    <row r="1534" spans="1:38" x14ac:dyDescent="0.25">
      <c r="A1534" s="8" t="s">
        <v>3789</v>
      </c>
      <c r="B1534" s="8" t="s">
        <v>3790</v>
      </c>
      <c r="C1534" s="8">
        <v>30850457</v>
      </c>
      <c r="D1534" s="8">
        <v>5</v>
      </c>
      <c r="E1534" s="11">
        <v>43109</v>
      </c>
      <c r="F1534" s="8" t="s">
        <v>57</v>
      </c>
      <c r="G1534" s="11">
        <v>43111</v>
      </c>
      <c r="H1534" s="8" t="s">
        <v>25</v>
      </c>
      <c r="J1534" s="8" t="s">
        <v>25</v>
      </c>
      <c r="N1534" s="8" t="s">
        <v>58</v>
      </c>
      <c r="O1534" s="8" t="s">
        <v>59</v>
      </c>
      <c r="P1534" s="8" t="s">
        <v>59</v>
      </c>
      <c r="R1534" s="8">
        <v>0</v>
      </c>
      <c r="S1534" s="8">
        <v>0</v>
      </c>
      <c r="T1534" s="8">
        <v>1</v>
      </c>
      <c r="U1534" s="8">
        <v>2</v>
      </c>
      <c r="AG1534" s="8" t="str">
        <f t="shared" si="93"/>
        <v/>
      </c>
      <c r="AI1534" s="8" t="str">
        <f t="shared" si="94"/>
        <v/>
      </c>
      <c r="AJ1534" s="8" t="str">
        <f t="shared" si="95"/>
        <v/>
      </c>
      <c r="AL1534" s="8" t="str">
        <f t="shared" si="96"/>
        <v/>
      </c>
    </row>
    <row r="1535" spans="1:38" x14ac:dyDescent="0.25">
      <c r="A1535" s="8" t="s">
        <v>2228</v>
      </c>
      <c r="B1535" s="8" t="s">
        <v>2229</v>
      </c>
      <c r="C1535" s="8">
        <v>30841474</v>
      </c>
      <c r="D1535" s="8">
        <v>5</v>
      </c>
      <c r="E1535" s="11">
        <v>43109</v>
      </c>
      <c r="F1535" s="8" t="s">
        <v>58</v>
      </c>
      <c r="G1535" s="11">
        <v>43110</v>
      </c>
      <c r="H1535" s="8" t="s">
        <v>25</v>
      </c>
      <c r="I1535" s="11">
        <v>43115</v>
      </c>
      <c r="J1535" s="8" t="s">
        <v>145</v>
      </c>
      <c r="N1535" s="8" t="s">
        <v>58</v>
      </c>
      <c r="O1535" s="8" t="s">
        <v>59</v>
      </c>
      <c r="P1535" s="8" t="s">
        <v>59</v>
      </c>
      <c r="R1535" s="8">
        <v>0</v>
      </c>
      <c r="S1535" s="8">
        <v>0</v>
      </c>
      <c r="T1535" s="8">
        <v>1</v>
      </c>
      <c r="U1535" s="8">
        <v>2</v>
      </c>
      <c r="X1535" s="8">
        <v>5</v>
      </c>
      <c r="AG1535" s="8" t="str">
        <f t="shared" si="93"/>
        <v/>
      </c>
      <c r="AI1535" s="8" t="str">
        <f t="shared" si="94"/>
        <v/>
      </c>
      <c r="AJ1535" s="8" t="str">
        <f t="shared" si="95"/>
        <v/>
      </c>
      <c r="AL1535" s="8" t="str">
        <f t="shared" si="96"/>
        <v/>
      </c>
    </row>
    <row r="1536" spans="1:38" x14ac:dyDescent="0.25">
      <c r="A1536" s="8" t="s">
        <v>5323</v>
      </c>
      <c r="B1536" s="8" t="s">
        <v>5324</v>
      </c>
      <c r="C1536" s="8">
        <v>30891357</v>
      </c>
      <c r="D1536" s="8">
        <v>5</v>
      </c>
      <c r="E1536" s="11">
        <v>43111</v>
      </c>
      <c r="F1536" s="8" t="s">
        <v>57</v>
      </c>
      <c r="G1536" s="11">
        <v>43112</v>
      </c>
      <c r="H1536" s="8" t="s">
        <v>25</v>
      </c>
      <c r="J1536" s="8" t="s">
        <v>25</v>
      </c>
      <c r="N1536" s="8" t="s">
        <v>58</v>
      </c>
      <c r="O1536" s="8" t="s">
        <v>59</v>
      </c>
      <c r="P1536" s="8" t="s">
        <v>59</v>
      </c>
      <c r="R1536" s="8">
        <v>0</v>
      </c>
      <c r="S1536" s="8">
        <v>0</v>
      </c>
      <c r="T1536" s="8">
        <v>1</v>
      </c>
      <c r="U1536" s="8">
        <v>2</v>
      </c>
      <c r="AG1536" s="8" t="str">
        <f t="shared" si="93"/>
        <v/>
      </c>
      <c r="AI1536" s="8" t="str">
        <f t="shared" si="94"/>
        <v/>
      </c>
      <c r="AJ1536" s="8" t="str">
        <f t="shared" si="95"/>
        <v/>
      </c>
      <c r="AL1536" s="8" t="str">
        <f t="shared" si="96"/>
        <v/>
      </c>
    </row>
    <row r="1537" spans="1:38" x14ac:dyDescent="0.25">
      <c r="A1537" s="8" t="s">
        <v>3791</v>
      </c>
      <c r="B1537" s="8" t="s">
        <v>3792</v>
      </c>
      <c r="C1537" s="8">
        <v>30842531</v>
      </c>
      <c r="D1537" s="8">
        <v>5</v>
      </c>
      <c r="E1537" s="11">
        <v>43109</v>
      </c>
      <c r="F1537" s="8" t="s">
        <v>57</v>
      </c>
      <c r="G1537" s="11">
        <v>43111</v>
      </c>
      <c r="H1537" s="8" t="s">
        <v>25</v>
      </c>
      <c r="J1537" s="8" t="s">
        <v>25</v>
      </c>
      <c r="N1537" s="8" t="s">
        <v>58</v>
      </c>
      <c r="O1537" s="8" t="s">
        <v>59</v>
      </c>
      <c r="P1537" s="8" t="s">
        <v>59</v>
      </c>
      <c r="R1537" s="8">
        <v>0</v>
      </c>
      <c r="S1537" s="8">
        <v>0</v>
      </c>
      <c r="T1537" s="8">
        <v>1</v>
      </c>
      <c r="U1537" s="8">
        <v>2</v>
      </c>
      <c r="AG1537" s="8" t="str">
        <f t="shared" si="93"/>
        <v/>
      </c>
      <c r="AI1537" s="8" t="str">
        <f t="shared" si="94"/>
        <v/>
      </c>
      <c r="AJ1537" s="8" t="str">
        <f t="shared" si="95"/>
        <v/>
      </c>
      <c r="AL1537" s="8" t="str">
        <f t="shared" si="96"/>
        <v/>
      </c>
    </row>
    <row r="1538" spans="1:38" x14ac:dyDescent="0.25">
      <c r="A1538" s="8" t="s">
        <v>3793</v>
      </c>
      <c r="B1538" s="8" t="s">
        <v>3794</v>
      </c>
      <c r="C1538" s="8">
        <v>30868363</v>
      </c>
      <c r="D1538" s="8">
        <v>5</v>
      </c>
      <c r="E1538" s="11">
        <v>43110</v>
      </c>
      <c r="F1538" s="8" t="s">
        <v>58</v>
      </c>
      <c r="G1538" s="11">
        <v>43111</v>
      </c>
      <c r="H1538" s="8" t="s">
        <v>25</v>
      </c>
      <c r="I1538" s="11">
        <v>43111</v>
      </c>
      <c r="J1538" s="8" t="s">
        <v>25</v>
      </c>
      <c r="N1538" s="8" t="s">
        <v>58</v>
      </c>
      <c r="O1538" s="8" t="s">
        <v>59</v>
      </c>
      <c r="P1538" s="8" t="s">
        <v>59</v>
      </c>
      <c r="R1538" s="8">
        <v>0</v>
      </c>
      <c r="S1538" s="8">
        <v>0</v>
      </c>
      <c r="T1538" s="8">
        <v>1</v>
      </c>
      <c r="U1538" s="8">
        <v>2</v>
      </c>
      <c r="X1538" s="8">
        <v>5</v>
      </c>
      <c r="AG1538" s="8" t="str">
        <f t="shared" si="93"/>
        <v/>
      </c>
      <c r="AI1538" s="8" t="str">
        <f t="shared" si="94"/>
        <v/>
      </c>
      <c r="AJ1538" s="8" t="str">
        <f t="shared" si="95"/>
        <v/>
      </c>
      <c r="AL1538" s="8" t="str">
        <f t="shared" si="96"/>
        <v/>
      </c>
    </row>
    <row r="1539" spans="1:38" x14ac:dyDescent="0.25">
      <c r="A1539" s="8" t="s">
        <v>2230</v>
      </c>
      <c r="B1539" s="8" t="s">
        <v>2231</v>
      </c>
      <c r="C1539" s="8">
        <v>30826010</v>
      </c>
      <c r="D1539" s="8">
        <v>5</v>
      </c>
      <c r="E1539" s="11">
        <v>43108</v>
      </c>
      <c r="F1539" s="8" t="s">
        <v>58</v>
      </c>
      <c r="G1539" s="11">
        <v>43110</v>
      </c>
      <c r="H1539" s="8" t="s">
        <v>25</v>
      </c>
      <c r="I1539" s="11">
        <v>43112</v>
      </c>
      <c r="J1539" s="8" t="s">
        <v>25</v>
      </c>
      <c r="N1539" s="8" t="s">
        <v>58</v>
      </c>
      <c r="O1539" s="8" t="s">
        <v>59</v>
      </c>
      <c r="P1539" s="8" t="s">
        <v>59</v>
      </c>
      <c r="R1539" s="8">
        <v>0</v>
      </c>
      <c r="S1539" s="8">
        <v>0</v>
      </c>
      <c r="T1539" s="8">
        <v>1</v>
      </c>
      <c r="U1539" s="8">
        <v>2</v>
      </c>
      <c r="X1539" s="8">
        <v>5</v>
      </c>
      <c r="AG1539" s="8" t="str">
        <f t="shared" ref="AG1539:AG1602" si="97">IF(AND(U1539="",G1539&lt;&gt;"",NOT(OR(R1539,S1539))),IF(NETWORKDAYS.INTL(G1539,TODAY(),11)&lt;5,"En Plazo",IF(NETWORKDAYS.INTL(G1539,TODAY(),11)=5,"Riesgo Incumplimiento","FALTA_02")),"")</f>
        <v/>
      </c>
      <c r="AI1539" s="8" t="str">
        <f t="shared" ref="AI1539:AI1602" si="98">IF(AND(O1539&lt;&gt;"B1",F1539="Rejected"),IF(W1539="","FALTA_04",""),"")</f>
        <v/>
      </c>
      <c r="AJ1539" s="8" t="str">
        <f t="shared" ref="AJ1539:AJ1602" si="99">IF(AND(X1539="",I1539&lt;&gt;"",NOT(OR(R1539,S1539))),IF(NETWORKDAYS.INTL(G1539,TODAY(),11)&lt;=1,"En Plazo",IF(OR(AND(X1539="",O1539&lt;&gt;"M1"),AND(O1539="M1",(OR(Q1539="S - S",Q1539="S - T",)))),"FALTA_05","")),"")</f>
        <v/>
      </c>
      <c r="AL1539" s="8" t="str">
        <f t="shared" ref="AL1539:AL1602" si="100">IF(AND(O1539="B1",F1539="Rejected"),IF(Z1539="","FALTA_07",""),"")</f>
        <v/>
      </c>
    </row>
    <row r="1540" spans="1:38" x14ac:dyDescent="0.25">
      <c r="A1540" s="8" t="s">
        <v>7161</v>
      </c>
      <c r="B1540" s="8" t="s">
        <v>7162</v>
      </c>
      <c r="C1540" s="8">
        <v>30910038</v>
      </c>
      <c r="D1540" s="8">
        <v>5</v>
      </c>
      <c r="E1540" s="11">
        <v>43112</v>
      </c>
      <c r="F1540" s="8" t="s">
        <v>57</v>
      </c>
      <c r="G1540" s="11">
        <v>43115</v>
      </c>
      <c r="H1540" s="8" t="s">
        <v>25</v>
      </c>
      <c r="J1540" s="8" t="s">
        <v>25</v>
      </c>
      <c r="N1540" s="8" t="s">
        <v>58</v>
      </c>
      <c r="O1540" s="8" t="s">
        <v>59</v>
      </c>
      <c r="P1540" s="8" t="s">
        <v>59</v>
      </c>
      <c r="R1540" s="8">
        <v>0</v>
      </c>
      <c r="S1540" s="8">
        <v>0</v>
      </c>
      <c r="T1540" s="8">
        <v>1</v>
      </c>
      <c r="U1540" s="8">
        <v>2</v>
      </c>
      <c r="AG1540" s="8" t="str">
        <f t="shared" si="97"/>
        <v/>
      </c>
      <c r="AI1540" s="8" t="str">
        <f t="shared" si="98"/>
        <v/>
      </c>
      <c r="AJ1540" s="8" t="str">
        <f t="shared" si="99"/>
        <v/>
      </c>
      <c r="AL1540" s="8" t="str">
        <f t="shared" si="100"/>
        <v/>
      </c>
    </row>
    <row r="1541" spans="1:38" x14ac:dyDescent="0.25">
      <c r="A1541" s="8" t="s">
        <v>3795</v>
      </c>
      <c r="B1541" s="8" t="s">
        <v>3796</v>
      </c>
      <c r="C1541" s="8">
        <v>30869755</v>
      </c>
      <c r="D1541" s="8">
        <v>5</v>
      </c>
      <c r="E1541" s="11">
        <v>43110</v>
      </c>
      <c r="F1541" s="8" t="s">
        <v>57</v>
      </c>
      <c r="G1541" s="11">
        <v>43111</v>
      </c>
      <c r="H1541" s="8" t="s">
        <v>25</v>
      </c>
      <c r="J1541" s="8" t="s">
        <v>25</v>
      </c>
      <c r="N1541" s="8" t="s">
        <v>58</v>
      </c>
      <c r="O1541" s="8" t="s">
        <v>59</v>
      </c>
      <c r="P1541" s="8" t="s">
        <v>59</v>
      </c>
      <c r="R1541" s="8">
        <v>0</v>
      </c>
      <c r="S1541" s="8">
        <v>0</v>
      </c>
      <c r="T1541" s="8">
        <v>1</v>
      </c>
      <c r="U1541" s="8">
        <v>2</v>
      </c>
      <c r="AG1541" s="8" t="str">
        <f t="shared" si="97"/>
        <v/>
      </c>
      <c r="AI1541" s="8" t="str">
        <f t="shared" si="98"/>
        <v/>
      </c>
      <c r="AJ1541" s="8" t="str">
        <f t="shared" si="99"/>
        <v/>
      </c>
      <c r="AL1541" s="8" t="str">
        <f t="shared" si="100"/>
        <v/>
      </c>
    </row>
    <row r="1542" spans="1:38" x14ac:dyDescent="0.25">
      <c r="A1542" s="8" t="s">
        <v>2232</v>
      </c>
      <c r="B1542" s="8" t="s">
        <v>2233</v>
      </c>
      <c r="C1542" s="8">
        <v>30830885</v>
      </c>
      <c r="D1542" s="8">
        <v>5</v>
      </c>
      <c r="E1542" s="11">
        <v>43109</v>
      </c>
      <c r="F1542" s="8" t="s">
        <v>58</v>
      </c>
      <c r="G1542" s="11">
        <v>43110</v>
      </c>
      <c r="H1542" s="8" t="s">
        <v>25</v>
      </c>
      <c r="I1542" s="11">
        <v>43111</v>
      </c>
      <c r="J1542" s="8" t="s">
        <v>25</v>
      </c>
      <c r="N1542" s="8" t="s">
        <v>58</v>
      </c>
      <c r="O1542" s="8" t="s">
        <v>59</v>
      </c>
      <c r="P1542" s="8" t="s">
        <v>59</v>
      </c>
      <c r="R1542" s="8">
        <v>0</v>
      </c>
      <c r="S1542" s="8">
        <v>0</v>
      </c>
      <c r="T1542" s="8">
        <v>1</v>
      </c>
      <c r="U1542" s="8">
        <v>2</v>
      </c>
      <c r="X1542" s="8">
        <v>5</v>
      </c>
      <c r="AG1542" s="8" t="str">
        <f t="shared" si="97"/>
        <v/>
      </c>
      <c r="AI1542" s="8" t="str">
        <f t="shared" si="98"/>
        <v/>
      </c>
      <c r="AJ1542" s="8" t="str">
        <f t="shared" si="99"/>
        <v/>
      </c>
      <c r="AL1542" s="8" t="str">
        <f t="shared" si="100"/>
        <v/>
      </c>
    </row>
    <row r="1543" spans="1:38" x14ac:dyDescent="0.25">
      <c r="A1543" s="8" t="s">
        <v>2234</v>
      </c>
      <c r="B1543" s="8" t="s">
        <v>2235</v>
      </c>
      <c r="C1543" s="8">
        <v>30821452</v>
      </c>
      <c r="D1543" s="8">
        <v>5</v>
      </c>
      <c r="E1543" s="11">
        <v>43108</v>
      </c>
      <c r="F1543" s="8" t="s">
        <v>57</v>
      </c>
      <c r="G1543" s="11">
        <v>43110</v>
      </c>
      <c r="H1543" s="8" t="s">
        <v>25</v>
      </c>
      <c r="J1543" s="8" t="s">
        <v>25</v>
      </c>
      <c r="N1543" s="8" t="s">
        <v>58</v>
      </c>
      <c r="O1543" s="8" t="s">
        <v>59</v>
      </c>
      <c r="P1543" s="8" t="s">
        <v>59</v>
      </c>
      <c r="R1543" s="8">
        <v>0</v>
      </c>
      <c r="S1543" s="8">
        <v>0</v>
      </c>
      <c r="T1543" s="8">
        <v>1</v>
      </c>
      <c r="U1543" s="8">
        <v>2</v>
      </c>
      <c r="AG1543" s="8" t="str">
        <f t="shared" si="97"/>
        <v/>
      </c>
      <c r="AI1543" s="8" t="str">
        <f t="shared" si="98"/>
        <v/>
      </c>
      <c r="AJ1543" s="8" t="str">
        <f t="shared" si="99"/>
        <v/>
      </c>
      <c r="AL1543" s="8" t="str">
        <f t="shared" si="100"/>
        <v/>
      </c>
    </row>
    <row r="1544" spans="1:38" x14ac:dyDescent="0.25">
      <c r="A1544" s="8" t="s">
        <v>2236</v>
      </c>
      <c r="B1544" s="8" t="s">
        <v>2237</v>
      </c>
      <c r="C1544" s="8">
        <v>30838643</v>
      </c>
      <c r="D1544" s="8">
        <v>5</v>
      </c>
      <c r="E1544" s="11">
        <v>43109</v>
      </c>
      <c r="F1544" s="8" t="s">
        <v>57</v>
      </c>
      <c r="G1544" s="11">
        <v>43110</v>
      </c>
      <c r="H1544" s="8" t="s">
        <v>25</v>
      </c>
      <c r="J1544" s="8" t="s">
        <v>25</v>
      </c>
      <c r="N1544" s="8" t="s">
        <v>58</v>
      </c>
      <c r="O1544" s="8" t="s">
        <v>59</v>
      </c>
      <c r="P1544" s="8" t="s">
        <v>59</v>
      </c>
      <c r="R1544" s="8">
        <v>0</v>
      </c>
      <c r="S1544" s="8">
        <v>0</v>
      </c>
      <c r="T1544" s="8">
        <v>1</v>
      </c>
      <c r="U1544" s="8">
        <v>2</v>
      </c>
      <c r="AG1544" s="8" t="str">
        <f t="shared" si="97"/>
        <v/>
      </c>
      <c r="AI1544" s="8" t="str">
        <f t="shared" si="98"/>
        <v/>
      </c>
      <c r="AJ1544" s="8" t="str">
        <f t="shared" si="99"/>
        <v/>
      </c>
      <c r="AL1544" s="8" t="str">
        <f t="shared" si="100"/>
        <v/>
      </c>
    </row>
    <row r="1545" spans="1:38" x14ac:dyDescent="0.25">
      <c r="A1545" s="8" t="s">
        <v>7163</v>
      </c>
      <c r="B1545" s="8" t="s">
        <v>7164</v>
      </c>
      <c r="C1545" s="8">
        <v>30908919</v>
      </c>
      <c r="D1545" s="8">
        <v>5</v>
      </c>
      <c r="E1545" s="11">
        <v>43112</v>
      </c>
      <c r="F1545" s="8" t="s">
        <v>57</v>
      </c>
      <c r="G1545" s="11">
        <v>43115</v>
      </c>
      <c r="H1545" s="8" t="s">
        <v>25</v>
      </c>
      <c r="J1545" s="8" t="s">
        <v>25</v>
      </c>
      <c r="N1545" s="8" t="s">
        <v>58</v>
      </c>
      <c r="O1545" s="8" t="s">
        <v>59</v>
      </c>
      <c r="P1545" s="8" t="s">
        <v>59</v>
      </c>
      <c r="R1545" s="8">
        <v>0</v>
      </c>
      <c r="S1545" s="8">
        <v>0</v>
      </c>
      <c r="T1545" s="8">
        <v>1</v>
      </c>
      <c r="U1545" s="8">
        <v>2</v>
      </c>
      <c r="AG1545" s="8" t="str">
        <f t="shared" si="97"/>
        <v/>
      </c>
      <c r="AI1545" s="8" t="str">
        <f t="shared" si="98"/>
        <v/>
      </c>
      <c r="AJ1545" s="8" t="str">
        <f t="shared" si="99"/>
        <v/>
      </c>
      <c r="AL1545" s="8" t="str">
        <f t="shared" si="100"/>
        <v/>
      </c>
    </row>
    <row r="1546" spans="1:38" x14ac:dyDescent="0.25">
      <c r="A1546" s="8" t="s">
        <v>2238</v>
      </c>
      <c r="B1546" s="8" t="s">
        <v>2239</v>
      </c>
      <c r="C1546" s="8">
        <v>30836947</v>
      </c>
      <c r="D1546" s="8">
        <v>5</v>
      </c>
      <c r="E1546" s="11">
        <v>43109</v>
      </c>
      <c r="F1546" s="8" t="s">
        <v>57</v>
      </c>
      <c r="G1546" s="11">
        <v>43110</v>
      </c>
      <c r="H1546" s="8" t="s">
        <v>25</v>
      </c>
      <c r="J1546" s="8" t="s">
        <v>25</v>
      </c>
      <c r="N1546" s="8" t="s">
        <v>58</v>
      </c>
      <c r="O1546" s="8" t="s">
        <v>59</v>
      </c>
      <c r="P1546" s="8" t="s">
        <v>59</v>
      </c>
      <c r="R1546" s="8">
        <v>0</v>
      </c>
      <c r="S1546" s="8">
        <v>0</v>
      </c>
      <c r="T1546" s="8">
        <v>1</v>
      </c>
      <c r="U1546" s="8">
        <v>2</v>
      </c>
      <c r="AG1546" s="8" t="str">
        <f t="shared" si="97"/>
        <v/>
      </c>
      <c r="AI1546" s="8" t="str">
        <f t="shared" si="98"/>
        <v/>
      </c>
      <c r="AJ1546" s="8" t="str">
        <f t="shared" si="99"/>
        <v/>
      </c>
      <c r="AL1546" s="8" t="str">
        <f t="shared" si="100"/>
        <v/>
      </c>
    </row>
    <row r="1547" spans="1:38" x14ac:dyDescent="0.25">
      <c r="A1547" s="8" t="s">
        <v>1159</v>
      </c>
      <c r="B1547" s="8" t="s">
        <v>1160</v>
      </c>
      <c r="C1547" s="8">
        <v>30818757</v>
      </c>
      <c r="D1547" s="8">
        <v>5</v>
      </c>
      <c r="E1547" s="11">
        <v>43108</v>
      </c>
      <c r="F1547" s="8" t="s">
        <v>57</v>
      </c>
      <c r="G1547" s="11">
        <v>43109</v>
      </c>
      <c r="H1547" s="8" t="s">
        <v>25</v>
      </c>
      <c r="J1547" s="8" t="s">
        <v>25</v>
      </c>
      <c r="N1547" s="8" t="s">
        <v>58</v>
      </c>
      <c r="O1547" s="8" t="s">
        <v>59</v>
      </c>
      <c r="P1547" s="8" t="s">
        <v>59</v>
      </c>
      <c r="R1547" s="8">
        <v>0</v>
      </c>
      <c r="S1547" s="8">
        <v>0</v>
      </c>
      <c r="T1547" s="8">
        <v>1</v>
      </c>
      <c r="U1547" s="8">
        <v>2</v>
      </c>
      <c r="AG1547" s="8" t="str">
        <f t="shared" si="97"/>
        <v/>
      </c>
      <c r="AI1547" s="8" t="str">
        <f t="shared" si="98"/>
        <v/>
      </c>
      <c r="AJ1547" s="8" t="str">
        <f t="shared" si="99"/>
        <v/>
      </c>
      <c r="AL1547" s="8" t="str">
        <f t="shared" si="100"/>
        <v/>
      </c>
    </row>
    <row r="1548" spans="1:38" x14ac:dyDescent="0.25">
      <c r="A1548" s="8" t="s">
        <v>3797</v>
      </c>
      <c r="B1548" s="8" t="s">
        <v>3798</v>
      </c>
      <c r="C1548" s="8">
        <v>30861038</v>
      </c>
      <c r="D1548" s="8">
        <v>5</v>
      </c>
      <c r="E1548" s="11">
        <v>43110</v>
      </c>
      <c r="F1548" s="8" t="s">
        <v>57</v>
      </c>
      <c r="G1548" s="11">
        <v>43111</v>
      </c>
      <c r="H1548" s="8" t="s">
        <v>25</v>
      </c>
      <c r="J1548" s="8" t="s">
        <v>25</v>
      </c>
      <c r="N1548" s="8" t="s">
        <v>58</v>
      </c>
      <c r="O1548" s="8" t="s">
        <v>59</v>
      </c>
      <c r="P1548" s="8" t="s">
        <v>59</v>
      </c>
      <c r="R1548" s="8">
        <v>0</v>
      </c>
      <c r="S1548" s="8">
        <v>0</v>
      </c>
      <c r="T1548" s="8">
        <v>1</v>
      </c>
      <c r="U1548" s="8">
        <v>2</v>
      </c>
      <c r="AG1548" s="8" t="str">
        <f t="shared" si="97"/>
        <v/>
      </c>
      <c r="AI1548" s="8" t="str">
        <f t="shared" si="98"/>
        <v/>
      </c>
      <c r="AJ1548" s="8" t="str">
        <f t="shared" si="99"/>
        <v/>
      </c>
      <c r="AL1548" s="8" t="str">
        <f t="shared" si="100"/>
        <v/>
      </c>
    </row>
    <row r="1549" spans="1:38" x14ac:dyDescent="0.25">
      <c r="A1549" s="8" t="s">
        <v>2240</v>
      </c>
      <c r="B1549" s="8" t="s">
        <v>2241</v>
      </c>
      <c r="C1549" s="8">
        <v>30833453</v>
      </c>
      <c r="D1549" s="8">
        <v>5</v>
      </c>
      <c r="E1549" s="11">
        <v>43109</v>
      </c>
      <c r="F1549" s="8" t="s">
        <v>60</v>
      </c>
      <c r="G1549" s="11">
        <v>43110</v>
      </c>
      <c r="H1549" s="8" t="s">
        <v>25</v>
      </c>
      <c r="J1549" s="8" t="s">
        <v>145</v>
      </c>
      <c r="L1549" s="8" t="s">
        <v>6525</v>
      </c>
      <c r="N1549" s="8" t="s">
        <v>58</v>
      </c>
      <c r="O1549" s="8" t="s">
        <v>59</v>
      </c>
      <c r="P1549" s="8" t="s">
        <v>59</v>
      </c>
      <c r="R1549" s="8">
        <v>0</v>
      </c>
      <c r="S1549" s="8">
        <v>0</v>
      </c>
      <c r="T1549" s="8">
        <v>1</v>
      </c>
      <c r="U1549" s="8">
        <v>2</v>
      </c>
      <c r="W1549" s="8">
        <v>4</v>
      </c>
      <c r="AG1549" s="8" t="str">
        <f t="shared" si="97"/>
        <v/>
      </c>
      <c r="AI1549" s="8" t="str">
        <f t="shared" si="98"/>
        <v/>
      </c>
      <c r="AJ1549" s="8" t="str">
        <f t="shared" si="99"/>
        <v/>
      </c>
      <c r="AL1549" s="8" t="str">
        <f t="shared" si="100"/>
        <v/>
      </c>
    </row>
    <row r="1550" spans="1:38" x14ac:dyDescent="0.25">
      <c r="A1550" s="8" t="s">
        <v>7165</v>
      </c>
      <c r="B1550" s="8" t="s">
        <v>7166</v>
      </c>
      <c r="C1550" s="8">
        <v>30930350</v>
      </c>
      <c r="D1550" s="8">
        <v>5</v>
      </c>
      <c r="E1550" s="11">
        <v>43115</v>
      </c>
      <c r="F1550" s="8" t="s">
        <v>57</v>
      </c>
      <c r="G1550" s="11">
        <v>43115</v>
      </c>
      <c r="H1550" s="8" t="s">
        <v>25</v>
      </c>
      <c r="J1550" s="8" t="s">
        <v>25</v>
      </c>
      <c r="N1550" s="8" t="s">
        <v>58</v>
      </c>
      <c r="O1550" s="8" t="s">
        <v>59</v>
      </c>
      <c r="P1550" s="8" t="s">
        <v>59</v>
      </c>
      <c r="R1550" s="8">
        <v>0</v>
      </c>
      <c r="S1550" s="8">
        <v>0</v>
      </c>
      <c r="T1550" s="8">
        <v>1</v>
      </c>
      <c r="U1550" s="8">
        <v>2</v>
      </c>
      <c r="AG1550" s="8" t="str">
        <f t="shared" si="97"/>
        <v/>
      </c>
      <c r="AI1550" s="8" t="str">
        <f t="shared" si="98"/>
        <v/>
      </c>
      <c r="AJ1550" s="8" t="str">
        <f t="shared" si="99"/>
        <v/>
      </c>
      <c r="AL1550" s="8" t="str">
        <f t="shared" si="100"/>
        <v/>
      </c>
    </row>
    <row r="1551" spans="1:38" x14ac:dyDescent="0.25">
      <c r="A1551" s="8" t="s">
        <v>7167</v>
      </c>
      <c r="B1551" s="8" t="s">
        <v>7168</v>
      </c>
      <c r="C1551" s="8">
        <v>30947306</v>
      </c>
      <c r="D1551" s="8">
        <v>3</v>
      </c>
      <c r="E1551" s="11">
        <v>43115</v>
      </c>
      <c r="F1551" s="8" t="s">
        <v>57</v>
      </c>
      <c r="G1551" s="11">
        <v>43115</v>
      </c>
      <c r="H1551" s="8" t="s">
        <v>25</v>
      </c>
      <c r="J1551" s="8" t="s">
        <v>25</v>
      </c>
      <c r="N1551" s="8" t="s">
        <v>58</v>
      </c>
      <c r="O1551" s="8" t="s">
        <v>59</v>
      </c>
      <c r="P1551" s="8" t="s">
        <v>59</v>
      </c>
      <c r="R1551" s="8">
        <v>0</v>
      </c>
      <c r="S1551" s="8">
        <v>0</v>
      </c>
      <c r="T1551" s="8">
        <v>1</v>
      </c>
      <c r="U1551" s="8">
        <v>2</v>
      </c>
      <c r="AG1551" s="8" t="str">
        <f t="shared" si="97"/>
        <v/>
      </c>
      <c r="AI1551" s="8" t="str">
        <f t="shared" si="98"/>
        <v/>
      </c>
      <c r="AJ1551" s="8" t="str">
        <f t="shared" si="99"/>
        <v/>
      </c>
      <c r="AL1551" s="8" t="str">
        <f t="shared" si="100"/>
        <v/>
      </c>
    </row>
    <row r="1552" spans="1:38" x14ac:dyDescent="0.25">
      <c r="A1552" s="8" t="s">
        <v>420</v>
      </c>
      <c r="B1552" s="8" t="s">
        <v>421</v>
      </c>
      <c r="C1552" s="8">
        <v>30821232</v>
      </c>
      <c r="D1552" s="8">
        <v>5</v>
      </c>
      <c r="E1552" s="11">
        <v>43108</v>
      </c>
      <c r="F1552" s="8" t="s">
        <v>57</v>
      </c>
      <c r="G1552" s="11">
        <v>43108</v>
      </c>
      <c r="H1552" s="8" t="s">
        <v>25</v>
      </c>
      <c r="J1552" s="8" t="s">
        <v>25</v>
      </c>
      <c r="N1552" s="8" t="s">
        <v>58</v>
      </c>
      <c r="O1552" s="8" t="s">
        <v>59</v>
      </c>
      <c r="P1552" s="8" t="s">
        <v>59</v>
      </c>
      <c r="R1552" s="8">
        <v>0</v>
      </c>
      <c r="S1552" s="8">
        <v>0</v>
      </c>
      <c r="T1552" s="8">
        <v>1</v>
      </c>
      <c r="U1552" s="8">
        <v>2</v>
      </c>
      <c r="AG1552" s="8" t="str">
        <f t="shared" si="97"/>
        <v/>
      </c>
      <c r="AI1552" s="8" t="str">
        <f t="shared" si="98"/>
        <v/>
      </c>
      <c r="AJ1552" s="8" t="str">
        <f t="shared" si="99"/>
        <v/>
      </c>
      <c r="AL1552" s="8" t="str">
        <f t="shared" si="100"/>
        <v/>
      </c>
    </row>
    <row r="1553" spans="1:38" x14ac:dyDescent="0.25">
      <c r="A1553" s="8" t="s">
        <v>5325</v>
      </c>
      <c r="B1553" s="8" t="s">
        <v>5326</v>
      </c>
      <c r="C1553" s="8">
        <v>30909834</v>
      </c>
      <c r="D1553" s="8">
        <v>4</v>
      </c>
      <c r="E1553" s="11">
        <v>43112</v>
      </c>
      <c r="F1553" s="8" t="s">
        <v>57</v>
      </c>
      <c r="G1553" s="11">
        <v>43112</v>
      </c>
      <c r="H1553" s="8" t="s">
        <v>25</v>
      </c>
      <c r="J1553" s="8" t="s">
        <v>25</v>
      </c>
      <c r="N1553" s="8" t="s">
        <v>58</v>
      </c>
      <c r="O1553" s="8" t="s">
        <v>59</v>
      </c>
      <c r="P1553" s="8" t="s">
        <v>59</v>
      </c>
      <c r="R1553" s="8">
        <v>0</v>
      </c>
      <c r="S1553" s="8">
        <v>0</v>
      </c>
      <c r="T1553" s="8">
        <v>1</v>
      </c>
      <c r="U1553" s="8">
        <v>2</v>
      </c>
      <c r="AG1553" s="8" t="str">
        <f t="shared" si="97"/>
        <v/>
      </c>
      <c r="AI1553" s="8" t="str">
        <f t="shared" si="98"/>
        <v/>
      </c>
      <c r="AJ1553" s="8" t="str">
        <f t="shared" si="99"/>
        <v/>
      </c>
      <c r="AL1553" s="8" t="str">
        <f t="shared" si="100"/>
        <v/>
      </c>
    </row>
    <row r="1554" spans="1:38" x14ac:dyDescent="0.25">
      <c r="A1554" s="8" t="s">
        <v>7169</v>
      </c>
      <c r="B1554" s="8" t="s">
        <v>7170</v>
      </c>
      <c r="C1554" s="8">
        <v>30897617</v>
      </c>
      <c r="D1554" s="8">
        <v>5</v>
      </c>
      <c r="E1554" s="11">
        <v>43111</v>
      </c>
      <c r="F1554" s="8" t="s">
        <v>57</v>
      </c>
      <c r="G1554" s="11">
        <v>43115</v>
      </c>
      <c r="H1554" s="8" t="s">
        <v>25</v>
      </c>
      <c r="J1554" s="8" t="s">
        <v>25</v>
      </c>
      <c r="N1554" s="8" t="s">
        <v>58</v>
      </c>
      <c r="O1554" s="8" t="s">
        <v>59</v>
      </c>
      <c r="P1554" s="8" t="s">
        <v>59</v>
      </c>
      <c r="R1554" s="8">
        <v>0</v>
      </c>
      <c r="S1554" s="8">
        <v>0</v>
      </c>
      <c r="T1554" s="8">
        <v>1</v>
      </c>
      <c r="U1554" s="8">
        <v>2</v>
      </c>
      <c r="AG1554" s="8" t="str">
        <f t="shared" si="97"/>
        <v/>
      </c>
      <c r="AI1554" s="8" t="str">
        <f t="shared" si="98"/>
        <v/>
      </c>
      <c r="AJ1554" s="8" t="str">
        <f t="shared" si="99"/>
        <v/>
      </c>
      <c r="AL1554" s="8" t="str">
        <f t="shared" si="100"/>
        <v/>
      </c>
    </row>
    <row r="1555" spans="1:38" x14ac:dyDescent="0.25">
      <c r="A1555" s="8" t="s">
        <v>3799</v>
      </c>
      <c r="B1555" s="8" t="s">
        <v>3800</v>
      </c>
      <c r="C1555" s="8">
        <v>30852664</v>
      </c>
      <c r="D1555" s="8">
        <v>5</v>
      </c>
      <c r="E1555" s="11">
        <v>43109</v>
      </c>
      <c r="F1555" s="8" t="s">
        <v>57</v>
      </c>
      <c r="G1555" s="11">
        <v>43111</v>
      </c>
      <c r="H1555" s="8" t="s">
        <v>25</v>
      </c>
      <c r="J1555" s="8" t="s">
        <v>25</v>
      </c>
      <c r="N1555" s="8" t="s">
        <v>58</v>
      </c>
      <c r="O1555" s="8" t="s">
        <v>59</v>
      </c>
      <c r="P1555" s="8" t="s">
        <v>59</v>
      </c>
      <c r="R1555" s="8">
        <v>0</v>
      </c>
      <c r="S1555" s="8">
        <v>0</v>
      </c>
      <c r="T1555" s="8">
        <v>1</v>
      </c>
      <c r="U1555" s="8">
        <v>2</v>
      </c>
      <c r="AG1555" s="8" t="str">
        <f t="shared" si="97"/>
        <v/>
      </c>
      <c r="AI1555" s="8" t="str">
        <f t="shared" si="98"/>
        <v/>
      </c>
      <c r="AJ1555" s="8" t="str">
        <f t="shared" si="99"/>
        <v/>
      </c>
      <c r="AL1555" s="8" t="str">
        <f t="shared" si="100"/>
        <v/>
      </c>
    </row>
    <row r="1556" spans="1:38" x14ac:dyDescent="0.25">
      <c r="A1556" s="8" t="s">
        <v>5327</v>
      </c>
      <c r="B1556" s="8" t="s">
        <v>5328</v>
      </c>
      <c r="C1556" s="8">
        <v>30891739</v>
      </c>
      <c r="D1556" s="8">
        <v>5</v>
      </c>
      <c r="E1556" s="11">
        <v>43111</v>
      </c>
      <c r="F1556" s="8" t="s">
        <v>57</v>
      </c>
      <c r="G1556" s="11">
        <v>43112</v>
      </c>
      <c r="H1556" s="8" t="s">
        <v>25</v>
      </c>
      <c r="J1556" s="8" t="s">
        <v>25</v>
      </c>
      <c r="N1556" s="8" t="s">
        <v>58</v>
      </c>
      <c r="O1556" s="8" t="s">
        <v>59</v>
      </c>
      <c r="P1556" s="8" t="s">
        <v>59</v>
      </c>
      <c r="R1556" s="8">
        <v>0</v>
      </c>
      <c r="S1556" s="8">
        <v>0</v>
      </c>
      <c r="T1556" s="8">
        <v>1</v>
      </c>
      <c r="U1556" s="8">
        <v>2</v>
      </c>
      <c r="AG1556" s="8" t="str">
        <f t="shared" si="97"/>
        <v/>
      </c>
      <c r="AI1556" s="8" t="str">
        <f t="shared" si="98"/>
        <v/>
      </c>
      <c r="AJ1556" s="8" t="str">
        <f t="shared" si="99"/>
        <v/>
      </c>
      <c r="AL1556" s="8" t="str">
        <f t="shared" si="100"/>
        <v/>
      </c>
    </row>
    <row r="1557" spans="1:38" x14ac:dyDescent="0.25">
      <c r="A1557" s="8" t="s">
        <v>7171</v>
      </c>
      <c r="B1557" s="8" t="s">
        <v>7172</v>
      </c>
      <c r="C1557" s="8">
        <v>30906084</v>
      </c>
      <c r="D1557" s="8">
        <v>5</v>
      </c>
      <c r="E1557" s="11">
        <v>43112</v>
      </c>
      <c r="F1557" s="8" t="s">
        <v>57</v>
      </c>
      <c r="G1557" s="11">
        <v>43115</v>
      </c>
      <c r="H1557" s="8" t="s">
        <v>25</v>
      </c>
      <c r="J1557" s="8" t="s">
        <v>25</v>
      </c>
      <c r="N1557" s="8" t="s">
        <v>58</v>
      </c>
      <c r="O1557" s="8" t="s">
        <v>59</v>
      </c>
      <c r="P1557" s="8" t="s">
        <v>59</v>
      </c>
      <c r="R1557" s="8">
        <v>0</v>
      </c>
      <c r="S1557" s="8">
        <v>0</v>
      </c>
      <c r="T1557" s="8">
        <v>1</v>
      </c>
      <c r="U1557" s="8">
        <v>2</v>
      </c>
      <c r="AG1557" s="8" t="str">
        <f t="shared" si="97"/>
        <v/>
      </c>
      <c r="AI1557" s="8" t="str">
        <f t="shared" si="98"/>
        <v/>
      </c>
      <c r="AJ1557" s="8" t="str">
        <f t="shared" si="99"/>
        <v/>
      </c>
      <c r="AL1557" s="8" t="str">
        <f t="shared" si="100"/>
        <v/>
      </c>
    </row>
    <row r="1558" spans="1:38" x14ac:dyDescent="0.25">
      <c r="A1558" s="8" t="s">
        <v>5329</v>
      </c>
      <c r="B1558" s="8" t="s">
        <v>5330</v>
      </c>
      <c r="C1558" s="8">
        <v>30891757</v>
      </c>
      <c r="D1558" s="8">
        <v>5</v>
      </c>
      <c r="E1558" s="11">
        <v>43111</v>
      </c>
      <c r="F1558" s="8" t="s">
        <v>57</v>
      </c>
      <c r="G1558" s="11">
        <v>43112</v>
      </c>
      <c r="H1558" s="8" t="s">
        <v>25</v>
      </c>
      <c r="J1558" s="8" t="s">
        <v>25</v>
      </c>
      <c r="N1558" s="8" t="s">
        <v>58</v>
      </c>
      <c r="O1558" s="8" t="s">
        <v>59</v>
      </c>
      <c r="P1558" s="8" t="s">
        <v>59</v>
      </c>
      <c r="R1558" s="8">
        <v>0</v>
      </c>
      <c r="S1558" s="8">
        <v>0</v>
      </c>
      <c r="T1558" s="8">
        <v>1</v>
      </c>
      <c r="U1558" s="8">
        <v>2</v>
      </c>
      <c r="AG1558" s="8" t="str">
        <f t="shared" si="97"/>
        <v/>
      </c>
      <c r="AI1558" s="8" t="str">
        <f t="shared" si="98"/>
        <v/>
      </c>
      <c r="AJ1558" s="8" t="str">
        <f t="shared" si="99"/>
        <v/>
      </c>
      <c r="AL1558" s="8" t="str">
        <f t="shared" si="100"/>
        <v/>
      </c>
    </row>
    <row r="1559" spans="1:38" x14ac:dyDescent="0.25">
      <c r="A1559" s="8" t="s">
        <v>2242</v>
      </c>
      <c r="B1559" s="8" t="s">
        <v>2243</v>
      </c>
      <c r="C1559" s="8">
        <v>30821427</v>
      </c>
      <c r="D1559" s="8">
        <v>4</v>
      </c>
      <c r="E1559" s="11">
        <v>43108</v>
      </c>
      <c r="F1559" s="8" t="s">
        <v>58</v>
      </c>
      <c r="G1559" s="11">
        <v>43110</v>
      </c>
      <c r="H1559" s="8" t="s">
        <v>25</v>
      </c>
      <c r="I1559" s="11">
        <v>43111</v>
      </c>
      <c r="J1559" s="8" t="s">
        <v>25</v>
      </c>
      <c r="N1559" s="8" t="s">
        <v>58</v>
      </c>
      <c r="O1559" s="8" t="s">
        <v>59</v>
      </c>
      <c r="P1559" s="8" t="s">
        <v>59</v>
      </c>
      <c r="R1559" s="8">
        <v>0</v>
      </c>
      <c r="S1559" s="8">
        <v>0</v>
      </c>
      <c r="T1559" s="8">
        <v>1</v>
      </c>
      <c r="U1559" s="8">
        <v>2</v>
      </c>
      <c r="X1559" s="8">
        <v>5</v>
      </c>
      <c r="AG1559" s="8" t="str">
        <f t="shared" si="97"/>
        <v/>
      </c>
      <c r="AI1559" s="8" t="str">
        <f t="shared" si="98"/>
        <v/>
      </c>
      <c r="AJ1559" s="8" t="str">
        <f t="shared" si="99"/>
        <v/>
      </c>
      <c r="AL1559" s="8" t="str">
        <f t="shared" si="100"/>
        <v/>
      </c>
    </row>
    <row r="1560" spans="1:38" x14ac:dyDescent="0.25">
      <c r="A1560" s="8" t="s">
        <v>7173</v>
      </c>
      <c r="B1560" s="8" t="s">
        <v>7174</v>
      </c>
      <c r="C1560" s="8">
        <v>30942084</v>
      </c>
      <c r="D1560" s="8">
        <v>5</v>
      </c>
      <c r="E1560" s="11">
        <v>43115</v>
      </c>
      <c r="F1560" s="8" t="s">
        <v>57</v>
      </c>
      <c r="G1560" s="11">
        <v>43115</v>
      </c>
      <c r="H1560" s="8" t="s">
        <v>25</v>
      </c>
      <c r="J1560" s="8" t="s">
        <v>25</v>
      </c>
      <c r="N1560" s="8" t="s">
        <v>58</v>
      </c>
      <c r="O1560" s="8" t="s">
        <v>59</v>
      </c>
      <c r="P1560" s="8" t="s">
        <v>59</v>
      </c>
      <c r="R1560" s="8">
        <v>0</v>
      </c>
      <c r="S1560" s="8">
        <v>0</v>
      </c>
      <c r="T1560" s="8">
        <v>1</v>
      </c>
      <c r="U1560" s="8">
        <v>2</v>
      </c>
      <c r="AG1560" s="8" t="str">
        <f t="shared" si="97"/>
        <v/>
      </c>
      <c r="AI1560" s="8" t="str">
        <f t="shared" si="98"/>
        <v/>
      </c>
      <c r="AJ1560" s="8" t="str">
        <f t="shared" si="99"/>
        <v/>
      </c>
      <c r="AL1560" s="8" t="str">
        <f t="shared" si="100"/>
        <v/>
      </c>
    </row>
    <row r="1561" spans="1:38" x14ac:dyDescent="0.25">
      <c r="A1561" s="8" t="s">
        <v>2244</v>
      </c>
      <c r="B1561" s="8" t="s">
        <v>2245</v>
      </c>
      <c r="C1561" s="8">
        <v>30828931</v>
      </c>
      <c r="D1561" s="8">
        <v>5</v>
      </c>
      <c r="E1561" s="11">
        <v>43108</v>
      </c>
      <c r="F1561" s="8" t="s">
        <v>58</v>
      </c>
      <c r="G1561" s="11">
        <v>43110</v>
      </c>
      <c r="H1561" s="8" t="s">
        <v>25</v>
      </c>
      <c r="I1561" s="11">
        <v>43111</v>
      </c>
      <c r="J1561" s="8" t="s">
        <v>25</v>
      </c>
      <c r="N1561" s="8" t="s">
        <v>58</v>
      </c>
      <c r="O1561" s="8" t="s">
        <v>59</v>
      </c>
      <c r="P1561" s="8" t="s">
        <v>59</v>
      </c>
      <c r="R1561" s="8">
        <v>0</v>
      </c>
      <c r="S1561" s="8">
        <v>0</v>
      </c>
      <c r="T1561" s="8">
        <v>1</v>
      </c>
      <c r="U1561" s="8">
        <v>2</v>
      </c>
      <c r="X1561" s="8">
        <v>5</v>
      </c>
      <c r="AG1561" s="8" t="str">
        <f t="shared" si="97"/>
        <v/>
      </c>
      <c r="AI1561" s="8" t="str">
        <f t="shared" si="98"/>
        <v/>
      </c>
      <c r="AJ1561" s="8" t="str">
        <f t="shared" si="99"/>
        <v/>
      </c>
      <c r="AL1561" s="8" t="str">
        <f t="shared" si="100"/>
        <v/>
      </c>
    </row>
    <row r="1562" spans="1:38" x14ac:dyDescent="0.25">
      <c r="A1562" s="8" t="s">
        <v>2246</v>
      </c>
      <c r="B1562" s="8" t="s">
        <v>2247</v>
      </c>
      <c r="C1562" s="8">
        <v>30861733</v>
      </c>
      <c r="D1562" s="8">
        <v>5</v>
      </c>
      <c r="E1562" s="11">
        <v>43110</v>
      </c>
      <c r="F1562" s="8" t="s">
        <v>57</v>
      </c>
      <c r="G1562" s="11">
        <v>43110</v>
      </c>
      <c r="H1562" s="8" t="s">
        <v>25</v>
      </c>
      <c r="J1562" s="8" t="s">
        <v>25</v>
      </c>
      <c r="N1562" s="8" t="s">
        <v>58</v>
      </c>
      <c r="O1562" s="8" t="s">
        <v>59</v>
      </c>
      <c r="P1562" s="8" t="s">
        <v>59</v>
      </c>
      <c r="R1562" s="8">
        <v>0</v>
      </c>
      <c r="S1562" s="8">
        <v>0</v>
      </c>
      <c r="T1562" s="8">
        <v>1</v>
      </c>
      <c r="U1562" s="8">
        <v>2</v>
      </c>
      <c r="AG1562" s="8" t="str">
        <f t="shared" si="97"/>
        <v/>
      </c>
      <c r="AI1562" s="8" t="str">
        <f t="shared" si="98"/>
        <v/>
      </c>
      <c r="AJ1562" s="8" t="str">
        <f t="shared" si="99"/>
        <v/>
      </c>
      <c r="AL1562" s="8" t="str">
        <f t="shared" si="100"/>
        <v/>
      </c>
    </row>
    <row r="1563" spans="1:38" x14ac:dyDescent="0.25">
      <c r="A1563" s="8" t="s">
        <v>5331</v>
      </c>
      <c r="B1563" s="8" t="s">
        <v>5332</v>
      </c>
      <c r="C1563" s="8">
        <v>30865289</v>
      </c>
      <c r="D1563" s="8">
        <v>3</v>
      </c>
      <c r="E1563" s="11">
        <v>43110</v>
      </c>
      <c r="F1563" s="8" t="s">
        <v>57</v>
      </c>
      <c r="G1563" s="11">
        <v>43112</v>
      </c>
      <c r="H1563" s="8" t="s">
        <v>25</v>
      </c>
      <c r="J1563" s="8" t="s">
        <v>25</v>
      </c>
      <c r="N1563" s="8" t="s">
        <v>58</v>
      </c>
      <c r="O1563" s="8" t="s">
        <v>59</v>
      </c>
      <c r="P1563" s="8" t="s">
        <v>59</v>
      </c>
      <c r="R1563" s="8">
        <v>0</v>
      </c>
      <c r="S1563" s="8">
        <v>0</v>
      </c>
      <c r="T1563" s="8">
        <v>1</v>
      </c>
      <c r="U1563" s="8">
        <v>2</v>
      </c>
      <c r="AG1563" s="8" t="str">
        <f t="shared" si="97"/>
        <v/>
      </c>
      <c r="AI1563" s="8" t="str">
        <f t="shared" si="98"/>
        <v/>
      </c>
      <c r="AJ1563" s="8" t="str">
        <f t="shared" si="99"/>
        <v/>
      </c>
      <c r="AL1563" s="8" t="str">
        <f t="shared" si="100"/>
        <v/>
      </c>
    </row>
    <row r="1564" spans="1:38" x14ac:dyDescent="0.25">
      <c r="A1564" s="8" t="s">
        <v>5333</v>
      </c>
      <c r="B1564" s="8" t="s">
        <v>5334</v>
      </c>
      <c r="C1564" s="8">
        <v>30881112</v>
      </c>
      <c r="D1564" s="8">
        <v>5</v>
      </c>
      <c r="E1564" s="11">
        <v>43111</v>
      </c>
      <c r="F1564" s="8" t="s">
        <v>58</v>
      </c>
      <c r="G1564" s="11">
        <v>43112</v>
      </c>
      <c r="H1564" s="8" t="s">
        <v>25</v>
      </c>
      <c r="I1564" s="11">
        <v>43115</v>
      </c>
      <c r="J1564" s="8" t="s">
        <v>25</v>
      </c>
      <c r="N1564" s="8" t="s">
        <v>58</v>
      </c>
      <c r="O1564" s="8" t="s">
        <v>59</v>
      </c>
      <c r="P1564" s="8" t="s">
        <v>59</v>
      </c>
      <c r="R1564" s="8">
        <v>0</v>
      </c>
      <c r="S1564" s="8">
        <v>0</v>
      </c>
      <c r="T1564" s="8">
        <v>1</v>
      </c>
      <c r="U1564" s="8">
        <v>2</v>
      </c>
      <c r="X1564" s="8">
        <v>5</v>
      </c>
      <c r="AG1564" s="8" t="str">
        <f t="shared" si="97"/>
        <v/>
      </c>
      <c r="AI1564" s="8" t="str">
        <f t="shared" si="98"/>
        <v/>
      </c>
      <c r="AJ1564" s="8" t="str">
        <f t="shared" si="99"/>
        <v/>
      </c>
      <c r="AL1564" s="8" t="str">
        <f t="shared" si="100"/>
        <v/>
      </c>
    </row>
    <row r="1565" spans="1:38" x14ac:dyDescent="0.25">
      <c r="A1565" s="8" t="s">
        <v>3801</v>
      </c>
      <c r="B1565" s="8" t="s">
        <v>3802</v>
      </c>
      <c r="C1565" s="8">
        <v>30861681</v>
      </c>
      <c r="D1565" s="8">
        <v>5</v>
      </c>
      <c r="E1565" s="11">
        <v>43110</v>
      </c>
      <c r="F1565" s="8" t="s">
        <v>57</v>
      </c>
      <c r="G1565" s="11">
        <v>43111</v>
      </c>
      <c r="H1565" s="8" t="s">
        <v>25</v>
      </c>
      <c r="J1565" s="8" t="s">
        <v>25</v>
      </c>
      <c r="N1565" s="8" t="s">
        <v>58</v>
      </c>
      <c r="O1565" s="8" t="s">
        <v>59</v>
      </c>
      <c r="P1565" s="8" t="s">
        <v>59</v>
      </c>
      <c r="R1565" s="8">
        <v>0</v>
      </c>
      <c r="S1565" s="8">
        <v>0</v>
      </c>
      <c r="T1565" s="8">
        <v>1</v>
      </c>
      <c r="U1565" s="8">
        <v>2</v>
      </c>
      <c r="AG1565" s="8" t="str">
        <f t="shared" si="97"/>
        <v/>
      </c>
      <c r="AI1565" s="8" t="str">
        <f t="shared" si="98"/>
        <v/>
      </c>
      <c r="AJ1565" s="8" t="str">
        <f t="shared" si="99"/>
        <v/>
      </c>
      <c r="AL1565" s="8" t="str">
        <f t="shared" si="100"/>
        <v/>
      </c>
    </row>
    <row r="1566" spans="1:38" x14ac:dyDescent="0.25">
      <c r="A1566" s="8" t="s">
        <v>1161</v>
      </c>
      <c r="B1566" s="8" t="s">
        <v>1162</v>
      </c>
      <c r="C1566" s="8">
        <v>30830195</v>
      </c>
      <c r="D1566" s="8">
        <v>5</v>
      </c>
      <c r="E1566" s="11">
        <v>43108</v>
      </c>
      <c r="F1566" s="8" t="s">
        <v>58</v>
      </c>
      <c r="G1566" s="11">
        <v>43109</v>
      </c>
      <c r="H1566" s="8" t="s">
        <v>25</v>
      </c>
      <c r="I1566" s="11">
        <v>43110</v>
      </c>
      <c r="J1566" s="8" t="s">
        <v>25</v>
      </c>
      <c r="N1566" s="8" t="s">
        <v>58</v>
      </c>
      <c r="O1566" s="8" t="s">
        <v>59</v>
      </c>
      <c r="P1566" s="8" t="s">
        <v>59</v>
      </c>
      <c r="R1566" s="8">
        <v>0</v>
      </c>
      <c r="S1566" s="8">
        <v>0</v>
      </c>
      <c r="T1566" s="8">
        <v>1</v>
      </c>
      <c r="U1566" s="8">
        <v>2</v>
      </c>
      <c r="X1566" s="8">
        <v>5</v>
      </c>
      <c r="AG1566" s="8" t="str">
        <f t="shared" si="97"/>
        <v/>
      </c>
      <c r="AI1566" s="8" t="str">
        <f t="shared" si="98"/>
        <v/>
      </c>
      <c r="AJ1566" s="8" t="str">
        <f t="shared" si="99"/>
        <v/>
      </c>
      <c r="AL1566" s="8" t="str">
        <f t="shared" si="100"/>
        <v/>
      </c>
    </row>
    <row r="1567" spans="1:38" x14ac:dyDescent="0.25">
      <c r="A1567" s="8" t="s">
        <v>5335</v>
      </c>
      <c r="B1567" s="8" t="s">
        <v>5336</v>
      </c>
      <c r="C1567" s="8">
        <v>30890433</v>
      </c>
      <c r="D1567" s="8">
        <v>5</v>
      </c>
      <c r="E1567" s="11">
        <v>43111</v>
      </c>
      <c r="F1567" s="8" t="s">
        <v>57</v>
      </c>
      <c r="G1567" s="11">
        <v>43112</v>
      </c>
      <c r="H1567" s="8" t="s">
        <v>25</v>
      </c>
      <c r="J1567" s="8" t="s">
        <v>25</v>
      </c>
      <c r="N1567" s="8" t="s">
        <v>58</v>
      </c>
      <c r="O1567" s="8" t="s">
        <v>59</v>
      </c>
      <c r="P1567" s="8" t="s">
        <v>59</v>
      </c>
      <c r="R1567" s="8">
        <v>0</v>
      </c>
      <c r="S1567" s="8">
        <v>0</v>
      </c>
      <c r="T1567" s="8">
        <v>1</v>
      </c>
      <c r="U1567" s="8">
        <v>2</v>
      </c>
      <c r="AG1567" s="8" t="str">
        <f t="shared" si="97"/>
        <v/>
      </c>
      <c r="AI1567" s="8" t="str">
        <f t="shared" si="98"/>
        <v/>
      </c>
      <c r="AJ1567" s="8" t="str">
        <f t="shared" si="99"/>
        <v/>
      </c>
      <c r="AL1567" s="8" t="str">
        <f t="shared" si="100"/>
        <v/>
      </c>
    </row>
    <row r="1568" spans="1:38" x14ac:dyDescent="0.25">
      <c r="A1568" s="8" t="s">
        <v>3803</v>
      </c>
      <c r="B1568" s="8" t="s">
        <v>3804</v>
      </c>
      <c r="C1568" s="8">
        <v>30863167</v>
      </c>
      <c r="D1568" s="8">
        <v>5</v>
      </c>
      <c r="E1568" s="11">
        <v>43110</v>
      </c>
      <c r="F1568" s="8" t="s">
        <v>57</v>
      </c>
      <c r="G1568" s="11">
        <v>43111</v>
      </c>
      <c r="H1568" s="8" t="s">
        <v>25</v>
      </c>
      <c r="J1568" s="8" t="s">
        <v>25</v>
      </c>
      <c r="N1568" s="8" t="s">
        <v>58</v>
      </c>
      <c r="O1568" s="8" t="s">
        <v>59</v>
      </c>
      <c r="P1568" s="8" t="s">
        <v>59</v>
      </c>
      <c r="R1568" s="8">
        <v>0</v>
      </c>
      <c r="S1568" s="8">
        <v>0</v>
      </c>
      <c r="T1568" s="8">
        <v>1</v>
      </c>
      <c r="U1568" s="8">
        <v>2</v>
      </c>
      <c r="AG1568" s="8" t="str">
        <f t="shared" si="97"/>
        <v/>
      </c>
      <c r="AI1568" s="8" t="str">
        <f t="shared" si="98"/>
        <v/>
      </c>
      <c r="AJ1568" s="8" t="str">
        <f t="shared" si="99"/>
        <v/>
      </c>
      <c r="AL1568" s="8" t="str">
        <f t="shared" si="100"/>
        <v/>
      </c>
    </row>
    <row r="1569" spans="1:38" x14ac:dyDescent="0.25">
      <c r="A1569" s="8" t="s">
        <v>7175</v>
      </c>
      <c r="B1569" s="8" t="s">
        <v>7176</v>
      </c>
      <c r="C1569" s="8">
        <v>30909368</v>
      </c>
      <c r="D1569" s="8">
        <v>5</v>
      </c>
      <c r="E1569" s="11">
        <v>43112</v>
      </c>
      <c r="F1569" s="8" t="s">
        <v>57</v>
      </c>
      <c r="G1569" s="11">
        <v>43115</v>
      </c>
      <c r="H1569" s="8" t="s">
        <v>25</v>
      </c>
      <c r="J1569" s="8" t="s">
        <v>25</v>
      </c>
      <c r="N1569" s="8" t="s">
        <v>58</v>
      </c>
      <c r="O1569" s="8" t="s">
        <v>59</v>
      </c>
      <c r="P1569" s="8" t="s">
        <v>59</v>
      </c>
      <c r="R1569" s="8">
        <v>0</v>
      </c>
      <c r="S1569" s="8">
        <v>0</v>
      </c>
      <c r="T1569" s="8">
        <v>1</v>
      </c>
      <c r="U1569" s="8">
        <v>2</v>
      </c>
      <c r="AG1569" s="8" t="str">
        <f t="shared" si="97"/>
        <v/>
      </c>
      <c r="AI1569" s="8" t="str">
        <f t="shared" si="98"/>
        <v/>
      </c>
      <c r="AJ1569" s="8" t="str">
        <f t="shared" si="99"/>
        <v/>
      </c>
      <c r="AL1569" s="8" t="str">
        <f t="shared" si="100"/>
        <v/>
      </c>
    </row>
    <row r="1570" spans="1:38" x14ac:dyDescent="0.25">
      <c r="A1570" s="8" t="s">
        <v>7177</v>
      </c>
      <c r="B1570" s="8" t="s">
        <v>7178</v>
      </c>
      <c r="C1570" s="8">
        <v>30909773</v>
      </c>
      <c r="D1570" s="8">
        <v>5</v>
      </c>
      <c r="E1570" s="11">
        <v>43112</v>
      </c>
      <c r="F1570" s="8" t="s">
        <v>57</v>
      </c>
      <c r="G1570" s="11">
        <v>43115</v>
      </c>
      <c r="H1570" s="8" t="s">
        <v>25</v>
      </c>
      <c r="J1570" s="8" t="s">
        <v>25</v>
      </c>
      <c r="N1570" s="8" t="s">
        <v>58</v>
      </c>
      <c r="O1570" s="8" t="s">
        <v>59</v>
      </c>
      <c r="P1570" s="8" t="s">
        <v>59</v>
      </c>
      <c r="R1570" s="8">
        <v>0</v>
      </c>
      <c r="S1570" s="8">
        <v>0</v>
      </c>
      <c r="T1570" s="8">
        <v>1</v>
      </c>
      <c r="U1570" s="8">
        <v>2</v>
      </c>
      <c r="AG1570" s="8" t="str">
        <f t="shared" si="97"/>
        <v/>
      </c>
      <c r="AI1570" s="8" t="str">
        <f t="shared" si="98"/>
        <v/>
      </c>
      <c r="AJ1570" s="8" t="str">
        <f t="shared" si="99"/>
        <v/>
      </c>
      <c r="AL1570" s="8" t="str">
        <f t="shared" si="100"/>
        <v/>
      </c>
    </row>
    <row r="1571" spans="1:38" x14ac:dyDescent="0.25">
      <c r="A1571" s="8" t="s">
        <v>3805</v>
      </c>
      <c r="B1571" s="8" t="s">
        <v>3806</v>
      </c>
      <c r="C1571" s="8">
        <v>30865158</v>
      </c>
      <c r="D1571" s="8">
        <v>5</v>
      </c>
      <c r="E1571" s="11">
        <v>43110</v>
      </c>
      <c r="F1571" s="8" t="s">
        <v>57</v>
      </c>
      <c r="G1571" s="11">
        <v>43111</v>
      </c>
      <c r="H1571" s="8" t="s">
        <v>25</v>
      </c>
      <c r="J1571" s="8" t="s">
        <v>25</v>
      </c>
      <c r="N1571" s="8" t="s">
        <v>58</v>
      </c>
      <c r="O1571" s="8" t="s">
        <v>59</v>
      </c>
      <c r="P1571" s="8" t="s">
        <v>59</v>
      </c>
      <c r="R1571" s="8">
        <v>0</v>
      </c>
      <c r="S1571" s="8">
        <v>0</v>
      </c>
      <c r="T1571" s="8">
        <v>1</v>
      </c>
      <c r="U1571" s="8">
        <v>2</v>
      </c>
      <c r="AG1571" s="8" t="str">
        <f t="shared" si="97"/>
        <v/>
      </c>
      <c r="AI1571" s="8" t="str">
        <f t="shared" si="98"/>
        <v/>
      </c>
      <c r="AJ1571" s="8" t="str">
        <f t="shared" si="99"/>
        <v/>
      </c>
      <c r="AL1571" s="8" t="str">
        <f t="shared" si="100"/>
        <v/>
      </c>
    </row>
    <row r="1572" spans="1:38" x14ac:dyDescent="0.25">
      <c r="A1572" s="8" t="s">
        <v>3807</v>
      </c>
      <c r="B1572" s="8" t="s">
        <v>3808</v>
      </c>
      <c r="C1572" s="8">
        <v>30866765</v>
      </c>
      <c r="D1572" s="8">
        <v>5</v>
      </c>
      <c r="E1572" s="11">
        <v>43110</v>
      </c>
      <c r="F1572" s="8" t="s">
        <v>57</v>
      </c>
      <c r="G1572" s="11">
        <v>43111</v>
      </c>
      <c r="H1572" s="8" t="s">
        <v>25</v>
      </c>
      <c r="J1572" s="8" t="s">
        <v>25</v>
      </c>
      <c r="N1572" s="8" t="s">
        <v>58</v>
      </c>
      <c r="O1572" s="8" t="s">
        <v>59</v>
      </c>
      <c r="P1572" s="8" t="s">
        <v>59</v>
      </c>
      <c r="R1572" s="8">
        <v>0</v>
      </c>
      <c r="S1572" s="8">
        <v>0</v>
      </c>
      <c r="T1572" s="8">
        <v>1</v>
      </c>
      <c r="U1572" s="8">
        <v>2</v>
      </c>
      <c r="AG1572" s="8" t="str">
        <f t="shared" si="97"/>
        <v/>
      </c>
      <c r="AI1572" s="8" t="str">
        <f t="shared" si="98"/>
        <v/>
      </c>
      <c r="AJ1572" s="8" t="str">
        <f t="shared" si="99"/>
        <v/>
      </c>
      <c r="AL1572" s="8" t="str">
        <f t="shared" si="100"/>
        <v/>
      </c>
    </row>
    <row r="1573" spans="1:38" x14ac:dyDescent="0.25">
      <c r="A1573" s="8" t="s">
        <v>2248</v>
      </c>
      <c r="B1573" s="8" t="s">
        <v>2249</v>
      </c>
      <c r="C1573" s="8">
        <v>30841546</v>
      </c>
      <c r="D1573" s="8">
        <v>5</v>
      </c>
      <c r="E1573" s="11">
        <v>43109</v>
      </c>
      <c r="F1573" s="8" t="s">
        <v>57</v>
      </c>
      <c r="G1573" s="11">
        <v>43110</v>
      </c>
      <c r="H1573" s="8" t="s">
        <v>25</v>
      </c>
      <c r="J1573" s="8" t="s">
        <v>25</v>
      </c>
      <c r="N1573" s="8" t="s">
        <v>58</v>
      </c>
      <c r="O1573" s="8" t="s">
        <v>59</v>
      </c>
      <c r="P1573" s="8" t="s">
        <v>59</v>
      </c>
      <c r="R1573" s="8">
        <v>0</v>
      </c>
      <c r="S1573" s="8">
        <v>0</v>
      </c>
      <c r="T1573" s="8">
        <v>1</v>
      </c>
      <c r="U1573" s="8">
        <v>2</v>
      </c>
      <c r="AG1573" s="8" t="str">
        <f t="shared" si="97"/>
        <v/>
      </c>
      <c r="AI1573" s="8" t="str">
        <f t="shared" si="98"/>
        <v/>
      </c>
      <c r="AJ1573" s="8" t="str">
        <f t="shared" si="99"/>
        <v/>
      </c>
      <c r="AL1573" s="8" t="str">
        <f t="shared" si="100"/>
        <v/>
      </c>
    </row>
    <row r="1574" spans="1:38" x14ac:dyDescent="0.25">
      <c r="A1574" s="8" t="s">
        <v>5337</v>
      </c>
      <c r="B1574" s="8" t="s">
        <v>5338</v>
      </c>
      <c r="C1574" s="8">
        <v>30881120</v>
      </c>
      <c r="D1574" s="8">
        <v>5</v>
      </c>
      <c r="E1574" s="11">
        <v>43111</v>
      </c>
      <c r="F1574" s="8" t="s">
        <v>57</v>
      </c>
      <c r="G1574" s="11">
        <v>43112</v>
      </c>
      <c r="H1574" s="8" t="s">
        <v>25</v>
      </c>
      <c r="J1574" s="8" t="s">
        <v>25</v>
      </c>
      <c r="N1574" s="8" t="s">
        <v>58</v>
      </c>
      <c r="O1574" s="8" t="s">
        <v>59</v>
      </c>
      <c r="P1574" s="8" t="s">
        <v>59</v>
      </c>
      <c r="R1574" s="8">
        <v>0</v>
      </c>
      <c r="S1574" s="8">
        <v>0</v>
      </c>
      <c r="T1574" s="8">
        <v>1</v>
      </c>
      <c r="U1574" s="8">
        <v>2</v>
      </c>
      <c r="AG1574" s="8" t="str">
        <f t="shared" si="97"/>
        <v/>
      </c>
      <c r="AI1574" s="8" t="str">
        <f t="shared" si="98"/>
        <v/>
      </c>
      <c r="AJ1574" s="8" t="str">
        <f t="shared" si="99"/>
        <v/>
      </c>
      <c r="AL1574" s="8" t="str">
        <f t="shared" si="100"/>
        <v/>
      </c>
    </row>
    <row r="1575" spans="1:38" x14ac:dyDescent="0.25">
      <c r="A1575" s="8" t="s">
        <v>5339</v>
      </c>
      <c r="B1575" s="8" t="s">
        <v>5340</v>
      </c>
      <c r="C1575" s="8">
        <v>30890642</v>
      </c>
      <c r="D1575" s="8">
        <v>5</v>
      </c>
      <c r="E1575" s="11">
        <v>43111</v>
      </c>
      <c r="F1575" s="8" t="s">
        <v>57</v>
      </c>
      <c r="G1575" s="11">
        <v>43112</v>
      </c>
      <c r="H1575" s="8" t="s">
        <v>25</v>
      </c>
      <c r="J1575" s="8" t="s">
        <v>25</v>
      </c>
      <c r="N1575" s="8" t="s">
        <v>58</v>
      </c>
      <c r="O1575" s="8" t="s">
        <v>59</v>
      </c>
      <c r="P1575" s="8" t="s">
        <v>59</v>
      </c>
      <c r="R1575" s="8">
        <v>0</v>
      </c>
      <c r="S1575" s="8">
        <v>0</v>
      </c>
      <c r="T1575" s="8">
        <v>1</v>
      </c>
      <c r="U1575" s="8">
        <v>2</v>
      </c>
      <c r="AG1575" s="8" t="str">
        <f t="shared" si="97"/>
        <v/>
      </c>
      <c r="AI1575" s="8" t="str">
        <f t="shared" si="98"/>
        <v/>
      </c>
      <c r="AJ1575" s="8" t="str">
        <f t="shared" si="99"/>
        <v/>
      </c>
      <c r="AL1575" s="8" t="str">
        <f t="shared" si="100"/>
        <v/>
      </c>
    </row>
    <row r="1576" spans="1:38" x14ac:dyDescent="0.25">
      <c r="A1576" s="8" t="s">
        <v>5341</v>
      </c>
      <c r="B1576" s="8" t="s">
        <v>5342</v>
      </c>
      <c r="C1576" s="8">
        <v>30891817</v>
      </c>
      <c r="D1576" s="8">
        <v>5</v>
      </c>
      <c r="E1576" s="11">
        <v>43111</v>
      </c>
      <c r="F1576" s="8" t="s">
        <v>57</v>
      </c>
      <c r="G1576" s="11">
        <v>43112</v>
      </c>
      <c r="H1576" s="8" t="s">
        <v>25</v>
      </c>
      <c r="J1576" s="8" t="s">
        <v>25</v>
      </c>
      <c r="N1576" s="8" t="s">
        <v>58</v>
      </c>
      <c r="O1576" s="8" t="s">
        <v>59</v>
      </c>
      <c r="P1576" s="8" t="s">
        <v>59</v>
      </c>
      <c r="R1576" s="8">
        <v>0</v>
      </c>
      <c r="S1576" s="8">
        <v>0</v>
      </c>
      <c r="T1576" s="8">
        <v>1</v>
      </c>
      <c r="U1576" s="8">
        <v>2</v>
      </c>
      <c r="AG1576" s="8" t="str">
        <f t="shared" si="97"/>
        <v/>
      </c>
      <c r="AI1576" s="8" t="str">
        <f t="shared" si="98"/>
        <v/>
      </c>
      <c r="AJ1576" s="8" t="str">
        <f t="shared" si="99"/>
        <v/>
      </c>
      <c r="AL1576" s="8" t="str">
        <f t="shared" si="100"/>
        <v/>
      </c>
    </row>
    <row r="1577" spans="1:38" x14ac:dyDescent="0.25">
      <c r="A1577" s="8" t="s">
        <v>5343</v>
      </c>
      <c r="B1577" s="8" t="s">
        <v>5344</v>
      </c>
      <c r="C1577" s="8">
        <v>30891740</v>
      </c>
      <c r="D1577" s="8">
        <v>5</v>
      </c>
      <c r="E1577" s="11">
        <v>43111</v>
      </c>
      <c r="F1577" s="8" t="s">
        <v>57</v>
      </c>
      <c r="G1577" s="11">
        <v>43112</v>
      </c>
      <c r="H1577" s="8" t="s">
        <v>25</v>
      </c>
      <c r="J1577" s="8" t="s">
        <v>25</v>
      </c>
      <c r="N1577" s="8" t="s">
        <v>58</v>
      </c>
      <c r="O1577" s="8" t="s">
        <v>59</v>
      </c>
      <c r="P1577" s="8" t="s">
        <v>59</v>
      </c>
      <c r="R1577" s="8">
        <v>0</v>
      </c>
      <c r="S1577" s="8">
        <v>0</v>
      </c>
      <c r="T1577" s="8">
        <v>1</v>
      </c>
      <c r="U1577" s="8">
        <v>2</v>
      </c>
      <c r="AG1577" s="8" t="str">
        <f t="shared" si="97"/>
        <v/>
      </c>
      <c r="AI1577" s="8" t="str">
        <f t="shared" si="98"/>
        <v/>
      </c>
      <c r="AJ1577" s="8" t="str">
        <f t="shared" si="99"/>
        <v/>
      </c>
      <c r="AL1577" s="8" t="str">
        <f t="shared" si="100"/>
        <v/>
      </c>
    </row>
    <row r="1578" spans="1:38" x14ac:dyDescent="0.25">
      <c r="A1578" s="8" t="s">
        <v>7179</v>
      </c>
      <c r="B1578" s="8" t="s">
        <v>7180</v>
      </c>
      <c r="C1578" s="8">
        <v>30933185</v>
      </c>
      <c r="D1578" s="8">
        <v>5</v>
      </c>
      <c r="E1578" s="11">
        <v>43115</v>
      </c>
      <c r="F1578" s="8" t="s">
        <v>57</v>
      </c>
      <c r="G1578" s="11">
        <v>43115</v>
      </c>
      <c r="H1578" s="8" t="s">
        <v>25</v>
      </c>
      <c r="J1578" s="8" t="s">
        <v>25</v>
      </c>
      <c r="N1578" s="8" t="s">
        <v>58</v>
      </c>
      <c r="O1578" s="8" t="s">
        <v>59</v>
      </c>
      <c r="P1578" s="8" t="s">
        <v>59</v>
      </c>
      <c r="R1578" s="8">
        <v>0</v>
      </c>
      <c r="S1578" s="8">
        <v>0</v>
      </c>
      <c r="T1578" s="8">
        <v>1</v>
      </c>
      <c r="U1578" s="8">
        <v>2</v>
      </c>
      <c r="AG1578" s="8" t="str">
        <f t="shared" si="97"/>
        <v/>
      </c>
      <c r="AI1578" s="8" t="str">
        <f t="shared" si="98"/>
        <v/>
      </c>
      <c r="AJ1578" s="8" t="str">
        <f t="shared" si="99"/>
        <v/>
      </c>
      <c r="AL1578" s="8" t="str">
        <f t="shared" si="100"/>
        <v/>
      </c>
    </row>
    <row r="1579" spans="1:38" x14ac:dyDescent="0.25">
      <c r="A1579" s="8" t="s">
        <v>3809</v>
      </c>
      <c r="B1579" s="8" t="s">
        <v>3810</v>
      </c>
      <c r="C1579" s="8">
        <v>30885070</v>
      </c>
      <c r="D1579" s="8">
        <v>5</v>
      </c>
      <c r="E1579" s="11">
        <v>43111</v>
      </c>
      <c r="F1579" s="8" t="s">
        <v>57</v>
      </c>
      <c r="G1579" s="11">
        <v>43111</v>
      </c>
      <c r="H1579" s="8" t="s">
        <v>25</v>
      </c>
      <c r="J1579" s="8" t="s">
        <v>25</v>
      </c>
      <c r="N1579" s="8" t="s">
        <v>58</v>
      </c>
      <c r="O1579" s="8" t="s">
        <v>59</v>
      </c>
      <c r="P1579" s="8" t="s">
        <v>59</v>
      </c>
      <c r="R1579" s="8">
        <v>0</v>
      </c>
      <c r="S1579" s="8">
        <v>0</v>
      </c>
      <c r="T1579" s="8">
        <v>1</v>
      </c>
      <c r="U1579" s="8">
        <v>2</v>
      </c>
      <c r="AG1579" s="8" t="str">
        <f t="shared" si="97"/>
        <v/>
      </c>
      <c r="AI1579" s="8" t="str">
        <f t="shared" si="98"/>
        <v/>
      </c>
      <c r="AJ1579" s="8" t="str">
        <f t="shared" si="99"/>
        <v/>
      </c>
      <c r="AL1579" s="8" t="str">
        <f t="shared" si="100"/>
        <v/>
      </c>
    </row>
    <row r="1580" spans="1:38" x14ac:dyDescent="0.25">
      <c r="A1580" s="8" t="s">
        <v>1163</v>
      </c>
      <c r="B1580" s="8" t="s">
        <v>1164</v>
      </c>
      <c r="C1580" s="8">
        <v>30818390</v>
      </c>
      <c r="D1580" s="8">
        <v>5</v>
      </c>
      <c r="E1580" s="11">
        <v>43108</v>
      </c>
      <c r="F1580" s="8" t="s">
        <v>58</v>
      </c>
      <c r="G1580" s="11">
        <v>43109</v>
      </c>
      <c r="H1580" s="8" t="s">
        <v>25</v>
      </c>
      <c r="I1580" s="11">
        <v>43109</v>
      </c>
      <c r="J1580" s="8" t="s">
        <v>25</v>
      </c>
      <c r="N1580" s="8" t="s">
        <v>58</v>
      </c>
      <c r="O1580" s="8" t="s">
        <v>59</v>
      </c>
      <c r="P1580" s="8" t="s">
        <v>59</v>
      </c>
      <c r="R1580" s="8">
        <v>0</v>
      </c>
      <c r="S1580" s="8">
        <v>0</v>
      </c>
      <c r="T1580" s="8">
        <v>1</v>
      </c>
      <c r="U1580" s="8">
        <v>2</v>
      </c>
      <c r="X1580" s="8">
        <v>5</v>
      </c>
      <c r="AG1580" s="8" t="str">
        <f t="shared" si="97"/>
        <v/>
      </c>
      <c r="AI1580" s="8" t="str">
        <f t="shared" si="98"/>
        <v/>
      </c>
      <c r="AJ1580" s="8" t="str">
        <f t="shared" si="99"/>
        <v/>
      </c>
      <c r="AL1580" s="8" t="str">
        <f t="shared" si="100"/>
        <v/>
      </c>
    </row>
    <row r="1581" spans="1:38" x14ac:dyDescent="0.25">
      <c r="A1581" s="8" t="s">
        <v>3811</v>
      </c>
      <c r="B1581" s="8" t="s">
        <v>3812</v>
      </c>
      <c r="C1581" s="8">
        <v>30891742</v>
      </c>
      <c r="D1581" s="8">
        <v>5</v>
      </c>
      <c r="E1581" s="11">
        <v>43111</v>
      </c>
      <c r="F1581" s="8" t="s">
        <v>58</v>
      </c>
      <c r="G1581" s="11">
        <v>43111</v>
      </c>
      <c r="H1581" s="8" t="s">
        <v>25</v>
      </c>
      <c r="I1581" s="11">
        <v>43115</v>
      </c>
      <c r="J1581" s="8" t="s">
        <v>25</v>
      </c>
      <c r="N1581" s="8" t="s">
        <v>58</v>
      </c>
      <c r="O1581" s="8" t="s">
        <v>59</v>
      </c>
      <c r="P1581" s="8" t="s">
        <v>59</v>
      </c>
      <c r="R1581" s="8">
        <v>0</v>
      </c>
      <c r="S1581" s="8">
        <v>0</v>
      </c>
      <c r="T1581" s="8">
        <v>1</v>
      </c>
      <c r="U1581" s="8">
        <v>2</v>
      </c>
      <c r="X1581" s="8">
        <v>5</v>
      </c>
      <c r="AG1581" s="8" t="str">
        <f t="shared" si="97"/>
        <v/>
      </c>
      <c r="AI1581" s="8" t="str">
        <f t="shared" si="98"/>
        <v/>
      </c>
      <c r="AJ1581" s="8" t="str">
        <f t="shared" si="99"/>
        <v/>
      </c>
      <c r="AL1581" s="8" t="str">
        <f t="shared" si="100"/>
        <v/>
      </c>
    </row>
    <row r="1582" spans="1:38" x14ac:dyDescent="0.25">
      <c r="A1582" s="8" t="s">
        <v>5345</v>
      </c>
      <c r="B1582" s="8" t="s">
        <v>5346</v>
      </c>
      <c r="C1582" s="8">
        <v>30891743</v>
      </c>
      <c r="D1582" s="8">
        <v>5</v>
      </c>
      <c r="E1582" s="11">
        <v>43111</v>
      </c>
      <c r="F1582" s="8" t="s">
        <v>57</v>
      </c>
      <c r="G1582" s="11">
        <v>43112</v>
      </c>
      <c r="H1582" s="8" t="s">
        <v>25</v>
      </c>
      <c r="J1582" s="8" t="s">
        <v>25</v>
      </c>
      <c r="N1582" s="8" t="s">
        <v>58</v>
      </c>
      <c r="O1582" s="8" t="s">
        <v>59</v>
      </c>
      <c r="P1582" s="8" t="s">
        <v>59</v>
      </c>
      <c r="R1582" s="8">
        <v>0</v>
      </c>
      <c r="S1582" s="8">
        <v>0</v>
      </c>
      <c r="T1582" s="8">
        <v>1</v>
      </c>
      <c r="U1582" s="8">
        <v>2</v>
      </c>
      <c r="AG1582" s="8" t="str">
        <f t="shared" si="97"/>
        <v/>
      </c>
      <c r="AI1582" s="8" t="str">
        <f t="shared" si="98"/>
        <v/>
      </c>
      <c r="AJ1582" s="8" t="str">
        <f t="shared" si="99"/>
        <v/>
      </c>
      <c r="AL1582" s="8" t="str">
        <f t="shared" si="100"/>
        <v/>
      </c>
    </row>
    <row r="1583" spans="1:38" x14ac:dyDescent="0.25">
      <c r="A1583" s="8" t="s">
        <v>5347</v>
      </c>
      <c r="B1583" s="8" t="s">
        <v>5348</v>
      </c>
      <c r="C1583" s="8">
        <v>30891745</v>
      </c>
      <c r="D1583" s="8">
        <v>4</v>
      </c>
      <c r="E1583" s="11">
        <v>43111</v>
      </c>
      <c r="F1583" s="8" t="s">
        <v>58</v>
      </c>
      <c r="G1583" s="11">
        <v>43112</v>
      </c>
      <c r="H1583" s="8" t="s">
        <v>25</v>
      </c>
      <c r="I1583" s="11">
        <v>43112</v>
      </c>
      <c r="J1583" s="8" t="s">
        <v>25</v>
      </c>
      <c r="N1583" s="8" t="s">
        <v>58</v>
      </c>
      <c r="O1583" s="8" t="s">
        <v>59</v>
      </c>
      <c r="P1583" s="8" t="s">
        <v>59</v>
      </c>
      <c r="R1583" s="8">
        <v>0</v>
      </c>
      <c r="S1583" s="8">
        <v>0</v>
      </c>
      <c r="T1583" s="8">
        <v>1</v>
      </c>
      <c r="U1583" s="8">
        <v>2</v>
      </c>
      <c r="X1583" s="8">
        <v>5</v>
      </c>
      <c r="AG1583" s="8" t="str">
        <f t="shared" si="97"/>
        <v/>
      </c>
      <c r="AI1583" s="8" t="str">
        <f t="shared" si="98"/>
        <v/>
      </c>
      <c r="AJ1583" s="8" t="str">
        <f t="shared" si="99"/>
        <v/>
      </c>
      <c r="AL1583" s="8" t="str">
        <f t="shared" si="100"/>
        <v/>
      </c>
    </row>
    <row r="1584" spans="1:38" x14ac:dyDescent="0.25">
      <c r="A1584" s="8" t="s">
        <v>2250</v>
      </c>
      <c r="B1584" s="8" t="s">
        <v>2251</v>
      </c>
      <c r="C1584" s="8">
        <v>30841477</v>
      </c>
      <c r="D1584" s="8">
        <v>5</v>
      </c>
      <c r="E1584" s="11">
        <v>43109</v>
      </c>
      <c r="F1584" s="8" t="s">
        <v>57</v>
      </c>
      <c r="G1584" s="11">
        <v>43110</v>
      </c>
      <c r="H1584" s="8" t="s">
        <v>25</v>
      </c>
      <c r="J1584" s="8" t="s">
        <v>25</v>
      </c>
      <c r="N1584" s="8" t="s">
        <v>58</v>
      </c>
      <c r="O1584" s="8" t="s">
        <v>59</v>
      </c>
      <c r="P1584" s="8" t="s">
        <v>59</v>
      </c>
      <c r="R1584" s="8">
        <v>0</v>
      </c>
      <c r="S1584" s="8">
        <v>0</v>
      </c>
      <c r="T1584" s="8">
        <v>1</v>
      </c>
      <c r="U1584" s="8">
        <v>2</v>
      </c>
      <c r="AG1584" s="8" t="str">
        <f t="shared" si="97"/>
        <v/>
      </c>
      <c r="AI1584" s="8" t="str">
        <f t="shared" si="98"/>
        <v/>
      </c>
      <c r="AJ1584" s="8" t="str">
        <f t="shared" si="99"/>
        <v/>
      </c>
      <c r="AL1584" s="8" t="str">
        <f t="shared" si="100"/>
        <v/>
      </c>
    </row>
    <row r="1585" spans="1:38" x14ac:dyDescent="0.25">
      <c r="A1585" s="8" t="s">
        <v>5349</v>
      </c>
      <c r="B1585" s="8" t="s">
        <v>5350</v>
      </c>
      <c r="C1585" s="8">
        <v>30884986</v>
      </c>
      <c r="D1585" s="8">
        <v>4</v>
      </c>
      <c r="E1585" s="11">
        <v>43111</v>
      </c>
      <c r="F1585" s="8" t="s">
        <v>57</v>
      </c>
      <c r="G1585" s="11">
        <v>43112</v>
      </c>
      <c r="H1585" s="8" t="s">
        <v>25</v>
      </c>
      <c r="J1585" s="8" t="s">
        <v>25</v>
      </c>
      <c r="N1585" s="8" t="s">
        <v>58</v>
      </c>
      <c r="O1585" s="8" t="s">
        <v>59</v>
      </c>
      <c r="P1585" s="8" t="s">
        <v>59</v>
      </c>
      <c r="R1585" s="8">
        <v>0</v>
      </c>
      <c r="S1585" s="8">
        <v>0</v>
      </c>
      <c r="T1585" s="8">
        <v>1</v>
      </c>
      <c r="U1585" s="8">
        <v>2</v>
      </c>
      <c r="AG1585" s="8" t="str">
        <f t="shared" si="97"/>
        <v/>
      </c>
      <c r="AI1585" s="8" t="str">
        <f t="shared" si="98"/>
        <v/>
      </c>
      <c r="AJ1585" s="8" t="str">
        <f t="shared" si="99"/>
        <v/>
      </c>
      <c r="AL1585" s="8" t="str">
        <f t="shared" si="100"/>
        <v/>
      </c>
    </row>
    <row r="1586" spans="1:38" x14ac:dyDescent="0.25">
      <c r="A1586" s="8" t="s">
        <v>1165</v>
      </c>
      <c r="B1586" s="8" t="s">
        <v>1166</v>
      </c>
      <c r="C1586" s="8">
        <v>30806894</v>
      </c>
      <c r="D1586" s="8">
        <v>5</v>
      </c>
      <c r="E1586" s="11">
        <v>43108</v>
      </c>
      <c r="F1586" s="8" t="s">
        <v>58</v>
      </c>
      <c r="G1586" s="11">
        <v>43109</v>
      </c>
      <c r="H1586" s="8" t="s">
        <v>25</v>
      </c>
      <c r="I1586" s="11">
        <v>43111</v>
      </c>
      <c r="J1586" s="8" t="s">
        <v>25</v>
      </c>
      <c r="N1586" s="8" t="s">
        <v>58</v>
      </c>
      <c r="O1586" s="8" t="s">
        <v>59</v>
      </c>
      <c r="P1586" s="8" t="s">
        <v>59</v>
      </c>
      <c r="R1586" s="8">
        <v>0</v>
      </c>
      <c r="S1586" s="8">
        <v>0</v>
      </c>
      <c r="T1586" s="8">
        <v>1</v>
      </c>
      <c r="U1586" s="8">
        <v>2</v>
      </c>
      <c r="X1586" s="8">
        <v>5</v>
      </c>
      <c r="AG1586" s="8" t="str">
        <f t="shared" si="97"/>
        <v/>
      </c>
      <c r="AI1586" s="8" t="str">
        <f t="shared" si="98"/>
        <v/>
      </c>
      <c r="AJ1586" s="8" t="str">
        <f t="shared" si="99"/>
        <v/>
      </c>
      <c r="AL1586" s="8" t="str">
        <f t="shared" si="100"/>
        <v/>
      </c>
    </row>
    <row r="1587" spans="1:38" x14ac:dyDescent="0.25">
      <c r="A1587" s="8" t="s">
        <v>7181</v>
      </c>
      <c r="B1587" s="8" t="s">
        <v>7182</v>
      </c>
      <c r="C1587" s="8">
        <v>30912390</v>
      </c>
      <c r="D1587" s="8">
        <v>5</v>
      </c>
      <c r="E1587" s="11">
        <v>43112</v>
      </c>
      <c r="F1587" s="8" t="s">
        <v>57</v>
      </c>
      <c r="G1587" s="11">
        <v>43115</v>
      </c>
      <c r="H1587" s="8" t="s">
        <v>25</v>
      </c>
      <c r="J1587" s="8" t="s">
        <v>25</v>
      </c>
      <c r="N1587" s="8" t="s">
        <v>58</v>
      </c>
      <c r="O1587" s="8" t="s">
        <v>59</v>
      </c>
      <c r="P1587" s="8" t="s">
        <v>59</v>
      </c>
      <c r="R1587" s="8">
        <v>0</v>
      </c>
      <c r="S1587" s="8">
        <v>0</v>
      </c>
      <c r="T1587" s="8">
        <v>1</v>
      </c>
      <c r="U1587" s="8">
        <v>2</v>
      </c>
      <c r="AG1587" s="8" t="str">
        <f t="shared" si="97"/>
        <v/>
      </c>
      <c r="AI1587" s="8" t="str">
        <f t="shared" si="98"/>
        <v/>
      </c>
      <c r="AJ1587" s="8" t="str">
        <f t="shared" si="99"/>
        <v/>
      </c>
      <c r="AL1587" s="8" t="str">
        <f t="shared" si="100"/>
        <v/>
      </c>
    </row>
    <row r="1588" spans="1:38" x14ac:dyDescent="0.25">
      <c r="A1588" s="8" t="s">
        <v>3813</v>
      </c>
      <c r="B1588" s="8" t="s">
        <v>3814</v>
      </c>
      <c r="C1588" s="8">
        <v>30864533</v>
      </c>
      <c r="D1588" s="8">
        <v>4</v>
      </c>
      <c r="E1588" s="11">
        <v>43110</v>
      </c>
      <c r="F1588" s="8" t="s">
        <v>58</v>
      </c>
      <c r="G1588" s="11">
        <v>43111</v>
      </c>
      <c r="H1588" s="8" t="s">
        <v>25</v>
      </c>
      <c r="I1588" s="11">
        <v>43111</v>
      </c>
      <c r="J1588" s="8" t="s">
        <v>25</v>
      </c>
      <c r="N1588" s="8" t="s">
        <v>58</v>
      </c>
      <c r="O1588" s="8" t="s">
        <v>59</v>
      </c>
      <c r="P1588" s="8" t="s">
        <v>59</v>
      </c>
      <c r="R1588" s="8">
        <v>0</v>
      </c>
      <c r="S1588" s="8">
        <v>0</v>
      </c>
      <c r="T1588" s="8">
        <v>1</v>
      </c>
      <c r="U1588" s="8">
        <v>2</v>
      </c>
      <c r="X1588" s="8">
        <v>5</v>
      </c>
      <c r="AG1588" s="8" t="str">
        <f t="shared" si="97"/>
        <v/>
      </c>
      <c r="AI1588" s="8" t="str">
        <f t="shared" si="98"/>
        <v/>
      </c>
      <c r="AJ1588" s="8" t="str">
        <f t="shared" si="99"/>
        <v/>
      </c>
      <c r="AL1588" s="8" t="str">
        <f t="shared" si="100"/>
        <v/>
      </c>
    </row>
    <row r="1589" spans="1:38" x14ac:dyDescent="0.25">
      <c r="A1589" s="8" t="s">
        <v>5351</v>
      </c>
      <c r="B1589" s="8" t="s">
        <v>5352</v>
      </c>
      <c r="C1589" s="8">
        <v>30894259</v>
      </c>
      <c r="D1589" s="8">
        <v>5</v>
      </c>
      <c r="E1589" s="11">
        <v>43111</v>
      </c>
      <c r="F1589" s="8" t="s">
        <v>57</v>
      </c>
      <c r="G1589" s="11">
        <v>43112</v>
      </c>
      <c r="H1589" s="8" t="s">
        <v>25</v>
      </c>
      <c r="J1589" s="8" t="s">
        <v>25</v>
      </c>
      <c r="N1589" s="8" t="s">
        <v>58</v>
      </c>
      <c r="O1589" s="8" t="s">
        <v>59</v>
      </c>
      <c r="P1589" s="8" t="s">
        <v>59</v>
      </c>
      <c r="R1589" s="8">
        <v>0</v>
      </c>
      <c r="S1589" s="8">
        <v>0</v>
      </c>
      <c r="T1589" s="8">
        <v>1</v>
      </c>
      <c r="U1589" s="8">
        <v>2</v>
      </c>
      <c r="AG1589" s="8" t="str">
        <f t="shared" si="97"/>
        <v/>
      </c>
      <c r="AI1589" s="8" t="str">
        <f t="shared" si="98"/>
        <v/>
      </c>
      <c r="AJ1589" s="8" t="str">
        <f t="shared" si="99"/>
        <v/>
      </c>
      <c r="AL1589" s="8" t="str">
        <f t="shared" si="100"/>
        <v/>
      </c>
    </row>
    <row r="1590" spans="1:38" x14ac:dyDescent="0.25">
      <c r="A1590" s="8" t="s">
        <v>2252</v>
      </c>
      <c r="B1590" s="8" t="s">
        <v>2253</v>
      </c>
      <c r="C1590" s="8">
        <v>30836209</v>
      </c>
      <c r="D1590" s="8">
        <v>5</v>
      </c>
      <c r="E1590" s="11">
        <v>43109</v>
      </c>
      <c r="F1590" s="8" t="s">
        <v>57</v>
      </c>
      <c r="G1590" s="11">
        <v>43110</v>
      </c>
      <c r="H1590" s="8" t="s">
        <v>25</v>
      </c>
      <c r="J1590" s="8" t="s">
        <v>25</v>
      </c>
      <c r="N1590" s="8" t="s">
        <v>58</v>
      </c>
      <c r="O1590" s="8" t="s">
        <v>59</v>
      </c>
      <c r="P1590" s="8" t="s">
        <v>59</v>
      </c>
      <c r="R1590" s="8">
        <v>0</v>
      </c>
      <c r="S1590" s="8">
        <v>0</v>
      </c>
      <c r="T1590" s="8">
        <v>1</v>
      </c>
      <c r="U1590" s="8">
        <v>2</v>
      </c>
      <c r="AG1590" s="8" t="str">
        <f t="shared" si="97"/>
        <v/>
      </c>
      <c r="AI1590" s="8" t="str">
        <f t="shared" si="98"/>
        <v/>
      </c>
      <c r="AJ1590" s="8" t="str">
        <f t="shared" si="99"/>
        <v/>
      </c>
      <c r="AL1590" s="8" t="str">
        <f t="shared" si="100"/>
        <v/>
      </c>
    </row>
    <row r="1591" spans="1:38" x14ac:dyDescent="0.25">
      <c r="A1591" s="8" t="s">
        <v>3815</v>
      </c>
      <c r="B1591" s="8" t="s">
        <v>3816</v>
      </c>
      <c r="C1591" s="8">
        <v>30862002</v>
      </c>
      <c r="D1591" s="8">
        <v>5</v>
      </c>
      <c r="E1591" s="11">
        <v>43110</v>
      </c>
      <c r="F1591" s="8" t="s">
        <v>57</v>
      </c>
      <c r="G1591" s="11">
        <v>43111</v>
      </c>
      <c r="H1591" s="8" t="s">
        <v>25</v>
      </c>
      <c r="J1591" s="8" t="s">
        <v>25</v>
      </c>
      <c r="N1591" s="8" t="s">
        <v>58</v>
      </c>
      <c r="O1591" s="8" t="s">
        <v>59</v>
      </c>
      <c r="P1591" s="8" t="s">
        <v>59</v>
      </c>
      <c r="R1591" s="8">
        <v>0</v>
      </c>
      <c r="S1591" s="8">
        <v>0</v>
      </c>
      <c r="T1591" s="8">
        <v>1</v>
      </c>
      <c r="U1591" s="8">
        <v>2</v>
      </c>
      <c r="AG1591" s="8" t="str">
        <f t="shared" si="97"/>
        <v/>
      </c>
      <c r="AI1591" s="8" t="str">
        <f t="shared" si="98"/>
        <v/>
      </c>
      <c r="AJ1591" s="8" t="str">
        <f t="shared" si="99"/>
        <v/>
      </c>
      <c r="AL1591" s="8" t="str">
        <f t="shared" si="100"/>
        <v/>
      </c>
    </row>
    <row r="1592" spans="1:38" x14ac:dyDescent="0.25">
      <c r="A1592" s="8" t="s">
        <v>7183</v>
      </c>
      <c r="B1592" s="8" t="s">
        <v>7184</v>
      </c>
      <c r="C1592" s="8">
        <v>30912786</v>
      </c>
      <c r="D1592" s="8">
        <v>3</v>
      </c>
      <c r="E1592" s="11">
        <v>43112</v>
      </c>
      <c r="F1592" s="8" t="s">
        <v>57</v>
      </c>
      <c r="G1592" s="11">
        <v>43115</v>
      </c>
      <c r="H1592" s="8" t="s">
        <v>25</v>
      </c>
      <c r="J1592" s="8" t="s">
        <v>25</v>
      </c>
      <c r="N1592" s="8" t="s">
        <v>58</v>
      </c>
      <c r="O1592" s="8" t="s">
        <v>59</v>
      </c>
      <c r="P1592" s="8" t="s">
        <v>59</v>
      </c>
      <c r="R1592" s="8">
        <v>0</v>
      </c>
      <c r="S1592" s="8">
        <v>0</v>
      </c>
      <c r="T1592" s="8">
        <v>1</v>
      </c>
      <c r="U1592" s="8">
        <v>2</v>
      </c>
      <c r="AG1592" s="8" t="str">
        <f t="shared" si="97"/>
        <v/>
      </c>
      <c r="AI1592" s="8" t="str">
        <f t="shared" si="98"/>
        <v/>
      </c>
      <c r="AJ1592" s="8" t="str">
        <f t="shared" si="99"/>
        <v/>
      </c>
      <c r="AL1592" s="8" t="str">
        <f t="shared" si="100"/>
        <v/>
      </c>
    </row>
    <row r="1593" spans="1:38" x14ac:dyDescent="0.25">
      <c r="A1593" s="8" t="s">
        <v>2254</v>
      </c>
      <c r="B1593" s="8" t="s">
        <v>2255</v>
      </c>
      <c r="C1593" s="8">
        <v>30864687</v>
      </c>
      <c r="D1593" s="8">
        <v>5</v>
      </c>
      <c r="E1593" s="11">
        <v>43110</v>
      </c>
      <c r="F1593" s="8" t="s">
        <v>58</v>
      </c>
      <c r="G1593" s="11">
        <v>43110</v>
      </c>
      <c r="H1593" s="8" t="s">
        <v>25</v>
      </c>
      <c r="I1593" s="11">
        <v>43111</v>
      </c>
      <c r="J1593" s="8" t="s">
        <v>25</v>
      </c>
      <c r="N1593" s="8" t="s">
        <v>58</v>
      </c>
      <c r="O1593" s="8" t="s">
        <v>59</v>
      </c>
      <c r="P1593" s="8" t="s">
        <v>59</v>
      </c>
      <c r="R1593" s="8">
        <v>0</v>
      </c>
      <c r="S1593" s="8">
        <v>0</v>
      </c>
      <c r="T1593" s="8">
        <v>1</v>
      </c>
      <c r="U1593" s="8">
        <v>2</v>
      </c>
      <c r="X1593" s="8">
        <v>5</v>
      </c>
      <c r="AG1593" s="8" t="str">
        <f t="shared" si="97"/>
        <v/>
      </c>
      <c r="AI1593" s="8" t="str">
        <f t="shared" si="98"/>
        <v/>
      </c>
      <c r="AJ1593" s="8" t="str">
        <f t="shared" si="99"/>
        <v/>
      </c>
      <c r="AL1593" s="8" t="str">
        <f t="shared" si="100"/>
        <v/>
      </c>
    </row>
    <row r="1594" spans="1:38" x14ac:dyDescent="0.25">
      <c r="A1594" s="8" t="s">
        <v>5353</v>
      </c>
      <c r="B1594" s="8" t="s">
        <v>5354</v>
      </c>
      <c r="C1594" s="8">
        <v>30885066</v>
      </c>
      <c r="D1594" s="8">
        <v>5</v>
      </c>
      <c r="E1594" s="11">
        <v>43111</v>
      </c>
      <c r="F1594" s="8" t="s">
        <v>57</v>
      </c>
      <c r="G1594" s="11">
        <v>43112</v>
      </c>
      <c r="H1594" s="8" t="s">
        <v>25</v>
      </c>
      <c r="J1594" s="8" t="s">
        <v>25</v>
      </c>
      <c r="N1594" s="8" t="s">
        <v>58</v>
      </c>
      <c r="O1594" s="8" t="s">
        <v>59</v>
      </c>
      <c r="P1594" s="8" t="s">
        <v>59</v>
      </c>
      <c r="R1594" s="8">
        <v>0</v>
      </c>
      <c r="S1594" s="8">
        <v>0</v>
      </c>
      <c r="T1594" s="8">
        <v>1</v>
      </c>
      <c r="U1594" s="8">
        <v>2</v>
      </c>
      <c r="AG1594" s="8" t="str">
        <f t="shared" si="97"/>
        <v/>
      </c>
      <c r="AI1594" s="8" t="str">
        <f t="shared" si="98"/>
        <v/>
      </c>
      <c r="AJ1594" s="8" t="str">
        <f t="shared" si="99"/>
        <v/>
      </c>
      <c r="AL1594" s="8" t="str">
        <f t="shared" si="100"/>
        <v/>
      </c>
    </row>
    <row r="1595" spans="1:38" x14ac:dyDescent="0.25">
      <c r="A1595" s="8" t="s">
        <v>2256</v>
      </c>
      <c r="B1595" s="8" t="s">
        <v>2257</v>
      </c>
      <c r="C1595" s="8">
        <v>30807039</v>
      </c>
      <c r="D1595" s="8">
        <v>5</v>
      </c>
      <c r="E1595" s="11">
        <v>43108</v>
      </c>
      <c r="F1595" s="8" t="s">
        <v>57</v>
      </c>
      <c r="G1595" s="11">
        <v>43110</v>
      </c>
      <c r="H1595" s="8" t="s">
        <v>25</v>
      </c>
      <c r="J1595" s="8" t="s">
        <v>25</v>
      </c>
      <c r="N1595" s="8" t="s">
        <v>58</v>
      </c>
      <c r="O1595" s="8" t="s">
        <v>59</v>
      </c>
      <c r="P1595" s="8" t="s">
        <v>59</v>
      </c>
      <c r="R1595" s="8">
        <v>0</v>
      </c>
      <c r="S1595" s="8">
        <v>0</v>
      </c>
      <c r="T1595" s="8">
        <v>1</v>
      </c>
      <c r="U1595" s="8">
        <v>2</v>
      </c>
      <c r="AG1595" s="8" t="str">
        <f t="shared" si="97"/>
        <v/>
      </c>
      <c r="AI1595" s="8" t="str">
        <f t="shared" si="98"/>
        <v/>
      </c>
      <c r="AJ1595" s="8" t="str">
        <f t="shared" si="99"/>
        <v/>
      </c>
      <c r="AL1595" s="8" t="str">
        <f t="shared" si="100"/>
        <v/>
      </c>
    </row>
    <row r="1596" spans="1:38" x14ac:dyDescent="0.25">
      <c r="A1596" s="8" t="s">
        <v>3817</v>
      </c>
      <c r="B1596" s="8" t="s">
        <v>3818</v>
      </c>
      <c r="C1596" s="8">
        <v>30865207</v>
      </c>
      <c r="D1596" s="8">
        <v>5</v>
      </c>
      <c r="E1596" s="11">
        <v>43110</v>
      </c>
      <c r="F1596" s="8" t="s">
        <v>57</v>
      </c>
      <c r="G1596" s="11">
        <v>43111</v>
      </c>
      <c r="H1596" s="8" t="s">
        <v>25</v>
      </c>
      <c r="J1596" s="8" t="s">
        <v>25</v>
      </c>
      <c r="N1596" s="8" t="s">
        <v>58</v>
      </c>
      <c r="O1596" s="8" t="s">
        <v>59</v>
      </c>
      <c r="P1596" s="8" t="s">
        <v>59</v>
      </c>
      <c r="R1596" s="8">
        <v>0</v>
      </c>
      <c r="S1596" s="8">
        <v>0</v>
      </c>
      <c r="T1596" s="8">
        <v>1</v>
      </c>
      <c r="U1596" s="8">
        <v>2</v>
      </c>
      <c r="AG1596" s="8" t="str">
        <f t="shared" si="97"/>
        <v/>
      </c>
      <c r="AI1596" s="8" t="str">
        <f t="shared" si="98"/>
        <v/>
      </c>
      <c r="AJ1596" s="8" t="str">
        <f t="shared" si="99"/>
        <v/>
      </c>
      <c r="AL1596" s="8" t="str">
        <f t="shared" si="100"/>
        <v/>
      </c>
    </row>
    <row r="1597" spans="1:38" x14ac:dyDescent="0.25">
      <c r="A1597" s="8" t="s">
        <v>7185</v>
      </c>
      <c r="B1597" s="8" t="s">
        <v>7186</v>
      </c>
      <c r="C1597" s="8">
        <v>30928510</v>
      </c>
      <c r="D1597" s="8">
        <v>5</v>
      </c>
      <c r="E1597" s="11">
        <v>43114</v>
      </c>
      <c r="F1597" s="8" t="s">
        <v>57</v>
      </c>
      <c r="G1597" s="11">
        <v>43115</v>
      </c>
      <c r="H1597" s="8" t="s">
        <v>25</v>
      </c>
      <c r="J1597" s="8" t="s">
        <v>25</v>
      </c>
      <c r="N1597" s="8" t="s">
        <v>58</v>
      </c>
      <c r="O1597" s="8" t="s">
        <v>59</v>
      </c>
      <c r="P1597" s="8" t="s">
        <v>59</v>
      </c>
      <c r="R1597" s="8">
        <v>0</v>
      </c>
      <c r="S1597" s="8">
        <v>0</v>
      </c>
      <c r="T1597" s="8">
        <v>1</v>
      </c>
      <c r="U1597" s="8">
        <v>2</v>
      </c>
      <c r="AG1597" s="8" t="str">
        <f t="shared" si="97"/>
        <v/>
      </c>
      <c r="AI1597" s="8" t="str">
        <f t="shared" si="98"/>
        <v/>
      </c>
      <c r="AJ1597" s="8" t="str">
        <f t="shared" si="99"/>
        <v/>
      </c>
      <c r="AL1597" s="8" t="str">
        <f t="shared" si="100"/>
        <v/>
      </c>
    </row>
    <row r="1598" spans="1:38" x14ac:dyDescent="0.25">
      <c r="A1598" s="8" t="s">
        <v>7187</v>
      </c>
      <c r="B1598" s="8" t="s">
        <v>7188</v>
      </c>
      <c r="C1598" s="8">
        <v>30917004</v>
      </c>
      <c r="D1598" s="8">
        <v>5</v>
      </c>
      <c r="E1598" s="11">
        <v>43112</v>
      </c>
      <c r="F1598" s="8" t="s">
        <v>57</v>
      </c>
      <c r="G1598" s="11">
        <v>43115</v>
      </c>
      <c r="H1598" s="8" t="s">
        <v>25</v>
      </c>
      <c r="J1598" s="8" t="s">
        <v>25</v>
      </c>
      <c r="N1598" s="8" t="s">
        <v>58</v>
      </c>
      <c r="O1598" s="8" t="s">
        <v>59</v>
      </c>
      <c r="P1598" s="8" t="s">
        <v>59</v>
      </c>
      <c r="R1598" s="8">
        <v>0</v>
      </c>
      <c r="S1598" s="8">
        <v>0</v>
      </c>
      <c r="T1598" s="8">
        <v>1</v>
      </c>
      <c r="U1598" s="8">
        <v>2</v>
      </c>
      <c r="AG1598" s="8" t="str">
        <f t="shared" si="97"/>
        <v/>
      </c>
      <c r="AI1598" s="8" t="str">
        <f t="shared" si="98"/>
        <v/>
      </c>
      <c r="AJ1598" s="8" t="str">
        <f t="shared" si="99"/>
        <v/>
      </c>
      <c r="AL1598" s="8" t="str">
        <f t="shared" si="100"/>
        <v/>
      </c>
    </row>
    <row r="1599" spans="1:38" x14ac:dyDescent="0.25">
      <c r="A1599" s="8" t="s">
        <v>3819</v>
      </c>
      <c r="B1599" s="8" t="s">
        <v>3820</v>
      </c>
      <c r="C1599" s="8">
        <v>30862242</v>
      </c>
      <c r="D1599" s="8">
        <v>5</v>
      </c>
      <c r="E1599" s="11">
        <v>43110</v>
      </c>
      <c r="F1599" s="8" t="s">
        <v>58</v>
      </c>
      <c r="G1599" s="11">
        <v>43111</v>
      </c>
      <c r="H1599" s="8" t="s">
        <v>25</v>
      </c>
      <c r="I1599" s="11">
        <v>43115</v>
      </c>
      <c r="J1599" s="8" t="s">
        <v>25</v>
      </c>
      <c r="N1599" s="8" t="s">
        <v>58</v>
      </c>
      <c r="O1599" s="8" t="s">
        <v>59</v>
      </c>
      <c r="P1599" s="8" t="s">
        <v>59</v>
      </c>
      <c r="R1599" s="8">
        <v>0</v>
      </c>
      <c r="S1599" s="8">
        <v>0</v>
      </c>
      <c r="T1599" s="8">
        <v>1</v>
      </c>
      <c r="U1599" s="8">
        <v>2</v>
      </c>
      <c r="X1599" s="8">
        <v>5</v>
      </c>
      <c r="AG1599" s="8" t="str">
        <f t="shared" si="97"/>
        <v/>
      </c>
      <c r="AI1599" s="8" t="str">
        <f t="shared" si="98"/>
        <v/>
      </c>
      <c r="AJ1599" s="8" t="str">
        <f t="shared" si="99"/>
        <v/>
      </c>
      <c r="AL1599" s="8" t="str">
        <f t="shared" si="100"/>
        <v/>
      </c>
    </row>
    <row r="1600" spans="1:38" x14ac:dyDescent="0.25">
      <c r="A1600" s="8" t="s">
        <v>5355</v>
      </c>
      <c r="B1600" s="8" t="s">
        <v>5356</v>
      </c>
      <c r="C1600" s="8">
        <v>30910972</v>
      </c>
      <c r="D1600" s="8">
        <v>4</v>
      </c>
      <c r="E1600" s="11">
        <v>43112</v>
      </c>
      <c r="F1600" s="8" t="s">
        <v>57</v>
      </c>
      <c r="G1600" s="11">
        <v>43112</v>
      </c>
      <c r="H1600" s="8" t="s">
        <v>25</v>
      </c>
      <c r="J1600" s="8" t="s">
        <v>25</v>
      </c>
      <c r="N1600" s="8" t="s">
        <v>58</v>
      </c>
      <c r="O1600" s="8" t="s">
        <v>59</v>
      </c>
      <c r="P1600" s="8" t="s">
        <v>59</v>
      </c>
      <c r="R1600" s="8">
        <v>0</v>
      </c>
      <c r="S1600" s="8">
        <v>0</v>
      </c>
      <c r="T1600" s="8">
        <v>1</v>
      </c>
      <c r="U1600" s="8">
        <v>2</v>
      </c>
      <c r="AG1600" s="8" t="str">
        <f t="shared" si="97"/>
        <v/>
      </c>
      <c r="AI1600" s="8" t="str">
        <f t="shared" si="98"/>
        <v/>
      </c>
      <c r="AJ1600" s="8" t="str">
        <f t="shared" si="99"/>
        <v/>
      </c>
      <c r="AL1600" s="8" t="str">
        <f t="shared" si="100"/>
        <v/>
      </c>
    </row>
    <row r="1601" spans="1:38" x14ac:dyDescent="0.25">
      <c r="A1601" s="8" t="s">
        <v>2258</v>
      </c>
      <c r="B1601" s="8" t="s">
        <v>2259</v>
      </c>
      <c r="C1601" s="8">
        <v>30865013</v>
      </c>
      <c r="D1601" s="8">
        <v>5</v>
      </c>
      <c r="E1601" s="11">
        <v>43110</v>
      </c>
      <c r="F1601" s="8" t="s">
        <v>57</v>
      </c>
      <c r="G1601" s="11">
        <v>43110</v>
      </c>
      <c r="H1601" s="8" t="s">
        <v>25</v>
      </c>
      <c r="J1601" s="8" t="s">
        <v>25</v>
      </c>
      <c r="N1601" s="8" t="s">
        <v>58</v>
      </c>
      <c r="O1601" s="8" t="s">
        <v>59</v>
      </c>
      <c r="P1601" s="8" t="s">
        <v>59</v>
      </c>
      <c r="R1601" s="8">
        <v>0</v>
      </c>
      <c r="S1601" s="8">
        <v>0</v>
      </c>
      <c r="T1601" s="8">
        <v>1</v>
      </c>
      <c r="U1601" s="8">
        <v>2</v>
      </c>
      <c r="AG1601" s="8" t="str">
        <f t="shared" si="97"/>
        <v/>
      </c>
      <c r="AI1601" s="8" t="str">
        <f t="shared" si="98"/>
        <v/>
      </c>
      <c r="AJ1601" s="8" t="str">
        <f t="shared" si="99"/>
        <v/>
      </c>
      <c r="AL1601" s="8" t="str">
        <f t="shared" si="100"/>
        <v/>
      </c>
    </row>
    <row r="1602" spans="1:38" x14ac:dyDescent="0.25">
      <c r="A1602" s="8" t="s">
        <v>422</v>
      </c>
      <c r="B1602" s="8" t="s">
        <v>423</v>
      </c>
      <c r="C1602" s="8">
        <v>30818962</v>
      </c>
      <c r="D1602" s="8">
        <v>5</v>
      </c>
      <c r="E1602" s="11">
        <v>43108</v>
      </c>
      <c r="F1602" s="8" t="s">
        <v>60</v>
      </c>
      <c r="G1602" s="11">
        <v>43108</v>
      </c>
      <c r="H1602" s="8" t="s">
        <v>25</v>
      </c>
      <c r="J1602" s="8" t="s">
        <v>25</v>
      </c>
      <c r="L1602" s="8" t="s">
        <v>1662</v>
      </c>
      <c r="N1602" s="8" t="s">
        <v>58</v>
      </c>
      <c r="O1602" s="8" t="s">
        <v>59</v>
      </c>
      <c r="P1602" s="8" t="s">
        <v>59</v>
      </c>
      <c r="R1602" s="8">
        <v>0</v>
      </c>
      <c r="S1602" s="8">
        <v>0</v>
      </c>
      <c r="T1602" s="8">
        <v>1</v>
      </c>
      <c r="U1602" s="8">
        <v>2</v>
      </c>
      <c r="W1602" s="8">
        <v>4</v>
      </c>
      <c r="AG1602" s="8" t="str">
        <f t="shared" si="97"/>
        <v/>
      </c>
      <c r="AI1602" s="8" t="str">
        <f t="shared" si="98"/>
        <v/>
      </c>
      <c r="AJ1602" s="8" t="str">
        <f t="shared" si="99"/>
        <v/>
      </c>
      <c r="AL1602" s="8" t="str">
        <f t="shared" si="100"/>
        <v/>
      </c>
    </row>
    <row r="1603" spans="1:38" x14ac:dyDescent="0.25">
      <c r="A1603" s="8" t="s">
        <v>7189</v>
      </c>
      <c r="B1603" s="8" t="s">
        <v>7190</v>
      </c>
      <c r="C1603" s="8">
        <v>30929559</v>
      </c>
      <c r="D1603" s="8">
        <v>5</v>
      </c>
      <c r="E1603" s="11">
        <v>43115</v>
      </c>
      <c r="F1603" s="8" t="s">
        <v>57</v>
      </c>
      <c r="G1603" s="11">
        <v>43115</v>
      </c>
      <c r="H1603" s="8" t="s">
        <v>25</v>
      </c>
      <c r="J1603" s="8" t="s">
        <v>25</v>
      </c>
      <c r="N1603" s="8" t="s">
        <v>58</v>
      </c>
      <c r="O1603" s="8" t="s">
        <v>59</v>
      </c>
      <c r="P1603" s="8" t="s">
        <v>59</v>
      </c>
      <c r="R1603" s="8">
        <v>0</v>
      </c>
      <c r="S1603" s="8">
        <v>0</v>
      </c>
      <c r="T1603" s="8">
        <v>1</v>
      </c>
      <c r="U1603" s="8">
        <v>2</v>
      </c>
      <c r="AG1603" s="8" t="str">
        <f t="shared" ref="AG1603:AG1666" si="101">IF(AND(U1603="",G1603&lt;&gt;"",NOT(OR(R1603,S1603))),IF(NETWORKDAYS.INTL(G1603,TODAY(),11)&lt;5,"En Plazo",IF(NETWORKDAYS.INTL(G1603,TODAY(),11)=5,"Riesgo Incumplimiento","FALTA_02")),"")</f>
        <v/>
      </c>
      <c r="AI1603" s="8" t="str">
        <f t="shared" ref="AI1603:AI1666" si="102">IF(AND(O1603&lt;&gt;"B1",F1603="Rejected"),IF(W1603="","FALTA_04",""),"")</f>
        <v/>
      </c>
      <c r="AJ1603" s="8" t="str">
        <f t="shared" ref="AJ1603:AJ1666" si="103">IF(AND(X1603="",I1603&lt;&gt;"",NOT(OR(R1603,S1603))),IF(NETWORKDAYS.INTL(G1603,TODAY(),11)&lt;=1,"En Plazo",IF(OR(AND(X1603="",O1603&lt;&gt;"M1"),AND(O1603="M1",(OR(Q1603="S - S",Q1603="S - T",)))),"FALTA_05","")),"")</f>
        <v/>
      </c>
      <c r="AL1603" s="8" t="str">
        <f t="shared" ref="AL1603:AL1666" si="104">IF(AND(O1603="B1",F1603="Rejected"),IF(Z1603="","FALTA_07",""),"")</f>
        <v/>
      </c>
    </row>
    <row r="1604" spans="1:38" x14ac:dyDescent="0.25">
      <c r="A1604" s="8" t="s">
        <v>3821</v>
      </c>
      <c r="B1604" s="8" t="s">
        <v>3822</v>
      </c>
      <c r="C1604" s="8">
        <v>30847965</v>
      </c>
      <c r="D1604" s="8">
        <v>5</v>
      </c>
      <c r="E1604" s="11">
        <v>43109</v>
      </c>
      <c r="F1604" s="8" t="s">
        <v>57</v>
      </c>
      <c r="G1604" s="11">
        <v>43111</v>
      </c>
      <c r="H1604" s="8" t="s">
        <v>25</v>
      </c>
      <c r="J1604" s="8" t="s">
        <v>25</v>
      </c>
      <c r="N1604" s="8" t="s">
        <v>58</v>
      </c>
      <c r="O1604" s="8" t="s">
        <v>59</v>
      </c>
      <c r="P1604" s="8" t="s">
        <v>59</v>
      </c>
      <c r="R1604" s="8">
        <v>0</v>
      </c>
      <c r="S1604" s="8">
        <v>0</v>
      </c>
      <c r="T1604" s="8">
        <v>1</v>
      </c>
      <c r="U1604" s="8">
        <v>2</v>
      </c>
      <c r="AG1604" s="8" t="str">
        <f t="shared" si="101"/>
        <v/>
      </c>
      <c r="AI1604" s="8" t="str">
        <f t="shared" si="102"/>
        <v/>
      </c>
      <c r="AJ1604" s="8" t="str">
        <f t="shared" si="103"/>
        <v/>
      </c>
      <c r="AL1604" s="8" t="str">
        <f t="shared" si="104"/>
        <v/>
      </c>
    </row>
    <row r="1605" spans="1:38" x14ac:dyDescent="0.25">
      <c r="A1605" s="8" t="s">
        <v>1167</v>
      </c>
      <c r="B1605" s="8" t="s">
        <v>1168</v>
      </c>
      <c r="C1605" s="8">
        <v>30818660</v>
      </c>
      <c r="D1605" s="8">
        <v>4</v>
      </c>
      <c r="E1605" s="11">
        <v>43108</v>
      </c>
      <c r="F1605" s="8" t="s">
        <v>57</v>
      </c>
      <c r="G1605" s="11">
        <v>43109</v>
      </c>
      <c r="H1605" s="8" t="s">
        <v>25</v>
      </c>
      <c r="J1605" s="8" t="s">
        <v>25</v>
      </c>
      <c r="N1605" s="8" t="s">
        <v>58</v>
      </c>
      <c r="O1605" s="8" t="s">
        <v>59</v>
      </c>
      <c r="P1605" s="8" t="s">
        <v>59</v>
      </c>
      <c r="R1605" s="8">
        <v>0</v>
      </c>
      <c r="S1605" s="8">
        <v>0</v>
      </c>
      <c r="T1605" s="8">
        <v>1</v>
      </c>
      <c r="U1605" s="8">
        <v>2</v>
      </c>
      <c r="AG1605" s="8" t="str">
        <f t="shared" si="101"/>
        <v/>
      </c>
      <c r="AI1605" s="8" t="str">
        <f t="shared" si="102"/>
        <v/>
      </c>
      <c r="AJ1605" s="8" t="str">
        <f t="shared" si="103"/>
        <v/>
      </c>
      <c r="AL1605" s="8" t="str">
        <f t="shared" si="104"/>
        <v/>
      </c>
    </row>
    <row r="1606" spans="1:38" x14ac:dyDescent="0.25">
      <c r="A1606" s="8" t="s">
        <v>5357</v>
      </c>
      <c r="B1606" s="8" t="s">
        <v>5358</v>
      </c>
      <c r="C1606" s="8">
        <v>30891820</v>
      </c>
      <c r="D1606" s="8">
        <v>5</v>
      </c>
      <c r="E1606" s="11">
        <v>43111</v>
      </c>
      <c r="F1606" s="8" t="s">
        <v>57</v>
      </c>
      <c r="G1606" s="11">
        <v>43112</v>
      </c>
      <c r="H1606" s="8" t="s">
        <v>25</v>
      </c>
      <c r="J1606" s="8" t="s">
        <v>25</v>
      </c>
      <c r="N1606" s="8" t="s">
        <v>58</v>
      </c>
      <c r="O1606" s="8" t="s">
        <v>59</v>
      </c>
      <c r="P1606" s="8" t="s">
        <v>59</v>
      </c>
      <c r="R1606" s="8">
        <v>0</v>
      </c>
      <c r="S1606" s="8">
        <v>0</v>
      </c>
      <c r="T1606" s="8">
        <v>1</v>
      </c>
      <c r="U1606" s="8">
        <v>2</v>
      </c>
      <c r="AG1606" s="8" t="str">
        <f t="shared" si="101"/>
        <v/>
      </c>
      <c r="AI1606" s="8" t="str">
        <f t="shared" si="102"/>
        <v/>
      </c>
      <c r="AJ1606" s="8" t="str">
        <f t="shared" si="103"/>
        <v/>
      </c>
      <c r="AL1606" s="8" t="str">
        <f t="shared" si="104"/>
        <v/>
      </c>
    </row>
    <row r="1607" spans="1:38" x14ac:dyDescent="0.25">
      <c r="A1607" s="8" t="s">
        <v>7191</v>
      </c>
      <c r="B1607" s="8" t="s">
        <v>7192</v>
      </c>
      <c r="C1607" s="8">
        <v>30913178</v>
      </c>
      <c r="D1607" s="8">
        <v>5</v>
      </c>
      <c r="E1607" s="11">
        <v>43112</v>
      </c>
      <c r="F1607" s="8" t="s">
        <v>57</v>
      </c>
      <c r="G1607" s="11">
        <v>43115</v>
      </c>
      <c r="H1607" s="8" t="s">
        <v>25</v>
      </c>
      <c r="J1607" s="8" t="s">
        <v>25</v>
      </c>
      <c r="N1607" s="8" t="s">
        <v>58</v>
      </c>
      <c r="O1607" s="8" t="s">
        <v>59</v>
      </c>
      <c r="P1607" s="8" t="s">
        <v>59</v>
      </c>
      <c r="R1607" s="8">
        <v>0</v>
      </c>
      <c r="S1607" s="8">
        <v>0</v>
      </c>
      <c r="T1607" s="8">
        <v>1</v>
      </c>
      <c r="U1607" s="8">
        <v>2</v>
      </c>
      <c r="AG1607" s="8" t="str">
        <f t="shared" si="101"/>
        <v/>
      </c>
      <c r="AI1607" s="8" t="str">
        <f t="shared" si="102"/>
        <v/>
      </c>
      <c r="AJ1607" s="8" t="str">
        <f t="shared" si="103"/>
        <v/>
      </c>
      <c r="AL1607" s="8" t="str">
        <f t="shared" si="104"/>
        <v/>
      </c>
    </row>
    <row r="1608" spans="1:38" x14ac:dyDescent="0.25">
      <c r="A1608" s="8" t="s">
        <v>2260</v>
      </c>
      <c r="B1608" s="8" t="s">
        <v>2261</v>
      </c>
      <c r="C1608" s="8">
        <v>30856589</v>
      </c>
      <c r="D1608" s="8">
        <v>5</v>
      </c>
      <c r="E1608" s="11">
        <v>43110</v>
      </c>
      <c r="F1608" s="8" t="s">
        <v>57</v>
      </c>
      <c r="G1608" s="11">
        <v>43110</v>
      </c>
      <c r="H1608" s="8" t="s">
        <v>25</v>
      </c>
      <c r="J1608" s="8" t="s">
        <v>25</v>
      </c>
      <c r="N1608" s="8" t="s">
        <v>58</v>
      </c>
      <c r="O1608" s="8" t="s">
        <v>59</v>
      </c>
      <c r="P1608" s="8" t="s">
        <v>59</v>
      </c>
      <c r="R1608" s="8">
        <v>0</v>
      </c>
      <c r="S1608" s="8">
        <v>0</v>
      </c>
      <c r="T1608" s="8">
        <v>1</v>
      </c>
      <c r="U1608" s="8">
        <v>2</v>
      </c>
      <c r="AG1608" s="8" t="str">
        <f t="shared" si="101"/>
        <v/>
      </c>
      <c r="AI1608" s="8" t="str">
        <f t="shared" si="102"/>
        <v/>
      </c>
      <c r="AJ1608" s="8" t="str">
        <f t="shared" si="103"/>
        <v/>
      </c>
      <c r="AL1608" s="8" t="str">
        <f t="shared" si="104"/>
        <v/>
      </c>
    </row>
    <row r="1609" spans="1:38" x14ac:dyDescent="0.25">
      <c r="A1609" s="8" t="s">
        <v>424</v>
      </c>
      <c r="B1609" s="8" t="s">
        <v>425</v>
      </c>
      <c r="C1609" s="8">
        <v>30818389</v>
      </c>
      <c r="D1609" s="8">
        <v>5</v>
      </c>
      <c r="E1609" s="11">
        <v>43108</v>
      </c>
      <c r="F1609" s="8" t="s">
        <v>58</v>
      </c>
      <c r="G1609" s="11">
        <v>43108</v>
      </c>
      <c r="H1609" s="8" t="s">
        <v>25</v>
      </c>
      <c r="I1609" s="11">
        <v>43115</v>
      </c>
      <c r="J1609" s="8" t="s">
        <v>856</v>
      </c>
      <c r="N1609" s="8" t="s">
        <v>58</v>
      </c>
      <c r="O1609" s="8" t="s">
        <v>59</v>
      </c>
      <c r="P1609" s="8" t="s">
        <v>59</v>
      </c>
      <c r="R1609" s="8">
        <v>0</v>
      </c>
      <c r="S1609" s="8">
        <v>0</v>
      </c>
      <c r="T1609" s="8">
        <v>1</v>
      </c>
      <c r="U1609" s="8">
        <v>2</v>
      </c>
      <c r="X1609" s="8">
        <v>5</v>
      </c>
      <c r="AG1609" s="8" t="str">
        <f t="shared" si="101"/>
        <v/>
      </c>
      <c r="AI1609" s="8" t="str">
        <f t="shared" si="102"/>
        <v/>
      </c>
      <c r="AJ1609" s="8" t="str">
        <f t="shared" si="103"/>
        <v/>
      </c>
      <c r="AL1609" s="8" t="str">
        <f t="shared" si="104"/>
        <v/>
      </c>
    </row>
    <row r="1610" spans="1:38" x14ac:dyDescent="0.25">
      <c r="A1610" s="8" t="s">
        <v>3823</v>
      </c>
      <c r="B1610" s="8" t="s">
        <v>3824</v>
      </c>
      <c r="C1610" s="8">
        <v>30852679</v>
      </c>
      <c r="D1610" s="8">
        <v>5</v>
      </c>
      <c r="E1610" s="11">
        <v>43109</v>
      </c>
      <c r="F1610" s="8" t="s">
        <v>58</v>
      </c>
      <c r="G1610" s="11">
        <v>43111</v>
      </c>
      <c r="H1610" s="8" t="s">
        <v>25</v>
      </c>
      <c r="I1610" s="11">
        <v>43115</v>
      </c>
      <c r="J1610" s="8" t="s">
        <v>25</v>
      </c>
      <c r="N1610" s="8" t="s">
        <v>58</v>
      </c>
      <c r="O1610" s="8" t="s">
        <v>59</v>
      </c>
      <c r="P1610" s="8" t="s">
        <v>59</v>
      </c>
      <c r="R1610" s="8">
        <v>0</v>
      </c>
      <c r="S1610" s="8">
        <v>0</v>
      </c>
      <c r="T1610" s="8">
        <v>1</v>
      </c>
      <c r="U1610" s="8">
        <v>2</v>
      </c>
      <c r="X1610" s="8">
        <v>5</v>
      </c>
      <c r="AG1610" s="8" t="str">
        <f t="shared" si="101"/>
        <v/>
      </c>
      <c r="AI1610" s="8" t="str">
        <f t="shared" si="102"/>
        <v/>
      </c>
      <c r="AJ1610" s="8" t="str">
        <f t="shared" si="103"/>
        <v/>
      </c>
      <c r="AL1610" s="8" t="str">
        <f t="shared" si="104"/>
        <v/>
      </c>
    </row>
    <row r="1611" spans="1:38" x14ac:dyDescent="0.25">
      <c r="A1611" s="8" t="s">
        <v>5359</v>
      </c>
      <c r="B1611" s="8" t="s">
        <v>5360</v>
      </c>
      <c r="C1611" s="8">
        <v>30919107</v>
      </c>
      <c r="D1611" s="8">
        <v>5</v>
      </c>
      <c r="E1611" s="11">
        <v>43112</v>
      </c>
      <c r="F1611" s="8" t="s">
        <v>57</v>
      </c>
      <c r="G1611" s="11">
        <v>43112</v>
      </c>
      <c r="H1611" s="8" t="s">
        <v>25</v>
      </c>
      <c r="J1611" s="8" t="s">
        <v>25</v>
      </c>
      <c r="N1611" s="8" t="s">
        <v>58</v>
      </c>
      <c r="O1611" s="8" t="s">
        <v>59</v>
      </c>
      <c r="P1611" s="8" t="s">
        <v>59</v>
      </c>
      <c r="R1611" s="8">
        <v>0</v>
      </c>
      <c r="S1611" s="8">
        <v>0</v>
      </c>
      <c r="T1611" s="8">
        <v>1</v>
      </c>
      <c r="U1611" s="8">
        <v>2</v>
      </c>
      <c r="AG1611" s="8" t="str">
        <f t="shared" si="101"/>
        <v/>
      </c>
      <c r="AI1611" s="8" t="str">
        <f t="shared" si="102"/>
        <v/>
      </c>
      <c r="AJ1611" s="8" t="str">
        <f t="shared" si="103"/>
        <v/>
      </c>
      <c r="AL1611" s="8" t="str">
        <f t="shared" si="104"/>
        <v/>
      </c>
    </row>
    <row r="1612" spans="1:38" x14ac:dyDescent="0.25">
      <c r="A1612" s="8" t="s">
        <v>5361</v>
      </c>
      <c r="B1612" s="8" t="s">
        <v>5362</v>
      </c>
      <c r="C1612" s="8">
        <v>30921205</v>
      </c>
      <c r="D1612" s="8">
        <v>5</v>
      </c>
      <c r="E1612" s="11">
        <v>43112</v>
      </c>
      <c r="F1612" s="8" t="s">
        <v>57</v>
      </c>
      <c r="G1612" s="11">
        <v>43112</v>
      </c>
      <c r="H1612" s="8" t="s">
        <v>25</v>
      </c>
      <c r="J1612" s="8" t="s">
        <v>25</v>
      </c>
      <c r="N1612" s="8" t="s">
        <v>58</v>
      </c>
      <c r="O1612" s="8" t="s">
        <v>59</v>
      </c>
      <c r="P1612" s="8" t="s">
        <v>59</v>
      </c>
      <c r="R1612" s="8">
        <v>0</v>
      </c>
      <c r="S1612" s="8">
        <v>0</v>
      </c>
      <c r="T1612" s="8">
        <v>1</v>
      </c>
      <c r="U1612" s="8">
        <v>2</v>
      </c>
      <c r="AG1612" s="8" t="str">
        <f t="shared" si="101"/>
        <v/>
      </c>
      <c r="AI1612" s="8" t="str">
        <f t="shared" si="102"/>
        <v/>
      </c>
      <c r="AJ1612" s="8" t="str">
        <f t="shared" si="103"/>
        <v/>
      </c>
      <c r="AL1612" s="8" t="str">
        <f t="shared" si="104"/>
        <v/>
      </c>
    </row>
    <row r="1613" spans="1:38" x14ac:dyDescent="0.25">
      <c r="A1613" s="8" t="s">
        <v>2262</v>
      </c>
      <c r="B1613" s="8" t="s">
        <v>2263</v>
      </c>
      <c r="C1613" s="8">
        <v>30857045</v>
      </c>
      <c r="D1613" s="8">
        <v>5</v>
      </c>
      <c r="E1613" s="11">
        <v>43110</v>
      </c>
      <c r="F1613" s="8" t="s">
        <v>58</v>
      </c>
      <c r="G1613" s="11">
        <v>43110</v>
      </c>
      <c r="H1613" s="8" t="s">
        <v>25</v>
      </c>
      <c r="I1613" s="11">
        <v>43111</v>
      </c>
      <c r="J1613" s="8" t="s">
        <v>25</v>
      </c>
      <c r="N1613" s="8" t="s">
        <v>58</v>
      </c>
      <c r="O1613" s="8" t="s">
        <v>59</v>
      </c>
      <c r="P1613" s="8" t="s">
        <v>59</v>
      </c>
      <c r="R1613" s="8">
        <v>0</v>
      </c>
      <c r="S1613" s="8">
        <v>0</v>
      </c>
      <c r="T1613" s="8">
        <v>1</v>
      </c>
      <c r="U1613" s="8">
        <v>2</v>
      </c>
      <c r="X1613" s="8">
        <v>5</v>
      </c>
      <c r="AG1613" s="8" t="str">
        <f t="shared" si="101"/>
        <v/>
      </c>
      <c r="AI1613" s="8" t="str">
        <f t="shared" si="102"/>
        <v/>
      </c>
      <c r="AJ1613" s="8" t="str">
        <f t="shared" si="103"/>
        <v/>
      </c>
      <c r="AL1613" s="8" t="str">
        <f t="shared" si="104"/>
        <v/>
      </c>
    </row>
    <row r="1614" spans="1:38" x14ac:dyDescent="0.25">
      <c r="A1614" s="8" t="s">
        <v>5363</v>
      </c>
      <c r="B1614" s="8" t="s">
        <v>5364</v>
      </c>
      <c r="C1614" s="8">
        <v>30876451</v>
      </c>
      <c r="D1614" s="8">
        <v>5</v>
      </c>
      <c r="E1614" s="11">
        <v>43110</v>
      </c>
      <c r="F1614" s="8" t="s">
        <v>57</v>
      </c>
      <c r="G1614" s="11">
        <v>43112</v>
      </c>
      <c r="H1614" s="8" t="s">
        <v>25</v>
      </c>
      <c r="J1614" s="8" t="s">
        <v>25</v>
      </c>
      <c r="N1614" s="8" t="s">
        <v>58</v>
      </c>
      <c r="O1614" s="8" t="s">
        <v>59</v>
      </c>
      <c r="P1614" s="8" t="s">
        <v>59</v>
      </c>
      <c r="R1614" s="8">
        <v>0</v>
      </c>
      <c r="S1614" s="8">
        <v>0</v>
      </c>
      <c r="T1614" s="8">
        <v>1</v>
      </c>
      <c r="U1614" s="8">
        <v>2</v>
      </c>
      <c r="AG1614" s="8" t="str">
        <f t="shared" si="101"/>
        <v/>
      </c>
      <c r="AI1614" s="8" t="str">
        <f t="shared" si="102"/>
        <v/>
      </c>
      <c r="AJ1614" s="8" t="str">
        <f t="shared" si="103"/>
        <v/>
      </c>
      <c r="AL1614" s="8" t="str">
        <f t="shared" si="104"/>
        <v/>
      </c>
    </row>
    <row r="1615" spans="1:38" x14ac:dyDescent="0.25">
      <c r="A1615" s="8" t="s">
        <v>2264</v>
      </c>
      <c r="B1615" s="8" t="s">
        <v>2265</v>
      </c>
      <c r="C1615" s="8">
        <v>30831555</v>
      </c>
      <c r="D1615" s="8">
        <v>5</v>
      </c>
      <c r="E1615" s="11">
        <v>43109</v>
      </c>
      <c r="F1615" s="8" t="s">
        <v>58</v>
      </c>
      <c r="G1615" s="11">
        <v>43110</v>
      </c>
      <c r="H1615" s="8" t="s">
        <v>25</v>
      </c>
      <c r="I1615" s="11">
        <v>43115</v>
      </c>
      <c r="J1615" s="8" t="s">
        <v>145</v>
      </c>
      <c r="N1615" s="8" t="s">
        <v>58</v>
      </c>
      <c r="O1615" s="8" t="s">
        <v>59</v>
      </c>
      <c r="P1615" s="8" t="s">
        <v>59</v>
      </c>
      <c r="R1615" s="8">
        <v>0</v>
      </c>
      <c r="S1615" s="8">
        <v>0</v>
      </c>
      <c r="T1615" s="8">
        <v>1</v>
      </c>
      <c r="U1615" s="8">
        <v>2</v>
      </c>
      <c r="X1615" s="8">
        <v>5</v>
      </c>
      <c r="AG1615" s="8" t="str">
        <f t="shared" si="101"/>
        <v/>
      </c>
      <c r="AI1615" s="8" t="str">
        <f t="shared" si="102"/>
        <v/>
      </c>
      <c r="AJ1615" s="8" t="str">
        <f t="shared" si="103"/>
        <v/>
      </c>
      <c r="AL1615" s="8" t="str">
        <f t="shared" si="104"/>
        <v/>
      </c>
    </row>
    <row r="1616" spans="1:38" x14ac:dyDescent="0.25">
      <c r="A1616" s="8" t="s">
        <v>2266</v>
      </c>
      <c r="B1616" s="8" t="s">
        <v>2267</v>
      </c>
      <c r="C1616" s="8">
        <v>30862442</v>
      </c>
      <c r="D1616" s="8">
        <v>5</v>
      </c>
      <c r="E1616" s="11">
        <v>43110</v>
      </c>
      <c r="F1616" s="8" t="s">
        <v>58</v>
      </c>
      <c r="G1616" s="11">
        <v>43110</v>
      </c>
      <c r="H1616" s="8" t="s">
        <v>25</v>
      </c>
      <c r="I1616" s="11">
        <v>43115</v>
      </c>
      <c r="J1616" s="8" t="s">
        <v>145</v>
      </c>
      <c r="N1616" s="8" t="s">
        <v>58</v>
      </c>
      <c r="O1616" s="8" t="s">
        <v>59</v>
      </c>
      <c r="P1616" s="8" t="s">
        <v>59</v>
      </c>
      <c r="R1616" s="8">
        <v>0</v>
      </c>
      <c r="S1616" s="8">
        <v>0</v>
      </c>
      <c r="T1616" s="8">
        <v>1</v>
      </c>
      <c r="U1616" s="8">
        <v>2</v>
      </c>
      <c r="X1616" s="8">
        <v>5</v>
      </c>
      <c r="AG1616" s="8" t="str">
        <f t="shared" si="101"/>
        <v/>
      </c>
      <c r="AI1616" s="8" t="str">
        <f t="shared" si="102"/>
        <v/>
      </c>
      <c r="AJ1616" s="8" t="str">
        <f t="shared" si="103"/>
        <v/>
      </c>
      <c r="AL1616" s="8" t="str">
        <f t="shared" si="104"/>
        <v/>
      </c>
    </row>
    <row r="1617" spans="1:38" x14ac:dyDescent="0.25">
      <c r="A1617" s="8" t="s">
        <v>2268</v>
      </c>
      <c r="B1617" s="8" t="s">
        <v>2269</v>
      </c>
      <c r="C1617" s="8">
        <v>30836700</v>
      </c>
      <c r="D1617" s="8">
        <v>5</v>
      </c>
      <c r="E1617" s="11">
        <v>43109</v>
      </c>
      <c r="F1617" s="8" t="s">
        <v>57</v>
      </c>
      <c r="G1617" s="11">
        <v>43110</v>
      </c>
      <c r="H1617" s="8" t="s">
        <v>25</v>
      </c>
      <c r="J1617" s="8" t="s">
        <v>25</v>
      </c>
      <c r="N1617" s="8" t="s">
        <v>58</v>
      </c>
      <c r="O1617" s="8" t="s">
        <v>59</v>
      </c>
      <c r="P1617" s="8" t="s">
        <v>59</v>
      </c>
      <c r="R1617" s="8">
        <v>0</v>
      </c>
      <c r="S1617" s="8">
        <v>0</v>
      </c>
      <c r="T1617" s="8">
        <v>1</v>
      </c>
      <c r="U1617" s="8">
        <v>2</v>
      </c>
      <c r="AG1617" s="8" t="str">
        <f t="shared" si="101"/>
        <v/>
      </c>
      <c r="AI1617" s="8" t="str">
        <f t="shared" si="102"/>
        <v/>
      </c>
      <c r="AJ1617" s="8" t="str">
        <f t="shared" si="103"/>
        <v/>
      </c>
      <c r="AL1617" s="8" t="str">
        <f t="shared" si="104"/>
        <v/>
      </c>
    </row>
    <row r="1618" spans="1:38" x14ac:dyDescent="0.25">
      <c r="A1618" s="8" t="s">
        <v>3825</v>
      </c>
      <c r="B1618" s="8" t="s">
        <v>3826</v>
      </c>
      <c r="C1618" s="8">
        <v>30865208</v>
      </c>
      <c r="D1618" s="8">
        <v>5</v>
      </c>
      <c r="E1618" s="11">
        <v>43110</v>
      </c>
      <c r="F1618" s="8" t="s">
        <v>57</v>
      </c>
      <c r="G1618" s="11">
        <v>43111</v>
      </c>
      <c r="H1618" s="8" t="s">
        <v>25</v>
      </c>
      <c r="J1618" s="8" t="s">
        <v>25</v>
      </c>
      <c r="N1618" s="8" t="s">
        <v>58</v>
      </c>
      <c r="O1618" s="8" t="s">
        <v>59</v>
      </c>
      <c r="P1618" s="8" t="s">
        <v>59</v>
      </c>
      <c r="R1618" s="8">
        <v>0</v>
      </c>
      <c r="S1618" s="8">
        <v>0</v>
      </c>
      <c r="T1618" s="8">
        <v>1</v>
      </c>
      <c r="U1618" s="8">
        <v>2</v>
      </c>
      <c r="AG1618" s="8" t="str">
        <f t="shared" si="101"/>
        <v/>
      </c>
      <c r="AI1618" s="8" t="str">
        <f t="shared" si="102"/>
        <v/>
      </c>
      <c r="AJ1618" s="8" t="str">
        <f t="shared" si="103"/>
        <v/>
      </c>
      <c r="AL1618" s="8" t="str">
        <f t="shared" si="104"/>
        <v/>
      </c>
    </row>
    <row r="1619" spans="1:38" x14ac:dyDescent="0.25">
      <c r="A1619" s="8" t="s">
        <v>2270</v>
      </c>
      <c r="B1619" s="8" t="s">
        <v>2271</v>
      </c>
      <c r="C1619" s="8">
        <v>30828186</v>
      </c>
      <c r="D1619" s="8">
        <v>5</v>
      </c>
      <c r="E1619" s="11">
        <v>43108</v>
      </c>
      <c r="F1619" s="8" t="s">
        <v>57</v>
      </c>
      <c r="G1619" s="11">
        <v>43110</v>
      </c>
      <c r="H1619" s="8" t="s">
        <v>25</v>
      </c>
      <c r="J1619" s="8" t="s">
        <v>25</v>
      </c>
      <c r="N1619" s="8" t="s">
        <v>58</v>
      </c>
      <c r="O1619" s="8" t="s">
        <v>59</v>
      </c>
      <c r="P1619" s="8" t="s">
        <v>59</v>
      </c>
      <c r="R1619" s="8">
        <v>0</v>
      </c>
      <c r="S1619" s="8">
        <v>0</v>
      </c>
      <c r="T1619" s="8">
        <v>1</v>
      </c>
      <c r="U1619" s="8">
        <v>2</v>
      </c>
      <c r="AG1619" s="8" t="str">
        <f t="shared" si="101"/>
        <v/>
      </c>
      <c r="AI1619" s="8" t="str">
        <f t="shared" si="102"/>
        <v/>
      </c>
      <c r="AJ1619" s="8" t="str">
        <f t="shared" si="103"/>
        <v/>
      </c>
      <c r="AL1619" s="8" t="str">
        <f t="shared" si="104"/>
        <v/>
      </c>
    </row>
    <row r="1620" spans="1:38" x14ac:dyDescent="0.25">
      <c r="A1620" s="8" t="s">
        <v>2272</v>
      </c>
      <c r="B1620" s="8" t="s">
        <v>2273</v>
      </c>
      <c r="C1620" s="8">
        <v>30833275</v>
      </c>
      <c r="D1620" s="8">
        <v>4</v>
      </c>
      <c r="E1620" s="11">
        <v>43109</v>
      </c>
      <c r="F1620" s="8" t="s">
        <v>57</v>
      </c>
      <c r="G1620" s="11">
        <v>43110</v>
      </c>
      <c r="H1620" s="8" t="s">
        <v>25</v>
      </c>
      <c r="J1620" s="8" t="s">
        <v>25</v>
      </c>
      <c r="N1620" s="8" t="s">
        <v>58</v>
      </c>
      <c r="O1620" s="8" t="s">
        <v>59</v>
      </c>
      <c r="P1620" s="8" t="s">
        <v>59</v>
      </c>
      <c r="R1620" s="8">
        <v>0</v>
      </c>
      <c r="S1620" s="8">
        <v>0</v>
      </c>
      <c r="T1620" s="8">
        <v>1</v>
      </c>
      <c r="U1620" s="8">
        <v>2</v>
      </c>
      <c r="AG1620" s="8" t="str">
        <f t="shared" si="101"/>
        <v/>
      </c>
      <c r="AI1620" s="8" t="str">
        <f t="shared" si="102"/>
        <v/>
      </c>
      <c r="AJ1620" s="8" t="str">
        <f t="shared" si="103"/>
        <v/>
      </c>
      <c r="AL1620" s="8" t="str">
        <f t="shared" si="104"/>
        <v/>
      </c>
    </row>
    <row r="1621" spans="1:38" x14ac:dyDescent="0.25">
      <c r="A1621" s="8" t="s">
        <v>3827</v>
      </c>
      <c r="B1621" s="8" t="s">
        <v>3828</v>
      </c>
      <c r="C1621" s="8">
        <v>30866015</v>
      </c>
      <c r="D1621" s="8">
        <v>5</v>
      </c>
      <c r="E1621" s="11">
        <v>43110</v>
      </c>
      <c r="F1621" s="8" t="s">
        <v>57</v>
      </c>
      <c r="G1621" s="11">
        <v>43111</v>
      </c>
      <c r="H1621" s="8" t="s">
        <v>25</v>
      </c>
      <c r="J1621" s="8" t="s">
        <v>25</v>
      </c>
      <c r="N1621" s="8" t="s">
        <v>58</v>
      </c>
      <c r="O1621" s="8" t="s">
        <v>59</v>
      </c>
      <c r="P1621" s="8" t="s">
        <v>59</v>
      </c>
      <c r="R1621" s="8">
        <v>0</v>
      </c>
      <c r="S1621" s="8">
        <v>0</v>
      </c>
      <c r="T1621" s="8">
        <v>1</v>
      </c>
      <c r="U1621" s="8">
        <v>2</v>
      </c>
      <c r="AG1621" s="8" t="str">
        <f t="shared" si="101"/>
        <v/>
      </c>
      <c r="AI1621" s="8" t="str">
        <f t="shared" si="102"/>
        <v/>
      </c>
      <c r="AJ1621" s="8" t="str">
        <f t="shared" si="103"/>
        <v/>
      </c>
      <c r="AL1621" s="8" t="str">
        <f t="shared" si="104"/>
        <v/>
      </c>
    </row>
    <row r="1622" spans="1:38" x14ac:dyDescent="0.25">
      <c r="A1622" s="8" t="s">
        <v>3829</v>
      </c>
      <c r="B1622" s="8" t="s">
        <v>3830</v>
      </c>
      <c r="C1622" s="8">
        <v>30866800</v>
      </c>
      <c r="D1622" s="8">
        <v>5</v>
      </c>
      <c r="E1622" s="11">
        <v>43110</v>
      </c>
      <c r="F1622" s="8" t="s">
        <v>57</v>
      </c>
      <c r="G1622" s="11">
        <v>43111</v>
      </c>
      <c r="H1622" s="8" t="s">
        <v>25</v>
      </c>
      <c r="J1622" s="8" t="s">
        <v>25</v>
      </c>
      <c r="N1622" s="8" t="s">
        <v>58</v>
      </c>
      <c r="O1622" s="8" t="s">
        <v>59</v>
      </c>
      <c r="P1622" s="8" t="s">
        <v>59</v>
      </c>
      <c r="R1622" s="8">
        <v>0</v>
      </c>
      <c r="S1622" s="8">
        <v>0</v>
      </c>
      <c r="T1622" s="8">
        <v>1</v>
      </c>
      <c r="U1622" s="8">
        <v>2</v>
      </c>
      <c r="AG1622" s="8" t="str">
        <f t="shared" si="101"/>
        <v/>
      </c>
      <c r="AI1622" s="8" t="str">
        <f t="shared" si="102"/>
        <v/>
      </c>
      <c r="AJ1622" s="8" t="str">
        <f t="shared" si="103"/>
        <v/>
      </c>
      <c r="AL1622" s="8" t="str">
        <f t="shared" si="104"/>
        <v/>
      </c>
    </row>
    <row r="1623" spans="1:38" x14ac:dyDescent="0.25">
      <c r="A1623" s="8" t="s">
        <v>3831</v>
      </c>
      <c r="B1623" s="8" t="s">
        <v>3832</v>
      </c>
      <c r="C1623" s="8">
        <v>30853745</v>
      </c>
      <c r="D1623" s="8">
        <v>5</v>
      </c>
      <c r="E1623" s="11">
        <v>43109</v>
      </c>
      <c r="F1623" s="8" t="s">
        <v>58</v>
      </c>
      <c r="G1623" s="11">
        <v>43111</v>
      </c>
      <c r="H1623" s="8" t="s">
        <v>25</v>
      </c>
      <c r="I1623" s="11">
        <v>43112</v>
      </c>
      <c r="J1623" s="8" t="s">
        <v>25</v>
      </c>
      <c r="N1623" s="8" t="s">
        <v>58</v>
      </c>
      <c r="O1623" s="8" t="s">
        <v>59</v>
      </c>
      <c r="P1623" s="8" t="s">
        <v>59</v>
      </c>
      <c r="R1623" s="8">
        <v>0</v>
      </c>
      <c r="S1623" s="8">
        <v>0</v>
      </c>
      <c r="T1623" s="8">
        <v>1</v>
      </c>
      <c r="U1623" s="8">
        <v>2</v>
      </c>
      <c r="X1623" s="8">
        <v>5</v>
      </c>
      <c r="AG1623" s="8" t="str">
        <f t="shared" si="101"/>
        <v/>
      </c>
      <c r="AI1623" s="8" t="str">
        <f t="shared" si="102"/>
        <v/>
      </c>
      <c r="AJ1623" s="8" t="str">
        <f t="shared" si="103"/>
        <v/>
      </c>
      <c r="AL1623" s="8" t="str">
        <f t="shared" si="104"/>
        <v/>
      </c>
    </row>
    <row r="1624" spans="1:38" x14ac:dyDescent="0.25">
      <c r="A1624" s="8" t="s">
        <v>5365</v>
      </c>
      <c r="B1624" s="8" t="s">
        <v>5366</v>
      </c>
      <c r="C1624" s="8">
        <v>30917672</v>
      </c>
      <c r="D1624" s="8">
        <v>5</v>
      </c>
      <c r="E1624" s="11">
        <v>43112</v>
      </c>
      <c r="F1624" s="8" t="s">
        <v>57</v>
      </c>
      <c r="G1624" s="11">
        <v>43112</v>
      </c>
      <c r="H1624" s="8" t="s">
        <v>25</v>
      </c>
      <c r="J1624" s="8" t="s">
        <v>25</v>
      </c>
      <c r="N1624" s="8" t="s">
        <v>58</v>
      </c>
      <c r="O1624" s="8" t="s">
        <v>59</v>
      </c>
      <c r="P1624" s="8" t="s">
        <v>59</v>
      </c>
      <c r="R1624" s="8">
        <v>0</v>
      </c>
      <c r="S1624" s="8">
        <v>0</v>
      </c>
      <c r="T1624" s="8">
        <v>1</v>
      </c>
      <c r="U1624" s="8">
        <v>2</v>
      </c>
      <c r="AG1624" s="8" t="str">
        <f t="shared" si="101"/>
        <v/>
      </c>
      <c r="AI1624" s="8" t="str">
        <f t="shared" si="102"/>
        <v/>
      </c>
      <c r="AJ1624" s="8" t="str">
        <f t="shared" si="103"/>
        <v/>
      </c>
      <c r="AL1624" s="8" t="str">
        <f t="shared" si="104"/>
        <v/>
      </c>
    </row>
    <row r="1625" spans="1:38" x14ac:dyDescent="0.25">
      <c r="A1625" s="8" t="s">
        <v>2274</v>
      </c>
      <c r="B1625" s="8" t="s">
        <v>2275</v>
      </c>
      <c r="C1625" s="8">
        <v>30838971</v>
      </c>
      <c r="D1625" s="8">
        <v>4</v>
      </c>
      <c r="E1625" s="11">
        <v>43109</v>
      </c>
      <c r="F1625" s="8" t="s">
        <v>57</v>
      </c>
      <c r="G1625" s="11">
        <v>43110</v>
      </c>
      <c r="H1625" s="8" t="s">
        <v>25</v>
      </c>
      <c r="J1625" s="8" t="s">
        <v>25</v>
      </c>
      <c r="N1625" s="8" t="s">
        <v>58</v>
      </c>
      <c r="O1625" s="8" t="s">
        <v>59</v>
      </c>
      <c r="P1625" s="8" t="s">
        <v>59</v>
      </c>
      <c r="R1625" s="8">
        <v>0</v>
      </c>
      <c r="S1625" s="8">
        <v>0</v>
      </c>
      <c r="T1625" s="8">
        <v>1</v>
      </c>
      <c r="U1625" s="8">
        <v>2</v>
      </c>
      <c r="AG1625" s="8" t="str">
        <f t="shared" si="101"/>
        <v/>
      </c>
      <c r="AI1625" s="8" t="str">
        <f t="shared" si="102"/>
        <v/>
      </c>
      <c r="AJ1625" s="8" t="str">
        <f t="shared" si="103"/>
        <v/>
      </c>
      <c r="AL1625" s="8" t="str">
        <f t="shared" si="104"/>
        <v/>
      </c>
    </row>
    <row r="1626" spans="1:38" x14ac:dyDescent="0.25">
      <c r="A1626" s="8" t="s">
        <v>5367</v>
      </c>
      <c r="B1626" s="8" t="s">
        <v>5368</v>
      </c>
      <c r="C1626" s="8">
        <v>30916396</v>
      </c>
      <c r="D1626" s="8">
        <v>5</v>
      </c>
      <c r="E1626" s="11">
        <v>43112</v>
      </c>
      <c r="F1626" s="8" t="s">
        <v>57</v>
      </c>
      <c r="G1626" s="11">
        <v>43112</v>
      </c>
      <c r="H1626" s="8" t="s">
        <v>25</v>
      </c>
      <c r="J1626" s="8" t="s">
        <v>25</v>
      </c>
      <c r="N1626" s="8" t="s">
        <v>58</v>
      </c>
      <c r="O1626" s="8" t="s">
        <v>59</v>
      </c>
      <c r="P1626" s="8" t="s">
        <v>59</v>
      </c>
      <c r="R1626" s="8">
        <v>0</v>
      </c>
      <c r="S1626" s="8">
        <v>0</v>
      </c>
      <c r="T1626" s="8">
        <v>1</v>
      </c>
      <c r="U1626" s="8">
        <v>2</v>
      </c>
      <c r="AG1626" s="8" t="str">
        <f t="shared" si="101"/>
        <v/>
      </c>
      <c r="AI1626" s="8" t="str">
        <f t="shared" si="102"/>
        <v/>
      </c>
      <c r="AJ1626" s="8" t="str">
        <f t="shared" si="103"/>
        <v/>
      </c>
      <c r="AL1626" s="8" t="str">
        <f t="shared" si="104"/>
        <v/>
      </c>
    </row>
    <row r="1627" spans="1:38" x14ac:dyDescent="0.25">
      <c r="A1627" s="8" t="s">
        <v>3833</v>
      </c>
      <c r="B1627" s="8" t="s">
        <v>3834</v>
      </c>
      <c r="C1627" s="8">
        <v>30856703</v>
      </c>
      <c r="D1627" s="8">
        <v>5</v>
      </c>
      <c r="E1627" s="11">
        <v>43110</v>
      </c>
      <c r="F1627" s="8" t="s">
        <v>57</v>
      </c>
      <c r="G1627" s="11">
        <v>43111</v>
      </c>
      <c r="H1627" s="8" t="s">
        <v>25</v>
      </c>
      <c r="J1627" s="8" t="s">
        <v>25</v>
      </c>
      <c r="N1627" s="8" t="s">
        <v>58</v>
      </c>
      <c r="O1627" s="8" t="s">
        <v>59</v>
      </c>
      <c r="P1627" s="8" t="s">
        <v>59</v>
      </c>
      <c r="R1627" s="8">
        <v>0</v>
      </c>
      <c r="S1627" s="8">
        <v>0</v>
      </c>
      <c r="T1627" s="8">
        <v>1</v>
      </c>
      <c r="U1627" s="8">
        <v>2</v>
      </c>
      <c r="AG1627" s="8" t="str">
        <f t="shared" si="101"/>
        <v/>
      </c>
      <c r="AI1627" s="8" t="str">
        <f t="shared" si="102"/>
        <v/>
      </c>
      <c r="AJ1627" s="8" t="str">
        <f t="shared" si="103"/>
        <v/>
      </c>
      <c r="AL1627" s="8" t="str">
        <f t="shared" si="104"/>
        <v/>
      </c>
    </row>
    <row r="1628" spans="1:38" x14ac:dyDescent="0.25">
      <c r="A1628" s="8" t="s">
        <v>3835</v>
      </c>
      <c r="B1628" s="8" t="s">
        <v>3836</v>
      </c>
      <c r="C1628" s="8">
        <v>30856702</v>
      </c>
      <c r="D1628" s="8">
        <v>5</v>
      </c>
      <c r="E1628" s="11">
        <v>43110</v>
      </c>
      <c r="F1628" s="8" t="s">
        <v>57</v>
      </c>
      <c r="G1628" s="11">
        <v>43111</v>
      </c>
      <c r="H1628" s="8" t="s">
        <v>25</v>
      </c>
      <c r="J1628" s="8" t="s">
        <v>25</v>
      </c>
      <c r="N1628" s="8" t="s">
        <v>58</v>
      </c>
      <c r="O1628" s="8" t="s">
        <v>59</v>
      </c>
      <c r="P1628" s="8" t="s">
        <v>59</v>
      </c>
      <c r="R1628" s="8">
        <v>0</v>
      </c>
      <c r="S1628" s="8">
        <v>0</v>
      </c>
      <c r="T1628" s="8">
        <v>1</v>
      </c>
      <c r="U1628" s="8">
        <v>2</v>
      </c>
      <c r="AG1628" s="8" t="str">
        <f t="shared" si="101"/>
        <v/>
      </c>
      <c r="AI1628" s="8" t="str">
        <f t="shared" si="102"/>
        <v/>
      </c>
      <c r="AJ1628" s="8" t="str">
        <f t="shared" si="103"/>
        <v/>
      </c>
      <c r="AL1628" s="8" t="str">
        <f t="shared" si="104"/>
        <v/>
      </c>
    </row>
    <row r="1629" spans="1:38" x14ac:dyDescent="0.25">
      <c r="A1629" s="8" t="s">
        <v>2276</v>
      </c>
      <c r="B1629" s="8" t="s">
        <v>2277</v>
      </c>
      <c r="C1629" s="8">
        <v>30832791</v>
      </c>
      <c r="D1629" s="8">
        <v>4</v>
      </c>
      <c r="E1629" s="11">
        <v>43109</v>
      </c>
      <c r="F1629" s="8" t="s">
        <v>57</v>
      </c>
      <c r="G1629" s="11">
        <v>43110</v>
      </c>
      <c r="H1629" s="8" t="s">
        <v>25</v>
      </c>
      <c r="J1629" s="8" t="s">
        <v>25</v>
      </c>
      <c r="N1629" s="8" t="s">
        <v>58</v>
      </c>
      <c r="O1629" s="8" t="s">
        <v>59</v>
      </c>
      <c r="P1629" s="8" t="s">
        <v>59</v>
      </c>
      <c r="R1629" s="8">
        <v>0</v>
      </c>
      <c r="S1629" s="8">
        <v>0</v>
      </c>
      <c r="T1629" s="8">
        <v>1</v>
      </c>
      <c r="U1629" s="8">
        <v>2</v>
      </c>
      <c r="AG1629" s="8" t="str">
        <f t="shared" si="101"/>
        <v/>
      </c>
      <c r="AI1629" s="8" t="str">
        <f t="shared" si="102"/>
        <v/>
      </c>
      <c r="AJ1629" s="8" t="str">
        <f t="shared" si="103"/>
        <v/>
      </c>
      <c r="AL1629" s="8" t="str">
        <f t="shared" si="104"/>
        <v/>
      </c>
    </row>
    <row r="1630" spans="1:38" x14ac:dyDescent="0.25">
      <c r="A1630" s="8" t="s">
        <v>3837</v>
      </c>
      <c r="B1630" s="8" t="s">
        <v>3838</v>
      </c>
      <c r="C1630" s="8">
        <v>30863492</v>
      </c>
      <c r="D1630" s="8">
        <v>5</v>
      </c>
      <c r="E1630" s="11">
        <v>43110</v>
      </c>
      <c r="F1630" s="8" t="s">
        <v>58</v>
      </c>
      <c r="G1630" s="11">
        <v>43111</v>
      </c>
      <c r="H1630" s="8" t="s">
        <v>25</v>
      </c>
      <c r="I1630" s="11">
        <v>43115</v>
      </c>
      <c r="J1630" s="8" t="s">
        <v>25</v>
      </c>
      <c r="N1630" s="8" t="s">
        <v>58</v>
      </c>
      <c r="O1630" s="8" t="s">
        <v>59</v>
      </c>
      <c r="P1630" s="8" t="s">
        <v>59</v>
      </c>
      <c r="R1630" s="8">
        <v>0</v>
      </c>
      <c r="S1630" s="8">
        <v>0</v>
      </c>
      <c r="T1630" s="8">
        <v>1</v>
      </c>
      <c r="U1630" s="8">
        <v>2</v>
      </c>
      <c r="X1630" s="8">
        <v>5</v>
      </c>
      <c r="AG1630" s="8" t="str">
        <f t="shared" si="101"/>
        <v/>
      </c>
      <c r="AI1630" s="8" t="str">
        <f t="shared" si="102"/>
        <v/>
      </c>
      <c r="AJ1630" s="8" t="str">
        <f t="shared" si="103"/>
        <v/>
      </c>
      <c r="AL1630" s="8" t="str">
        <f t="shared" si="104"/>
        <v/>
      </c>
    </row>
    <row r="1631" spans="1:38" x14ac:dyDescent="0.25">
      <c r="A1631" s="8" t="s">
        <v>2278</v>
      </c>
      <c r="B1631" s="8" t="s">
        <v>2279</v>
      </c>
      <c r="C1631" s="8">
        <v>30841403</v>
      </c>
      <c r="D1631" s="8">
        <v>5</v>
      </c>
      <c r="E1631" s="11">
        <v>43109</v>
      </c>
      <c r="F1631" s="8" t="s">
        <v>57</v>
      </c>
      <c r="G1631" s="11">
        <v>43110</v>
      </c>
      <c r="H1631" s="8" t="s">
        <v>25</v>
      </c>
      <c r="J1631" s="8" t="s">
        <v>25</v>
      </c>
      <c r="N1631" s="8" t="s">
        <v>58</v>
      </c>
      <c r="O1631" s="8" t="s">
        <v>59</v>
      </c>
      <c r="P1631" s="8" t="s">
        <v>59</v>
      </c>
      <c r="R1631" s="8">
        <v>0</v>
      </c>
      <c r="S1631" s="8">
        <v>0</v>
      </c>
      <c r="T1631" s="8">
        <v>1</v>
      </c>
      <c r="U1631" s="8">
        <v>2</v>
      </c>
      <c r="AG1631" s="8" t="str">
        <f t="shared" si="101"/>
        <v/>
      </c>
      <c r="AI1631" s="8" t="str">
        <f t="shared" si="102"/>
        <v/>
      </c>
      <c r="AJ1631" s="8" t="str">
        <f t="shared" si="103"/>
        <v/>
      </c>
      <c r="AL1631" s="8" t="str">
        <f t="shared" si="104"/>
        <v/>
      </c>
    </row>
    <row r="1632" spans="1:38" x14ac:dyDescent="0.25">
      <c r="A1632" s="8" t="s">
        <v>2280</v>
      </c>
      <c r="B1632" s="8" t="s">
        <v>2281</v>
      </c>
      <c r="C1632" s="8">
        <v>30833498</v>
      </c>
      <c r="D1632" s="8">
        <v>5</v>
      </c>
      <c r="E1632" s="11">
        <v>43109</v>
      </c>
      <c r="F1632" s="8" t="s">
        <v>58</v>
      </c>
      <c r="G1632" s="11">
        <v>43110</v>
      </c>
      <c r="H1632" s="8" t="s">
        <v>25</v>
      </c>
      <c r="I1632" s="11">
        <v>43112</v>
      </c>
      <c r="J1632" s="8" t="s">
        <v>25</v>
      </c>
      <c r="N1632" s="8" t="s">
        <v>58</v>
      </c>
      <c r="O1632" s="8" t="s">
        <v>59</v>
      </c>
      <c r="P1632" s="8" t="s">
        <v>59</v>
      </c>
      <c r="R1632" s="8">
        <v>0</v>
      </c>
      <c r="S1632" s="8">
        <v>0</v>
      </c>
      <c r="T1632" s="8">
        <v>1</v>
      </c>
      <c r="U1632" s="8">
        <v>2</v>
      </c>
      <c r="X1632" s="8">
        <v>5</v>
      </c>
      <c r="AG1632" s="8" t="str">
        <f t="shared" si="101"/>
        <v/>
      </c>
      <c r="AI1632" s="8" t="str">
        <f t="shared" si="102"/>
        <v/>
      </c>
      <c r="AJ1632" s="8" t="str">
        <f t="shared" si="103"/>
        <v/>
      </c>
      <c r="AL1632" s="8" t="str">
        <f t="shared" si="104"/>
        <v/>
      </c>
    </row>
    <row r="1633" spans="1:38" x14ac:dyDescent="0.25">
      <c r="A1633" s="8" t="s">
        <v>2282</v>
      </c>
      <c r="B1633" s="8" t="s">
        <v>2283</v>
      </c>
      <c r="C1633" s="8">
        <v>30841476</v>
      </c>
      <c r="D1633" s="8">
        <v>4</v>
      </c>
      <c r="E1633" s="11">
        <v>43109</v>
      </c>
      <c r="F1633" s="8" t="s">
        <v>57</v>
      </c>
      <c r="G1633" s="11">
        <v>43110</v>
      </c>
      <c r="H1633" s="8" t="s">
        <v>25</v>
      </c>
      <c r="J1633" s="8" t="s">
        <v>25</v>
      </c>
      <c r="N1633" s="8" t="s">
        <v>58</v>
      </c>
      <c r="O1633" s="8" t="s">
        <v>59</v>
      </c>
      <c r="P1633" s="8" t="s">
        <v>59</v>
      </c>
      <c r="R1633" s="8">
        <v>0</v>
      </c>
      <c r="S1633" s="8">
        <v>0</v>
      </c>
      <c r="T1633" s="8">
        <v>1</v>
      </c>
      <c r="U1633" s="8">
        <v>2</v>
      </c>
      <c r="AG1633" s="8" t="str">
        <f t="shared" si="101"/>
        <v/>
      </c>
      <c r="AI1633" s="8" t="str">
        <f t="shared" si="102"/>
        <v/>
      </c>
      <c r="AJ1633" s="8" t="str">
        <f t="shared" si="103"/>
        <v/>
      </c>
      <c r="AL1633" s="8" t="str">
        <f t="shared" si="104"/>
        <v/>
      </c>
    </row>
    <row r="1634" spans="1:38" x14ac:dyDescent="0.25">
      <c r="A1634" s="8" t="s">
        <v>5369</v>
      </c>
      <c r="B1634" s="8" t="s">
        <v>5370</v>
      </c>
      <c r="C1634" s="8">
        <v>30885410</v>
      </c>
      <c r="D1634" s="8">
        <v>5</v>
      </c>
      <c r="E1634" s="11">
        <v>43111</v>
      </c>
      <c r="F1634" s="8" t="s">
        <v>57</v>
      </c>
      <c r="G1634" s="11">
        <v>43112</v>
      </c>
      <c r="H1634" s="8" t="s">
        <v>25</v>
      </c>
      <c r="J1634" s="8" t="s">
        <v>25</v>
      </c>
      <c r="N1634" s="8" t="s">
        <v>58</v>
      </c>
      <c r="O1634" s="8" t="s">
        <v>59</v>
      </c>
      <c r="P1634" s="8" t="s">
        <v>59</v>
      </c>
      <c r="R1634" s="8">
        <v>0</v>
      </c>
      <c r="S1634" s="8">
        <v>0</v>
      </c>
      <c r="T1634" s="8">
        <v>1</v>
      </c>
      <c r="U1634" s="8">
        <v>2</v>
      </c>
      <c r="AG1634" s="8" t="str">
        <f t="shared" si="101"/>
        <v/>
      </c>
      <c r="AI1634" s="8" t="str">
        <f t="shared" si="102"/>
        <v/>
      </c>
      <c r="AJ1634" s="8" t="str">
        <f t="shared" si="103"/>
        <v/>
      </c>
      <c r="AL1634" s="8" t="str">
        <f t="shared" si="104"/>
        <v/>
      </c>
    </row>
    <row r="1635" spans="1:38" x14ac:dyDescent="0.25">
      <c r="A1635" s="8" t="s">
        <v>3839</v>
      </c>
      <c r="B1635" s="8" t="s">
        <v>3840</v>
      </c>
      <c r="C1635" s="8">
        <v>30895641</v>
      </c>
      <c r="D1635" s="8">
        <v>5</v>
      </c>
      <c r="E1635" s="11">
        <v>43111</v>
      </c>
      <c r="F1635" s="8" t="s">
        <v>57</v>
      </c>
      <c r="G1635" s="11">
        <v>43111</v>
      </c>
      <c r="H1635" s="8" t="s">
        <v>25</v>
      </c>
      <c r="J1635" s="8" t="s">
        <v>25</v>
      </c>
      <c r="N1635" s="8" t="s">
        <v>58</v>
      </c>
      <c r="O1635" s="8" t="s">
        <v>59</v>
      </c>
      <c r="P1635" s="8" t="s">
        <v>59</v>
      </c>
      <c r="R1635" s="8">
        <v>0</v>
      </c>
      <c r="S1635" s="8">
        <v>0</v>
      </c>
      <c r="T1635" s="8">
        <v>1</v>
      </c>
      <c r="U1635" s="8">
        <v>2</v>
      </c>
      <c r="AG1635" s="8" t="str">
        <f t="shared" si="101"/>
        <v/>
      </c>
      <c r="AI1635" s="8" t="str">
        <f t="shared" si="102"/>
        <v/>
      </c>
      <c r="AJ1635" s="8" t="str">
        <f t="shared" si="103"/>
        <v/>
      </c>
      <c r="AL1635" s="8" t="str">
        <f t="shared" si="104"/>
        <v/>
      </c>
    </row>
    <row r="1636" spans="1:38" x14ac:dyDescent="0.25">
      <c r="A1636" s="8" t="s">
        <v>7193</v>
      </c>
      <c r="B1636" s="8" t="s">
        <v>7194</v>
      </c>
      <c r="C1636" s="8">
        <v>30935115</v>
      </c>
      <c r="D1636" s="8">
        <v>5</v>
      </c>
      <c r="E1636" s="11">
        <v>43115</v>
      </c>
      <c r="F1636" s="8" t="s">
        <v>57</v>
      </c>
      <c r="G1636" s="11">
        <v>43115</v>
      </c>
      <c r="H1636" s="8" t="s">
        <v>25</v>
      </c>
      <c r="J1636" s="8" t="s">
        <v>25</v>
      </c>
      <c r="N1636" s="8" t="s">
        <v>58</v>
      </c>
      <c r="O1636" s="8" t="s">
        <v>59</v>
      </c>
      <c r="P1636" s="8" t="s">
        <v>59</v>
      </c>
      <c r="R1636" s="8">
        <v>0</v>
      </c>
      <c r="S1636" s="8">
        <v>0</v>
      </c>
      <c r="T1636" s="8">
        <v>1</v>
      </c>
      <c r="U1636" s="8">
        <v>2</v>
      </c>
      <c r="AG1636" s="8" t="str">
        <f t="shared" si="101"/>
        <v/>
      </c>
      <c r="AI1636" s="8" t="str">
        <f t="shared" si="102"/>
        <v/>
      </c>
      <c r="AJ1636" s="8" t="str">
        <f t="shared" si="103"/>
        <v/>
      </c>
      <c r="AL1636" s="8" t="str">
        <f t="shared" si="104"/>
        <v/>
      </c>
    </row>
    <row r="1637" spans="1:38" x14ac:dyDescent="0.25">
      <c r="A1637" s="8" t="s">
        <v>3841</v>
      </c>
      <c r="B1637" s="8" t="s">
        <v>3842</v>
      </c>
      <c r="C1637" s="8">
        <v>30858657</v>
      </c>
      <c r="D1637" s="8">
        <v>5</v>
      </c>
      <c r="E1637" s="11">
        <v>43110</v>
      </c>
      <c r="F1637" s="8" t="s">
        <v>58</v>
      </c>
      <c r="G1637" s="11">
        <v>43111</v>
      </c>
      <c r="H1637" s="8" t="s">
        <v>25</v>
      </c>
      <c r="I1637" s="11">
        <v>43115</v>
      </c>
      <c r="J1637" s="8" t="s">
        <v>25</v>
      </c>
      <c r="N1637" s="8" t="s">
        <v>58</v>
      </c>
      <c r="O1637" s="8" t="s">
        <v>59</v>
      </c>
      <c r="P1637" s="8" t="s">
        <v>59</v>
      </c>
      <c r="R1637" s="8">
        <v>0</v>
      </c>
      <c r="S1637" s="8">
        <v>0</v>
      </c>
      <c r="T1637" s="8">
        <v>1</v>
      </c>
      <c r="U1637" s="8">
        <v>2</v>
      </c>
      <c r="X1637" s="8">
        <v>5</v>
      </c>
      <c r="AG1637" s="8" t="str">
        <f t="shared" si="101"/>
        <v/>
      </c>
      <c r="AI1637" s="8" t="str">
        <f t="shared" si="102"/>
        <v/>
      </c>
      <c r="AJ1637" s="8" t="str">
        <f t="shared" si="103"/>
        <v/>
      </c>
      <c r="AL1637" s="8" t="str">
        <f t="shared" si="104"/>
        <v/>
      </c>
    </row>
    <row r="1638" spans="1:38" x14ac:dyDescent="0.25">
      <c r="A1638" s="8" t="s">
        <v>1169</v>
      </c>
      <c r="B1638" s="8" t="s">
        <v>1170</v>
      </c>
      <c r="C1638" s="8">
        <v>30812013</v>
      </c>
      <c r="D1638" s="8">
        <v>5</v>
      </c>
      <c r="E1638" s="11">
        <v>43108</v>
      </c>
      <c r="F1638" s="8" t="s">
        <v>58</v>
      </c>
      <c r="G1638" s="11">
        <v>43109</v>
      </c>
      <c r="H1638" s="8" t="s">
        <v>25</v>
      </c>
      <c r="I1638" s="11">
        <v>43110</v>
      </c>
      <c r="J1638" s="8" t="s">
        <v>25</v>
      </c>
      <c r="N1638" s="8" t="s">
        <v>58</v>
      </c>
      <c r="O1638" s="8" t="s">
        <v>59</v>
      </c>
      <c r="P1638" s="8" t="s">
        <v>59</v>
      </c>
      <c r="R1638" s="8">
        <v>0</v>
      </c>
      <c r="S1638" s="8">
        <v>0</v>
      </c>
      <c r="T1638" s="8">
        <v>1</v>
      </c>
      <c r="U1638" s="8">
        <v>2</v>
      </c>
      <c r="X1638" s="8">
        <v>5</v>
      </c>
      <c r="AG1638" s="8" t="str">
        <f t="shared" si="101"/>
        <v/>
      </c>
      <c r="AI1638" s="8" t="str">
        <f t="shared" si="102"/>
        <v/>
      </c>
      <c r="AJ1638" s="8" t="str">
        <f t="shared" si="103"/>
        <v/>
      </c>
      <c r="AL1638" s="8" t="str">
        <f t="shared" si="104"/>
        <v/>
      </c>
    </row>
    <row r="1639" spans="1:38" x14ac:dyDescent="0.25">
      <c r="A1639" s="8" t="s">
        <v>5371</v>
      </c>
      <c r="B1639" s="8" t="s">
        <v>5372</v>
      </c>
      <c r="C1639" s="8">
        <v>30903800</v>
      </c>
      <c r="D1639" s="8">
        <v>5</v>
      </c>
      <c r="E1639" s="11">
        <v>43111</v>
      </c>
      <c r="F1639" s="8" t="s">
        <v>57</v>
      </c>
      <c r="G1639" s="11">
        <v>43112</v>
      </c>
      <c r="H1639" s="8" t="s">
        <v>25</v>
      </c>
      <c r="J1639" s="8" t="s">
        <v>25</v>
      </c>
      <c r="N1639" s="8" t="s">
        <v>58</v>
      </c>
      <c r="O1639" s="8" t="s">
        <v>59</v>
      </c>
      <c r="P1639" s="8" t="s">
        <v>59</v>
      </c>
      <c r="R1639" s="8">
        <v>0</v>
      </c>
      <c r="S1639" s="8">
        <v>0</v>
      </c>
      <c r="T1639" s="8">
        <v>1</v>
      </c>
      <c r="U1639" s="8">
        <v>2</v>
      </c>
      <c r="AG1639" s="8" t="str">
        <f t="shared" si="101"/>
        <v/>
      </c>
      <c r="AI1639" s="8" t="str">
        <f t="shared" si="102"/>
        <v/>
      </c>
      <c r="AJ1639" s="8" t="str">
        <f t="shared" si="103"/>
        <v/>
      </c>
      <c r="AL1639" s="8" t="str">
        <f t="shared" si="104"/>
        <v/>
      </c>
    </row>
    <row r="1640" spans="1:38" x14ac:dyDescent="0.25">
      <c r="A1640" s="8" t="s">
        <v>1171</v>
      </c>
      <c r="B1640" s="8" t="s">
        <v>1172</v>
      </c>
      <c r="C1640" s="8">
        <v>30829396</v>
      </c>
      <c r="D1640" s="8">
        <v>4</v>
      </c>
      <c r="E1640" s="11">
        <v>43108</v>
      </c>
      <c r="F1640" s="8" t="s">
        <v>57</v>
      </c>
      <c r="G1640" s="11">
        <v>43109</v>
      </c>
      <c r="H1640" s="8" t="s">
        <v>25</v>
      </c>
      <c r="J1640" s="8" t="s">
        <v>25</v>
      </c>
      <c r="N1640" s="8" t="s">
        <v>58</v>
      </c>
      <c r="O1640" s="8" t="s">
        <v>59</v>
      </c>
      <c r="P1640" s="8" t="s">
        <v>59</v>
      </c>
      <c r="R1640" s="8">
        <v>0</v>
      </c>
      <c r="S1640" s="8">
        <v>0</v>
      </c>
      <c r="T1640" s="8">
        <v>1</v>
      </c>
      <c r="U1640" s="8">
        <v>2</v>
      </c>
      <c r="AG1640" s="8" t="str">
        <f t="shared" si="101"/>
        <v/>
      </c>
      <c r="AI1640" s="8" t="str">
        <f t="shared" si="102"/>
        <v/>
      </c>
      <c r="AJ1640" s="8" t="str">
        <f t="shared" si="103"/>
        <v/>
      </c>
      <c r="AL1640" s="8" t="str">
        <f t="shared" si="104"/>
        <v/>
      </c>
    </row>
    <row r="1641" spans="1:38" x14ac:dyDescent="0.25">
      <c r="A1641" s="8" t="s">
        <v>3843</v>
      </c>
      <c r="B1641" s="8" t="s">
        <v>3844</v>
      </c>
      <c r="C1641" s="8">
        <v>30870285</v>
      </c>
      <c r="D1641" s="8">
        <v>5</v>
      </c>
      <c r="E1641" s="11">
        <v>43110</v>
      </c>
      <c r="F1641" s="8" t="s">
        <v>58</v>
      </c>
      <c r="G1641" s="11">
        <v>43111</v>
      </c>
      <c r="H1641" s="8" t="s">
        <v>25</v>
      </c>
      <c r="I1641" s="11">
        <v>43112</v>
      </c>
      <c r="J1641" s="8" t="s">
        <v>25</v>
      </c>
      <c r="N1641" s="8" t="s">
        <v>58</v>
      </c>
      <c r="O1641" s="8" t="s">
        <v>59</v>
      </c>
      <c r="P1641" s="8" t="s">
        <v>59</v>
      </c>
      <c r="R1641" s="8">
        <v>0</v>
      </c>
      <c r="S1641" s="8">
        <v>0</v>
      </c>
      <c r="T1641" s="8">
        <v>1</v>
      </c>
      <c r="U1641" s="8">
        <v>2</v>
      </c>
      <c r="X1641" s="8">
        <v>5</v>
      </c>
      <c r="AG1641" s="8" t="str">
        <f t="shared" si="101"/>
        <v/>
      </c>
      <c r="AI1641" s="8" t="str">
        <f t="shared" si="102"/>
        <v/>
      </c>
      <c r="AJ1641" s="8" t="str">
        <f t="shared" si="103"/>
        <v/>
      </c>
      <c r="AL1641" s="8" t="str">
        <f t="shared" si="104"/>
        <v/>
      </c>
    </row>
    <row r="1642" spans="1:38" x14ac:dyDescent="0.25">
      <c r="A1642" s="8" t="s">
        <v>3845</v>
      </c>
      <c r="B1642" s="8" t="s">
        <v>3846</v>
      </c>
      <c r="C1642" s="8">
        <v>30865209</v>
      </c>
      <c r="D1642" s="8">
        <v>5</v>
      </c>
      <c r="E1642" s="11">
        <v>43110</v>
      </c>
      <c r="F1642" s="8" t="s">
        <v>57</v>
      </c>
      <c r="G1642" s="11">
        <v>43111</v>
      </c>
      <c r="H1642" s="8" t="s">
        <v>25</v>
      </c>
      <c r="J1642" s="8" t="s">
        <v>25</v>
      </c>
      <c r="N1642" s="8" t="s">
        <v>58</v>
      </c>
      <c r="O1642" s="8" t="s">
        <v>59</v>
      </c>
      <c r="P1642" s="8" t="s">
        <v>59</v>
      </c>
      <c r="R1642" s="8">
        <v>0</v>
      </c>
      <c r="S1642" s="8">
        <v>0</v>
      </c>
      <c r="T1642" s="8">
        <v>1</v>
      </c>
      <c r="U1642" s="8">
        <v>2</v>
      </c>
      <c r="AG1642" s="8" t="str">
        <f t="shared" si="101"/>
        <v/>
      </c>
      <c r="AI1642" s="8" t="str">
        <f t="shared" si="102"/>
        <v/>
      </c>
      <c r="AJ1642" s="8" t="str">
        <f t="shared" si="103"/>
        <v/>
      </c>
      <c r="AL1642" s="8" t="str">
        <f t="shared" si="104"/>
        <v/>
      </c>
    </row>
    <row r="1643" spans="1:38" x14ac:dyDescent="0.25">
      <c r="A1643" s="8" t="s">
        <v>5373</v>
      </c>
      <c r="B1643" s="8" t="s">
        <v>5374</v>
      </c>
      <c r="C1643" s="8">
        <v>30903344</v>
      </c>
      <c r="D1643" s="8">
        <v>5</v>
      </c>
      <c r="E1643" s="11">
        <v>43111</v>
      </c>
      <c r="F1643" s="8" t="s">
        <v>57</v>
      </c>
      <c r="G1643" s="11">
        <v>43112</v>
      </c>
      <c r="H1643" s="8" t="s">
        <v>25</v>
      </c>
      <c r="J1643" s="8" t="s">
        <v>25</v>
      </c>
      <c r="N1643" s="8" t="s">
        <v>58</v>
      </c>
      <c r="O1643" s="8" t="s">
        <v>59</v>
      </c>
      <c r="P1643" s="8" t="s">
        <v>59</v>
      </c>
      <c r="R1643" s="8">
        <v>0</v>
      </c>
      <c r="S1643" s="8">
        <v>0</v>
      </c>
      <c r="T1643" s="8">
        <v>1</v>
      </c>
      <c r="U1643" s="8">
        <v>2</v>
      </c>
      <c r="AG1643" s="8" t="str">
        <f t="shared" si="101"/>
        <v/>
      </c>
      <c r="AI1643" s="8" t="str">
        <f t="shared" si="102"/>
        <v/>
      </c>
      <c r="AJ1643" s="8" t="str">
        <f t="shared" si="103"/>
        <v/>
      </c>
      <c r="AL1643" s="8" t="str">
        <f t="shared" si="104"/>
        <v/>
      </c>
    </row>
    <row r="1644" spans="1:38" x14ac:dyDescent="0.25">
      <c r="A1644" s="8" t="s">
        <v>2284</v>
      </c>
      <c r="B1644" s="8" t="s">
        <v>2285</v>
      </c>
      <c r="C1644" s="8">
        <v>30845214</v>
      </c>
      <c r="D1644" s="8">
        <v>4</v>
      </c>
      <c r="E1644" s="11">
        <v>43109</v>
      </c>
      <c r="F1644" s="8" t="s">
        <v>57</v>
      </c>
      <c r="G1644" s="11">
        <v>43110</v>
      </c>
      <c r="H1644" s="8" t="s">
        <v>25</v>
      </c>
      <c r="J1644" s="8" t="s">
        <v>25</v>
      </c>
      <c r="N1644" s="8" t="s">
        <v>58</v>
      </c>
      <c r="O1644" s="8" t="s">
        <v>59</v>
      </c>
      <c r="P1644" s="8" t="s">
        <v>59</v>
      </c>
      <c r="R1644" s="8">
        <v>0</v>
      </c>
      <c r="S1644" s="8">
        <v>0</v>
      </c>
      <c r="T1644" s="8">
        <v>1</v>
      </c>
      <c r="U1644" s="8">
        <v>2</v>
      </c>
      <c r="AG1644" s="8" t="str">
        <f t="shared" si="101"/>
        <v/>
      </c>
      <c r="AI1644" s="8" t="str">
        <f t="shared" si="102"/>
        <v/>
      </c>
      <c r="AJ1644" s="8" t="str">
        <f t="shared" si="103"/>
        <v/>
      </c>
      <c r="AL1644" s="8" t="str">
        <f t="shared" si="104"/>
        <v/>
      </c>
    </row>
    <row r="1645" spans="1:38" x14ac:dyDescent="0.25">
      <c r="A1645" s="8" t="s">
        <v>3847</v>
      </c>
      <c r="B1645" s="8" t="s">
        <v>3848</v>
      </c>
      <c r="C1645" s="8">
        <v>30883344</v>
      </c>
      <c r="D1645" s="8">
        <v>5</v>
      </c>
      <c r="E1645" s="11">
        <v>43111</v>
      </c>
      <c r="F1645" s="8" t="s">
        <v>57</v>
      </c>
      <c r="G1645" s="11">
        <v>43111</v>
      </c>
      <c r="H1645" s="8" t="s">
        <v>25</v>
      </c>
      <c r="J1645" s="8" t="s">
        <v>25</v>
      </c>
      <c r="N1645" s="8" t="s">
        <v>58</v>
      </c>
      <c r="O1645" s="8" t="s">
        <v>59</v>
      </c>
      <c r="P1645" s="8" t="s">
        <v>59</v>
      </c>
      <c r="R1645" s="8">
        <v>0</v>
      </c>
      <c r="S1645" s="8">
        <v>0</v>
      </c>
      <c r="T1645" s="8">
        <v>1</v>
      </c>
      <c r="U1645" s="8">
        <v>2</v>
      </c>
      <c r="AG1645" s="8" t="str">
        <f t="shared" si="101"/>
        <v/>
      </c>
      <c r="AI1645" s="8" t="str">
        <f t="shared" si="102"/>
        <v/>
      </c>
      <c r="AJ1645" s="8" t="str">
        <f t="shared" si="103"/>
        <v/>
      </c>
      <c r="AL1645" s="8" t="str">
        <f t="shared" si="104"/>
        <v/>
      </c>
    </row>
    <row r="1646" spans="1:38" x14ac:dyDescent="0.25">
      <c r="A1646" s="8" t="s">
        <v>7195</v>
      </c>
      <c r="B1646" s="8" t="s">
        <v>7196</v>
      </c>
      <c r="C1646" s="8">
        <v>30916462</v>
      </c>
      <c r="D1646" s="8">
        <v>5</v>
      </c>
      <c r="E1646" s="11">
        <v>43112</v>
      </c>
      <c r="F1646" s="8" t="s">
        <v>57</v>
      </c>
      <c r="G1646" s="11">
        <v>43115</v>
      </c>
      <c r="H1646" s="8" t="s">
        <v>25</v>
      </c>
      <c r="J1646" s="8" t="s">
        <v>25</v>
      </c>
      <c r="N1646" s="8" t="s">
        <v>58</v>
      </c>
      <c r="O1646" s="8" t="s">
        <v>59</v>
      </c>
      <c r="P1646" s="8" t="s">
        <v>59</v>
      </c>
      <c r="R1646" s="8">
        <v>0</v>
      </c>
      <c r="S1646" s="8">
        <v>0</v>
      </c>
      <c r="T1646" s="8">
        <v>1</v>
      </c>
      <c r="U1646" s="8">
        <v>2</v>
      </c>
      <c r="AG1646" s="8" t="str">
        <f t="shared" si="101"/>
        <v/>
      </c>
      <c r="AI1646" s="8" t="str">
        <f t="shared" si="102"/>
        <v/>
      </c>
      <c r="AJ1646" s="8" t="str">
        <f t="shared" si="103"/>
        <v/>
      </c>
      <c r="AL1646" s="8" t="str">
        <f t="shared" si="104"/>
        <v/>
      </c>
    </row>
    <row r="1647" spans="1:38" x14ac:dyDescent="0.25">
      <c r="A1647" s="8" t="s">
        <v>5375</v>
      </c>
      <c r="B1647" s="8" t="s">
        <v>5376</v>
      </c>
      <c r="C1647" s="8">
        <v>30889009</v>
      </c>
      <c r="D1647" s="8">
        <v>5</v>
      </c>
      <c r="E1647" s="11">
        <v>43111</v>
      </c>
      <c r="F1647" s="8" t="s">
        <v>58</v>
      </c>
      <c r="G1647" s="11">
        <v>43112</v>
      </c>
      <c r="H1647" s="8" t="s">
        <v>25</v>
      </c>
      <c r="I1647" s="11">
        <v>43115</v>
      </c>
      <c r="J1647" s="8" t="s">
        <v>25</v>
      </c>
      <c r="N1647" s="8" t="s">
        <v>58</v>
      </c>
      <c r="O1647" s="8" t="s">
        <v>59</v>
      </c>
      <c r="P1647" s="8" t="s">
        <v>59</v>
      </c>
      <c r="R1647" s="8">
        <v>0</v>
      </c>
      <c r="S1647" s="8">
        <v>0</v>
      </c>
      <c r="T1647" s="8">
        <v>1</v>
      </c>
      <c r="U1647" s="8">
        <v>2</v>
      </c>
      <c r="X1647" s="8">
        <v>5</v>
      </c>
      <c r="AG1647" s="8" t="str">
        <f t="shared" si="101"/>
        <v/>
      </c>
      <c r="AI1647" s="8" t="str">
        <f t="shared" si="102"/>
        <v/>
      </c>
      <c r="AJ1647" s="8" t="str">
        <f t="shared" si="103"/>
        <v/>
      </c>
      <c r="AL1647" s="8" t="str">
        <f t="shared" si="104"/>
        <v/>
      </c>
    </row>
    <row r="1648" spans="1:38" x14ac:dyDescent="0.25">
      <c r="A1648" s="8" t="s">
        <v>2286</v>
      </c>
      <c r="B1648" s="8" t="s">
        <v>2287</v>
      </c>
      <c r="C1648" s="8">
        <v>30840245</v>
      </c>
      <c r="D1648" s="8">
        <v>5</v>
      </c>
      <c r="E1648" s="11">
        <v>43109</v>
      </c>
      <c r="F1648" s="8" t="s">
        <v>57</v>
      </c>
      <c r="G1648" s="11">
        <v>43110</v>
      </c>
      <c r="H1648" s="8" t="s">
        <v>25</v>
      </c>
      <c r="J1648" s="8" t="s">
        <v>25</v>
      </c>
      <c r="N1648" s="8" t="s">
        <v>58</v>
      </c>
      <c r="O1648" s="8" t="s">
        <v>59</v>
      </c>
      <c r="P1648" s="8" t="s">
        <v>59</v>
      </c>
      <c r="R1648" s="8">
        <v>0</v>
      </c>
      <c r="S1648" s="8">
        <v>0</v>
      </c>
      <c r="T1648" s="8">
        <v>1</v>
      </c>
      <c r="U1648" s="8">
        <v>2</v>
      </c>
      <c r="AG1648" s="8" t="str">
        <f t="shared" si="101"/>
        <v/>
      </c>
      <c r="AI1648" s="8" t="str">
        <f t="shared" si="102"/>
        <v/>
      </c>
      <c r="AJ1648" s="8" t="str">
        <f t="shared" si="103"/>
        <v/>
      </c>
      <c r="AL1648" s="8" t="str">
        <f t="shared" si="104"/>
        <v/>
      </c>
    </row>
    <row r="1649" spans="1:38" x14ac:dyDescent="0.25">
      <c r="A1649" s="8" t="s">
        <v>3849</v>
      </c>
      <c r="B1649" s="8" t="s">
        <v>3850</v>
      </c>
      <c r="C1649" s="8">
        <v>30843215</v>
      </c>
      <c r="D1649" s="8">
        <v>5</v>
      </c>
      <c r="E1649" s="11">
        <v>43109</v>
      </c>
      <c r="F1649" s="8" t="s">
        <v>57</v>
      </c>
      <c r="G1649" s="11">
        <v>43111</v>
      </c>
      <c r="H1649" s="8" t="s">
        <v>25</v>
      </c>
      <c r="J1649" s="8" t="s">
        <v>25</v>
      </c>
      <c r="N1649" s="8" t="s">
        <v>58</v>
      </c>
      <c r="O1649" s="8" t="s">
        <v>59</v>
      </c>
      <c r="P1649" s="8" t="s">
        <v>59</v>
      </c>
      <c r="R1649" s="8">
        <v>0</v>
      </c>
      <c r="S1649" s="8">
        <v>0</v>
      </c>
      <c r="T1649" s="8">
        <v>1</v>
      </c>
      <c r="U1649" s="8">
        <v>2</v>
      </c>
      <c r="AG1649" s="8" t="str">
        <f t="shared" si="101"/>
        <v/>
      </c>
      <c r="AI1649" s="8" t="str">
        <f t="shared" si="102"/>
        <v/>
      </c>
      <c r="AJ1649" s="8" t="str">
        <f t="shared" si="103"/>
        <v/>
      </c>
      <c r="AL1649" s="8" t="str">
        <f t="shared" si="104"/>
        <v/>
      </c>
    </row>
    <row r="1650" spans="1:38" x14ac:dyDescent="0.25">
      <c r="A1650" s="8" t="s">
        <v>5377</v>
      </c>
      <c r="B1650" s="8" t="s">
        <v>5378</v>
      </c>
      <c r="C1650" s="8">
        <v>30899921</v>
      </c>
      <c r="D1650" s="8">
        <v>5</v>
      </c>
      <c r="E1650" s="11">
        <v>43111</v>
      </c>
      <c r="F1650" s="8" t="s">
        <v>57</v>
      </c>
      <c r="G1650" s="11">
        <v>43112</v>
      </c>
      <c r="H1650" s="8" t="s">
        <v>25</v>
      </c>
      <c r="J1650" s="8" t="s">
        <v>25</v>
      </c>
      <c r="N1650" s="8" t="s">
        <v>58</v>
      </c>
      <c r="O1650" s="8" t="s">
        <v>59</v>
      </c>
      <c r="P1650" s="8" t="s">
        <v>59</v>
      </c>
      <c r="R1650" s="8">
        <v>0</v>
      </c>
      <c r="S1650" s="8">
        <v>0</v>
      </c>
      <c r="T1650" s="8">
        <v>1</v>
      </c>
      <c r="U1650" s="8">
        <v>2</v>
      </c>
      <c r="AG1650" s="8" t="str">
        <f t="shared" si="101"/>
        <v/>
      </c>
      <c r="AI1650" s="8" t="str">
        <f t="shared" si="102"/>
        <v/>
      </c>
      <c r="AJ1650" s="8" t="str">
        <f t="shared" si="103"/>
        <v/>
      </c>
      <c r="AL1650" s="8" t="str">
        <f t="shared" si="104"/>
        <v/>
      </c>
    </row>
    <row r="1651" spans="1:38" x14ac:dyDescent="0.25">
      <c r="A1651" s="8" t="s">
        <v>5379</v>
      </c>
      <c r="B1651" s="8" t="s">
        <v>5380</v>
      </c>
      <c r="C1651" s="8">
        <v>30892203</v>
      </c>
      <c r="D1651" s="8">
        <v>5</v>
      </c>
      <c r="E1651" s="11">
        <v>43111</v>
      </c>
      <c r="F1651" s="8" t="s">
        <v>58</v>
      </c>
      <c r="G1651" s="11">
        <v>43112</v>
      </c>
      <c r="H1651" s="8" t="s">
        <v>25</v>
      </c>
      <c r="I1651" s="11">
        <v>43115</v>
      </c>
      <c r="J1651" s="8" t="s">
        <v>25</v>
      </c>
      <c r="N1651" s="8" t="s">
        <v>58</v>
      </c>
      <c r="O1651" s="8" t="s">
        <v>59</v>
      </c>
      <c r="P1651" s="8" t="s">
        <v>59</v>
      </c>
      <c r="R1651" s="8">
        <v>0</v>
      </c>
      <c r="S1651" s="8">
        <v>0</v>
      </c>
      <c r="T1651" s="8">
        <v>1</v>
      </c>
      <c r="U1651" s="8">
        <v>2</v>
      </c>
      <c r="X1651" s="8">
        <v>5</v>
      </c>
      <c r="AG1651" s="8" t="str">
        <f t="shared" si="101"/>
        <v/>
      </c>
      <c r="AI1651" s="8" t="str">
        <f t="shared" si="102"/>
        <v/>
      </c>
      <c r="AJ1651" s="8" t="str">
        <f t="shared" si="103"/>
        <v/>
      </c>
      <c r="AL1651" s="8" t="str">
        <f t="shared" si="104"/>
        <v/>
      </c>
    </row>
    <row r="1652" spans="1:38" x14ac:dyDescent="0.25">
      <c r="A1652" s="8" t="s">
        <v>2288</v>
      </c>
      <c r="B1652" s="8" t="s">
        <v>2289</v>
      </c>
      <c r="C1652" s="8">
        <v>30853372</v>
      </c>
      <c r="D1652" s="8">
        <v>5</v>
      </c>
      <c r="E1652" s="11">
        <v>43109</v>
      </c>
      <c r="F1652" s="8" t="s">
        <v>57</v>
      </c>
      <c r="G1652" s="11">
        <v>43110</v>
      </c>
      <c r="H1652" s="8" t="s">
        <v>25</v>
      </c>
      <c r="J1652" s="8" t="s">
        <v>25</v>
      </c>
      <c r="N1652" s="8" t="s">
        <v>58</v>
      </c>
      <c r="O1652" s="8" t="s">
        <v>59</v>
      </c>
      <c r="P1652" s="8" t="s">
        <v>59</v>
      </c>
      <c r="R1652" s="8">
        <v>0</v>
      </c>
      <c r="S1652" s="8">
        <v>0</v>
      </c>
      <c r="T1652" s="8">
        <v>1</v>
      </c>
      <c r="U1652" s="8">
        <v>2</v>
      </c>
      <c r="AG1652" s="8" t="str">
        <f t="shared" si="101"/>
        <v/>
      </c>
      <c r="AI1652" s="8" t="str">
        <f t="shared" si="102"/>
        <v/>
      </c>
      <c r="AJ1652" s="8" t="str">
        <f t="shared" si="103"/>
        <v/>
      </c>
      <c r="AL1652" s="8" t="str">
        <f t="shared" si="104"/>
        <v/>
      </c>
    </row>
    <row r="1653" spans="1:38" x14ac:dyDescent="0.25">
      <c r="A1653" s="8" t="s">
        <v>2290</v>
      </c>
      <c r="B1653" s="8" t="s">
        <v>2291</v>
      </c>
      <c r="C1653" s="8">
        <v>30863210</v>
      </c>
      <c r="D1653" s="8">
        <v>5</v>
      </c>
      <c r="E1653" s="11">
        <v>43110</v>
      </c>
      <c r="F1653" s="8" t="s">
        <v>58</v>
      </c>
      <c r="G1653" s="11">
        <v>43110</v>
      </c>
      <c r="H1653" s="8" t="s">
        <v>25</v>
      </c>
      <c r="I1653" s="11">
        <v>43115</v>
      </c>
      <c r="J1653" s="8" t="s">
        <v>145</v>
      </c>
      <c r="N1653" s="8" t="s">
        <v>58</v>
      </c>
      <c r="O1653" s="8" t="s">
        <v>59</v>
      </c>
      <c r="P1653" s="8" t="s">
        <v>59</v>
      </c>
      <c r="R1653" s="8">
        <v>0</v>
      </c>
      <c r="S1653" s="8">
        <v>0</v>
      </c>
      <c r="T1653" s="8">
        <v>1</v>
      </c>
      <c r="U1653" s="8">
        <v>2</v>
      </c>
      <c r="X1653" s="8">
        <v>5</v>
      </c>
      <c r="AG1653" s="8" t="str">
        <f t="shared" si="101"/>
        <v/>
      </c>
      <c r="AI1653" s="8" t="str">
        <f t="shared" si="102"/>
        <v/>
      </c>
      <c r="AJ1653" s="8" t="str">
        <f t="shared" si="103"/>
        <v/>
      </c>
      <c r="AL1653" s="8" t="str">
        <f t="shared" si="104"/>
        <v/>
      </c>
    </row>
    <row r="1654" spans="1:38" x14ac:dyDescent="0.25">
      <c r="A1654" s="8" t="s">
        <v>2292</v>
      </c>
      <c r="B1654" s="8" t="s">
        <v>2293</v>
      </c>
      <c r="C1654" s="8">
        <v>30839520</v>
      </c>
      <c r="D1654" s="8">
        <v>5</v>
      </c>
      <c r="E1654" s="11">
        <v>43109</v>
      </c>
      <c r="F1654" s="8" t="s">
        <v>58</v>
      </c>
      <c r="G1654" s="11">
        <v>43110</v>
      </c>
      <c r="H1654" s="8" t="s">
        <v>25</v>
      </c>
      <c r="I1654" s="11">
        <v>43112</v>
      </c>
      <c r="J1654" s="8" t="s">
        <v>25</v>
      </c>
      <c r="N1654" s="8" t="s">
        <v>58</v>
      </c>
      <c r="O1654" s="8" t="s">
        <v>59</v>
      </c>
      <c r="P1654" s="8" t="s">
        <v>59</v>
      </c>
      <c r="R1654" s="8">
        <v>0</v>
      </c>
      <c r="S1654" s="8">
        <v>0</v>
      </c>
      <c r="T1654" s="8">
        <v>1</v>
      </c>
      <c r="U1654" s="8">
        <v>2</v>
      </c>
      <c r="X1654" s="8">
        <v>5</v>
      </c>
      <c r="AG1654" s="8" t="str">
        <f t="shared" si="101"/>
        <v/>
      </c>
      <c r="AI1654" s="8" t="str">
        <f t="shared" si="102"/>
        <v/>
      </c>
      <c r="AJ1654" s="8" t="str">
        <f t="shared" si="103"/>
        <v/>
      </c>
      <c r="AL1654" s="8" t="str">
        <f t="shared" si="104"/>
        <v/>
      </c>
    </row>
    <row r="1655" spans="1:38" x14ac:dyDescent="0.25">
      <c r="A1655" s="8" t="s">
        <v>1173</v>
      </c>
      <c r="B1655" s="8" t="s">
        <v>84</v>
      </c>
      <c r="C1655" s="8">
        <v>30840021</v>
      </c>
      <c r="D1655" s="8">
        <v>4</v>
      </c>
      <c r="E1655" s="11">
        <v>43109</v>
      </c>
      <c r="F1655" s="8" t="s">
        <v>60</v>
      </c>
      <c r="G1655" s="11">
        <v>43109</v>
      </c>
      <c r="H1655" s="8" t="s">
        <v>25</v>
      </c>
      <c r="J1655" s="8" t="s">
        <v>145</v>
      </c>
      <c r="L1655" s="8" t="s">
        <v>6525</v>
      </c>
      <c r="N1655" s="8" t="s">
        <v>58</v>
      </c>
      <c r="O1655" s="8" t="s">
        <v>59</v>
      </c>
      <c r="P1655" s="8" t="s">
        <v>59</v>
      </c>
      <c r="R1655" s="8">
        <v>0</v>
      </c>
      <c r="S1655" s="8">
        <v>0</v>
      </c>
      <c r="T1655" s="8">
        <v>1</v>
      </c>
      <c r="U1655" s="8">
        <v>2</v>
      </c>
      <c r="W1655" s="8">
        <v>4</v>
      </c>
      <c r="AG1655" s="8" t="str">
        <f t="shared" si="101"/>
        <v/>
      </c>
      <c r="AI1655" s="8" t="str">
        <f t="shared" si="102"/>
        <v/>
      </c>
      <c r="AJ1655" s="8" t="str">
        <f t="shared" si="103"/>
        <v/>
      </c>
      <c r="AL1655" s="8" t="str">
        <f t="shared" si="104"/>
        <v/>
      </c>
    </row>
    <row r="1656" spans="1:38" x14ac:dyDescent="0.25">
      <c r="A1656" s="8" t="s">
        <v>2294</v>
      </c>
      <c r="B1656" s="8" t="s">
        <v>2295</v>
      </c>
      <c r="C1656" s="8">
        <v>30841478</v>
      </c>
      <c r="D1656" s="8">
        <v>5</v>
      </c>
      <c r="E1656" s="11">
        <v>43109</v>
      </c>
      <c r="F1656" s="8" t="s">
        <v>57</v>
      </c>
      <c r="G1656" s="11">
        <v>43110</v>
      </c>
      <c r="H1656" s="8" t="s">
        <v>25</v>
      </c>
      <c r="J1656" s="8" t="s">
        <v>25</v>
      </c>
      <c r="N1656" s="8" t="s">
        <v>58</v>
      </c>
      <c r="O1656" s="8" t="s">
        <v>59</v>
      </c>
      <c r="P1656" s="8" t="s">
        <v>59</v>
      </c>
      <c r="R1656" s="8">
        <v>0</v>
      </c>
      <c r="S1656" s="8">
        <v>0</v>
      </c>
      <c r="T1656" s="8">
        <v>1</v>
      </c>
      <c r="U1656" s="8">
        <v>2</v>
      </c>
      <c r="AG1656" s="8" t="str">
        <f t="shared" si="101"/>
        <v/>
      </c>
      <c r="AI1656" s="8" t="str">
        <f t="shared" si="102"/>
        <v/>
      </c>
      <c r="AJ1656" s="8" t="str">
        <f t="shared" si="103"/>
        <v/>
      </c>
      <c r="AL1656" s="8" t="str">
        <f t="shared" si="104"/>
        <v/>
      </c>
    </row>
    <row r="1657" spans="1:38" x14ac:dyDescent="0.25">
      <c r="A1657" s="8" t="s">
        <v>2296</v>
      </c>
      <c r="B1657" s="8" t="s">
        <v>2297</v>
      </c>
      <c r="C1657" s="8">
        <v>30837590</v>
      </c>
      <c r="D1657" s="8">
        <v>5</v>
      </c>
      <c r="E1657" s="11">
        <v>43109</v>
      </c>
      <c r="F1657" s="8" t="s">
        <v>57</v>
      </c>
      <c r="G1657" s="11">
        <v>43110</v>
      </c>
      <c r="H1657" s="8" t="s">
        <v>25</v>
      </c>
      <c r="J1657" s="8" t="s">
        <v>25</v>
      </c>
      <c r="N1657" s="8" t="s">
        <v>58</v>
      </c>
      <c r="O1657" s="8" t="s">
        <v>59</v>
      </c>
      <c r="P1657" s="8" t="s">
        <v>59</v>
      </c>
      <c r="R1657" s="8">
        <v>0</v>
      </c>
      <c r="S1657" s="8">
        <v>0</v>
      </c>
      <c r="T1657" s="8">
        <v>1</v>
      </c>
      <c r="U1657" s="8">
        <v>2</v>
      </c>
      <c r="AG1657" s="8" t="str">
        <f t="shared" si="101"/>
        <v/>
      </c>
      <c r="AI1657" s="8" t="str">
        <f t="shared" si="102"/>
        <v/>
      </c>
      <c r="AJ1657" s="8" t="str">
        <f t="shared" si="103"/>
        <v/>
      </c>
      <c r="AL1657" s="8" t="str">
        <f t="shared" si="104"/>
        <v/>
      </c>
    </row>
    <row r="1658" spans="1:38" x14ac:dyDescent="0.25">
      <c r="A1658" s="8" t="s">
        <v>426</v>
      </c>
      <c r="B1658" s="8" t="s">
        <v>427</v>
      </c>
      <c r="C1658" s="8">
        <v>30809217</v>
      </c>
      <c r="D1658" s="8">
        <v>5</v>
      </c>
      <c r="E1658" s="11">
        <v>43108</v>
      </c>
      <c r="F1658" s="8" t="s">
        <v>57</v>
      </c>
      <c r="G1658" s="11">
        <v>43108</v>
      </c>
      <c r="H1658" s="8" t="s">
        <v>25</v>
      </c>
      <c r="J1658" s="8" t="s">
        <v>25</v>
      </c>
      <c r="N1658" s="8" t="s">
        <v>58</v>
      </c>
      <c r="O1658" s="8" t="s">
        <v>59</v>
      </c>
      <c r="P1658" s="8" t="s">
        <v>59</v>
      </c>
      <c r="R1658" s="8">
        <v>0</v>
      </c>
      <c r="S1658" s="8">
        <v>0</v>
      </c>
      <c r="T1658" s="8">
        <v>1</v>
      </c>
      <c r="U1658" s="8">
        <v>2</v>
      </c>
      <c r="AG1658" s="8" t="str">
        <f t="shared" si="101"/>
        <v/>
      </c>
      <c r="AI1658" s="8" t="str">
        <f t="shared" si="102"/>
        <v/>
      </c>
      <c r="AJ1658" s="8" t="str">
        <f t="shared" si="103"/>
        <v/>
      </c>
      <c r="AL1658" s="8" t="str">
        <f t="shared" si="104"/>
        <v/>
      </c>
    </row>
    <row r="1659" spans="1:38" x14ac:dyDescent="0.25">
      <c r="A1659" s="8" t="s">
        <v>7197</v>
      </c>
      <c r="B1659" s="8" t="s">
        <v>7198</v>
      </c>
      <c r="C1659" s="8">
        <v>30902392</v>
      </c>
      <c r="D1659" s="8">
        <v>5</v>
      </c>
      <c r="E1659" s="11">
        <v>43111</v>
      </c>
      <c r="F1659" s="8" t="s">
        <v>58</v>
      </c>
      <c r="G1659" s="11">
        <v>43115</v>
      </c>
      <c r="H1659" s="8" t="s">
        <v>25</v>
      </c>
      <c r="I1659" s="11">
        <v>43115</v>
      </c>
      <c r="J1659" s="8" t="s">
        <v>25</v>
      </c>
      <c r="N1659" s="8" t="s">
        <v>58</v>
      </c>
      <c r="O1659" s="8" t="s">
        <v>59</v>
      </c>
      <c r="P1659" s="8" t="s">
        <v>59</v>
      </c>
      <c r="R1659" s="8">
        <v>0</v>
      </c>
      <c r="S1659" s="8">
        <v>0</v>
      </c>
      <c r="T1659" s="8">
        <v>1</v>
      </c>
      <c r="U1659" s="8">
        <v>2</v>
      </c>
      <c r="X1659" s="8">
        <v>5</v>
      </c>
      <c r="AG1659" s="8" t="str">
        <f t="shared" si="101"/>
        <v/>
      </c>
      <c r="AI1659" s="8" t="str">
        <f t="shared" si="102"/>
        <v/>
      </c>
      <c r="AJ1659" s="8" t="str">
        <f t="shared" si="103"/>
        <v/>
      </c>
      <c r="AL1659" s="8" t="str">
        <f t="shared" si="104"/>
        <v/>
      </c>
    </row>
    <row r="1660" spans="1:38" x14ac:dyDescent="0.25">
      <c r="A1660" s="8" t="s">
        <v>7199</v>
      </c>
      <c r="B1660" s="8" t="s">
        <v>7200</v>
      </c>
      <c r="C1660" s="8">
        <v>30906250</v>
      </c>
      <c r="D1660" s="8">
        <v>5</v>
      </c>
      <c r="E1660" s="11">
        <v>43112</v>
      </c>
      <c r="F1660" s="8" t="s">
        <v>57</v>
      </c>
      <c r="G1660" s="11">
        <v>43115</v>
      </c>
      <c r="H1660" s="8" t="s">
        <v>25</v>
      </c>
      <c r="J1660" s="8" t="s">
        <v>25</v>
      </c>
      <c r="N1660" s="8" t="s">
        <v>58</v>
      </c>
      <c r="O1660" s="8" t="s">
        <v>59</v>
      </c>
      <c r="P1660" s="8" t="s">
        <v>59</v>
      </c>
      <c r="R1660" s="8">
        <v>0</v>
      </c>
      <c r="S1660" s="8">
        <v>0</v>
      </c>
      <c r="T1660" s="8">
        <v>1</v>
      </c>
      <c r="U1660" s="8">
        <v>2</v>
      </c>
      <c r="AG1660" s="8" t="str">
        <f t="shared" si="101"/>
        <v/>
      </c>
      <c r="AI1660" s="8" t="str">
        <f t="shared" si="102"/>
        <v/>
      </c>
      <c r="AJ1660" s="8" t="str">
        <f t="shared" si="103"/>
        <v/>
      </c>
      <c r="AL1660" s="8" t="str">
        <f t="shared" si="104"/>
        <v/>
      </c>
    </row>
    <row r="1661" spans="1:38" x14ac:dyDescent="0.25">
      <c r="A1661" s="8" t="s">
        <v>2298</v>
      </c>
      <c r="B1661" s="8" t="s">
        <v>2299</v>
      </c>
      <c r="C1661" s="8">
        <v>30852191</v>
      </c>
      <c r="D1661" s="8">
        <v>5</v>
      </c>
      <c r="E1661" s="11">
        <v>43109</v>
      </c>
      <c r="F1661" s="8" t="s">
        <v>58</v>
      </c>
      <c r="G1661" s="11">
        <v>43110</v>
      </c>
      <c r="H1661" s="8" t="s">
        <v>25</v>
      </c>
      <c r="I1661" s="11">
        <v>43111</v>
      </c>
      <c r="J1661" s="8" t="s">
        <v>25</v>
      </c>
      <c r="N1661" s="8" t="s">
        <v>58</v>
      </c>
      <c r="O1661" s="8" t="s">
        <v>59</v>
      </c>
      <c r="P1661" s="8" t="s">
        <v>59</v>
      </c>
      <c r="R1661" s="8">
        <v>0</v>
      </c>
      <c r="S1661" s="8">
        <v>0</v>
      </c>
      <c r="T1661" s="8">
        <v>1</v>
      </c>
      <c r="U1661" s="8">
        <v>2</v>
      </c>
      <c r="X1661" s="8">
        <v>5</v>
      </c>
      <c r="AG1661" s="8" t="str">
        <f t="shared" si="101"/>
        <v/>
      </c>
      <c r="AI1661" s="8" t="str">
        <f t="shared" si="102"/>
        <v/>
      </c>
      <c r="AJ1661" s="8" t="str">
        <f t="shared" si="103"/>
        <v/>
      </c>
      <c r="AL1661" s="8" t="str">
        <f t="shared" si="104"/>
        <v/>
      </c>
    </row>
    <row r="1662" spans="1:38" x14ac:dyDescent="0.25">
      <c r="A1662" s="8" t="s">
        <v>3851</v>
      </c>
      <c r="B1662" s="8" t="s">
        <v>3852</v>
      </c>
      <c r="C1662" s="8">
        <v>30860779</v>
      </c>
      <c r="D1662" s="8">
        <v>5</v>
      </c>
      <c r="E1662" s="11">
        <v>43110</v>
      </c>
      <c r="F1662" s="8" t="s">
        <v>57</v>
      </c>
      <c r="G1662" s="11">
        <v>43111</v>
      </c>
      <c r="H1662" s="8" t="s">
        <v>25</v>
      </c>
      <c r="J1662" s="8" t="s">
        <v>25</v>
      </c>
      <c r="N1662" s="8" t="s">
        <v>58</v>
      </c>
      <c r="O1662" s="8" t="s">
        <v>59</v>
      </c>
      <c r="P1662" s="8" t="s">
        <v>59</v>
      </c>
      <c r="R1662" s="8">
        <v>0</v>
      </c>
      <c r="S1662" s="8">
        <v>0</v>
      </c>
      <c r="T1662" s="8">
        <v>1</v>
      </c>
      <c r="U1662" s="8">
        <v>2</v>
      </c>
      <c r="AG1662" s="8" t="str">
        <f t="shared" si="101"/>
        <v/>
      </c>
      <c r="AI1662" s="8" t="str">
        <f t="shared" si="102"/>
        <v/>
      </c>
      <c r="AJ1662" s="8" t="str">
        <f t="shared" si="103"/>
        <v/>
      </c>
      <c r="AL1662" s="8" t="str">
        <f t="shared" si="104"/>
        <v/>
      </c>
    </row>
    <row r="1663" spans="1:38" x14ac:dyDescent="0.25">
      <c r="A1663" s="8" t="s">
        <v>2300</v>
      </c>
      <c r="B1663" s="8" t="s">
        <v>2301</v>
      </c>
      <c r="C1663" s="8">
        <v>30839354</v>
      </c>
      <c r="D1663" s="8">
        <v>5</v>
      </c>
      <c r="E1663" s="11">
        <v>43109</v>
      </c>
      <c r="F1663" s="8" t="s">
        <v>57</v>
      </c>
      <c r="G1663" s="11">
        <v>43110</v>
      </c>
      <c r="H1663" s="8" t="s">
        <v>25</v>
      </c>
      <c r="J1663" s="8" t="s">
        <v>25</v>
      </c>
      <c r="N1663" s="8" t="s">
        <v>58</v>
      </c>
      <c r="O1663" s="8" t="s">
        <v>59</v>
      </c>
      <c r="P1663" s="8" t="s">
        <v>59</v>
      </c>
      <c r="R1663" s="8">
        <v>0</v>
      </c>
      <c r="S1663" s="8">
        <v>0</v>
      </c>
      <c r="T1663" s="8">
        <v>1</v>
      </c>
      <c r="U1663" s="8">
        <v>2</v>
      </c>
      <c r="AG1663" s="8" t="str">
        <f t="shared" si="101"/>
        <v/>
      </c>
      <c r="AI1663" s="8" t="str">
        <f t="shared" si="102"/>
        <v/>
      </c>
      <c r="AJ1663" s="8" t="str">
        <f t="shared" si="103"/>
        <v/>
      </c>
      <c r="AL1663" s="8" t="str">
        <f t="shared" si="104"/>
        <v/>
      </c>
    </row>
    <row r="1664" spans="1:38" x14ac:dyDescent="0.25">
      <c r="A1664" s="8" t="s">
        <v>2302</v>
      </c>
      <c r="B1664" s="8" t="s">
        <v>2303</v>
      </c>
      <c r="C1664" s="8">
        <v>30811281</v>
      </c>
      <c r="D1664" s="8">
        <v>5</v>
      </c>
      <c r="E1664" s="11">
        <v>43108</v>
      </c>
      <c r="F1664" s="8" t="s">
        <v>58</v>
      </c>
      <c r="G1664" s="11">
        <v>43110</v>
      </c>
      <c r="H1664" s="8" t="s">
        <v>25</v>
      </c>
      <c r="I1664" s="11">
        <v>43111</v>
      </c>
      <c r="J1664" s="8" t="s">
        <v>25</v>
      </c>
      <c r="N1664" s="8" t="s">
        <v>58</v>
      </c>
      <c r="O1664" s="8" t="s">
        <v>59</v>
      </c>
      <c r="P1664" s="8" t="s">
        <v>59</v>
      </c>
      <c r="R1664" s="8">
        <v>0</v>
      </c>
      <c r="S1664" s="8">
        <v>0</v>
      </c>
      <c r="T1664" s="8">
        <v>1</v>
      </c>
      <c r="U1664" s="8">
        <v>2</v>
      </c>
      <c r="X1664" s="8">
        <v>5</v>
      </c>
      <c r="AG1664" s="8" t="str">
        <f t="shared" si="101"/>
        <v/>
      </c>
      <c r="AI1664" s="8" t="str">
        <f t="shared" si="102"/>
        <v/>
      </c>
      <c r="AJ1664" s="8" t="str">
        <f t="shared" si="103"/>
        <v/>
      </c>
      <c r="AL1664" s="8" t="str">
        <f t="shared" si="104"/>
        <v/>
      </c>
    </row>
    <row r="1665" spans="1:38" x14ac:dyDescent="0.25">
      <c r="A1665" s="8" t="s">
        <v>5381</v>
      </c>
      <c r="B1665" s="8" t="s">
        <v>5382</v>
      </c>
      <c r="C1665" s="8">
        <v>30885615</v>
      </c>
      <c r="D1665" s="8">
        <v>5</v>
      </c>
      <c r="E1665" s="11">
        <v>43111</v>
      </c>
      <c r="F1665" s="8" t="s">
        <v>57</v>
      </c>
      <c r="G1665" s="11">
        <v>43112</v>
      </c>
      <c r="H1665" s="8" t="s">
        <v>25</v>
      </c>
      <c r="J1665" s="8" t="s">
        <v>25</v>
      </c>
      <c r="N1665" s="8" t="s">
        <v>58</v>
      </c>
      <c r="O1665" s="8" t="s">
        <v>59</v>
      </c>
      <c r="P1665" s="8" t="s">
        <v>59</v>
      </c>
      <c r="R1665" s="8">
        <v>0</v>
      </c>
      <c r="S1665" s="8">
        <v>0</v>
      </c>
      <c r="T1665" s="8">
        <v>1</v>
      </c>
      <c r="U1665" s="8">
        <v>2</v>
      </c>
      <c r="AG1665" s="8" t="str">
        <f t="shared" si="101"/>
        <v/>
      </c>
      <c r="AI1665" s="8" t="str">
        <f t="shared" si="102"/>
        <v/>
      </c>
      <c r="AJ1665" s="8" t="str">
        <f t="shared" si="103"/>
        <v/>
      </c>
      <c r="AL1665" s="8" t="str">
        <f t="shared" si="104"/>
        <v/>
      </c>
    </row>
    <row r="1666" spans="1:38" x14ac:dyDescent="0.25">
      <c r="A1666" s="8" t="s">
        <v>5383</v>
      </c>
      <c r="B1666" s="8" t="s">
        <v>5384</v>
      </c>
      <c r="C1666" s="8">
        <v>30905988</v>
      </c>
      <c r="D1666" s="8">
        <v>5</v>
      </c>
      <c r="E1666" s="11">
        <v>43112</v>
      </c>
      <c r="F1666" s="8" t="s">
        <v>57</v>
      </c>
      <c r="G1666" s="11">
        <v>43112</v>
      </c>
      <c r="H1666" s="8" t="s">
        <v>25</v>
      </c>
      <c r="J1666" s="8" t="s">
        <v>25</v>
      </c>
      <c r="N1666" s="8" t="s">
        <v>58</v>
      </c>
      <c r="O1666" s="8" t="s">
        <v>59</v>
      </c>
      <c r="P1666" s="8" t="s">
        <v>59</v>
      </c>
      <c r="R1666" s="8">
        <v>0</v>
      </c>
      <c r="S1666" s="8">
        <v>0</v>
      </c>
      <c r="T1666" s="8">
        <v>1</v>
      </c>
      <c r="U1666" s="8">
        <v>2</v>
      </c>
      <c r="AG1666" s="8" t="str">
        <f t="shared" si="101"/>
        <v/>
      </c>
      <c r="AI1666" s="8" t="str">
        <f t="shared" si="102"/>
        <v/>
      </c>
      <c r="AJ1666" s="8" t="str">
        <f t="shared" si="103"/>
        <v/>
      </c>
      <c r="AL1666" s="8" t="str">
        <f t="shared" si="104"/>
        <v/>
      </c>
    </row>
    <row r="1667" spans="1:38" x14ac:dyDescent="0.25">
      <c r="A1667" s="8" t="s">
        <v>2304</v>
      </c>
      <c r="B1667" s="8" t="s">
        <v>2305</v>
      </c>
      <c r="C1667" s="8">
        <v>30813852</v>
      </c>
      <c r="D1667" s="8">
        <v>4</v>
      </c>
      <c r="E1667" s="11">
        <v>43108</v>
      </c>
      <c r="F1667" s="8" t="s">
        <v>57</v>
      </c>
      <c r="G1667" s="11">
        <v>43110</v>
      </c>
      <c r="H1667" s="8" t="s">
        <v>25</v>
      </c>
      <c r="J1667" s="8" t="s">
        <v>25</v>
      </c>
      <c r="N1667" s="8" t="s">
        <v>58</v>
      </c>
      <c r="O1667" s="8" t="s">
        <v>59</v>
      </c>
      <c r="P1667" s="8" t="s">
        <v>59</v>
      </c>
      <c r="R1667" s="8">
        <v>0</v>
      </c>
      <c r="S1667" s="8">
        <v>0</v>
      </c>
      <c r="T1667" s="8">
        <v>1</v>
      </c>
      <c r="U1667" s="8">
        <v>2</v>
      </c>
      <c r="AG1667" s="8" t="str">
        <f t="shared" ref="AG1667:AG1730" si="105">IF(AND(U1667="",G1667&lt;&gt;"",NOT(OR(R1667,S1667))),IF(NETWORKDAYS.INTL(G1667,TODAY(),11)&lt;5,"En Plazo",IF(NETWORKDAYS.INTL(G1667,TODAY(),11)=5,"Riesgo Incumplimiento","FALTA_02")),"")</f>
        <v/>
      </c>
      <c r="AI1667" s="8" t="str">
        <f t="shared" ref="AI1667:AI1730" si="106">IF(AND(O1667&lt;&gt;"B1",F1667="Rejected"),IF(W1667="","FALTA_04",""),"")</f>
        <v/>
      </c>
      <c r="AJ1667" s="8" t="str">
        <f t="shared" ref="AJ1667:AJ1730" si="107">IF(AND(X1667="",I1667&lt;&gt;"",NOT(OR(R1667,S1667))),IF(NETWORKDAYS.INTL(G1667,TODAY(),11)&lt;=1,"En Plazo",IF(OR(AND(X1667="",O1667&lt;&gt;"M1"),AND(O1667="M1",(OR(Q1667="S - S",Q1667="S - T",)))),"FALTA_05","")),"")</f>
        <v/>
      </c>
      <c r="AL1667" s="8" t="str">
        <f t="shared" ref="AL1667:AL1730" si="108">IF(AND(O1667="B1",F1667="Rejected"),IF(Z1667="","FALTA_07",""),"")</f>
        <v/>
      </c>
    </row>
    <row r="1668" spans="1:38" x14ac:dyDescent="0.25">
      <c r="A1668" s="8" t="s">
        <v>3853</v>
      </c>
      <c r="B1668" s="8" t="s">
        <v>3854</v>
      </c>
      <c r="C1668" s="8">
        <v>30867913</v>
      </c>
      <c r="D1668" s="8">
        <v>5</v>
      </c>
      <c r="E1668" s="11">
        <v>43110</v>
      </c>
      <c r="F1668" s="8" t="s">
        <v>57</v>
      </c>
      <c r="G1668" s="11">
        <v>43111</v>
      </c>
      <c r="H1668" s="8" t="s">
        <v>25</v>
      </c>
      <c r="J1668" s="8" t="s">
        <v>25</v>
      </c>
      <c r="N1668" s="8" t="s">
        <v>58</v>
      </c>
      <c r="O1668" s="8" t="s">
        <v>59</v>
      </c>
      <c r="P1668" s="8" t="s">
        <v>59</v>
      </c>
      <c r="R1668" s="8">
        <v>0</v>
      </c>
      <c r="S1668" s="8">
        <v>0</v>
      </c>
      <c r="T1668" s="8">
        <v>1</v>
      </c>
      <c r="U1668" s="8">
        <v>2</v>
      </c>
      <c r="AG1668" s="8" t="str">
        <f t="shared" si="105"/>
        <v/>
      </c>
      <c r="AI1668" s="8" t="str">
        <f t="shared" si="106"/>
        <v/>
      </c>
      <c r="AJ1668" s="8" t="str">
        <f t="shared" si="107"/>
        <v/>
      </c>
      <c r="AL1668" s="8" t="str">
        <f t="shared" si="108"/>
        <v/>
      </c>
    </row>
    <row r="1669" spans="1:38" x14ac:dyDescent="0.25">
      <c r="A1669" s="8" t="s">
        <v>2306</v>
      </c>
      <c r="B1669" s="8" t="s">
        <v>2307</v>
      </c>
      <c r="C1669" s="8">
        <v>30832382</v>
      </c>
      <c r="D1669" s="8">
        <v>5</v>
      </c>
      <c r="E1669" s="11">
        <v>43109</v>
      </c>
      <c r="F1669" s="8" t="s">
        <v>58</v>
      </c>
      <c r="G1669" s="11">
        <v>43110</v>
      </c>
      <c r="H1669" s="8" t="s">
        <v>25</v>
      </c>
      <c r="I1669" s="11">
        <v>43112</v>
      </c>
      <c r="J1669" s="8" t="s">
        <v>25</v>
      </c>
      <c r="N1669" s="8" t="s">
        <v>58</v>
      </c>
      <c r="O1669" s="8" t="s">
        <v>59</v>
      </c>
      <c r="P1669" s="8" t="s">
        <v>59</v>
      </c>
      <c r="R1669" s="8">
        <v>0</v>
      </c>
      <c r="S1669" s="8">
        <v>0</v>
      </c>
      <c r="T1669" s="8">
        <v>1</v>
      </c>
      <c r="U1669" s="8">
        <v>2</v>
      </c>
      <c r="X1669" s="8">
        <v>5</v>
      </c>
      <c r="AG1669" s="8" t="str">
        <f t="shared" si="105"/>
        <v/>
      </c>
      <c r="AI1669" s="8" t="str">
        <f t="shared" si="106"/>
        <v/>
      </c>
      <c r="AJ1669" s="8" t="str">
        <f t="shared" si="107"/>
        <v/>
      </c>
      <c r="AL1669" s="8" t="str">
        <f t="shared" si="108"/>
        <v/>
      </c>
    </row>
    <row r="1670" spans="1:38" x14ac:dyDescent="0.25">
      <c r="A1670" s="8" t="s">
        <v>7201</v>
      </c>
      <c r="B1670" s="8" t="s">
        <v>7202</v>
      </c>
      <c r="C1670" s="8">
        <v>30912917</v>
      </c>
      <c r="D1670" s="8">
        <v>5</v>
      </c>
      <c r="E1670" s="11">
        <v>43112</v>
      </c>
      <c r="F1670" s="8" t="s">
        <v>57</v>
      </c>
      <c r="G1670" s="11">
        <v>43115</v>
      </c>
      <c r="H1670" s="8" t="s">
        <v>25</v>
      </c>
      <c r="J1670" s="8" t="s">
        <v>25</v>
      </c>
      <c r="N1670" s="8" t="s">
        <v>58</v>
      </c>
      <c r="O1670" s="8" t="s">
        <v>59</v>
      </c>
      <c r="P1670" s="8" t="s">
        <v>59</v>
      </c>
      <c r="R1670" s="8">
        <v>0</v>
      </c>
      <c r="S1670" s="8">
        <v>0</v>
      </c>
      <c r="T1670" s="8">
        <v>1</v>
      </c>
      <c r="U1670" s="8">
        <v>2</v>
      </c>
      <c r="AG1670" s="8" t="str">
        <f t="shared" si="105"/>
        <v/>
      </c>
      <c r="AI1670" s="8" t="str">
        <f t="shared" si="106"/>
        <v/>
      </c>
      <c r="AJ1670" s="8" t="str">
        <f t="shared" si="107"/>
        <v/>
      </c>
      <c r="AL1670" s="8" t="str">
        <f t="shared" si="108"/>
        <v/>
      </c>
    </row>
    <row r="1671" spans="1:38" x14ac:dyDescent="0.25">
      <c r="A1671" s="8" t="s">
        <v>7203</v>
      </c>
      <c r="B1671" s="8" t="s">
        <v>7204</v>
      </c>
      <c r="C1671" s="8">
        <v>30913589</v>
      </c>
      <c r="D1671" s="8">
        <v>5</v>
      </c>
      <c r="E1671" s="11">
        <v>43112</v>
      </c>
      <c r="F1671" s="8" t="s">
        <v>57</v>
      </c>
      <c r="G1671" s="11">
        <v>43115</v>
      </c>
      <c r="H1671" s="8" t="s">
        <v>25</v>
      </c>
      <c r="J1671" s="8" t="s">
        <v>25</v>
      </c>
      <c r="N1671" s="8" t="s">
        <v>58</v>
      </c>
      <c r="O1671" s="8" t="s">
        <v>59</v>
      </c>
      <c r="P1671" s="8" t="s">
        <v>59</v>
      </c>
      <c r="R1671" s="8">
        <v>0</v>
      </c>
      <c r="S1671" s="8">
        <v>0</v>
      </c>
      <c r="T1671" s="8">
        <v>1</v>
      </c>
      <c r="U1671" s="8">
        <v>2</v>
      </c>
      <c r="AG1671" s="8" t="str">
        <f t="shared" si="105"/>
        <v/>
      </c>
      <c r="AI1671" s="8" t="str">
        <f t="shared" si="106"/>
        <v/>
      </c>
      <c r="AJ1671" s="8" t="str">
        <f t="shared" si="107"/>
        <v/>
      </c>
      <c r="AL1671" s="8" t="str">
        <f t="shared" si="108"/>
        <v/>
      </c>
    </row>
    <row r="1672" spans="1:38" x14ac:dyDescent="0.25">
      <c r="A1672" s="8" t="s">
        <v>1174</v>
      </c>
      <c r="B1672" s="8" t="s">
        <v>1175</v>
      </c>
      <c r="C1672" s="8">
        <v>30819998</v>
      </c>
      <c r="D1672" s="8">
        <v>4</v>
      </c>
      <c r="E1672" s="11">
        <v>43108</v>
      </c>
      <c r="F1672" s="8" t="s">
        <v>58</v>
      </c>
      <c r="G1672" s="11">
        <v>43109</v>
      </c>
      <c r="H1672" s="8" t="s">
        <v>25</v>
      </c>
      <c r="I1672" s="11">
        <v>43115</v>
      </c>
      <c r="J1672" s="8" t="s">
        <v>145</v>
      </c>
      <c r="N1672" s="8" t="s">
        <v>58</v>
      </c>
      <c r="O1672" s="8" t="s">
        <v>59</v>
      </c>
      <c r="P1672" s="8" t="s">
        <v>59</v>
      </c>
      <c r="R1672" s="8">
        <v>0</v>
      </c>
      <c r="S1672" s="8">
        <v>0</v>
      </c>
      <c r="T1672" s="8">
        <v>1</v>
      </c>
      <c r="U1672" s="8">
        <v>2</v>
      </c>
      <c r="X1672" s="8">
        <v>5</v>
      </c>
      <c r="AG1672" s="8" t="str">
        <f t="shared" si="105"/>
        <v/>
      </c>
      <c r="AI1672" s="8" t="str">
        <f t="shared" si="106"/>
        <v/>
      </c>
      <c r="AJ1672" s="8" t="str">
        <f t="shared" si="107"/>
        <v/>
      </c>
      <c r="AL1672" s="8" t="str">
        <f t="shared" si="108"/>
        <v/>
      </c>
    </row>
    <row r="1673" spans="1:38" x14ac:dyDescent="0.25">
      <c r="A1673" s="8" t="s">
        <v>2308</v>
      </c>
      <c r="B1673" s="8" t="s">
        <v>2309</v>
      </c>
      <c r="C1673" s="8">
        <v>30814147</v>
      </c>
      <c r="D1673" s="8">
        <v>5</v>
      </c>
      <c r="E1673" s="11">
        <v>43108</v>
      </c>
      <c r="F1673" s="8" t="s">
        <v>57</v>
      </c>
      <c r="G1673" s="11">
        <v>43110</v>
      </c>
      <c r="H1673" s="8" t="s">
        <v>25</v>
      </c>
      <c r="J1673" s="8" t="s">
        <v>25</v>
      </c>
      <c r="N1673" s="8" t="s">
        <v>58</v>
      </c>
      <c r="O1673" s="8" t="s">
        <v>59</v>
      </c>
      <c r="P1673" s="8" t="s">
        <v>59</v>
      </c>
      <c r="R1673" s="8">
        <v>0</v>
      </c>
      <c r="S1673" s="8">
        <v>0</v>
      </c>
      <c r="T1673" s="8">
        <v>1</v>
      </c>
      <c r="U1673" s="8">
        <v>2</v>
      </c>
      <c r="AG1673" s="8" t="str">
        <f t="shared" si="105"/>
        <v/>
      </c>
      <c r="AI1673" s="8" t="str">
        <f t="shared" si="106"/>
        <v/>
      </c>
      <c r="AJ1673" s="8" t="str">
        <f t="shared" si="107"/>
        <v/>
      </c>
      <c r="AL1673" s="8" t="str">
        <f t="shared" si="108"/>
        <v/>
      </c>
    </row>
    <row r="1674" spans="1:38" x14ac:dyDescent="0.25">
      <c r="A1674" s="8" t="s">
        <v>2310</v>
      </c>
      <c r="B1674" s="8" t="s">
        <v>2311</v>
      </c>
      <c r="C1674" s="8">
        <v>30813698</v>
      </c>
      <c r="D1674" s="8">
        <v>5</v>
      </c>
      <c r="E1674" s="11">
        <v>43108</v>
      </c>
      <c r="F1674" s="8" t="s">
        <v>57</v>
      </c>
      <c r="G1674" s="11">
        <v>43110</v>
      </c>
      <c r="H1674" s="8" t="s">
        <v>25</v>
      </c>
      <c r="J1674" s="8" t="s">
        <v>25</v>
      </c>
      <c r="N1674" s="8" t="s">
        <v>58</v>
      </c>
      <c r="O1674" s="8" t="s">
        <v>59</v>
      </c>
      <c r="P1674" s="8" t="s">
        <v>59</v>
      </c>
      <c r="R1674" s="8">
        <v>0</v>
      </c>
      <c r="S1674" s="8">
        <v>0</v>
      </c>
      <c r="T1674" s="8">
        <v>1</v>
      </c>
      <c r="U1674" s="8">
        <v>2</v>
      </c>
      <c r="AG1674" s="8" t="str">
        <f t="shared" si="105"/>
        <v/>
      </c>
      <c r="AI1674" s="8" t="str">
        <f t="shared" si="106"/>
        <v/>
      </c>
      <c r="AJ1674" s="8" t="str">
        <f t="shared" si="107"/>
        <v/>
      </c>
      <c r="AL1674" s="8" t="str">
        <f t="shared" si="108"/>
        <v/>
      </c>
    </row>
    <row r="1675" spans="1:38" x14ac:dyDescent="0.25">
      <c r="A1675" s="8" t="s">
        <v>2312</v>
      </c>
      <c r="B1675" s="8" t="s">
        <v>2313</v>
      </c>
      <c r="C1675" s="8">
        <v>30841871</v>
      </c>
      <c r="D1675" s="8">
        <v>5</v>
      </c>
      <c r="E1675" s="11">
        <v>43109</v>
      </c>
      <c r="F1675" s="8" t="s">
        <v>58</v>
      </c>
      <c r="G1675" s="11">
        <v>43110</v>
      </c>
      <c r="H1675" s="8" t="s">
        <v>25</v>
      </c>
      <c r="I1675" s="11">
        <v>43115</v>
      </c>
      <c r="J1675" s="8" t="s">
        <v>145</v>
      </c>
      <c r="N1675" s="8" t="s">
        <v>58</v>
      </c>
      <c r="O1675" s="8" t="s">
        <v>59</v>
      </c>
      <c r="P1675" s="8" t="s">
        <v>59</v>
      </c>
      <c r="R1675" s="8">
        <v>0</v>
      </c>
      <c r="S1675" s="8">
        <v>0</v>
      </c>
      <c r="T1675" s="8">
        <v>1</v>
      </c>
      <c r="U1675" s="8">
        <v>2</v>
      </c>
      <c r="X1675" s="8">
        <v>5</v>
      </c>
      <c r="AG1675" s="8" t="str">
        <f t="shared" si="105"/>
        <v/>
      </c>
      <c r="AI1675" s="8" t="str">
        <f t="shared" si="106"/>
        <v/>
      </c>
      <c r="AJ1675" s="8" t="str">
        <f t="shared" si="107"/>
        <v/>
      </c>
      <c r="AL1675" s="8" t="str">
        <f t="shared" si="108"/>
        <v/>
      </c>
    </row>
    <row r="1676" spans="1:38" x14ac:dyDescent="0.25">
      <c r="A1676" s="8" t="s">
        <v>2314</v>
      </c>
      <c r="B1676" s="8" t="s">
        <v>2315</v>
      </c>
      <c r="C1676" s="8">
        <v>30846306</v>
      </c>
      <c r="D1676" s="8">
        <v>5</v>
      </c>
      <c r="E1676" s="11">
        <v>43109</v>
      </c>
      <c r="F1676" s="8" t="s">
        <v>57</v>
      </c>
      <c r="G1676" s="11">
        <v>43110</v>
      </c>
      <c r="H1676" s="8" t="s">
        <v>25</v>
      </c>
      <c r="J1676" s="8" t="s">
        <v>25</v>
      </c>
      <c r="N1676" s="8" t="s">
        <v>58</v>
      </c>
      <c r="O1676" s="8" t="s">
        <v>59</v>
      </c>
      <c r="P1676" s="8" t="s">
        <v>59</v>
      </c>
      <c r="R1676" s="8">
        <v>0</v>
      </c>
      <c r="S1676" s="8">
        <v>0</v>
      </c>
      <c r="T1676" s="8">
        <v>1</v>
      </c>
      <c r="U1676" s="8">
        <v>2</v>
      </c>
      <c r="AG1676" s="8" t="str">
        <f t="shared" si="105"/>
        <v/>
      </c>
      <c r="AI1676" s="8" t="str">
        <f t="shared" si="106"/>
        <v/>
      </c>
      <c r="AJ1676" s="8" t="str">
        <f t="shared" si="107"/>
        <v/>
      </c>
      <c r="AL1676" s="8" t="str">
        <f t="shared" si="108"/>
        <v/>
      </c>
    </row>
    <row r="1677" spans="1:38" x14ac:dyDescent="0.25">
      <c r="A1677" s="8" t="s">
        <v>1176</v>
      </c>
      <c r="B1677" s="8" t="s">
        <v>1177</v>
      </c>
      <c r="C1677" s="8">
        <v>30839490</v>
      </c>
      <c r="D1677" s="8">
        <v>5</v>
      </c>
      <c r="E1677" s="11">
        <v>43109</v>
      </c>
      <c r="F1677" s="8" t="s">
        <v>57</v>
      </c>
      <c r="G1677" s="11">
        <v>43109</v>
      </c>
      <c r="H1677" s="8" t="s">
        <v>25</v>
      </c>
      <c r="J1677" s="8" t="s">
        <v>25</v>
      </c>
      <c r="N1677" s="8" t="s">
        <v>58</v>
      </c>
      <c r="O1677" s="8" t="s">
        <v>59</v>
      </c>
      <c r="P1677" s="8" t="s">
        <v>59</v>
      </c>
      <c r="R1677" s="8">
        <v>0</v>
      </c>
      <c r="S1677" s="8">
        <v>0</v>
      </c>
      <c r="T1677" s="8">
        <v>1</v>
      </c>
      <c r="U1677" s="8">
        <v>2</v>
      </c>
      <c r="AG1677" s="8" t="str">
        <f t="shared" si="105"/>
        <v/>
      </c>
      <c r="AI1677" s="8" t="str">
        <f t="shared" si="106"/>
        <v/>
      </c>
      <c r="AJ1677" s="8" t="str">
        <f t="shared" si="107"/>
        <v/>
      </c>
      <c r="AL1677" s="8" t="str">
        <f t="shared" si="108"/>
        <v/>
      </c>
    </row>
    <row r="1678" spans="1:38" x14ac:dyDescent="0.25">
      <c r="A1678" s="8" t="s">
        <v>3855</v>
      </c>
      <c r="B1678" s="8" t="s">
        <v>3856</v>
      </c>
      <c r="C1678" s="8">
        <v>30851331</v>
      </c>
      <c r="D1678" s="8">
        <v>5</v>
      </c>
      <c r="E1678" s="11">
        <v>43109</v>
      </c>
      <c r="F1678" s="8" t="s">
        <v>57</v>
      </c>
      <c r="G1678" s="11">
        <v>43111</v>
      </c>
      <c r="H1678" s="8" t="s">
        <v>25</v>
      </c>
      <c r="J1678" s="8" t="s">
        <v>25</v>
      </c>
      <c r="N1678" s="8" t="s">
        <v>58</v>
      </c>
      <c r="O1678" s="8" t="s">
        <v>59</v>
      </c>
      <c r="P1678" s="8" t="s">
        <v>59</v>
      </c>
      <c r="R1678" s="8">
        <v>0</v>
      </c>
      <c r="S1678" s="8">
        <v>0</v>
      </c>
      <c r="T1678" s="8">
        <v>1</v>
      </c>
      <c r="U1678" s="8">
        <v>2</v>
      </c>
      <c r="AG1678" s="8" t="str">
        <f t="shared" si="105"/>
        <v/>
      </c>
      <c r="AI1678" s="8" t="str">
        <f t="shared" si="106"/>
        <v/>
      </c>
      <c r="AJ1678" s="8" t="str">
        <f t="shared" si="107"/>
        <v/>
      </c>
      <c r="AL1678" s="8" t="str">
        <f t="shared" si="108"/>
        <v/>
      </c>
    </row>
    <row r="1679" spans="1:38" x14ac:dyDescent="0.25">
      <c r="A1679" s="8" t="s">
        <v>5385</v>
      </c>
      <c r="B1679" s="8" t="s">
        <v>5386</v>
      </c>
      <c r="C1679" s="8">
        <v>30889950</v>
      </c>
      <c r="D1679" s="8">
        <v>5</v>
      </c>
      <c r="E1679" s="11">
        <v>43111</v>
      </c>
      <c r="F1679" s="8" t="s">
        <v>58</v>
      </c>
      <c r="G1679" s="11">
        <v>43112</v>
      </c>
      <c r="H1679" s="8" t="s">
        <v>25</v>
      </c>
      <c r="I1679" s="11">
        <v>43115</v>
      </c>
      <c r="J1679" s="8" t="s">
        <v>25</v>
      </c>
      <c r="N1679" s="8" t="s">
        <v>58</v>
      </c>
      <c r="O1679" s="8" t="s">
        <v>59</v>
      </c>
      <c r="P1679" s="8" t="s">
        <v>59</v>
      </c>
      <c r="R1679" s="8">
        <v>0</v>
      </c>
      <c r="S1679" s="8">
        <v>0</v>
      </c>
      <c r="T1679" s="8">
        <v>1</v>
      </c>
      <c r="U1679" s="8">
        <v>2</v>
      </c>
      <c r="X1679" s="8">
        <v>5</v>
      </c>
      <c r="AG1679" s="8" t="str">
        <f t="shared" si="105"/>
        <v/>
      </c>
      <c r="AI1679" s="8" t="str">
        <f t="shared" si="106"/>
        <v/>
      </c>
      <c r="AJ1679" s="8" t="str">
        <f t="shared" si="107"/>
        <v/>
      </c>
      <c r="AL1679" s="8" t="str">
        <f t="shared" si="108"/>
        <v/>
      </c>
    </row>
    <row r="1680" spans="1:38" x14ac:dyDescent="0.25">
      <c r="A1680" s="8" t="s">
        <v>2316</v>
      </c>
      <c r="B1680" s="8" t="s">
        <v>2317</v>
      </c>
      <c r="C1680" s="8">
        <v>30808340</v>
      </c>
      <c r="D1680" s="8">
        <v>5</v>
      </c>
      <c r="E1680" s="11">
        <v>43108</v>
      </c>
      <c r="F1680" s="8" t="s">
        <v>58</v>
      </c>
      <c r="G1680" s="11">
        <v>43110</v>
      </c>
      <c r="H1680" s="8" t="s">
        <v>25</v>
      </c>
      <c r="I1680" s="11">
        <v>43111</v>
      </c>
      <c r="J1680" s="8" t="s">
        <v>25</v>
      </c>
      <c r="N1680" s="8" t="s">
        <v>58</v>
      </c>
      <c r="O1680" s="8" t="s">
        <v>59</v>
      </c>
      <c r="P1680" s="8" t="s">
        <v>59</v>
      </c>
      <c r="R1680" s="8">
        <v>0</v>
      </c>
      <c r="S1680" s="8">
        <v>0</v>
      </c>
      <c r="T1680" s="8">
        <v>1</v>
      </c>
      <c r="U1680" s="8">
        <v>2</v>
      </c>
      <c r="X1680" s="8">
        <v>5</v>
      </c>
      <c r="AG1680" s="8" t="str">
        <f t="shared" si="105"/>
        <v/>
      </c>
      <c r="AI1680" s="8" t="str">
        <f t="shared" si="106"/>
        <v/>
      </c>
      <c r="AJ1680" s="8" t="str">
        <f t="shared" si="107"/>
        <v/>
      </c>
      <c r="AL1680" s="8" t="str">
        <f t="shared" si="108"/>
        <v/>
      </c>
    </row>
    <row r="1681" spans="1:38" x14ac:dyDescent="0.25">
      <c r="A1681" s="8" t="s">
        <v>2318</v>
      </c>
      <c r="B1681" s="8" t="s">
        <v>2319</v>
      </c>
      <c r="C1681" s="8">
        <v>30846919</v>
      </c>
      <c r="D1681" s="8">
        <v>5</v>
      </c>
      <c r="E1681" s="11">
        <v>43109</v>
      </c>
      <c r="F1681" s="8" t="s">
        <v>58</v>
      </c>
      <c r="G1681" s="11">
        <v>43110</v>
      </c>
      <c r="H1681" s="8" t="s">
        <v>25</v>
      </c>
      <c r="I1681" s="11">
        <v>43111</v>
      </c>
      <c r="J1681" s="8" t="s">
        <v>25</v>
      </c>
      <c r="N1681" s="8" t="s">
        <v>58</v>
      </c>
      <c r="O1681" s="8" t="s">
        <v>59</v>
      </c>
      <c r="P1681" s="8" t="s">
        <v>59</v>
      </c>
      <c r="R1681" s="8">
        <v>0</v>
      </c>
      <c r="S1681" s="8">
        <v>0</v>
      </c>
      <c r="T1681" s="8">
        <v>1</v>
      </c>
      <c r="U1681" s="8">
        <v>2</v>
      </c>
      <c r="X1681" s="8">
        <v>5</v>
      </c>
      <c r="AG1681" s="8" t="str">
        <f t="shared" si="105"/>
        <v/>
      </c>
      <c r="AI1681" s="8" t="str">
        <f t="shared" si="106"/>
        <v/>
      </c>
      <c r="AJ1681" s="8" t="str">
        <f t="shared" si="107"/>
        <v/>
      </c>
      <c r="AL1681" s="8" t="str">
        <f t="shared" si="108"/>
        <v/>
      </c>
    </row>
    <row r="1682" spans="1:38" x14ac:dyDescent="0.25">
      <c r="A1682" s="8" t="s">
        <v>7205</v>
      </c>
      <c r="B1682" s="8" t="s">
        <v>7206</v>
      </c>
      <c r="C1682" s="8">
        <v>30920121</v>
      </c>
      <c r="D1682" s="8">
        <v>5</v>
      </c>
      <c r="E1682" s="11">
        <v>43112</v>
      </c>
      <c r="F1682" s="8" t="s">
        <v>57</v>
      </c>
      <c r="G1682" s="11">
        <v>43115</v>
      </c>
      <c r="H1682" s="8" t="s">
        <v>25</v>
      </c>
      <c r="J1682" s="8" t="s">
        <v>25</v>
      </c>
      <c r="N1682" s="8" t="s">
        <v>58</v>
      </c>
      <c r="O1682" s="8" t="s">
        <v>59</v>
      </c>
      <c r="P1682" s="8" t="s">
        <v>59</v>
      </c>
      <c r="R1682" s="8">
        <v>0</v>
      </c>
      <c r="S1682" s="8">
        <v>0</v>
      </c>
      <c r="T1682" s="8">
        <v>1</v>
      </c>
      <c r="U1682" s="8">
        <v>2</v>
      </c>
      <c r="AG1682" s="8" t="str">
        <f t="shared" si="105"/>
        <v/>
      </c>
      <c r="AI1682" s="8" t="str">
        <f t="shared" si="106"/>
        <v/>
      </c>
      <c r="AJ1682" s="8" t="str">
        <f t="shared" si="107"/>
        <v/>
      </c>
      <c r="AL1682" s="8" t="str">
        <f t="shared" si="108"/>
        <v/>
      </c>
    </row>
    <row r="1683" spans="1:38" x14ac:dyDescent="0.25">
      <c r="A1683" s="8" t="s">
        <v>7207</v>
      </c>
      <c r="B1683" s="8" t="s">
        <v>7208</v>
      </c>
      <c r="C1683" s="8">
        <v>30931400</v>
      </c>
      <c r="D1683" s="8">
        <v>5</v>
      </c>
      <c r="E1683" s="11">
        <v>43115</v>
      </c>
      <c r="F1683" s="8" t="s">
        <v>57</v>
      </c>
      <c r="G1683" s="11">
        <v>43115</v>
      </c>
      <c r="H1683" s="8" t="s">
        <v>25</v>
      </c>
      <c r="J1683" s="8" t="s">
        <v>25</v>
      </c>
      <c r="N1683" s="8" t="s">
        <v>58</v>
      </c>
      <c r="O1683" s="8" t="s">
        <v>59</v>
      </c>
      <c r="P1683" s="8" t="s">
        <v>59</v>
      </c>
      <c r="R1683" s="8">
        <v>0</v>
      </c>
      <c r="S1683" s="8">
        <v>0</v>
      </c>
      <c r="T1683" s="8">
        <v>1</v>
      </c>
      <c r="U1683" s="8">
        <v>2</v>
      </c>
      <c r="AG1683" s="8" t="str">
        <f t="shared" si="105"/>
        <v/>
      </c>
      <c r="AI1683" s="8" t="str">
        <f t="shared" si="106"/>
        <v/>
      </c>
      <c r="AJ1683" s="8" t="str">
        <f t="shared" si="107"/>
        <v/>
      </c>
      <c r="AL1683" s="8" t="str">
        <f t="shared" si="108"/>
        <v/>
      </c>
    </row>
    <row r="1684" spans="1:38" x14ac:dyDescent="0.25">
      <c r="A1684" s="8" t="s">
        <v>3857</v>
      </c>
      <c r="B1684" s="8" t="s">
        <v>3858</v>
      </c>
      <c r="C1684" s="8">
        <v>30865210</v>
      </c>
      <c r="D1684" s="8">
        <v>5</v>
      </c>
      <c r="E1684" s="11">
        <v>43110</v>
      </c>
      <c r="F1684" s="8" t="s">
        <v>58</v>
      </c>
      <c r="G1684" s="11">
        <v>43111</v>
      </c>
      <c r="H1684" s="8" t="s">
        <v>25</v>
      </c>
      <c r="I1684" s="11">
        <v>43111</v>
      </c>
      <c r="J1684" s="8" t="s">
        <v>25</v>
      </c>
      <c r="N1684" s="8" t="s">
        <v>58</v>
      </c>
      <c r="O1684" s="8" t="s">
        <v>59</v>
      </c>
      <c r="P1684" s="8" t="s">
        <v>59</v>
      </c>
      <c r="R1684" s="8">
        <v>0</v>
      </c>
      <c r="S1684" s="8">
        <v>0</v>
      </c>
      <c r="T1684" s="8">
        <v>1</v>
      </c>
      <c r="U1684" s="8">
        <v>2</v>
      </c>
      <c r="X1684" s="8">
        <v>5</v>
      </c>
      <c r="AG1684" s="8" t="str">
        <f t="shared" si="105"/>
        <v/>
      </c>
      <c r="AI1684" s="8" t="str">
        <f t="shared" si="106"/>
        <v/>
      </c>
      <c r="AJ1684" s="8" t="str">
        <f t="shared" si="107"/>
        <v/>
      </c>
      <c r="AL1684" s="8" t="str">
        <f t="shared" si="108"/>
        <v/>
      </c>
    </row>
    <row r="1685" spans="1:38" x14ac:dyDescent="0.25">
      <c r="A1685" s="8" t="s">
        <v>2320</v>
      </c>
      <c r="B1685" s="8" t="s">
        <v>2321</v>
      </c>
      <c r="C1685" s="8">
        <v>30838047</v>
      </c>
      <c r="D1685" s="8">
        <v>5</v>
      </c>
      <c r="E1685" s="11">
        <v>43109</v>
      </c>
      <c r="F1685" s="8" t="s">
        <v>58</v>
      </c>
      <c r="G1685" s="11">
        <v>43110</v>
      </c>
      <c r="H1685" s="8" t="s">
        <v>25</v>
      </c>
      <c r="I1685" s="11">
        <v>43112</v>
      </c>
      <c r="J1685" s="8" t="s">
        <v>25</v>
      </c>
      <c r="N1685" s="8" t="s">
        <v>58</v>
      </c>
      <c r="O1685" s="8" t="s">
        <v>59</v>
      </c>
      <c r="P1685" s="8" t="s">
        <v>59</v>
      </c>
      <c r="R1685" s="8">
        <v>0</v>
      </c>
      <c r="S1685" s="8">
        <v>0</v>
      </c>
      <c r="T1685" s="8">
        <v>1</v>
      </c>
      <c r="U1685" s="8">
        <v>2</v>
      </c>
      <c r="X1685" s="8">
        <v>5</v>
      </c>
      <c r="AG1685" s="8" t="str">
        <f t="shared" si="105"/>
        <v/>
      </c>
      <c r="AI1685" s="8" t="str">
        <f t="shared" si="106"/>
        <v/>
      </c>
      <c r="AJ1685" s="8" t="str">
        <f t="shared" si="107"/>
        <v/>
      </c>
      <c r="AL1685" s="8" t="str">
        <f t="shared" si="108"/>
        <v/>
      </c>
    </row>
    <row r="1686" spans="1:38" x14ac:dyDescent="0.25">
      <c r="A1686" s="8" t="s">
        <v>1178</v>
      </c>
      <c r="B1686" s="8" t="s">
        <v>1179</v>
      </c>
      <c r="C1686" s="8">
        <v>30822286</v>
      </c>
      <c r="D1686" s="8">
        <v>5</v>
      </c>
      <c r="E1686" s="11">
        <v>43108</v>
      </c>
      <c r="F1686" s="8" t="s">
        <v>58</v>
      </c>
      <c r="G1686" s="11">
        <v>43109</v>
      </c>
      <c r="H1686" s="8" t="s">
        <v>25</v>
      </c>
      <c r="I1686" s="11">
        <v>43110</v>
      </c>
      <c r="J1686" s="8" t="s">
        <v>25</v>
      </c>
      <c r="N1686" s="8" t="s">
        <v>58</v>
      </c>
      <c r="O1686" s="8" t="s">
        <v>59</v>
      </c>
      <c r="P1686" s="8" t="s">
        <v>59</v>
      </c>
      <c r="R1686" s="8">
        <v>0</v>
      </c>
      <c r="S1686" s="8">
        <v>0</v>
      </c>
      <c r="T1686" s="8">
        <v>1</v>
      </c>
      <c r="U1686" s="8">
        <v>2</v>
      </c>
      <c r="X1686" s="8">
        <v>5</v>
      </c>
      <c r="AG1686" s="8" t="str">
        <f t="shared" si="105"/>
        <v/>
      </c>
      <c r="AI1686" s="8" t="str">
        <f t="shared" si="106"/>
        <v/>
      </c>
      <c r="AJ1686" s="8" t="str">
        <f t="shared" si="107"/>
        <v/>
      </c>
      <c r="AL1686" s="8" t="str">
        <f t="shared" si="108"/>
        <v/>
      </c>
    </row>
    <row r="1687" spans="1:38" x14ac:dyDescent="0.25">
      <c r="A1687" s="8" t="s">
        <v>7209</v>
      </c>
      <c r="B1687" s="8" t="s">
        <v>7210</v>
      </c>
      <c r="C1687" s="8">
        <v>30922674</v>
      </c>
      <c r="D1687" s="8">
        <v>5</v>
      </c>
      <c r="E1687" s="11">
        <v>43112</v>
      </c>
      <c r="F1687" s="8" t="s">
        <v>57</v>
      </c>
      <c r="G1687" s="11">
        <v>43115</v>
      </c>
      <c r="H1687" s="8" t="s">
        <v>25</v>
      </c>
      <c r="J1687" s="8" t="s">
        <v>25</v>
      </c>
      <c r="N1687" s="8" t="s">
        <v>58</v>
      </c>
      <c r="O1687" s="8" t="s">
        <v>59</v>
      </c>
      <c r="P1687" s="8" t="s">
        <v>59</v>
      </c>
      <c r="R1687" s="8">
        <v>0</v>
      </c>
      <c r="S1687" s="8">
        <v>0</v>
      </c>
      <c r="T1687" s="8">
        <v>1</v>
      </c>
      <c r="U1687" s="8">
        <v>2</v>
      </c>
      <c r="AG1687" s="8" t="str">
        <f t="shared" si="105"/>
        <v/>
      </c>
      <c r="AI1687" s="8" t="str">
        <f t="shared" si="106"/>
        <v/>
      </c>
      <c r="AJ1687" s="8" t="str">
        <f t="shared" si="107"/>
        <v/>
      </c>
      <c r="AL1687" s="8" t="str">
        <f t="shared" si="108"/>
        <v/>
      </c>
    </row>
    <row r="1688" spans="1:38" x14ac:dyDescent="0.25">
      <c r="A1688" s="8" t="s">
        <v>1180</v>
      </c>
      <c r="B1688" s="8" t="s">
        <v>1181</v>
      </c>
      <c r="C1688" s="8">
        <v>30818392</v>
      </c>
      <c r="D1688" s="8">
        <v>4</v>
      </c>
      <c r="E1688" s="11">
        <v>43108</v>
      </c>
      <c r="F1688" s="8" t="s">
        <v>57</v>
      </c>
      <c r="G1688" s="11">
        <v>43109</v>
      </c>
      <c r="H1688" s="8" t="s">
        <v>25</v>
      </c>
      <c r="J1688" s="8" t="s">
        <v>25</v>
      </c>
      <c r="N1688" s="8" t="s">
        <v>58</v>
      </c>
      <c r="O1688" s="8" t="s">
        <v>59</v>
      </c>
      <c r="P1688" s="8" t="s">
        <v>59</v>
      </c>
      <c r="R1688" s="8">
        <v>0</v>
      </c>
      <c r="S1688" s="8">
        <v>0</v>
      </c>
      <c r="T1688" s="8">
        <v>1</v>
      </c>
      <c r="U1688" s="8">
        <v>2</v>
      </c>
      <c r="AG1688" s="8" t="str">
        <f t="shared" si="105"/>
        <v/>
      </c>
      <c r="AI1688" s="8" t="str">
        <f t="shared" si="106"/>
        <v/>
      </c>
      <c r="AJ1688" s="8" t="str">
        <f t="shared" si="107"/>
        <v/>
      </c>
      <c r="AL1688" s="8" t="str">
        <f t="shared" si="108"/>
        <v/>
      </c>
    </row>
    <row r="1689" spans="1:38" x14ac:dyDescent="0.25">
      <c r="A1689" s="8" t="s">
        <v>3859</v>
      </c>
      <c r="B1689" s="8" t="s">
        <v>3860</v>
      </c>
      <c r="C1689" s="8">
        <v>30852253</v>
      </c>
      <c r="D1689" s="8">
        <v>5</v>
      </c>
      <c r="E1689" s="11">
        <v>43109</v>
      </c>
      <c r="F1689" s="8" t="s">
        <v>58</v>
      </c>
      <c r="G1689" s="11">
        <v>43111</v>
      </c>
      <c r="H1689" s="8" t="s">
        <v>25</v>
      </c>
      <c r="I1689" s="11">
        <v>43115</v>
      </c>
      <c r="J1689" s="8" t="s">
        <v>25</v>
      </c>
      <c r="N1689" s="8" t="s">
        <v>58</v>
      </c>
      <c r="O1689" s="8" t="s">
        <v>59</v>
      </c>
      <c r="P1689" s="8" t="s">
        <v>59</v>
      </c>
      <c r="R1689" s="8">
        <v>0</v>
      </c>
      <c r="S1689" s="8">
        <v>0</v>
      </c>
      <c r="T1689" s="8">
        <v>1</v>
      </c>
      <c r="U1689" s="8">
        <v>2</v>
      </c>
      <c r="X1689" s="8">
        <v>5</v>
      </c>
      <c r="AG1689" s="8" t="str">
        <f t="shared" si="105"/>
        <v/>
      </c>
      <c r="AI1689" s="8" t="str">
        <f t="shared" si="106"/>
        <v/>
      </c>
      <c r="AJ1689" s="8" t="str">
        <f t="shared" si="107"/>
        <v/>
      </c>
      <c r="AL1689" s="8" t="str">
        <f t="shared" si="108"/>
        <v/>
      </c>
    </row>
    <row r="1690" spans="1:38" x14ac:dyDescent="0.25">
      <c r="A1690" s="8" t="s">
        <v>3861</v>
      </c>
      <c r="B1690" s="8" t="s">
        <v>3862</v>
      </c>
      <c r="C1690" s="8">
        <v>30853084</v>
      </c>
      <c r="D1690" s="8">
        <v>5</v>
      </c>
      <c r="E1690" s="11">
        <v>43109</v>
      </c>
      <c r="F1690" s="8" t="s">
        <v>58</v>
      </c>
      <c r="G1690" s="11">
        <v>43111</v>
      </c>
      <c r="H1690" s="8" t="s">
        <v>25</v>
      </c>
      <c r="I1690" s="11">
        <v>43115</v>
      </c>
      <c r="J1690" s="8" t="s">
        <v>25</v>
      </c>
      <c r="N1690" s="8" t="s">
        <v>58</v>
      </c>
      <c r="O1690" s="8" t="s">
        <v>59</v>
      </c>
      <c r="P1690" s="8" t="s">
        <v>59</v>
      </c>
      <c r="R1690" s="8">
        <v>0</v>
      </c>
      <c r="S1690" s="8">
        <v>0</v>
      </c>
      <c r="T1690" s="8">
        <v>1</v>
      </c>
      <c r="U1690" s="8">
        <v>2</v>
      </c>
      <c r="X1690" s="8">
        <v>5</v>
      </c>
      <c r="AG1690" s="8" t="str">
        <f t="shared" si="105"/>
        <v/>
      </c>
      <c r="AI1690" s="8" t="str">
        <f t="shared" si="106"/>
        <v/>
      </c>
      <c r="AJ1690" s="8" t="str">
        <f t="shared" si="107"/>
        <v/>
      </c>
      <c r="AL1690" s="8" t="str">
        <f t="shared" si="108"/>
        <v/>
      </c>
    </row>
    <row r="1691" spans="1:38" x14ac:dyDescent="0.25">
      <c r="A1691" s="8" t="s">
        <v>3863</v>
      </c>
      <c r="B1691" s="8" t="s">
        <v>3864</v>
      </c>
      <c r="C1691" s="8">
        <v>30853287</v>
      </c>
      <c r="D1691" s="8">
        <v>5</v>
      </c>
      <c r="E1691" s="11">
        <v>43109</v>
      </c>
      <c r="F1691" s="8" t="s">
        <v>58</v>
      </c>
      <c r="G1691" s="11">
        <v>43111</v>
      </c>
      <c r="H1691" s="8" t="s">
        <v>25</v>
      </c>
      <c r="I1691" s="11">
        <v>43115</v>
      </c>
      <c r="J1691" s="8" t="s">
        <v>25</v>
      </c>
      <c r="N1691" s="8" t="s">
        <v>58</v>
      </c>
      <c r="O1691" s="8" t="s">
        <v>59</v>
      </c>
      <c r="P1691" s="8" t="s">
        <v>59</v>
      </c>
      <c r="R1691" s="8">
        <v>0</v>
      </c>
      <c r="S1691" s="8">
        <v>0</v>
      </c>
      <c r="T1691" s="8">
        <v>1</v>
      </c>
      <c r="U1691" s="8">
        <v>2</v>
      </c>
      <c r="X1691" s="8">
        <v>5</v>
      </c>
      <c r="AG1691" s="8" t="str">
        <f t="shared" si="105"/>
        <v/>
      </c>
      <c r="AI1691" s="8" t="str">
        <f t="shared" si="106"/>
        <v/>
      </c>
      <c r="AJ1691" s="8" t="str">
        <f t="shared" si="107"/>
        <v/>
      </c>
      <c r="AL1691" s="8" t="str">
        <f t="shared" si="108"/>
        <v/>
      </c>
    </row>
    <row r="1692" spans="1:38" x14ac:dyDescent="0.25">
      <c r="A1692" s="8" t="s">
        <v>3865</v>
      </c>
      <c r="B1692" s="8" t="s">
        <v>3866</v>
      </c>
      <c r="C1692" s="8">
        <v>30852688</v>
      </c>
      <c r="D1692" s="8">
        <v>5</v>
      </c>
      <c r="E1692" s="11">
        <v>43109</v>
      </c>
      <c r="F1692" s="8" t="s">
        <v>58</v>
      </c>
      <c r="G1692" s="11">
        <v>43111</v>
      </c>
      <c r="H1692" s="8" t="s">
        <v>25</v>
      </c>
      <c r="I1692" s="11">
        <v>43115</v>
      </c>
      <c r="J1692" s="8" t="s">
        <v>25</v>
      </c>
      <c r="N1692" s="8" t="s">
        <v>58</v>
      </c>
      <c r="O1692" s="8" t="s">
        <v>59</v>
      </c>
      <c r="P1692" s="8" t="s">
        <v>59</v>
      </c>
      <c r="R1692" s="8">
        <v>0</v>
      </c>
      <c r="S1692" s="8">
        <v>0</v>
      </c>
      <c r="T1692" s="8">
        <v>1</v>
      </c>
      <c r="U1692" s="8">
        <v>2</v>
      </c>
      <c r="X1692" s="8">
        <v>5</v>
      </c>
      <c r="AG1692" s="8" t="str">
        <f t="shared" si="105"/>
        <v/>
      </c>
      <c r="AI1692" s="8" t="str">
        <f t="shared" si="106"/>
        <v/>
      </c>
      <c r="AJ1692" s="8" t="str">
        <f t="shared" si="107"/>
        <v/>
      </c>
      <c r="AL1692" s="8" t="str">
        <f t="shared" si="108"/>
        <v/>
      </c>
    </row>
    <row r="1693" spans="1:38" x14ac:dyDescent="0.25">
      <c r="A1693" s="8" t="s">
        <v>5387</v>
      </c>
      <c r="B1693" s="8" t="s">
        <v>5388</v>
      </c>
      <c r="C1693" s="8">
        <v>30881117</v>
      </c>
      <c r="D1693" s="8">
        <v>5</v>
      </c>
      <c r="E1693" s="11">
        <v>43111</v>
      </c>
      <c r="F1693" s="8" t="s">
        <v>57</v>
      </c>
      <c r="G1693" s="11">
        <v>43112</v>
      </c>
      <c r="H1693" s="8" t="s">
        <v>25</v>
      </c>
      <c r="J1693" s="8" t="s">
        <v>25</v>
      </c>
      <c r="N1693" s="8" t="s">
        <v>58</v>
      </c>
      <c r="O1693" s="8" t="s">
        <v>59</v>
      </c>
      <c r="P1693" s="8" t="s">
        <v>59</v>
      </c>
      <c r="R1693" s="8">
        <v>0</v>
      </c>
      <c r="S1693" s="8">
        <v>0</v>
      </c>
      <c r="T1693" s="8">
        <v>1</v>
      </c>
      <c r="U1693" s="8">
        <v>2</v>
      </c>
      <c r="AG1693" s="8" t="str">
        <f t="shared" si="105"/>
        <v/>
      </c>
      <c r="AI1693" s="8" t="str">
        <f t="shared" si="106"/>
        <v/>
      </c>
      <c r="AJ1693" s="8" t="str">
        <f t="shared" si="107"/>
        <v/>
      </c>
      <c r="AL1693" s="8" t="str">
        <f t="shared" si="108"/>
        <v/>
      </c>
    </row>
    <row r="1694" spans="1:38" x14ac:dyDescent="0.25">
      <c r="A1694" s="8" t="s">
        <v>2322</v>
      </c>
      <c r="B1694" s="8" t="s">
        <v>2323</v>
      </c>
      <c r="C1694" s="8">
        <v>30852428</v>
      </c>
      <c r="D1694" s="8">
        <v>5</v>
      </c>
      <c r="E1694" s="11">
        <v>43109</v>
      </c>
      <c r="F1694" s="8" t="s">
        <v>57</v>
      </c>
      <c r="G1694" s="11">
        <v>43110</v>
      </c>
      <c r="H1694" s="8" t="s">
        <v>25</v>
      </c>
      <c r="J1694" s="8" t="s">
        <v>25</v>
      </c>
      <c r="N1694" s="8" t="s">
        <v>58</v>
      </c>
      <c r="O1694" s="8" t="s">
        <v>59</v>
      </c>
      <c r="P1694" s="8" t="s">
        <v>59</v>
      </c>
      <c r="R1694" s="8">
        <v>0</v>
      </c>
      <c r="S1694" s="8">
        <v>0</v>
      </c>
      <c r="T1694" s="8">
        <v>1</v>
      </c>
      <c r="U1694" s="8">
        <v>2</v>
      </c>
      <c r="AG1694" s="8" t="str">
        <f t="shared" si="105"/>
        <v/>
      </c>
      <c r="AI1694" s="8" t="str">
        <f t="shared" si="106"/>
        <v/>
      </c>
      <c r="AJ1694" s="8" t="str">
        <f t="shared" si="107"/>
        <v/>
      </c>
      <c r="AL1694" s="8" t="str">
        <f t="shared" si="108"/>
        <v/>
      </c>
    </row>
    <row r="1695" spans="1:38" x14ac:dyDescent="0.25">
      <c r="A1695" s="8" t="s">
        <v>7211</v>
      </c>
      <c r="B1695" s="8" t="s">
        <v>7212</v>
      </c>
      <c r="C1695" s="8">
        <v>30912078</v>
      </c>
      <c r="D1695" s="8">
        <v>5</v>
      </c>
      <c r="E1695" s="11">
        <v>43112</v>
      </c>
      <c r="F1695" s="8" t="s">
        <v>57</v>
      </c>
      <c r="G1695" s="11">
        <v>43115</v>
      </c>
      <c r="H1695" s="8" t="s">
        <v>25</v>
      </c>
      <c r="J1695" s="8" t="s">
        <v>25</v>
      </c>
      <c r="N1695" s="8" t="s">
        <v>58</v>
      </c>
      <c r="O1695" s="8" t="s">
        <v>59</v>
      </c>
      <c r="P1695" s="8" t="s">
        <v>59</v>
      </c>
      <c r="R1695" s="8">
        <v>0</v>
      </c>
      <c r="S1695" s="8">
        <v>0</v>
      </c>
      <c r="T1695" s="8">
        <v>1</v>
      </c>
      <c r="U1695" s="8">
        <v>2</v>
      </c>
      <c r="AG1695" s="8" t="str">
        <f t="shared" si="105"/>
        <v/>
      </c>
      <c r="AI1695" s="8" t="str">
        <f t="shared" si="106"/>
        <v/>
      </c>
      <c r="AJ1695" s="8" t="str">
        <f t="shared" si="107"/>
        <v/>
      </c>
      <c r="AL1695" s="8" t="str">
        <f t="shared" si="108"/>
        <v/>
      </c>
    </row>
    <row r="1696" spans="1:38" x14ac:dyDescent="0.25">
      <c r="A1696" s="8" t="s">
        <v>2324</v>
      </c>
      <c r="B1696" s="8" t="s">
        <v>2325</v>
      </c>
      <c r="C1696" s="8">
        <v>30833600</v>
      </c>
      <c r="D1696" s="8">
        <v>5</v>
      </c>
      <c r="E1696" s="11">
        <v>43109</v>
      </c>
      <c r="F1696" s="8" t="s">
        <v>57</v>
      </c>
      <c r="G1696" s="11">
        <v>43110</v>
      </c>
      <c r="H1696" s="8" t="s">
        <v>25</v>
      </c>
      <c r="J1696" s="8" t="s">
        <v>25</v>
      </c>
      <c r="N1696" s="8" t="s">
        <v>58</v>
      </c>
      <c r="O1696" s="8" t="s">
        <v>59</v>
      </c>
      <c r="P1696" s="8" t="s">
        <v>59</v>
      </c>
      <c r="R1696" s="8">
        <v>0</v>
      </c>
      <c r="S1696" s="8">
        <v>0</v>
      </c>
      <c r="T1696" s="8">
        <v>1</v>
      </c>
      <c r="U1696" s="8">
        <v>2</v>
      </c>
      <c r="AG1696" s="8" t="str">
        <f t="shared" si="105"/>
        <v/>
      </c>
      <c r="AI1696" s="8" t="str">
        <f t="shared" si="106"/>
        <v/>
      </c>
      <c r="AJ1696" s="8" t="str">
        <f t="shared" si="107"/>
        <v/>
      </c>
      <c r="AL1696" s="8" t="str">
        <f t="shared" si="108"/>
        <v/>
      </c>
    </row>
    <row r="1697" spans="1:38" x14ac:dyDescent="0.25">
      <c r="A1697" s="8" t="s">
        <v>7213</v>
      </c>
      <c r="B1697" s="8" t="s">
        <v>7214</v>
      </c>
      <c r="C1697" s="8">
        <v>30895694</v>
      </c>
      <c r="D1697" s="8">
        <v>5</v>
      </c>
      <c r="E1697" s="11">
        <v>43111</v>
      </c>
      <c r="F1697" s="8" t="s">
        <v>57</v>
      </c>
      <c r="G1697" s="11">
        <v>43115</v>
      </c>
      <c r="H1697" s="8" t="s">
        <v>25</v>
      </c>
      <c r="J1697" s="8" t="s">
        <v>25</v>
      </c>
      <c r="N1697" s="8" t="s">
        <v>58</v>
      </c>
      <c r="O1697" s="8" t="s">
        <v>59</v>
      </c>
      <c r="P1697" s="8" t="s">
        <v>59</v>
      </c>
      <c r="R1697" s="8">
        <v>0</v>
      </c>
      <c r="S1697" s="8">
        <v>0</v>
      </c>
      <c r="T1697" s="8">
        <v>1</v>
      </c>
      <c r="U1697" s="8">
        <v>2</v>
      </c>
      <c r="AG1697" s="8" t="str">
        <f t="shared" si="105"/>
        <v/>
      </c>
      <c r="AI1697" s="8" t="str">
        <f t="shared" si="106"/>
        <v/>
      </c>
      <c r="AJ1697" s="8" t="str">
        <f t="shared" si="107"/>
        <v/>
      </c>
      <c r="AL1697" s="8" t="str">
        <f t="shared" si="108"/>
        <v/>
      </c>
    </row>
    <row r="1698" spans="1:38" x14ac:dyDescent="0.25">
      <c r="A1698" s="8" t="s">
        <v>5389</v>
      </c>
      <c r="B1698" s="8" t="s">
        <v>5390</v>
      </c>
      <c r="C1698" s="8">
        <v>30871847</v>
      </c>
      <c r="D1698" s="8">
        <v>5</v>
      </c>
      <c r="E1698" s="11">
        <v>43110</v>
      </c>
      <c r="F1698" s="8" t="s">
        <v>57</v>
      </c>
      <c r="G1698" s="11">
        <v>43112</v>
      </c>
      <c r="H1698" s="8" t="s">
        <v>25</v>
      </c>
      <c r="J1698" s="8" t="s">
        <v>25</v>
      </c>
      <c r="N1698" s="8" t="s">
        <v>58</v>
      </c>
      <c r="O1698" s="8" t="s">
        <v>59</v>
      </c>
      <c r="P1698" s="8" t="s">
        <v>59</v>
      </c>
      <c r="R1698" s="8">
        <v>0</v>
      </c>
      <c r="S1698" s="8">
        <v>0</v>
      </c>
      <c r="T1698" s="8">
        <v>1</v>
      </c>
      <c r="U1698" s="8">
        <v>2</v>
      </c>
      <c r="AG1698" s="8" t="str">
        <f t="shared" si="105"/>
        <v/>
      </c>
      <c r="AI1698" s="8" t="str">
        <f t="shared" si="106"/>
        <v/>
      </c>
      <c r="AJ1698" s="8" t="str">
        <f t="shared" si="107"/>
        <v/>
      </c>
      <c r="AL1698" s="8" t="str">
        <f t="shared" si="108"/>
        <v/>
      </c>
    </row>
    <row r="1699" spans="1:38" x14ac:dyDescent="0.25">
      <c r="A1699" s="8" t="s">
        <v>3867</v>
      </c>
      <c r="B1699" s="8" t="s">
        <v>3868</v>
      </c>
      <c r="C1699" s="8">
        <v>30891502</v>
      </c>
      <c r="D1699" s="8">
        <v>5</v>
      </c>
      <c r="E1699" s="11">
        <v>43111</v>
      </c>
      <c r="F1699" s="8" t="s">
        <v>58</v>
      </c>
      <c r="G1699" s="11">
        <v>43111</v>
      </c>
      <c r="H1699" s="8" t="s">
        <v>25</v>
      </c>
      <c r="I1699" s="11">
        <v>43112</v>
      </c>
      <c r="J1699" s="8" t="s">
        <v>25</v>
      </c>
      <c r="N1699" s="8" t="s">
        <v>58</v>
      </c>
      <c r="O1699" s="8" t="s">
        <v>59</v>
      </c>
      <c r="P1699" s="8" t="s">
        <v>59</v>
      </c>
      <c r="R1699" s="8">
        <v>0</v>
      </c>
      <c r="S1699" s="8">
        <v>0</v>
      </c>
      <c r="T1699" s="8">
        <v>1</v>
      </c>
      <c r="U1699" s="8">
        <v>2</v>
      </c>
      <c r="X1699" s="8">
        <v>5</v>
      </c>
      <c r="AG1699" s="8" t="str">
        <f t="shared" si="105"/>
        <v/>
      </c>
      <c r="AI1699" s="8" t="str">
        <f t="shared" si="106"/>
        <v/>
      </c>
      <c r="AJ1699" s="8" t="str">
        <f t="shared" si="107"/>
        <v/>
      </c>
      <c r="AL1699" s="8" t="str">
        <f t="shared" si="108"/>
        <v/>
      </c>
    </row>
    <row r="1700" spans="1:38" x14ac:dyDescent="0.25">
      <c r="A1700" s="8" t="s">
        <v>7215</v>
      </c>
      <c r="B1700" s="8" t="s">
        <v>7216</v>
      </c>
      <c r="C1700" s="8">
        <v>30915204</v>
      </c>
      <c r="D1700" s="8">
        <v>5</v>
      </c>
      <c r="E1700" s="11">
        <v>43112</v>
      </c>
      <c r="F1700" s="8" t="s">
        <v>57</v>
      </c>
      <c r="G1700" s="11">
        <v>43115</v>
      </c>
      <c r="H1700" s="8" t="s">
        <v>25</v>
      </c>
      <c r="J1700" s="8" t="s">
        <v>25</v>
      </c>
      <c r="N1700" s="8" t="s">
        <v>58</v>
      </c>
      <c r="O1700" s="8" t="s">
        <v>59</v>
      </c>
      <c r="P1700" s="8" t="s">
        <v>59</v>
      </c>
      <c r="R1700" s="8">
        <v>0</v>
      </c>
      <c r="S1700" s="8">
        <v>0</v>
      </c>
      <c r="T1700" s="8">
        <v>1</v>
      </c>
      <c r="U1700" s="8">
        <v>2</v>
      </c>
      <c r="AG1700" s="8" t="str">
        <f t="shared" si="105"/>
        <v/>
      </c>
      <c r="AI1700" s="8" t="str">
        <f t="shared" si="106"/>
        <v/>
      </c>
      <c r="AJ1700" s="8" t="str">
        <f t="shared" si="107"/>
        <v/>
      </c>
      <c r="AL1700" s="8" t="str">
        <f t="shared" si="108"/>
        <v/>
      </c>
    </row>
    <row r="1701" spans="1:38" x14ac:dyDescent="0.25">
      <c r="A1701" s="8" t="s">
        <v>5391</v>
      </c>
      <c r="B1701" s="8" t="s">
        <v>5392</v>
      </c>
      <c r="C1701" s="8">
        <v>30891744</v>
      </c>
      <c r="D1701" s="8">
        <v>5</v>
      </c>
      <c r="E1701" s="11">
        <v>43111</v>
      </c>
      <c r="F1701" s="8" t="s">
        <v>57</v>
      </c>
      <c r="G1701" s="11">
        <v>43112</v>
      </c>
      <c r="H1701" s="8" t="s">
        <v>25</v>
      </c>
      <c r="J1701" s="8" t="s">
        <v>25</v>
      </c>
      <c r="N1701" s="8" t="s">
        <v>58</v>
      </c>
      <c r="O1701" s="8" t="s">
        <v>59</v>
      </c>
      <c r="P1701" s="8" t="s">
        <v>59</v>
      </c>
      <c r="R1701" s="8">
        <v>0</v>
      </c>
      <c r="S1701" s="8">
        <v>0</v>
      </c>
      <c r="T1701" s="8">
        <v>1</v>
      </c>
      <c r="U1701" s="8">
        <v>2</v>
      </c>
      <c r="AG1701" s="8" t="str">
        <f t="shared" si="105"/>
        <v/>
      </c>
      <c r="AI1701" s="8" t="str">
        <f t="shared" si="106"/>
        <v/>
      </c>
      <c r="AJ1701" s="8" t="str">
        <f t="shared" si="107"/>
        <v/>
      </c>
      <c r="AL1701" s="8" t="str">
        <f t="shared" si="108"/>
        <v/>
      </c>
    </row>
    <row r="1702" spans="1:38" x14ac:dyDescent="0.25">
      <c r="A1702" s="8" t="s">
        <v>1182</v>
      </c>
      <c r="B1702" s="8" t="s">
        <v>1183</v>
      </c>
      <c r="C1702" s="8">
        <v>30818393</v>
      </c>
      <c r="D1702" s="8">
        <v>5</v>
      </c>
      <c r="E1702" s="11">
        <v>43108</v>
      </c>
      <c r="F1702" s="8" t="s">
        <v>58</v>
      </c>
      <c r="G1702" s="11">
        <v>43109</v>
      </c>
      <c r="H1702" s="8" t="s">
        <v>25</v>
      </c>
      <c r="I1702" s="11">
        <v>43109</v>
      </c>
      <c r="J1702" s="8" t="s">
        <v>25</v>
      </c>
      <c r="N1702" s="8" t="s">
        <v>58</v>
      </c>
      <c r="O1702" s="8" t="s">
        <v>59</v>
      </c>
      <c r="P1702" s="8" t="s">
        <v>59</v>
      </c>
      <c r="R1702" s="8">
        <v>0</v>
      </c>
      <c r="S1702" s="8">
        <v>0</v>
      </c>
      <c r="T1702" s="8">
        <v>1</v>
      </c>
      <c r="U1702" s="8">
        <v>2</v>
      </c>
      <c r="X1702" s="8">
        <v>5</v>
      </c>
      <c r="AG1702" s="8" t="str">
        <f t="shared" si="105"/>
        <v/>
      </c>
      <c r="AI1702" s="8" t="str">
        <f t="shared" si="106"/>
        <v/>
      </c>
      <c r="AJ1702" s="8" t="str">
        <f t="shared" si="107"/>
        <v/>
      </c>
      <c r="AL1702" s="8" t="str">
        <f t="shared" si="108"/>
        <v/>
      </c>
    </row>
    <row r="1703" spans="1:38" x14ac:dyDescent="0.25">
      <c r="A1703" s="8" t="s">
        <v>2326</v>
      </c>
      <c r="B1703" s="8" t="s">
        <v>2327</v>
      </c>
      <c r="C1703" s="8">
        <v>30815783</v>
      </c>
      <c r="D1703" s="8">
        <v>5</v>
      </c>
      <c r="E1703" s="11">
        <v>43108</v>
      </c>
      <c r="F1703" s="8" t="s">
        <v>57</v>
      </c>
      <c r="G1703" s="11">
        <v>43110</v>
      </c>
      <c r="H1703" s="8" t="s">
        <v>25</v>
      </c>
      <c r="J1703" s="8" t="s">
        <v>25</v>
      </c>
      <c r="N1703" s="8" t="s">
        <v>58</v>
      </c>
      <c r="O1703" s="8" t="s">
        <v>59</v>
      </c>
      <c r="P1703" s="8" t="s">
        <v>59</v>
      </c>
      <c r="R1703" s="8">
        <v>0</v>
      </c>
      <c r="S1703" s="8">
        <v>0</v>
      </c>
      <c r="T1703" s="8">
        <v>1</v>
      </c>
      <c r="U1703" s="8">
        <v>2</v>
      </c>
      <c r="AG1703" s="8" t="str">
        <f t="shared" si="105"/>
        <v/>
      </c>
      <c r="AI1703" s="8" t="str">
        <f t="shared" si="106"/>
        <v/>
      </c>
      <c r="AJ1703" s="8" t="str">
        <f t="shared" si="107"/>
        <v/>
      </c>
      <c r="AL1703" s="8" t="str">
        <f t="shared" si="108"/>
        <v/>
      </c>
    </row>
    <row r="1704" spans="1:38" x14ac:dyDescent="0.25">
      <c r="A1704" s="8" t="s">
        <v>7217</v>
      </c>
      <c r="B1704" s="8" t="s">
        <v>7218</v>
      </c>
      <c r="C1704" s="8">
        <v>30941067</v>
      </c>
      <c r="D1704" s="8">
        <v>4</v>
      </c>
      <c r="E1704" s="11">
        <v>43115</v>
      </c>
      <c r="F1704" s="8" t="s">
        <v>57</v>
      </c>
      <c r="G1704" s="11">
        <v>43115</v>
      </c>
      <c r="H1704" s="8" t="s">
        <v>25</v>
      </c>
      <c r="J1704" s="8" t="s">
        <v>25</v>
      </c>
      <c r="N1704" s="8" t="s">
        <v>58</v>
      </c>
      <c r="O1704" s="8" t="s">
        <v>59</v>
      </c>
      <c r="P1704" s="8" t="s">
        <v>59</v>
      </c>
      <c r="R1704" s="8">
        <v>0</v>
      </c>
      <c r="S1704" s="8">
        <v>0</v>
      </c>
      <c r="T1704" s="8">
        <v>1</v>
      </c>
      <c r="U1704" s="8">
        <v>2</v>
      </c>
      <c r="AG1704" s="8" t="str">
        <f t="shared" si="105"/>
        <v/>
      </c>
      <c r="AI1704" s="8" t="str">
        <f t="shared" si="106"/>
        <v/>
      </c>
      <c r="AJ1704" s="8" t="str">
        <f t="shared" si="107"/>
        <v/>
      </c>
      <c r="AL1704" s="8" t="str">
        <f t="shared" si="108"/>
        <v/>
      </c>
    </row>
    <row r="1705" spans="1:38" x14ac:dyDescent="0.25">
      <c r="A1705" s="8" t="s">
        <v>3869</v>
      </c>
      <c r="B1705" s="8" t="s">
        <v>3870</v>
      </c>
      <c r="C1705" s="8">
        <v>30873055</v>
      </c>
      <c r="D1705" s="8">
        <v>4</v>
      </c>
      <c r="E1705" s="11">
        <v>43110</v>
      </c>
      <c r="F1705" s="8" t="s">
        <v>57</v>
      </c>
      <c r="G1705" s="11">
        <v>43111</v>
      </c>
      <c r="H1705" s="8" t="s">
        <v>25</v>
      </c>
      <c r="J1705" s="8" t="s">
        <v>25</v>
      </c>
      <c r="N1705" s="8" t="s">
        <v>58</v>
      </c>
      <c r="O1705" s="8" t="s">
        <v>59</v>
      </c>
      <c r="P1705" s="8" t="s">
        <v>59</v>
      </c>
      <c r="R1705" s="8">
        <v>0</v>
      </c>
      <c r="S1705" s="8">
        <v>0</v>
      </c>
      <c r="T1705" s="8">
        <v>1</v>
      </c>
      <c r="U1705" s="8">
        <v>2</v>
      </c>
      <c r="AG1705" s="8" t="str">
        <f t="shared" si="105"/>
        <v/>
      </c>
      <c r="AI1705" s="8" t="str">
        <f t="shared" si="106"/>
        <v/>
      </c>
      <c r="AJ1705" s="8" t="str">
        <f t="shared" si="107"/>
        <v/>
      </c>
      <c r="AL1705" s="8" t="str">
        <f t="shared" si="108"/>
        <v/>
      </c>
    </row>
    <row r="1706" spans="1:38" x14ac:dyDescent="0.25">
      <c r="A1706" s="8" t="s">
        <v>3871</v>
      </c>
      <c r="B1706" s="8" t="s">
        <v>3872</v>
      </c>
      <c r="C1706" s="8">
        <v>30847837</v>
      </c>
      <c r="D1706" s="8">
        <v>5</v>
      </c>
      <c r="E1706" s="11">
        <v>43109</v>
      </c>
      <c r="F1706" s="8" t="s">
        <v>58</v>
      </c>
      <c r="G1706" s="11">
        <v>43111</v>
      </c>
      <c r="H1706" s="8" t="s">
        <v>25</v>
      </c>
      <c r="I1706" s="11">
        <v>43112</v>
      </c>
      <c r="J1706" s="8" t="s">
        <v>25</v>
      </c>
      <c r="N1706" s="8" t="s">
        <v>58</v>
      </c>
      <c r="O1706" s="8" t="s">
        <v>59</v>
      </c>
      <c r="P1706" s="8" t="s">
        <v>59</v>
      </c>
      <c r="R1706" s="8">
        <v>0</v>
      </c>
      <c r="S1706" s="8">
        <v>0</v>
      </c>
      <c r="T1706" s="8">
        <v>1</v>
      </c>
      <c r="U1706" s="8">
        <v>2</v>
      </c>
      <c r="X1706" s="8">
        <v>5</v>
      </c>
      <c r="AG1706" s="8" t="str">
        <f t="shared" si="105"/>
        <v/>
      </c>
      <c r="AI1706" s="8" t="str">
        <f t="shared" si="106"/>
        <v/>
      </c>
      <c r="AJ1706" s="8" t="str">
        <f t="shared" si="107"/>
        <v/>
      </c>
      <c r="AL1706" s="8" t="str">
        <f t="shared" si="108"/>
        <v/>
      </c>
    </row>
    <row r="1707" spans="1:38" x14ac:dyDescent="0.25">
      <c r="A1707" s="8" t="s">
        <v>2328</v>
      </c>
      <c r="B1707" s="8" t="s">
        <v>2329</v>
      </c>
      <c r="C1707" s="8">
        <v>30816397</v>
      </c>
      <c r="D1707" s="8">
        <v>4</v>
      </c>
      <c r="E1707" s="11">
        <v>43108</v>
      </c>
      <c r="F1707" s="8" t="s">
        <v>58</v>
      </c>
      <c r="G1707" s="11">
        <v>43110</v>
      </c>
      <c r="H1707" s="8" t="s">
        <v>25</v>
      </c>
      <c r="I1707" s="11">
        <v>43111</v>
      </c>
      <c r="J1707" s="8" t="s">
        <v>25</v>
      </c>
      <c r="N1707" s="8" t="s">
        <v>58</v>
      </c>
      <c r="O1707" s="8" t="s">
        <v>59</v>
      </c>
      <c r="P1707" s="8" t="s">
        <v>59</v>
      </c>
      <c r="R1707" s="8">
        <v>0</v>
      </c>
      <c r="S1707" s="8">
        <v>0</v>
      </c>
      <c r="T1707" s="8">
        <v>1</v>
      </c>
      <c r="U1707" s="8">
        <v>2</v>
      </c>
      <c r="X1707" s="8">
        <v>5</v>
      </c>
      <c r="AG1707" s="8" t="str">
        <f t="shared" si="105"/>
        <v/>
      </c>
      <c r="AI1707" s="8" t="str">
        <f t="shared" si="106"/>
        <v/>
      </c>
      <c r="AJ1707" s="8" t="str">
        <f t="shared" si="107"/>
        <v/>
      </c>
      <c r="AL1707" s="8" t="str">
        <f t="shared" si="108"/>
        <v/>
      </c>
    </row>
    <row r="1708" spans="1:38" x14ac:dyDescent="0.25">
      <c r="A1708" s="8" t="s">
        <v>2330</v>
      </c>
      <c r="B1708" s="8" t="s">
        <v>2331</v>
      </c>
      <c r="C1708" s="8">
        <v>30863421</v>
      </c>
      <c r="D1708" s="8">
        <v>5</v>
      </c>
      <c r="E1708" s="11">
        <v>43110</v>
      </c>
      <c r="F1708" s="8" t="s">
        <v>58</v>
      </c>
      <c r="G1708" s="11">
        <v>43110</v>
      </c>
      <c r="H1708" s="8" t="s">
        <v>25</v>
      </c>
      <c r="I1708" s="11">
        <v>43115</v>
      </c>
      <c r="J1708" s="8" t="s">
        <v>145</v>
      </c>
      <c r="N1708" s="8" t="s">
        <v>58</v>
      </c>
      <c r="O1708" s="8" t="s">
        <v>59</v>
      </c>
      <c r="P1708" s="8" t="s">
        <v>59</v>
      </c>
      <c r="R1708" s="8">
        <v>0</v>
      </c>
      <c r="S1708" s="8">
        <v>0</v>
      </c>
      <c r="T1708" s="8">
        <v>1</v>
      </c>
      <c r="U1708" s="8">
        <v>2</v>
      </c>
      <c r="X1708" s="8">
        <v>5</v>
      </c>
      <c r="AG1708" s="8" t="str">
        <f t="shared" si="105"/>
        <v/>
      </c>
      <c r="AI1708" s="8" t="str">
        <f t="shared" si="106"/>
        <v/>
      </c>
      <c r="AJ1708" s="8" t="str">
        <f t="shared" si="107"/>
        <v/>
      </c>
      <c r="AL1708" s="8" t="str">
        <f t="shared" si="108"/>
        <v/>
      </c>
    </row>
    <row r="1709" spans="1:38" x14ac:dyDescent="0.25">
      <c r="A1709" s="8" t="s">
        <v>2332</v>
      </c>
      <c r="B1709" s="8" t="s">
        <v>2333</v>
      </c>
      <c r="C1709" s="8">
        <v>30857010</v>
      </c>
      <c r="D1709" s="8">
        <v>5</v>
      </c>
      <c r="E1709" s="11">
        <v>43110</v>
      </c>
      <c r="F1709" s="8" t="s">
        <v>57</v>
      </c>
      <c r="G1709" s="11">
        <v>43110</v>
      </c>
      <c r="H1709" s="8" t="s">
        <v>25</v>
      </c>
      <c r="J1709" s="8" t="s">
        <v>25</v>
      </c>
      <c r="N1709" s="8" t="s">
        <v>58</v>
      </c>
      <c r="O1709" s="8" t="s">
        <v>59</v>
      </c>
      <c r="P1709" s="8" t="s">
        <v>59</v>
      </c>
      <c r="R1709" s="8">
        <v>0</v>
      </c>
      <c r="S1709" s="8">
        <v>0</v>
      </c>
      <c r="T1709" s="8">
        <v>1</v>
      </c>
      <c r="U1709" s="8">
        <v>2</v>
      </c>
      <c r="AG1709" s="8" t="str">
        <f t="shared" si="105"/>
        <v/>
      </c>
      <c r="AI1709" s="8" t="str">
        <f t="shared" si="106"/>
        <v/>
      </c>
      <c r="AJ1709" s="8" t="str">
        <f t="shared" si="107"/>
        <v/>
      </c>
      <c r="AL1709" s="8" t="str">
        <f t="shared" si="108"/>
        <v/>
      </c>
    </row>
    <row r="1710" spans="1:38" x14ac:dyDescent="0.25">
      <c r="A1710" s="8" t="s">
        <v>7219</v>
      </c>
      <c r="B1710" s="8" t="s">
        <v>7220</v>
      </c>
      <c r="C1710" s="8">
        <v>30906138</v>
      </c>
      <c r="D1710" s="8">
        <v>5</v>
      </c>
      <c r="E1710" s="11">
        <v>43112</v>
      </c>
      <c r="F1710" s="8" t="s">
        <v>57</v>
      </c>
      <c r="G1710" s="11">
        <v>43115</v>
      </c>
      <c r="H1710" s="8" t="s">
        <v>25</v>
      </c>
      <c r="J1710" s="8" t="s">
        <v>25</v>
      </c>
      <c r="N1710" s="8" t="s">
        <v>58</v>
      </c>
      <c r="O1710" s="8" t="s">
        <v>59</v>
      </c>
      <c r="P1710" s="8" t="s">
        <v>59</v>
      </c>
      <c r="R1710" s="8">
        <v>0</v>
      </c>
      <c r="S1710" s="8">
        <v>0</v>
      </c>
      <c r="T1710" s="8">
        <v>1</v>
      </c>
      <c r="U1710" s="8">
        <v>2</v>
      </c>
      <c r="AG1710" s="8" t="str">
        <f t="shared" si="105"/>
        <v/>
      </c>
      <c r="AI1710" s="8" t="str">
        <f t="shared" si="106"/>
        <v/>
      </c>
      <c r="AJ1710" s="8" t="str">
        <f t="shared" si="107"/>
        <v/>
      </c>
      <c r="AL1710" s="8" t="str">
        <f t="shared" si="108"/>
        <v/>
      </c>
    </row>
    <row r="1711" spans="1:38" x14ac:dyDescent="0.25">
      <c r="A1711" s="8" t="s">
        <v>5393</v>
      </c>
      <c r="B1711" s="8" t="s">
        <v>5394</v>
      </c>
      <c r="C1711" s="8">
        <v>30913502</v>
      </c>
      <c r="D1711" s="8">
        <v>5</v>
      </c>
      <c r="E1711" s="11">
        <v>43112</v>
      </c>
      <c r="F1711" s="8" t="s">
        <v>57</v>
      </c>
      <c r="G1711" s="11">
        <v>43112</v>
      </c>
      <c r="H1711" s="8" t="s">
        <v>25</v>
      </c>
      <c r="J1711" s="8" t="s">
        <v>25</v>
      </c>
      <c r="N1711" s="8" t="s">
        <v>58</v>
      </c>
      <c r="O1711" s="8" t="s">
        <v>59</v>
      </c>
      <c r="P1711" s="8" t="s">
        <v>59</v>
      </c>
      <c r="R1711" s="8">
        <v>0</v>
      </c>
      <c r="S1711" s="8">
        <v>0</v>
      </c>
      <c r="T1711" s="8">
        <v>1</v>
      </c>
      <c r="U1711" s="8">
        <v>2</v>
      </c>
      <c r="AG1711" s="8" t="str">
        <f t="shared" si="105"/>
        <v/>
      </c>
      <c r="AI1711" s="8" t="str">
        <f t="shared" si="106"/>
        <v/>
      </c>
      <c r="AJ1711" s="8" t="str">
        <f t="shared" si="107"/>
        <v/>
      </c>
      <c r="AL1711" s="8" t="str">
        <f t="shared" si="108"/>
        <v/>
      </c>
    </row>
    <row r="1712" spans="1:38" x14ac:dyDescent="0.25">
      <c r="A1712" s="8" t="s">
        <v>3873</v>
      </c>
      <c r="B1712" s="8" t="s">
        <v>3874</v>
      </c>
      <c r="C1712" s="8">
        <v>30866855</v>
      </c>
      <c r="D1712" s="8">
        <v>5</v>
      </c>
      <c r="E1712" s="11">
        <v>43110</v>
      </c>
      <c r="F1712" s="8" t="s">
        <v>58</v>
      </c>
      <c r="G1712" s="11">
        <v>43111</v>
      </c>
      <c r="H1712" s="8" t="s">
        <v>25</v>
      </c>
      <c r="I1712" s="11">
        <v>43111</v>
      </c>
      <c r="J1712" s="8" t="s">
        <v>25</v>
      </c>
      <c r="N1712" s="8" t="s">
        <v>58</v>
      </c>
      <c r="O1712" s="8" t="s">
        <v>59</v>
      </c>
      <c r="P1712" s="8" t="s">
        <v>59</v>
      </c>
      <c r="R1712" s="8">
        <v>0</v>
      </c>
      <c r="S1712" s="8">
        <v>0</v>
      </c>
      <c r="T1712" s="8">
        <v>1</v>
      </c>
      <c r="U1712" s="8">
        <v>2</v>
      </c>
      <c r="X1712" s="8">
        <v>5</v>
      </c>
      <c r="AG1712" s="8" t="str">
        <f t="shared" si="105"/>
        <v/>
      </c>
      <c r="AI1712" s="8" t="str">
        <f t="shared" si="106"/>
        <v/>
      </c>
      <c r="AJ1712" s="8" t="str">
        <f t="shared" si="107"/>
        <v/>
      </c>
      <c r="AL1712" s="8" t="str">
        <f t="shared" si="108"/>
        <v/>
      </c>
    </row>
    <row r="1713" spans="1:38" x14ac:dyDescent="0.25">
      <c r="A1713" s="8" t="s">
        <v>3875</v>
      </c>
      <c r="B1713" s="8" t="s">
        <v>3876</v>
      </c>
      <c r="C1713" s="8">
        <v>30891648</v>
      </c>
      <c r="D1713" s="8">
        <v>5</v>
      </c>
      <c r="E1713" s="11">
        <v>43111</v>
      </c>
      <c r="F1713" s="8" t="s">
        <v>58</v>
      </c>
      <c r="G1713" s="11">
        <v>43111</v>
      </c>
      <c r="H1713" s="8" t="s">
        <v>25</v>
      </c>
      <c r="I1713" s="11">
        <v>43115</v>
      </c>
      <c r="J1713" s="8" t="s">
        <v>25</v>
      </c>
      <c r="N1713" s="8" t="s">
        <v>58</v>
      </c>
      <c r="O1713" s="8" t="s">
        <v>59</v>
      </c>
      <c r="P1713" s="8" t="s">
        <v>59</v>
      </c>
      <c r="R1713" s="8">
        <v>0</v>
      </c>
      <c r="S1713" s="8">
        <v>0</v>
      </c>
      <c r="T1713" s="8">
        <v>1</v>
      </c>
      <c r="U1713" s="8">
        <v>2</v>
      </c>
      <c r="X1713" s="8">
        <v>5</v>
      </c>
      <c r="AG1713" s="8" t="str">
        <f t="shared" si="105"/>
        <v/>
      </c>
      <c r="AI1713" s="8" t="str">
        <f t="shared" si="106"/>
        <v/>
      </c>
      <c r="AJ1713" s="8" t="str">
        <f t="shared" si="107"/>
        <v/>
      </c>
      <c r="AL1713" s="8" t="str">
        <f t="shared" si="108"/>
        <v/>
      </c>
    </row>
    <row r="1714" spans="1:38" x14ac:dyDescent="0.25">
      <c r="A1714" s="8" t="s">
        <v>5395</v>
      </c>
      <c r="B1714" s="8" t="s">
        <v>5396</v>
      </c>
      <c r="C1714" s="8">
        <v>30903703</v>
      </c>
      <c r="D1714" s="8">
        <v>5</v>
      </c>
      <c r="E1714" s="11">
        <v>43111</v>
      </c>
      <c r="F1714" s="8" t="s">
        <v>57</v>
      </c>
      <c r="G1714" s="11">
        <v>43112</v>
      </c>
      <c r="H1714" s="8" t="s">
        <v>25</v>
      </c>
      <c r="J1714" s="8" t="s">
        <v>25</v>
      </c>
      <c r="N1714" s="8" t="s">
        <v>58</v>
      </c>
      <c r="O1714" s="8" t="s">
        <v>59</v>
      </c>
      <c r="P1714" s="8" t="s">
        <v>59</v>
      </c>
      <c r="R1714" s="8">
        <v>0</v>
      </c>
      <c r="S1714" s="8">
        <v>0</v>
      </c>
      <c r="T1714" s="8">
        <v>1</v>
      </c>
      <c r="U1714" s="8">
        <v>2</v>
      </c>
      <c r="AG1714" s="8" t="str">
        <f t="shared" si="105"/>
        <v/>
      </c>
      <c r="AI1714" s="8" t="str">
        <f t="shared" si="106"/>
        <v/>
      </c>
      <c r="AJ1714" s="8" t="str">
        <f t="shared" si="107"/>
        <v/>
      </c>
      <c r="AL1714" s="8" t="str">
        <f t="shared" si="108"/>
        <v/>
      </c>
    </row>
    <row r="1715" spans="1:38" x14ac:dyDescent="0.25">
      <c r="A1715" s="8" t="s">
        <v>5397</v>
      </c>
      <c r="B1715" s="8" t="s">
        <v>5398</v>
      </c>
      <c r="C1715" s="8">
        <v>30891746</v>
      </c>
      <c r="D1715" s="8">
        <v>5</v>
      </c>
      <c r="E1715" s="11">
        <v>43111</v>
      </c>
      <c r="F1715" s="8" t="s">
        <v>57</v>
      </c>
      <c r="G1715" s="11">
        <v>43112</v>
      </c>
      <c r="H1715" s="8" t="s">
        <v>25</v>
      </c>
      <c r="J1715" s="8" t="s">
        <v>25</v>
      </c>
      <c r="N1715" s="8" t="s">
        <v>58</v>
      </c>
      <c r="O1715" s="8" t="s">
        <v>59</v>
      </c>
      <c r="P1715" s="8" t="s">
        <v>59</v>
      </c>
      <c r="R1715" s="8">
        <v>0</v>
      </c>
      <c r="S1715" s="8">
        <v>0</v>
      </c>
      <c r="T1715" s="8">
        <v>1</v>
      </c>
      <c r="U1715" s="8">
        <v>2</v>
      </c>
      <c r="AG1715" s="8" t="str">
        <f t="shared" si="105"/>
        <v/>
      </c>
      <c r="AI1715" s="8" t="str">
        <f t="shared" si="106"/>
        <v/>
      </c>
      <c r="AJ1715" s="8" t="str">
        <f t="shared" si="107"/>
        <v/>
      </c>
      <c r="AL1715" s="8" t="str">
        <f t="shared" si="108"/>
        <v/>
      </c>
    </row>
    <row r="1716" spans="1:38" x14ac:dyDescent="0.25">
      <c r="A1716" s="8" t="s">
        <v>3877</v>
      </c>
      <c r="B1716" s="8" t="s">
        <v>3878</v>
      </c>
      <c r="C1716" s="8">
        <v>30870758</v>
      </c>
      <c r="D1716" s="8">
        <v>5</v>
      </c>
      <c r="E1716" s="11">
        <v>43110</v>
      </c>
      <c r="F1716" s="8" t="s">
        <v>58</v>
      </c>
      <c r="G1716" s="11">
        <v>43111</v>
      </c>
      <c r="H1716" s="8" t="s">
        <v>25</v>
      </c>
      <c r="I1716" s="11">
        <v>43112</v>
      </c>
      <c r="J1716" s="8" t="s">
        <v>25</v>
      </c>
      <c r="N1716" s="8" t="s">
        <v>58</v>
      </c>
      <c r="O1716" s="8" t="s">
        <v>59</v>
      </c>
      <c r="P1716" s="8" t="s">
        <v>59</v>
      </c>
      <c r="R1716" s="8">
        <v>0</v>
      </c>
      <c r="S1716" s="8">
        <v>0</v>
      </c>
      <c r="T1716" s="8">
        <v>1</v>
      </c>
      <c r="U1716" s="8">
        <v>2</v>
      </c>
      <c r="X1716" s="8">
        <v>5</v>
      </c>
      <c r="AG1716" s="8" t="str">
        <f t="shared" si="105"/>
        <v/>
      </c>
      <c r="AI1716" s="8" t="str">
        <f t="shared" si="106"/>
        <v/>
      </c>
      <c r="AJ1716" s="8" t="str">
        <f t="shared" si="107"/>
        <v/>
      </c>
      <c r="AL1716" s="8" t="str">
        <f t="shared" si="108"/>
        <v/>
      </c>
    </row>
    <row r="1717" spans="1:38" x14ac:dyDescent="0.25">
      <c r="A1717" s="8" t="s">
        <v>7221</v>
      </c>
      <c r="B1717" s="8" t="s">
        <v>7222</v>
      </c>
      <c r="C1717" s="8">
        <v>30915205</v>
      </c>
      <c r="D1717" s="8">
        <v>5</v>
      </c>
      <c r="E1717" s="11">
        <v>43112</v>
      </c>
      <c r="F1717" s="8" t="s">
        <v>57</v>
      </c>
      <c r="G1717" s="11">
        <v>43115</v>
      </c>
      <c r="H1717" s="8" t="s">
        <v>25</v>
      </c>
      <c r="J1717" s="8" t="s">
        <v>25</v>
      </c>
      <c r="N1717" s="8" t="s">
        <v>58</v>
      </c>
      <c r="O1717" s="8" t="s">
        <v>59</v>
      </c>
      <c r="P1717" s="8" t="s">
        <v>59</v>
      </c>
      <c r="R1717" s="8">
        <v>0</v>
      </c>
      <c r="S1717" s="8">
        <v>0</v>
      </c>
      <c r="T1717" s="8">
        <v>1</v>
      </c>
      <c r="U1717" s="8">
        <v>2</v>
      </c>
      <c r="AG1717" s="8" t="str">
        <f t="shared" si="105"/>
        <v/>
      </c>
      <c r="AI1717" s="8" t="str">
        <f t="shared" si="106"/>
        <v/>
      </c>
      <c r="AJ1717" s="8" t="str">
        <f t="shared" si="107"/>
        <v/>
      </c>
      <c r="AL1717" s="8" t="str">
        <f t="shared" si="108"/>
        <v/>
      </c>
    </row>
    <row r="1718" spans="1:38" x14ac:dyDescent="0.25">
      <c r="A1718" s="8" t="s">
        <v>2334</v>
      </c>
      <c r="B1718" s="8" t="s">
        <v>2335</v>
      </c>
      <c r="C1718" s="8">
        <v>30814426</v>
      </c>
      <c r="D1718" s="8">
        <v>5</v>
      </c>
      <c r="E1718" s="11">
        <v>43108</v>
      </c>
      <c r="F1718" s="8" t="s">
        <v>57</v>
      </c>
      <c r="G1718" s="11">
        <v>43110</v>
      </c>
      <c r="H1718" s="8" t="s">
        <v>25</v>
      </c>
      <c r="J1718" s="8" t="s">
        <v>25</v>
      </c>
      <c r="N1718" s="8" t="s">
        <v>58</v>
      </c>
      <c r="O1718" s="8" t="s">
        <v>59</v>
      </c>
      <c r="P1718" s="8" t="s">
        <v>59</v>
      </c>
      <c r="R1718" s="8">
        <v>0</v>
      </c>
      <c r="S1718" s="8">
        <v>0</v>
      </c>
      <c r="T1718" s="8">
        <v>1</v>
      </c>
      <c r="U1718" s="8">
        <v>2</v>
      </c>
      <c r="AG1718" s="8" t="str">
        <f t="shared" si="105"/>
        <v/>
      </c>
      <c r="AI1718" s="8" t="str">
        <f t="shared" si="106"/>
        <v/>
      </c>
      <c r="AJ1718" s="8" t="str">
        <f t="shared" si="107"/>
        <v/>
      </c>
      <c r="AL1718" s="8" t="str">
        <f t="shared" si="108"/>
        <v/>
      </c>
    </row>
    <row r="1719" spans="1:38" x14ac:dyDescent="0.25">
      <c r="A1719" s="8" t="s">
        <v>2336</v>
      </c>
      <c r="B1719" s="8" t="s">
        <v>2337</v>
      </c>
      <c r="C1719" s="8">
        <v>30845582</v>
      </c>
      <c r="D1719" s="8">
        <v>5</v>
      </c>
      <c r="E1719" s="11">
        <v>43109</v>
      </c>
      <c r="F1719" s="8" t="s">
        <v>57</v>
      </c>
      <c r="G1719" s="11">
        <v>43110</v>
      </c>
      <c r="H1719" s="8" t="s">
        <v>25</v>
      </c>
      <c r="J1719" s="8" t="s">
        <v>25</v>
      </c>
      <c r="N1719" s="8" t="s">
        <v>58</v>
      </c>
      <c r="O1719" s="8" t="s">
        <v>59</v>
      </c>
      <c r="P1719" s="8" t="s">
        <v>59</v>
      </c>
      <c r="R1719" s="8">
        <v>0</v>
      </c>
      <c r="S1719" s="8">
        <v>0</v>
      </c>
      <c r="T1719" s="8">
        <v>1</v>
      </c>
      <c r="U1719" s="8">
        <v>2</v>
      </c>
      <c r="AG1719" s="8" t="str">
        <f t="shared" si="105"/>
        <v/>
      </c>
      <c r="AI1719" s="8" t="str">
        <f t="shared" si="106"/>
        <v/>
      </c>
      <c r="AJ1719" s="8" t="str">
        <f t="shared" si="107"/>
        <v/>
      </c>
      <c r="AL1719" s="8" t="str">
        <f t="shared" si="108"/>
        <v/>
      </c>
    </row>
    <row r="1720" spans="1:38" x14ac:dyDescent="0.25">
      <c r="A1720" s="8" t="s">
        <v>5399</v>
      </c>
      <c r="B1720" s="8" t="s">
        <v>5400</v>
      </c>
      <c r="C1720" s="8">
        <v>30912541</v>
      </c>
      <c r="D1720" s="8">
        <v>5</v>
      </c>
      <c r="E1720" s="11">
        <v>43112</v>
      </c>
      <c r="F1720" s="8" t="s">
        <v>57</v>
      </c>
      <c r="G1720" s="11">
        <v>43112</v>
      </c>
      <c r="H1720" s="8" t="s">
        <v>25</v>
      </c>
      <c r="J1720" s="8" t="s">
        <v>25</v>
      </c>
      <c r="N1720" s="8" t="s">
        <v>58</v>
      </c>
      <c r="O1720" s="8" t="s">
        <v>59</v>
      </c>
      <c r="P1720" s="8" t="s">
        <v>59</v>
      </c>
      <c r="R1720" s="8">
        <v>0</v>
      </c>
      <c r="S1720" s="8">
        <v>0</v>
      </c>
      <c r="T1720" s="8">
        <v>1</v>
      </c>
      <c r="U1720" s="8">
        <v>2</v>
      </c>
      <c r="AG1720" s="8" t="str">
        <f t="shared" si="105"/>
        <v/>
      </c>
      <c r="AI1720" s="8" t="str">
        <f t="shared" si="106"/>
        <v/>
      </c>
      <c r="AJ1720" s="8" t="str">
        <f t="shared" si="107"/>
        <v/>
      </c>
      <c r="AL1720" s="8" t="str">
        <f t="shared" si="108"/>
        <v/>
      </c>
    </row>
    <row r="1721" spans="1:38" x14ac:dyDescent="0.25">
      <c r="A1721" s="8" t="s">
        <v>1184</v>
      </c>
      <c r="B1721" s="8" t="s">
        <v>1185</v>
      </c>
      <c r="C1721" s="8">
        <v>30818394</v>
      </c>
      <c r="D1721" s="8">
        <v>5</v>
      </c>
      <c r="E1721" s="11">
        <v>43108</v>
      </c>
      <c r="F1721" s="8" t="s">
        <v>58</v>
      </c>
      <c r="G1721" s="11">
        <v>43109</v>
      </c>
      <c r="H1721" s="8" t="s">
        <v>25</v>
      </c>
      <c r="I1721" s="11">
        <v>43115</v>
      </c>
      <c r="J1721" s="8" t="s">
        <v>145</v>
      </c>
      <c r="N1721" s="8" t="s">
        <v>58</v>
      </c>
      <c r="O1721" s="8" t="s">
        <v>59</v>
      </c>
      <c r="P1721" s="8" t="s">
        <v>59</v>
      </c>
      <c r="R1721" s="8">
        <v>0</v>
      </c>
      <c r="S1721" s="8">
        <v>0</v>
      </c>
      <c r="T1721" s="8">
        <v>1</v>
      </c>
      <c r="U1721" s="8">
        <v>2</v>
      </c>
      <c r="X1721" s="8">
        <v>5</v>
      </c>
      <c r="AG1721" s="8" t="str">
        <f t="shared" si="105"/>
        <v/>
      </c>
      <c r="AI1721" s="8" t="str">
        <f t="shared" si="106"/>
        <v/>
      </c>
      <c r="AJ1721" s="8" t="str">
        <f t="shared" si="107"/>
        <v/>
      </c>
      <c r="AL1721" s="8" t="str">
        <f t="shared" si="108"/>
        <v/>
      </c>
    </row>
    <row r="1722" spans="1:38" x14ac:dyDescent="0.25">
      <c r="A1722" s="8" t="s">
        <v>2338</v>
      </c>
      <c r="B1722" s="8" t="s">
        <v>2339</v>
      </c>
      <c r="C1722" s="8">
        <v>30831959</v>
      </c>
      <c r="D1722" s="8">
        <v>5</v>
      </c>
      <c r="E1722" s="11">
        <v>43109</v>
      </c>
      <c r="F1722" s="8" t="s">
        <v>58</v>
      </c>
      <c r="G1722" s="11">
        <v>43110</v>
      </c>
      <c r="H1722" s="8" t="s">
        <v>25</v>
      </c>
      <c r="I1722" s="11">
        <v>43115</v>
      </c>
      <c r="J1722" s="8" t="s">
        <v>145</v>
      </c>
      <c r="N1722" s="8" t="s">
        <v>58</v>
      </c>
      <c r="O1722" s="8" t="s">
        <v>59</v>
      </c>
      <c r="P1722" s="8" t="s">
        <v>59</v>
      </c>
      <c r="R1722" s="8">
        <v>0</v>
      </c>
      <c r="S1722" s="8">
        <v>0</v>
      </c>
      <c r="T1722" s="8">
        <v>1</v>
      </c>
      <c r="U1722" s="8">
        <v>2</v>
      </c>
      <c r="X1722" s="8">
        <v>5</v>
      </c>
      <c r="AG1722" s="8" t="str">
        <f t="shared" si="105"/>
        <v/>
      </c>
      <c r="AI1722" s="8" t="str">
        <f t="shared" si="106"/>
        <v/>
      </c>
      <c r="AJ1722" s="8" t="str">
        <f t="shared" si="107"/>
        <v/>
      </c>
      <c r="AL1722" s="8" t="str">
        <f t="shared" si="108"/>
        <v/>
      </c>
    </row>
    <row r="1723" spans="1:38" x14ac:dyDescent="0.25">
      <c r="A1723" s="8" t="s">
        <v>5401</v>
      </c>
      <c r="B1723" s="8" t="s">
        <v>5402</v>
      </c>
      <c r="C1723" s="8">
        <v>30885095</v>
      </c>
      <c r="D1723" s="8">
        <v>5</v>
      </c>
      <c r="E1723" s="11">
        <v>43111</v>
      </c>
      <c r="F1723" s="8" t="s">
        <v>58</v>
      </c>
      <c r="G1723" s="11">
        <v>43112</v>
      </c>
      <c r="H1723" s="8" t="s">
        <v>25</v>
      </c>
      <c r="I1723" s="11">
        <v>43115</v>
      </c>
      <c r="J1723" s="8" t="s">
        <v>25</v>
      </c>
      <c r="N1723" s="8" t="s">
        <v>58</v>
      </c>
      <c r="O1723" s="8" t="s">
        <v>59</v>
      </c>
      <c r="P1723" s="8" t="s">
        <v>59</v>
      </c>
      <c r="R1723" s="8">
        <v>0</v>
      </c>
      <c r="S1723" s="8">
        <v>0</v>
      </c>
      <c r="T1723" s="8">
        <v>1</v>
      </c>
      <c r="U1723" s="8">
        <v>2</v>
      </c>
      <c r="X1723" s="8">
        <v>5</v>
      </c>
      <c r="AG1723" s="8" t="str">
        <f t="shared" si="105"/>
        <v/>
      </c>
      <c r="AI1723" s="8" t="str">
        <f t="shared" si="106"/>
        <v/>
      </c>
      <c r="AJ1723" s="8" t="str">
        <f t="shared" si="107"/>
        <v/>
      </c>
      <c r="AL1723" s="8" t="str">
        <f t="shared" si="108"/>
        <v/>
      </c>
    </row>
    <row r="1724" spans="1:38" x14ac:dyDescent="0.25">
      <c r="A1724" s="8" t="s">
        <v>7223</v>
      </c>
      <c r="B1724" s="8" t="s">
        <v>7224</v>
      </c>
      <c r="C1724" s="8">
        <v>30910824</v>
      </c>
      <c r="D1724" s="8">
        <v>5</v>
      </c>
      <c r="E1724" s="11">
        <v>43112</v>
      </c>
      <c r="F1724" s="8" t="s">
        <v>57</v>
      </c>
      <c r="G1724" s="11">
        <v>43115</v>
      </c>
      <c r="H1724" s="8" t="s">
        <v>25</v>
      </c>
      <c r="J1724" s="8" t="s">
        <v>25</v>
      </c>
      <c r="N1724" s="8" t="s">
        <v>58</v>
      </c>
      <c r="O1724" s="8" t="s">
        <v>59</v>
      </c>
      <c r="P1724" s="8" t="s">
        <v>59</v>
      </c>
      <c r="R1724" s="8">
        <v>0</v>
      </c>
      <c r="S1724" s="8">
        <v>0</v>
      </c>
      <c r="T1724" s="8">
        <v>1</v>
      </c>
      <c r="U1724" s="8">
        <v>2</v>
      </c>
      <c r="AG1724" s="8" t="str">
        <f t="shared" si="105"/>
        <v/>
      </c>
      <c r="AI1724" s="8" t="str">
        <f t="shared" si="106"/>
        <v/>
      </c>
      <c r="AJ1724" s="8" t="str">
        <f t="shared" si="107"/>
        <v/>
      </c>
      <c r="AL1724" s="8" t="str">
        <f t="shared" si="108"/>
        <v/>
      </c>
    </row>
    <row r="1725" spans="1:38" x14ac:dyDescent="0.25">
      <c r="A1725" s="8" t="s">
        <v>3879</v>
      </c>
      <c r="B1725" s="8" t="s">
        <v>3880</v>
      </c>
      <c r="C1725" s="8">
        <v>30845273</v>
      </c>
      <c r="D1725" s="8">
        <v>5</v>
      </c>
      <c r="E1725" s="11">
        <v>43109</v>
      </c>
      <c r="F1725" s="8" t="s">
        <v>58</v>
      </c>
      <c r="G1725" s="11">
        <v>43111</v>
      </c>
      <c r="H1725" s="8" t="s">
        <v>25</v>
      </c>
      <c r="I1725" s="11">
        <v>43115</v>
      </c>
      <c r="J1725" s="8" t="s">
        <v>25</v>
      </c>
      <c r="N1725" s="8" t="s">
        <v>58</v>
      </c>
      <c r="O1725" s="8" t="s">
        <v>59</v>
      </c>
      <c r="P1725" s="8" t="s">
        <v>59</v>
      </c>
      <c r="R1725" s="8">
        <v>0</v>
      </c>
      <c r="S1725" s="8">
        <v>0</v>
      </c>
      <c r="T1725" s="8">
        <v>1</v>
      </c>
      <c r="U1725" s="8">
        <v>2</v>
      </c>
      <c r="X1725" s="8">
        <v>5</v>
      </c>
      <c r="AG1725" s="8" t="str">
        <f t="shared" si="105"/>
        <v/>
      </c>
      <c r="AI1725" s="8" t="str">
        <f t="shared" si="106"/>
        <v/>
      </c>
      <c r="AJ1725" s="8" t="str">
        <f t="shared" si="107"/>
        <v/>
      </c>
      <c r="AL1725" s="8" t="str">
        <f t="shared" si="108"/>
        <v/>
      </c>
    </row>
    <row r="1726" spans="1:38" x14ac:dyDescent="0.25">
      <c r="A1726" s="8" t="s">
        <v>5403</v>
      </c>
      <c r="B1726" s="8" t="s">
        <v>5404</v>
      </c>
      <c r="C1726" s="8">
        <v>30877167</v>
      </c>
      <c r="D1726" s="8">
        <v>4</v>
      </c>
      <c r="E1726" s="11">
        <v>43110</v>
      </c>
      <c r="F1726" s="8" t="s">
        <v>57</v>
      </c>
      <c r="G1726" s="11">
        <v>43112</v>
      </c>
      <c r="H1726" s="8" t="s">
        <v>25</v>
      </c>
      <c r="J1726" s="8" t="s">
        <v>25</v>
      </c>
      <c r="N1726" s="8" t="s">
        <v>58</v>
      </c>
      <c r="O1726" s="8" t="s">
        <v>59</v>
      </c>
      <c r="P1726" s="8" t="s">
        <v>59</v>
      </c>
      <c r="R1726" s="8">
        <v>0</v>
      </c>
      <c r="S1726" s="8">
        <v>0</v>
      </c>
      <c r="T1726" s="8">
        <v>1</v>
      </c>
      <c r="U1726" s="8">
        <v>2</v>
      </c>
      <c r="AG1726" s="8" t="str">
        <f t="shared" si="105"/>
        <v/>
      </c>
      <c r="AI1726" s="8" t="str">
        <f t="shared" si="106"/>
        <v/>
      </c>
      <c r="AJ1726" s="8" t="str">
        <f t="shared" si="107"/>
        <v/>
      </c>
      <c r="AL1726" s="8" t="str">
        <f t="shared" si="108"/>
        <v/>
      </c>
    </row>
    <row r="1727" spans="1:38" x14ac:dyDescent="0.25">
      <c r="A1727" s="8" t="s">
        <v>7225</v>
      </c>
      <c r="B1727" s="8" t="s">
        <v>7226</v>
      </c>
      <c r="C1727" s="8">
        <v>30915207</v>
      </c>
      <c r="D1727" s="8">
        <v>5</v>
      </c>
      <c r="E1727" s="11">
        <v>43112</v>
      </c>
      <c r="F1727" s="8" t="s">
        <v>57</v>
      </c>
      <c r="G1727" s="11">
        <v>43115</v>
      </c>
      <c r="H1727" s="8" t="s">
        <v>25</v>
      </c>
      <c r="J1727" s="8" t="s">
        <v>25</v>
      </c>
      <c r="N1727" s="8" t="s">
        <v>58</v>
      </c>
      <c r="O1727" s="8" t="s">
        <v>59</v>
      </c>
      <c r="P1727" s="8" t="s">
        <v>59</v>
      </c>
      <c r="R1727" s="8">
        <v>0</v>
      </c>
      <c r="S1727" s="8">
        <v>0</v>
      </c>
      <c r="T1727" s="8">
        <v>1</v>
      </c>
      <c r="U1727" s="8">
        <v>2</v>
      </c>
      <c r="AG1727" s="8" t="str">
        <f t="shared" si="105"/>
        <v/>
      </c>
      <c r="AI1727" s="8" t="str">
        <f t="shared" si="106"/>
        <v/>
      </c>
      <c r="AJ1727" s="8" t="str">
        <f t="shared" si="107"/>
        <v/>
      </c>
      <c r="AL1727" s="8" t="str">
        <f t="shared" si="108"/>
        <v/>
      </c>
    </row>
    <row r="1728" spans="1:38" x14ac:dyDescent="0.25">
      <c r="A1728" s="8" t="s">
        <v>2340</v>
      </c>
      <c r="B1728" s="8" t="s">
        <v>2341</v>
      </c>
      <c r="C1728" s="8">
        <v>30840501</v>
      </c>
      <c r="D1728" s="8">
        <v>5</v>
      </c>
      <c r="E1728" s="11">
        <v>43109</v>
      </c>
      <c r="F1728" s="8" t="s">
        <v>57</v>
      </c>
      <c r="G1728" s="11">
        <v>43110</v>
      </c>
      <c r="H1728" s="8" t="s">
        <v>25</v>
      </c>
      <c r="J1728" s="8" t="s">
        <v>25</v>
      </c>
      <c r="N1728" s="8" t="s">
        <v>58</v>
      </c>
      <c r="O1728" s="8" t="s">
        <v>59</v>
      </c>
      <c r="P1728" s="8" t="s">
        <v>59</v>
      </c>
      <c r="R1728" s="8">
        <v>0</v>
      </c>
      <c r="S1728" s="8">
        <v>0</v>
      </c>
      <c r="T1728" s="8">
        <v>1</v>
      </c>
      <c r="U1728" s="8">
        <v>2</v>
      </c>
      <c r="AG1728" s="8" t="str">
        <f t="shared" si="105"/>
        <v/>
      </c>
      <c r="AI1728" s="8" t="str">
        <f t="shared" si="106"/>
        <v/>
      </c>
      <c r="AJ1728" s="8" t="str">
        <f t="shared" si="107"/>
        <v/>
      </c>
      <c r="AL1728" s="8" t="str">
        <f t="shared" si="108"/>
        <v/>
      </c>
    </row>
    <row r="1729" spans="1:38" x14ac:dyDescent="0.25">
      <c r="A1729" s="8" t="s">
        <v>5405</v>
      </c>
      <c r="B1729" s="8" t="s">
        <v>5406</v>
      </c>
      <c r="C1729" s="8">
        <v>30893999</v>
      </c>
      <c r="D1729" s="8">
        <v>5</v>
      </c>
      <c r="E1729" s="11">
        <v>43111</v>
      </c>
      <c r="F1729" s="8" t="s">
        <v>57</v>
      </c>
      <c r="G1729" s="11">
        <v>43112</v>
      </c>
      <c r="H1729" s="8" t="s">
        <v>25</v>
      </c>
      <c r="J1729" s="8" t="s">
        <v>25</v>
      </c>
      <c r="N1729" s="8" t="s">
        <v>58</v>
      </c>
      <c r="O1729" s="8" t="s">
        <v>59</v>
      </c>
      <c r="P1729" s="8" t="s">
        <v>59</v>
      </c>
      <c r="R1729" s="8">
        <v>0</v>
      </c>
      <c r="S1729" s="8">
        <v>0</v>
      </c>
      <c r="T1729" s="8">
        <v>1</v>
      </c>
      <c r="U1729" s="8">
        <v>2</v>
      </c>
      <c r="AG1729" s="8" t="str">
        <f t="shared" si="105"/>
        <v/>
      </c>
      <c r="AI1729" s="8" t="str">
        <f t="shared" si="106"/>
        <v/>
      </c>
      <c r="AJ1729" s="8" t="str">
        <f t="shared" si="107"/>
        <v/>
      </c>
      <c r="AL1729" s="8" t="str">
        <f t="shared" si="108"/>
        <v/>
      </c>
    </row>
    <row r="1730" spans="1:38" x14ac:dyDescent="0.25">
      <c r="A1730" s="8" t="s">
        <v>7227</v>
      </c>
      <c r="B1730" s="8" t="s">
        <v>7228</v>
      </c>
      <c r="C1730" s="8">
        <v>30906452</v>
      </c>
      <c r="D1730" s="8">
        <v>5</v>
      </c>
      <c r="E1730" s="11">
        <v>43112</v>
      </c>
      <c r="F1730" s="8" t="s">
        <v>57</v>
      </c>
      <c r="G1730" s="11">
        <v>43115</v>
      </c>
      <c r="H1730" s="8" t="s">
        <v>25</v>
      </c>
      <c r="J1730" s="8" t="s">
        <v>25</v>
      </c>
      <c r="N1730" s="8" t="s">
        <v>58</v>
      </c>
      <c r="O1730" s="8" t="s">
        <v>59</v>
      </c>
      <c r="P1730" s="8" t="s">
        <v>59</v>
      </c>
      <c r="R1730" s="8">
        <v>0</v>
      </c>
      <c r="S1730" s="8">
        <v>0</v>
      </c>
      <c r="T1730" s="8">
        <v>1</v>
      </c>
      <c r="U1730" s="8">
        <v>2</v>
      </c>
      <c r="AG1730" s="8" t="str">
        <f t="shared" si="105"/>
        <v/>
      </c>
      <c r="AI1730" s="8" t="str">
        <f t="shared" si="106"/>
        <v/>
      </c>
      <c r="AJ1730" s="8" t="str">
        <f t="shared" si="107"/>
        <v/>
      </c>
      <c r="AL1730" s="8" t="str">
        <f t="shared" si="108"/>
        <v/>
      </c>
    </row>
    <row r="1731" spans="1:38" x14ac:dyDescent="0.25">
      <c r="A1731" s="8" t="s">
        <v>7229</v>
      </c>
      <c r="B1731" s="8" t="s">
        <v>7230</v>
      </c>
      <c r="C1731" s="8">
        <v>30902871</v>
      </c>
      <c r="D1731" s="8">
        <v>5</v>
      </c>
      <c r="E1731" s="11">
        <v>43111</v>
      </c>
      <c r="F1731" s="8" t="s">
        <v>57</v>
      </c>
      <c r="G1731" s="11">
        <v>43115</v>
      </c>
      <c r="H1731" s="8" t="s">
        <v>25</v>
      </c>
      <c r="J1731" s="8" t="s">
        <v>25</v>
      </c>
      <c r="N1731" s="8" t="s">
        <v>58</v>
      </c>
      <c r="O1731" s="8" t="s">
        <v>59</v>
      </c>
      <c r="P1731" s="8" t="s">
        <v>59</v>
      </c>
      <c r="R1731" s="8">
        <v>0</v>
      </c>
      <c r="S1731" s="8">
        <v>0</v>
      </c>
      <c r="T1731" s="8">
        <v>1</v>
      </c>
      <c r="U1731" s="8">
        <v>2</v>
      </c>
      <c r="AG1731" s="8" t="str">
        <f t="shared" ref="AG1731:AG1794" si="109">IF(AND(U1731="",G1731&lt;&gt;"",NOT(OR(R1731,S1731))),IF(NETWORKDAYS.INTL(G1731,TODAY(),11)&lt;5,"En Plazo",IF(NETWORKDAYS.INTL(G1731,TODAY(),11)=5,"Riesgo Incumplimiento","FALTA_02")),"")</f>
        <v/>
      </c>
      <c r="AI1731" s="8" t="str">
        <f t="shared" ref="AI1731:AI1794" si="110">IF(AND(O1731&lt;&gt;"B1",F1731="Rejected"),IF(W1731="","FALTA_04",""),"")</f>
        <v/>
      </c>
      <c r="AJ1731" s="8" t="str">
        <f t="shared" ref="AJ1731:AJ1794" si="111">IF(AND(X1731="",I1731&lt;&gt;"",NOT(OR(R1731,S1731))),IF(NETWORKDAYS.INTL(G1731,TODAY(),11)&lt;=1,"En Plazo",IF(OR(AND(X1731="",O1731&lt;&gt;"M1"),AND(O1731="M1",(OR(Q1731="S - S",Q1731="S - T",)))),"FALTA_05","")),"")</f>
        <v/>
      </c>
      <c r="AL1731" s="8" t="str">
        <f t="shared" ref="AL1731:AL1794" si="112">IF(AND(O1731="B1",F1731="Rejected"),IF(Z1731="","FALTA_07",""),"")</f>
        <v/>
      </c>
    </row>
    <row r="1732" spans="1:38" x14ac:dyDescent="0.25">
      <c r="A1732" s="8" t="s">
        <v>7231</v>
      </c>
      <c r="B1732" s="8" t="s">
        <v>7232</v>
      </c>
      <c r="C1732" s="8">
        <v>30915206</v>
      </c>
      <c r="D1732" s="8">
        <v>5</v>
      </c>
      <c r="E1732" s="11">
        <v>43112</v>
      </c>
      <c r="F1732" s="8" t="s">
        <v>57</v>
      </c>
      <c r="G1732" s="11">
        <v>43115</v>
      </c>
      <c r="H1732" s="8" t="s">
        <v>25</v>
      </c>
      <c r="J1732" s="8" t="s">
        <v>25</v>
      </c>
      <c r="N1732" s="8" t="s">
        <v>58</v>
      </c>
      <c r="O1732" s="8" t="s">
        <v>59</v>
      </c>
      <c r="P1732" s="8" t="s">
        <v>59</v>
      </c>
      <c r="R1732" s="8">
        <v>0</v>
      </c>
      <c r="S1732" s="8">
        <v>0</v>
      </c>
      <c r="T1732" s="8">
        <v>1</v>
      </c>
      <c r="U1732" s="8">
        <v>2</v>
      </c>
      <c r="AG1732" s="8" t="str">
        <f t="shared" si="109"/>
        <v/>
      </c>
      <c r="AI1732" s="8" t="str">
        <f t="shared" si="110"/>
        <v/>
      </c>
      <c r="AJ1732" s="8" t="str">
        <f t="shared" si="111"/>
        <v/>
      </c>
      <c r="AL1732" s="8" t="str">
        <f t="shared" si="112"/>
        <v/>
      </c>
    </row>
    <row r="1733" spans="1:38" x14ac:dyDescent="0.25">
      <c r="A1733" s="8" t="s">
        <v>5407</v>
      </c>
      <c r="B1733" s="8" t="s">
        <v>5408</v>
      </c>
      <c r="C1733" s="8">
        <v>30891748</v>
      </c>
      <c r="D1733" s="8">
        <v>5</v>
      </c>
      <c r="E1733" s="11">
        <v>43111</v>
      </c>
      <c r="F1733" s="8" t="s">
        <v>58</v>
      </c>
      <c r="G1733" s="11">
        <v>43112</v>
      </c>
      <c r="H1733" s="8" t="s">
        <v>25</v>
      </c>
      <c r="I1733" s="11">
        <v>43115</v>
      </c>
      <c r="J1733" s="8" t="s">
        <v>25</v>
      </c>
      <c r="N1733" s="8" t="s">
        <v>58</v>
      </c>
      <c r="O1733" s="8" t="s">
        <v>59</v>
      </c>
      <c r="P1733" s="8" t="s">
        <v>59</v>
      </c>
      <c r="R1733" s="8">
        <v>0</v>
      </c>
      <c r="S1733" s="8">
        <v>0</v>
      </c>
      <c r="T1733" s="8">
        <v>1</v>
      </c>
      <c r="U1733" s="8">
        <v>2</v>
      </c>
      <c r="X1733" s="8">
        <v>5</v>
      </c>
      <c r="AG1733" s="8" t="str">
        <f t="shared" si="109"/>
        <v/>
      </c>
      <c r="AI1733" s="8" t="str">
        <f t="shared" si="110"/>
        <v/>
      </c>
      <c r="AJ1733" s="8" t="str">
        <f t="shared" si="111"/>
        <v/>
      </c>
      <c r="AL1733" s="8" t="str">
        <f t="shared" si="112"/>
        <v/>
      </c>
    </row>
    <row r="1734" spans="1:38" x14ac:dyDescent="0.25">
      <c r="A1734" s="8" t="s">
        <v>2342</v>
      </c>
      <c r="B1734" s="8" t="s">
        <v>2343</v>
      </c>
      <c r="C1734" s="8">
        <v>30841479</v>
      </c>
      <c r="D1734" s="8">
        <v>5</v>
      </c>
      <c r="E1734" s="11">
        <v>43109</v>
      </c>
      <c r="F1734" s="8" t="s">
        <v>57</v>
      </c>
      <c r="G1734" s="11">
        <v>43110</v>
      </c>
      <c r="H1734" s="8" t="s">
        <v>25</v>
      </c>
      <c r="J1734" s="8" t="s">
        <v>25</v>
      </c>
      <c r="N1734" s="8" t="s">
        <v>58</v>
      </c>
      <c r="O1734" s="8" t="s">
        <v>59</v>
      </c>
      <c r="P1734" s="8" t="s">
        <v>59</v>
      </c>
      <c r="R1734" s="8">
        <v>0</v>
      </c>
      <c r="S1734" s="8">
        <v>0</v>
      </c>
      <c r="T1734" s="8">
        <v>1</v>
      </c>
      <c r="U1734" s="8">
        <v>2</v>
      </c>
      <c r="AG1734" s="8" t="str">
        <f t="shared" si="109"/>
        <v/>
      </c>
      <c r="AI1734" s="8" t="str">
        <f t="shared" si="110"/>
        <v/>
      </c>
      <c r="AJ1734" s="8" t="str">
        <f t="shared" si="111"/>
        <v/>
      </c>
      <c r="AL1734" s="8" t="str">
        <f t="shared" si="112"/>
        <v/>
      </c>
    </row>
    <row r="1735" spans="1:38" x14ac:dyDescent="0.25">
      <c r="A1735" s="8" t="s">
        <v>5409</v>
      </c>
      <c r="B1735" s="8" t="s">
        <v>5410</v>
      </c>
      <c r="C1735" s="8">
        <v>30891750</v>
      </c>
      <c r="D1735" s="8">
        <v>5</v>
      </c>
      <c r="E1735" s="11">
        <v>43111</v>
      </c>
      <c r="F1735" s="8" t="s">
        <v>57</v>
      </c>
      <c r="G1735" s="11">
        <v>43112</v>
      </c>
      <c r="H1735" s="8" t="s">
        <v>25</v>
      </c>
      <c r="J1735" s="8" t="s">
        <v>25</v>
      </c>
      <c r="N1735" s="8" t="s">
        <v>58</v>
      </c>
      <c r="O1735" s="8" t="s">
        <v>59</v>
      </c>
      <c r="P1735" s="8" t="s">
        <v>59</v>
      </c>
      <c r="R1735" s="8">
        <v>0</v>
      </c>
      <c r="S1735" s="8">
        <v>0</v>
      </c>
      <c r="T1735" s="8">
        <v>1</v>
      </c>
      <c r="U1735" s="8">
        <v>2</v>
      </c>
      <c r="AG1735" s="8" t="str">
        <f t="shared" si="109"/>
        <v/>
      </c>
      <c r="AI1735" s="8" t="str">
        <f t="shared" si="110"/>
        <v/>
      </c>
      <c r="AJ1735" s="8" t="str">
        <f t="shared" si="111"/>
        <v/>
      </c>
      <c r="AL1735" s="8" t="str">
        <f t="shared" si="112"/>
        <v/>
      </c>
    </row>
    <row r="1736" spans="1:38" x14ac:dyDescent="0.25">
      <c r="A1736" s="8" t="s">
        <v>5411</v>
      </c>
      <c r="B1736" s="8" t="s">
        <v>428</v>
      </c>
      <c r="C1736" s="8">
        <v>30909715</v>
      </c>
      <c r="D1736" s="8">
        <v>5</v>
      </c>
      <c r="E1736" s="11">
        <v>43112</v>
      </c>
      <c r="F1736" s="8" t="s">
        <v>57</v>
      </c>
      <c r="G1736" s="11">
        <v>43112</v>
      </c>
      <c r="H1736" s="8" t="s">
        <v>25</v>
      </c>
      <c r="J1736" s="8" t="s">
        <v>25</v>
      </c>
      <c r="N1736" s="8" t="s">
        <v>58</v>
      </c>
      <c r="O1736" s="8" t="s">
        <v>59</v>
      </c>
      <c r="P1736" s="8" t="s">
        <v>59</v>
      </c>
      <c r="R1736" s="8">
        <v>0</v>
      </c>
      <c r="S1736" s="8">
        <v>0</v>
      </c>
      <c r="T1736" s="8">
        <v>1</v>
      </c>
      <c r="U1736" s="8">
        <v>2</v>
      </c>
      <c r="AG1736" s="8" t="str">
        <f t="shared" si="109"/>
        <v/>
      </c>
      <c r="AI1736" s="8" t="str">
        <f t="shared" si="110"/>
        <v/>
      </c>
      <c r="AJ1736" s="8" t="str">
        <f t="shared" si="111"/>
        <v/>
      </c>
      <c r="AL1736" s="8" t="str">
        <f t="shared" si="112"/>
        <v/>
      </c>
    </row>
    <row r="1737" spans="1:38" x14ac:dyDescent="0.25">
      <c r="A1737" s="8" t="s">
        <v>1186</v>
      </c>
      <c r="B1737" s="8" t="s">
        <v>1187</v>
      </c>
      <c r="C1737" s="8">
        <v>30806852</v>
      </c>
      <c r="D1737" s="8">
        <v>5</v>
      </c>
      <c r="E1737" s="11">
        <v>43108</v>
      </c>
      <c r="F1737" s="8" t="s">
        <v>58</v>
      </c>
      <c r="G1737" s="11">
        <v>43109</v>
      </c>
      <c r="H1737" s="8" t="s">
        <v>25</v>
      </c>
      <c r="I1737" s="11">
        <v>43112</v>
      </c>
      <c r="J1737" s="8" t="s">
        <v>25</v>
      </c>
      <c r="N1737" s="8" t="s">
        <v>58</v>
      </c>
      <c r="O1737" s="8" t="s">
        <v>59</v>
      </c>
      <c r="P1737" s="8" t="s">
        <v>59</v>
      </c>
      <c r="R1737" s="8">
        <v>0</v>
      </c>
      <c r="S1737" s="8">
        <v>0</v>
      </c>
      <c r="T1737" s="8">
        <v>1</v>
      </c>
      <c r="U1737" s="8">
        <v>2</v>
      </c>
      <c r="X1737" s="8">
        <v>5</v>
      </c>
      <c r="AG1737" s="8" t="str">
        <f t="shared" si="109"/>
        <v/>
      </c>
      <c r="AI1737" s="8" t="str">
        <f t="shared" si="110"/>
        <v/>
      </c>
      <c r="AJ1737" s="8" t="str">
        <f t="shared" si="111"/>
        <v/>
      </c>
      <c r="AL1737" s="8" t="str">
        <f t="shared" si="112"/>
        <v/>
      </c>
    </row>
    <row r="1738" spans="1:38" x14ac:dyDescent="0.25">
      <c r="A1738" s="8" t="s">
        <v>2344</v>
      </c>
      <c r="B1738" s="8" t="s">
        <v>2345</v>
      </c>
      <c r="C1738" s="8">
        <v>30839130</v>
      </c>
      <c r="D1738" s="8">
        <v>5</v>
      </c>
      <c r="E1738" s="11">
        <v>43109</v>
      </c>
      <c r="F1738" s="8" t="s">
        <v>60</v>
      </c>
      <c r="G1738" s="11">
        <v>43110</v>
      </c>
      <c r="H1738" s="8" t="s">
        <v>25</v>
      </c>
      <c r="J1738" s="8" t="s">
        <v>25</v>
      </c>
      <c r="L1738" s="8" t="s">
        <v>3287</v>
      </c>
      <c r="N1738" s="8" t="s">
        <v>58</v>
      </c>
      <c r="O1738" s="8" t="s">
        <v>59</v>
      </c>
      <c r="P1738" s="8" t="s">
        <v>59</v>
      </c>
      <c r="R1738" s="8">
        <v>0</v>
      </c>
      <c r="S1738" s="8">
        <v>0</v>
      </c>
      <c r="T1738" s="8">
        <v>1</v>
      </c>
      <c r="U1738" s="8">
        <v>2</v>
      </c>
      <c r="W1738" s="8">
        <v>4</v>
      </c>
      <c r="AG1738" s="8" t="str">
        <f t="shared" si="109"/>
        <v/>
      </c>
      <c r="AI1738" s="8" t="str">
        <f t="shared" si="110"/>
        <v/>
      </c>
      <c r="AJ1738" s="8" t="str">
        <f t="shared" si="111"/>
        <v/>
      </c>
      <c r="AL1738" s="8" t="str">
        <f t="shared" si="112"/>
        <v/>
      </c>
    </row>
    <row r="1739" spans="1:38" x14ac:dyDescent="0.25">
      <c r="A1739" s="8" t="s">
        <v>3881</v>
      </c>
      <c r="B1739" s="8" t="s">
        <v>3882</v>
      </c>
      <c r="C1739" s="8">
        <v>30858247</v>
      </c>
      <c r="D1739" s="8">
        <v>5</v>
      </c>
      <c r="E1739" s="11">
        <v>43110</v>
      </c>
      <c r="F1739" s="8" t="s">
        <v>57</v>
      </c>
      <c r="G1739" s="11">
        <v>43111</v>
      </c>
      <c r="H1739" s="8" t="s">
        <v>25</v>
      </c>
      <c r="J1739" s="8" t="s">
        <v>25</v>
      </c>
      <c r="N1739" s="8" t="s">
        <v>58</v>
      </c>
      <c r="O1739" s="8" t="s">
        <v>59</v>
      </c>
      <c r="P1739" s="8" t="s">
        <v>59</v>
      </c>
      <c r="R1739" s="8">
        <v>0</v>
      </c>
      <c r="S1739" s="8">
        <v>0</v>
      </c>
      <c r="T1739" s="8">
        <v>1</v>
      </c>
      <c r="U1739" s="8">
        <v>2</v>
      </c>
      <c r="AG1739" s="8" t="str">
        <f t="shared" si="109"/>
        <v/>
      </c>
      <c r="AI1739" s="8" t="str">
        <f t="shared" si="110"/>
        <v/>
      </c>
      <c r="AJ1739" s="8" t="str">
        <f t="shared" si="111"/>
        <v/>
      </c>
      <c r="AL1739" s="8" t="str">
        <f t="shared" si="112"/>
        <v/>
      </c>
    </row>
    <row r="1740" spans="1:38" x14ac:dyDescent="0.25">
      <c r="A1740" s="8" t="s">
        <v>5412</v>
      </c>
      <c r="B1740" s="8" t="s">
        <v>5413</v>
      </c>
      <c r="C1740" s="8">
        <v>30891749</v>
      </c>
      <c r="D1740" s="8">
        <v>5</v>
      </c>
      <c r="E1740" s="11">
        <v>43111</v>
      </c>
      <c r="F1740" s="8" t="s">
        <v>57</v>
      </c>
      <c r="G1740" s="11">
        <v>43112</v>
      </c>
      <c r="H1740" s="8" t="s">
        <v>25</v>
      </c>
      <c r="J1740" s="8" t="s">
        <v>25</v>
      </c>
      <c r="N1740" s="8" t="s">
        <v>58</v>
      </c>
      <c r="O1740" s="8" t="s">
        <v>59</v>
      </c>
      <c r="P1740" s="8" t="s">
        <v>59</v>
      </c>
      <c r="R1740" s="8">
        <v>0</v>
      </c>
      <c r="S1740" s="8">
        <v>0</v>
      </c>
      <c r="T1740" s="8">
        <v>1</v>
      </c>
      <c r="U1740" s="8">
        <v>2</v>
      </c>
      <c r="AG1740" s="8" t="str">
        <f t="shared" si="109"/>
        <v/>
      </c>
      <c r="AI1740" s="8" t="str">
        <f t="shared" si="110"/>
        <v/>
      </c>
      <c r="AJ1740" s="8" t="str">
        <f t="shared" si="111"/>
        <v/>
      </c>
      <c r="AL1740" s="8" t="str">
        <f t="shared" si="112"/>
        <v/>
      </c>
    </row>
    <row r="1741" spans="1:38" x14ac:dyDescent="0.25">
      <c r="A1741" s="8" t="s">
        <v>7233</v>
      </c>
      <c r="B1741" s="8" t="s">
        <v>7234</v>
      </c>
      <c r="C1741" s="8">
        <v>30915209</v>
      </c>
      <c r="D1741" s="8">
        <v>5</v>
      </c>
      <c r="E1741" s="11">
        <v>43112</v>
      </c>
      <c r="F1741" s="8" t="s">
        <v>57</v>
      </c>
      <c r="G1741" s="11">
        <v>43115</v>
      </c>
      <c r="H1741" s="8" t="s">
        <v>25</v>
      </c>
      <c r="J1741" s="8" t="s">
        <v>25</v>
      </c>
      <c r="N1741" s="8" t="s">
        <v>58</v>
      </c>
      <c r="O1741" s="8" t="s">
        <v>59</v>
      </c>
      <c r="P1741" s="8" t="s">
        <v>59</v>
      </c>
      <c r="R1741" s="8">
        <v>0</v>
      </c>
      <c r="S1741" s="8">
        <v>0</v>
      </c>
      <c r="T1741" s="8">
        <v>1</v>
      </c>
      <c r="U1741" s="8">
        <v>2</v>
      </c>
      <c r="AG1741" s="8" t="str">
        <f t="shared" si="109"/>
        <v/>
      </c>
      <c r="AI1741" s="8" t="str">
        <f t="shared" si="110"/>
        <v/>
      </c>
      <c r="AJ1741" s="8" t="str">
        <f t="shared" si="111"/>
        <v/>
      </c>
      <c r="AL1741" s="8" t="str">
        <f t="shared" si="112"/>
        <v/>
      </c>
    </row>
    <row r="1742" spans="1:38" x14ac:dyDescent="0.25">
      <c r="A1742" s="8" t="s">
        <v>2346</v>
      </c>
      <c r="B1742" s="8" t="s">
        <v>2347</v>
      </c>
      <c r="C1742" s="8">
        <v>30816119</v>
      </c>
      <c r="D1742" s="8">
        <v>5</v>
      </c>
      <c r="E1742" s="11">
        <v>43108</v>
      </c>
      <c r="F1742" s="8" t="s">
        <v>57</v>
      </c>
      <c r="G1742" s="11">
        <v>43110</v>
      </c>
      <c r="H1742" s="8" t="s">
        <v>25</v>
      </c>
      <c r="J1742" s="8" t="s">
        <v>25</v>
      </c>
      <c r="N1742" s="8" t="s">
        <v>58</v>
      </c>
      <c r="O1742" s="8" t="s">
        <v>59</v>
      </c>
      <c r="P1742" s="8" t="s">
        <v>59</v>
      </c>
      <c r="R1742" s="8">
        <v>0</v>
      </c>
      <c r="S1742" s="8">
        <v>0</v>
      </c>
      <c r="T1742" s="8">
        <v>1</v>
      </c>
      <c r="U1742" s="8">
        <v>2</v>
      </c>
      <c r="AG1742" s="8" t="str">
        <f t="shared" si="109"/>
        <v/>
      </c>
      <c r="AI1742" s="8" t="str">
        <f t="shared" si="110"/>
        <v/>
      </c>
      <c r="AJ1742" s="8" t="str">
        <f t="shared" si="111"/>
        <v/>
      </c>
      <c r="AL1742" s="8" t="str">
        <f t="shared" si="112"/>
        <v/>
      </c>
    </row>
    <row r="1743" spans="1:38" x14ac:dyDescent="0.25">
      <c r="A1743" s="8" t="s">
        <v>5414</v>
      </c>
      <c r="B1743" s="8" t="s">
        <v>5415</v>
      </c>
      <c r="C1743" s="8">
        <v>30893576</v>
      </c>
      <c r="D1743" s="8">
        <v>5</v>
      </c>
      <c r="E1743" s="11">
        <v>43111</v>
      </c>
      <c r="F1743" s="8" t="s">
        <v>57</v>
      </c>
      <c r="G1743" s="11">
        <v>43112</v>
      </c>
      <c r="H1743" s="8" t="s">
        <v>25</v>
      </c>
      <c r="J1743" s="8" t="s">
        <v>25</v>
      </c>
      <c r="N1743" s="8" t="s">
        <v>58</v>
      </c>
      <c r="O1743" s="8" t="s">
        <v>59</v>
      </c>
      <c r="P1743" s="8" t="s">
        <v>59</v>
      </c>
      <c r="R1743" s="8">
        <v>0</v>
      </c>
      <c r="S1743" s="8">
        <v>0</v>
      </c>
      <c r="T1743" s="8">
        <v>1</v>
      </c>
      <c r="U1743" s="8">
        <v>2</v>
      </c>
      <c r="AG1743" s="8" t="str">
        <f t="shared" si="109"/>
        <v/>
      </c>
      <c r="AI1743" s="8" t="str">
        <f t="shared" si="110"/>
        <v/>
      </c>
      <c r="AJ1743" s="8" t="str">
        <f t="shared" si="111"/>
        <v/>
      </c>
      <c r="AL1743" s="8" t="str">
        <f t="shared" si="112"/>
        <v/>
      </c>
    </row>
    <row r="1744" spans="1:38" x14ac:dyDescent="0.25">
      <c r="A1744" s="8" t="s">
        <v>5416</v>
      </c>
      <c r="B1744" s="8" t="s">
        <v>5417</v>
      </c>
      <c r="C1744" s="8">
        <v>30891751</v>
      </c>
      <c r="D1744" s="8">
        <v>5</v>
      </c>
      <c r="E1744" s="11">
        <v>43111</v>
      </c>
      <c r="F1744" s="8" t="s">
        <v>58</v>
      </c>
      <c r="G1744" s="11">
        <v>43112</v>
      </c>
      <c r="H1744" s="8" t="s">
        <v>25</v>
      </c>
      <c r="I1744" s="11">
        <v>43112</v>
      </c>
      <c r="J1744" s="8" t="s">
        <v>25</v>
      </c>
      <c r="N1744" s="8" t="s">
        <v>58</v>
      </c>
      <c r="O1744" s="8" t="s">
        <v>59</v>
      </c>
      <c r="P1744" s="8" t="s">
        <v>59</v>
      </c>
      <c r="R1744" s="8">
        <v>0</v>
      </c>
      <c r="S1744" s="8">
        <v>0</v>
      </c>
      <c r="T1744" s="8">
        <v>1</v>
      </c>
      <c r="U1744" s="8">
        <v>2</v>
      </c>
      <c r="X1744" s="8">
        <v>5</v>
      </c>
      <c r="AG1744" s="8" t="str">
        <f t="shared" si="109"/>
        <v/>
      </c>
      <c r="AI1744" s="8" t="str">
        <f t="shared" si="110"/>
        <v/>
      </c>
      <c r="AJ1744" s="8" t="str">
        <f t="shared" si="111"/>
        <v/>
      </c>
      <c r="AL1744" s="8" t="str">
        <f t="shared" si="112"/>
        <v/>
      </c>
    </row>
    <row r="1745" spans="1:38" x14ac:dyDescent="0.25">
      <c r="A1745" s="8" t="s">
        <v>3883</v>
      </c>
      <c r="B1745" s="8" t="s">
        <v>3884</v>
      </c>
      <c r="C1745" s="8">
        <v>30865211</v>
      </c>
      <c r="D1745" s="8">
        <v>5</v>
      </c>
      <c r="E1745" s="11">
        <v>43110</v>
      </c>
      <c r="F1745" s="8" t="s">
        <v>58</v>
      </c>
      <c r="G1745" s="11">
        <v>43111</v>
      </c>
      <c r="H1745" s="8" t="s">
        <v>25</v>
      </c>
      <c r="I1745" s="11">
        <v>43113</v>
      </c>
      <c r="J1745" s="8" t="s">
        <v>25</v>
      </c>
      <c r="N1745" s="8" t="s">
        <v>58</v>
      </c>
      <c r="O1745" s="8" t="s">
        <v>59</v>
      </c>
      <c r="P1745" s="8" t="s">
        <v>59</v>
      </c>
      <c r="R1745" s="8">
        <v>0</v>
      </c>
      <c r="S1745" s="8">
        <v>0</v>
      </c>
      <c r="T1745" s="8">
        <v>1</v>
      </c>
      <c r="U1745" s="8">
        <v>2</v>
      </c>
      <c r="X1745" s="8">
        <v>5</v>
      </c>
      <c r="AG1745" s="8" t="str">
        <f t="shared" si="109"/>
        <v/>
      </c>
      <c r="AI1745" s="8" t="str">
        <f t="shared" si="110"/>
        <v/>
      </c>
      <c r="AJ1745" s="8" t="str">
        <f t="shared" si="111"/>
        <v/>
      </c>
      <c r="AL1745" s="8" t="str">
        <f t="shared" si="112"/>
        <v/>
      </c>
    </row>
    <row r="1746" spans="1:38" x14ac:dyDescent="0.25">
      <c r="A1746" s="8" t="s">
        <v>5418</v>
      </c>
      <c r="B1746" s="8" t="s">
        <v>5419</v>
      </c>
      <c r="C1746" s="8">
        <v>30891752</v>
      </c>
      <c r="D1746" s="8">
        <v>5</v>
      </c>
      <c r="E1746" s="11">
        <v>43111</v>
      </c>
      <c r="F1746" s="8" t="s">
        <v>58</v>
      </c>
      <c r="G1746" s="11">
        <v>43112</v>
      </c>
      <c r="H1746" s="8" t="s">
        <v>25</v>
      </c>
      <c r="I1746" s="11">
        <v>43112</v>
      </c>
      <c r="J1746" s="8" t="s">
        <v>25</v>
      </c>
      <c r="N1746" s="8" t="s">
        <v>58</v>
      </c>
      <c r="O1746" s="8" t="s">
        <v>59</v>
      </c>
      <c r="P1746" s="8" t="s">
        <v>59</v>
      </c>
      <c r="R1746" s="8">
        <v>0</v>
      </c>
      <c r="S1746" s="8">
        <v>0</v>
      </c>
      <c r="T1746" s="8">
        <v>1</v>
      </c>
      <c r="U1746" s="8">
        <v>2</v>
      </c>
      <c r="X1746" s="8">
        <v>5</v>
      </c>
      <c r="AG1746" s="8" t="str">
        <f t="shared" si="109"/>
        <v/>
      </c>
      <c r="AI1746" s="8" t="str">
        <f t="shared" si="110"/>
        <v/>
      </c>
      <c r="AJ1746" s="8" t="str">
        <f t="shared" si="111"/>
        <v/>
      </c>
      <c r="AL1746" s="8" t="str">
        <f t="shared" si="112"/>
        <v/>
      </c>
    </row>
    <row r="1747" spans="1:38" x14ac:dyDescent="0.25">
      <c r="A1747" s="8" t="s">
        <v>7235</v>
      </c>
      <c r="B1747" s="8" t="s">
        <v>7236</v>
      </c>
      <c r="C1747" s="8">
        <v>30900071</v>
      </c>
      <c r="D1747" s="8">
        <v>5</v>
      </c>
      <c r="E1747" s="11">
        <v>43111</v>
      </c>
      <c r="F1747" s="8" t="s">
        <v>57</v>
      </c>
      <c r="G1747" s="11">
        <v>43115</v>
      </c>
      <c r="H1747" s="8" t="s">
        <v>25</v>
      </c>
      <c r="J1747" s="8" t="s">
        <v>25</v>
      </c>
      <c r="N1747" s="8" t="s">
        <v>58</v>
      </c>
      <c r="O1747" s="8" t="s">
        <v>59</v>
      </c>
      <c r="P1747" s="8" t="s">
        <v>59</v>
      </c>
      <c r="R1747" s="8">
        <v>0</v>
      </c>
      <c r="S1747" s="8">
        <v>0</v>
      </c>
      <c r="T1747" s="8">
        <v>1</v>
      </c>
      <c r="U1747" s="8">
        <v>2</v>
      </c>
      <c r="AG1747" s="8" t="str">
        <f t="shared" si="109"/>
        <v/>
      </c>
      <c r="AI1747" s="8" t="str">
        <f t="shared" si="110"/>
        <v/>
      </c>
      <c r="AJ1747" s="8" t="str">
        <f t="shared" si="111"/>
        <v/>
      </c>
      <c r="AL1747" s="8" t="str">
        <f t="shared" si="112"/>
        <v/>
      </c>
    </row>
    <row r="1748" spans="1:38" x14ac:dyDescent="0.25">
      <c r="A1748" s="8" t="s">
        <v>7237</v>
      </c>
      <c r="B1748" s="8" t="s">
        <v>7238</v>
      </c>
      <c r="C1748" s="8">
        <v>30931229</v>
      </c>
      <c r="D1748" s="8">
        <v>5</v>
      </c>
      <c r="E1748" s="11">
        <v>43115</v>
      </c>
      <c r="F1748" s="8" t="s">
        <v>57</v>
      </c>
      <c r="G1748" s="11">
        <v>43115</v>
      </c>
      <c r="H1748" s="8" t="s">
        <v>25</v>
      </c>
      <c r="J1748" s="8" t="s">
        <v>25</v>
      </c>
      <c r="N1748" s="8" t="s">
        <v>58</v>
      </c>
      <c r="O1748" s="8" t="s">
        <v>59</v>
      </c>
      <c r="P1748" s="8" t="s">
        <v>59</v>
      </c>
      <c r="R1748" s="8">
        <v>0</v>
      </c>
      <c r="S1748" s="8">
        <v>0</v>
      </c>
      <c r="T1748" s="8">
        <v>1</v>
      </c>
      <c r="U1748" s="8">
        <v>2</v>
      </c>
      <c r="AG1748" s="8" t="str">
        <f t="shared" si="109"/>
        <v/>
      </c>
      <c r="AI1748" s="8" t="str">
        <f t="shared" si="110"/>
        <v/>
      </c>
      <c r="AJ1748" s="8" t="str">
        <f t="shared" si="111"/>
        <v/>
      </c>
      <c r="AL1748" s="8" t="str">
        <f t="shared" si="112"/>
        <v/>
      </c>
    </row>
    <row r="1749" spans="1:38" x14ac:dyDescent="0.25">
      <c r="A1749" s="8" t="s">
        <v>2348</v>
      </c>
      <c r="B1749" s="8" t="s">
        <v>2349</v>
      </c>
      <c r="C1749" s="8">
        <v>30832246</v>
      </c>
      <c r="D1749" s="8">
        <v>5</v>
      </c>
      <c r="E1749" s="11">
        <v>43109</v>
      </c>
      <c r="F1749" s="8" t="s">
        <v>57</v>
      </c>
      <c r="G1749" s="11">
        <v>43110</v>
      </c>
      <c r="H1749" s="8" t="s">
        <v>25</v>
      </c>
      <c r="J1749" s="8" t="s">
        <v>25</v>
      </c>
      <c r="N1749" s="8" t="s">
        <v>58</v>
      </c>
      <c r="O1749" s="8" t="s">
        <v>59</v>
      </c>
      <c r="P1749" s="8" t="s">
        <v>59</v>
      </c>
      <c r="R1749" s="8">
        <v>0</v>
      </c>
      <c r="S1749" s="8">
        <v>0</v>
      </c>
      <c r="T1749" s="8">
        <v>1</v>
      </c>
      <c r="U1749" s="8">
        <v>2</v>
      </c>
      <c r="AG1749" s="8" t="str">
        <f t="shared" si="109"/>
        <v/>
      </c>
      <c r="AI1749" s="8" t="str">
        <f t="shared" si="110"/>
        <v/>
      </c>
      <c r="AJ1749" s="8" t="str">
        <f t="shared" si="111"/>
        <v/>
      </c>
      <c r="AL1749" s="8" t="str">
        <f t="shared" si="112"/>
        <v/>
      </c>
    </row>
    <row r="1750" spans="1:38" x14ac:dyDescent="0.25">
      <c r="A1750" s="8" t="s">
        <v>2350</v>
      </c>
      <c r="B1750" s="8" t="s">
        <v>2351</v>
      </c>
      <c r="C1750" s="8">
        <v>30830900</v>
      </c>
      <c r="D1750" s="8">
        <v>5</v>
      </c>
      <c r="E1750" s="11">
        <v>43109</v>
      </c>
      <c r="F1750" s="8" t="s">
        <v>58</v>
      </c>
      <c r="G1750" s="11">
        <v>43110</v>
      </c>
      <c r="H1750" s="8" t="s">
        <v>25</v>
      </c>
      <c r="I1750" s="11">
        <v>43112</v>
      </c>
      <c r="J1750" s="8" t="s">
        <v>25</v>
      </c>
      <c r="N1750" s="8" t="s">
        <v>58</v>
      </c>
      <c r="O1750" s="8" t="s">
        <v>59</v>
      </c>
      <c r="P1750" s="8" t="s">
        <v>59</v>
      </c>
      <c r="R1750" s="8">
        <v>0</v>
      </c>
      <c r="S1750" s="8">
        <v>0</v>
      </c>
      <c r="T1750" s="8">
        <v>1</v>
      </c>
      <c r="U1750" s="8">
        <v>2</v>
      </c>
      <c r="X1750" s="8">
        <v>5</v>
      </c>
      <c r="AG1750" s="8" t="str">
        <f t="shared" si="109"/>
        <v/>
      </c>
      <c r="AI1750" s="8" t="str">
        <f t="shared" si="110"/>
        <v/>
      </c>
      <c r="AJ1750" s="8" t="str">
        <f t="shared" si="111"/>
        <v/>
      </c>
      <c r="AL1750" s="8" t="str">
        <f t="shared" si="112"/>
        <v/>
      </c>
    </row>
    <row r="1751" spans="1:38" x14ac:dyDescent="0.25">
      <c r="A1751" s="8" t="s">
        <v>3885</v>
      </c>
      <c r="B1751" s="8" t="s">
        <v>119</v>
      </c>
      <c r="C1751" s="8">
        <v>30896582</v>
      </c>
      <c r="D1751" s="8">
        <v>5</v>
      </c>
      <c r="E1751" s="11">
        <v>43111</v>
      </c>
      <c r="F1751" s="8" t="s">
        <v>58</v>
      </c>
      <c r="G1751" s="11">
        <v>43111</v>
      </c>
      <c r="H1751" s="8" t="s">
        <v>25</v>
      </c>
      <c r="I1751" s="11">
        <v>43112</v>
      </c>
      <c r="J1751" s="8" t="s">
        <v>25</v>
      </c>
      <c r="N1751" s="8" t="s">
        <v>58</v>
      </c>
      <c r="O1751" s="8" t="s">
        <v>59</v>
      </c>
      <c r="P1751" s="8" t="s">
        <v>59</v>
      </c>
      <c r="R1751" s="8">
        <v>0</v>
      </c>
      <c r="S1751" s="8">
        <v>0</v>
      </c>
      <c r="T1751" s="8">
        <v>1</v>
      </c>
      <c r="U1751" s="8">
        <v>2</v>
      </c>
      <c r="X1751" s="8">
        <v>5</v>
      </c>
      <c r="AG1751" s="8" t="str">
        <f t="shared" si="109"/>
        <v/>
      </c>
      <c r="AI1751" s="8" t="str">
        <f t="shared" si="110"/>
        <v/>
      </c>
      <c r="AJ1751" s="8" t="str">
        <f t="shared" si="111"/>
        <v/>
      </c>
      <c r="AL1751" s="8" t="str">
        <f t="shared" si="112"/>
        <v/>
      </c>
    </row>
    <row r="1752" spans="1:38" x14ac:dyDescent="0.25">
      <c r="A1752" s="8" t="s">
        <v>3886</v>
      </c>
      <c r="B1752" s="8" t="s">
        <v>3887</v>
      </c>
      <c r="C1752" s="8">
        <v>30867162</v>
      </c>
      <c r="D1752" s="8">
        <v>5</v>
      </c>
      <c r="E1752" s="11">
        <v>43110</v>
      </c>
      <c r="F1752" s="8" t="s">
        <v>58</v>
      </c>
      <c r="G1752" s="11">
        <v>43111</v>
      </c>
      <c r="H1752" s="8" t="s">
        <v>25</v>
      </c>
      <c r="I1752" s="11">
        <v>43112</v>
      </c>
      <c r="J1752" s="8" t="s">
        <v>25</v>
      </c>
      <c r="N1752" s="8" t="s">
        <v>58</v>
      </c>
      <c r="O1752" s="8" t="s">
        <v>59</v>
      </c>
      <c r="P1752" s="8" t="s">
        <v>59</v>
      </c>
      <c r="R1752" s="8">
        <v>0</v>
      </c>
      <c r="S1752" s="8">
        <v>0</v>
      </c>
      <c r="T1752" s="8">
        <v>1</v>
      </c>
      <c r="U1752" s="8">
        <v>2</v>
      </c>
      <c r="X1752" s="8">
        <v>5</v>
      </c>
      <c r="AG1752" s="8" t="str">
        <f t="shared" si="109"/>
        <v/>
      </c>
      <c r="AI1752" s="8" t="str">
        <f t="shared" si="110"/>
        <v/>
      </c>
      <c r="AJ1752" s="8" t="str">
        <f t="shared" si="111"/>
        <v/>
      </c>
      <c r="AL1752" s="8" t="str">
        <f t="shared" si="112"/>
        <v/>
      </c>
    </row>
    <row r="1753" spans="1:38" x14ac:dyDescent="0.25">
      <c r="A1753" s="8" t="s">
        <v>1188</v>
      </c>
      <c r="B1753" s="8" t="s">
        <v>1189</v>
      </c>
      <c r="C1753" s="8">
        <v>30806935</v>
      </c>
      <c r="D1753" s="8">
        <v>5</v>
      </c>
      <c r="E1753" s="11">
        <v>43108</v>
      </c>
      <c r="F1753" s="8" t="s">
        <v>57</v>
      </c>
      <c r="G1753" s="11">
        <v>43109</v>
      </c>
      <c r="H1753" s="8" t="s">
        <v>25</v>
      </c>
      <c r="J1753" s="8" t="s">
        <v>25</v>
      </c>
      <c r="N1753" s="8" t="s">
        <v>58</v>
      </c>
      <c r="O1753" s="8" t="s">
        <v>59</v>
      </c>
      <c r="P1753" s="8" t="s">
        <v>59</v>
      </c>
      <c r="R1753" s="8">
        <v>0</v>
      </c>
      <c r="S1753" s="8">
        <v>0</v>
      </c>
      <c r="T1753" s="8">
        <v>1</v>
      </c>
      <c r="U1753" s="8">
        <v>2</v>
      </c>
      <c r="AG1753" s="8" t="str">
        <f t="shared" si="109"/>
        <v/>
      </c>
      <c r="AI1753" s="8" t="str">
        <f t="shared" si="110"/>
        <v/>
      </c>
      <c r="AJ1753" s="8" t="str">
        <f t="shared" si="111"/>
        <v/>
      </c>
      <c r="AL1753" s="8" t="str">
        <f t="shared" si="112"/>
        <v/>
      </c>
    </row>
    <row r="1754" spans="1:38" x14ac:dyDescent="0.25">
      <c r="A1754" s="8" t="s">
        <v>1190</v>
      </c>
      <c r="B1754" s="8" t="s">
        <v>1191</v>
      </c>
      <c r="C1754" s="8">
        <v>30828674</v>
      </c>
      <c r="D1754" s="8">
        <v>5</v>
      </c>
      <c r="E1754" s="11">
        <v>43108</v>
      </c>
      <c r="F1754" s="8" t="s">
        <v>57</v>
      </c>
      <c r="G1754" s="11">
        <v>43109</v>
      </c>
      <c r="H1754" s="8" t="s">
        <v>25</v>
      </c>
      <c r="J1754" s="8" t="s">
        <v>25</v>
      </c>
      <c r="N1754" s="8" t="s">
        <v>58</v>
      </c>
      <c r="O1754" s="8" t="s">
        <v>59</v>
      </c>
      <c r="P1754" s="8" t="s">
        <v>59</v>
      </c>
      <c r="R1754" s="8">
        <v>0</v>
      </c>
      <c r="S1754" s="8">
        <v>0</v>
      </c>
      <c r="T1754" s="8">
        <v>1</v>
      </c>
      <c r="U1754" s="8">
        <v>2</v>
      </c>
      <c r="AG1754" s="8" t="str">
        <f t="shared" si="109"/>
        <v/>
      </c>
      <c r="AI1754" s="8" t="str">
        <f t="shared" si="110"/>
        <v/>
      </c>
      <c r="AJ1754" s="8" t="str">
        <f t="shared" si="111"/>
        <v/>
      </c>
      <c r="AL1754" s="8" t="str">
        <f t="shared" si="112"/>
        <v/>
      </c>
    </row>
    <row r="1755" spans="1:38" x14ac:dyDescent="0.25">
      <c r="A1755" s="8" t="s">
        <v>3888</v>
      </c>
      <c r="B1755" s="8" t="s">
        <v>3889</v>
      </c>
      <c r="C1755" s="8">
        <v>30863347</v>
      </c>
      <c r="D1755" s="8">
        <v>5</v>
      </c>
      <c r="E1755" s="11">
        <v>43110</v>
      </c>
      <c r="F1755" s="8" t="s">
        <v>57</v>
      </c>
      <c r="G1755" s="11">
        <v>43111</v>
      </c>
      <c r="H1755" s="8" t="s">
        <v>25</v>
      </c>
      <c r="J1755" s="8" t="s">
        <v>25</v>
      </c>
      <c r="N1755" s="8" t="s">
        <v>58</v>
      </c>
      <c r="O1755" s="8" t="s">
        <v>59</v>
      </c>
      <c r="P1755" s="8" t="s">
        <v>59</v>
      </c>
      <c r="R1755" s="8">
        <v>0</v>
      </c>
      <c r="S1755" s="8">
        <v>0</v>
      </c>
      <c r="T1755" s="8">
        <v>1</v>
      </c>
      <c r="U1755" s="8">
        <v>2</v>
      </c>
      <c r="AG1755" s="8" t="str">
        <f t="shared" si="109"/>
        <v/>
      </c>
      <c r="AI1755" s="8" t="str">
        <f t="shared" si="110"/>
        <v/>
      </c>
      <c r="AJ1755" s="8" t="str">
        <f t="shared" si="111"/>
        <v/>
      </c>
      <c r="AL1755" s="8" t="str">
        <f t="shared" si="112"/>
        <v/>
      </c>
    </row>
    <row r="1756" spans="1:38" x14ac:dyDescent="0.25">
      <c r="A1756" s="8" t="s">
        <v>2352</v>
      </c>
      <c r="B1756" s="8" t="s">
        <v>2353</v>
      </c>
      <c r="C1756" s="8">
        <v>30811502</v>
      </c>
      <c r="D1756" s="8">
        <v>4</v>
      </c>
      <c r="E1756" s="11">
        <v>43108</v>
      </c>
      <c r="F1756" s="8" t="s">
        <v>57</v>
      </c>
      <c r="G1756" s="11">
        <v>43110</v>
      </c>
      <c r="H1756" s="8" t="s">
        <v>25</v>
      </c>
      <c r="J1756" s="8" t="s">
        <v>25</v>
      </c>
      <c r="N1756" s="8" t="s">
        <v>58</v>
      </c>
      <c r="O1756" s="8" t="s">
        <v>59</v>
      </c>
      <c r="P1756" s="8" t="s">
        <v>59</v>
      </c>
      <c r="R1756" s="8">
        <v>0</v>
      </c>
      <c r="S1756" s="8">
        <v>0</v>
      </c>
      <c r="T1756" s="8">
        <v>1</v>
      </c>
      <c r="U1756" s="8">
        <v>2</v>
      </c>
      <c r="AG1756" s="8" t="str">
        <f t="shared" si="109"/>
        <v/>
      </c>
      <c r="AI1756" s="8" t="str">
        <f t="shared" si="110"/>
        <v/>
      </c>
      <c r="AJ1756" s="8" t="str">
        <f t="shared" si="111"/>
        <v/>
      </c>
      <c r="AL1756" s="8" t="str">
        <f t="shared" si="112"/>
        <v/>
      </c>
    </row>
    <row r="1757" spans="1:38" x14ac:dyDescent="0.25">
      <c r="A1757" s="8" t="s">
        <v>2354</v>
      </c>
      <c r="B1757" s="8" t="s">
        <v>2355</v>
      </c>
      <c r="C1757" s="8">
        <v>30841480</v>
      </c>
      <c r="D1757" s="8">
        <v>5</v>
      </c>
      <c r="E1757" s="11">
        <v>43109</v>
      </c>
      <c r="F1757" s="8" t="s">
        <v>57</v>
      </c>
      <c r="G1757" s="11">
        <v>43110</v>
      </c>
      <c r="H1757" s="8" t="s">
        <v>25</v>
      </c>
      <c r="J1757" s="8" t="s">
        <v>25</v>
      </c>
      <c r="N1757" s="8" t="s">
        <v>58</v>
      </c>
      <c r="O1757" s="8" t="s">
        <v>59</v>
      </c>
      <c r="P1757" s="8" t="s">
        <v>59</v>
      </c>
      <c r="R1757" s="8">
        <v>0</v>
      </c>
      <c r="S1757" s="8">
        <v>0</v>
      </c>
      <c r="T1757" s="8">
        <v>1</v>
      </c>
      <c r="U1757" s="8">
        <v>2</v>
      </c>
      <c r="AG1757" s="8" t="str">
        <f t="shared" si="109"/>
        <v/>
      </c>
      <c r="AI1757" s="8" t="str">
        <f t="shared" si="110"/>
        <v/>
      </c>
      <c r="AJ1757" s="8" t="str">
        <f t="shared" si="111"/>
        <v/>
      </c>
      <c r="AL1757" s="8" t="str">
        <f t="shared" si="112"/>
        <v/>
      </c>
    </row>
    <row r="1758" spans="1:38" x14ac:dyDescent="0.25">
      <c r="A1758" s="8" t="s">
        <v>3890</v>
      </c>
      <c r="B1758" s="8" t="s">
        <v>3891</v>
      </c>
      <c r="C1758" s="8">
        <v>30864641</v>
      </c>
      <c r="D1758" s="8">
        <v>5</v>
      </c>
      <c r="E1758" s="11">
        <v>43110</v>
      </c>
      <c r="F1758" s="8" t="s">
        <v>57</v>
      </c>
      <c r="G1758" s="11">
        <v>43111</v>
      </c>
      <c r="H1758" s="8" t="s">
        <v>25</v>
      </c>
      <c r="J1758" s="8" t="s">
        <v>25</v>
      </c>
      <c r="N1758" s="8" t="s">
        <v>58</v>
      </c>
      <c r="O1758" s="8" t="s">
        <v>59</v>
      </c>
      <c r="P1758" s="8" t="s">
        <v>59</v>
      </c>
      <c r="R1758" s="8">
        <v>0</v>
      </c>
      <c r="S1758" s="8">
        <v>0</v>
      </c>
      <c r="T1758" s="8">
        <v>1</v>
      </c>
      <c r="U1758" s="8">
        <v>2</v>
      </c>
      <c r="AG1758" s="8" t="str">
        <f t="shared" si="109"/>
        <v/>
      </c>
      <c r="AI1758" s="8" t="str">
        <f t="shared" si="110"/>
        <v/>
      </c>
      <c r="AJ1758" s="8" t="str">
        <f t="shared" si="111"/>
        <v/>
      </c>
      <c r="AL1758" s="8" t="str">
        <f t="shared" si="112"/>
        <v/>
      </c>
    </row>
    <row r="1759" spans="1:38" x14ac:dyDescent="0.25">
      <c r="A1759" s="8" t="s">
        <v>7239</v>
      </c>
      <c r="B1759" s="8" t="s">
        <v>7240</v>
      </c>
      <c r="C1759" s="8">
        <v>30915211</v>
      </c>
      <c r="D1759" s="8">
        <v>5</v>
      </c>
      <c r="E1759" s="11">
        <v>43112</v>
      </c>
      <c r="F1759" s="8" t="s">
        <v>57</v>
      </c>
      <c r="G1759" s="11">
        <v>43115</v>
      </c>
      <c r="H1759" s="8" t="s">
        <v>25</v>
      </c>
      <c r="J1759" s="8" t="s">
        <v>25</v>
      </c>
      <c r="N1759" s="8" t="s">
        <v>58</v>
      </c>
      <c r="O1759" s="8" t="s">
        <v>59</v>
      </c>
      <c r="P1759" s="8" t="s">
        <v>59</v>
      </c>
      <c r="R1759" s="8">
        <v>0</v>
      </c>
      <c r="S1759" s="8">
        <v>0</v>
      </c>
      <c r="T1759" s="8">
        <v>1</v>
      </c>
      <c r="U1759" s="8">
        <v>2</v>
      </c>
      <c r="AG1759" s="8" t="str">
        <f t="shared" si="109"/>
        <v/>
      </c>
      <c r="AI1759" s="8" t="str">
        <f t="shared" si="110"/>
        <v/>
      </c>
      <c r="AJ1759" s="8" t="str">
        <f t="shared" si="111"/>
        <v/>
      </c>
      <c r="AL1759" s="8" t="str">
        <f t="shared" si="112"/>
        <v/>
      </c>
    </row>
    <row r="1760" spans="1:38" x14ac:dyDescent="0.25">
      <c r="A1760" s="8" t="s">
        <v>7241</v>
      </c>
      <c r="B1760" s="8" t="s">
        <v>7242</v>
      </c>
      <c r="C1760" s="8">
        <v>30941915</v>
      </c>
      <c r="D1760" s="8">
        <v>5</v>
      </c>
      <c r="E1760" s="11">
        <v>43115</v>
      </c>
      <c r="F1760" s="8" t="s">
        <v>57</v>
      </c>
      <c r="G1760" s="11">
        <v>43115</v>
      </c>
      <c r="H1760" s="8" t="s">
        <v>25</v>
      </c>
      <c r="J1760" s="8" t="s">
        <v>25</v>
      </c>
      <c r="N1760" s="8" t="s">
        <v>58</v>
      </c>
      <c r="O1760" s="8" t="s">
        <v>59</v>
      </c>
      <c r="P1760" s="8" t="s">
        <v>59</v>
      </c>
      <c r="R1760" s="8">
        <v>0</v>
      </c>
      <c r="S1760" s="8">
        <v>0</v>
      </c>
      <c r="T1760" s="8">
        <v>1</v>
      </c>
      <c r="U1760" s="8">
        <v>2</v>
      </c>
      <c r="AG1760" s="8" t="str">
        <f t="shared" si="109"/>
        <v/>
      </c>
      <c r="AI1760" s="8" t="str">
        <f t="shared" si="110"/>
        <v/>
      </c>
      <c r="AJ1760" s="8" t="str">
        <f t="shared" si="111"/>
        <v/>
      </c>
      <c r="AL1760" s="8" t="str">
        <f t="shared" si="112"/>
        <v/>
      </c>
    </row>
    <row r="1761" spans="1:38" x14ac:dyDescent="0.25">
      <c r="A1761" s="8" t="s">
        <v>1192</v>
      </c>
      <c r="B1761" s="8" t="s">
        <v>1193</v>
      </c>
      <c r="C1761" s="8">
        <v>30818395</v>
      </c>
      <c r="D1761" s="8">
        <v>5</v>
      </c>
      <c r="E1761" s="11">
        <v>43108</v>
      </c>
      <c r="F1761" s="8" t="s">
        <v>58</v>
      </c>
      <c r="G1761" s="11">
        <v>43109</v>
      </c>
      <c r="H1761" s="8" t="s">
        <v>25</v>
      </c>
      <c r="I1761" s="11">
        <v>43110</v>
      </c>
      <c r="J1761" s="8" t="s">
        <v>25</v>
      </c>
      <c r="N1761" s="8" t="s">
        <v>58</v>
      </c>
      <c r="O1761" s="8" t="s">
        <v>59</v>
      </c>
      <c r="P1761" s="8" t="s">
        <v>59</v>
      </c>
      <c r="R1761" s="8">
        <v>0</v>
      </c>
      <c r="S1761" s="8">
        <v>0</v>
      </c>
      <c r="T1761" s="8">
        <v>1</v>
      </c>
      <c r="U1761" s="8">
        <v>2</v>
      </c>
      <c r="X1761" s="8">
        <v>5</v>
      </c>
      <c r="AG1761" s="8" t="str">
        <f t="shared" si="109"/>
        <v/>
      </c>
      <c r="AI1761" s="8" t="str">
        <f t="shared" si="110"/>
        <v/>
      </c>
      <c r="AJ1761" s="8" t="str">
        <f t="shared" si="111"/>
        <v/>
      </c>
      <c r="AL1761" s="8" t="str">
        <f t="shared" si="112"/>
        <v/>
      </c>
    </row>
    <row r="1762" spans="1:38" x14ac:dyDescent="0.25">
      <c r="A1762" s="8" t="s">
        <v>1194</v>
      </c>
      <c r="B1762" s="8" t="s">
        <v>1195</v>
      </c>
      <c r="C1762" s="8">
        <v>30817860</v>
      </c>
      <c r="D1762" s="8">
        <v>5</v>
      </c>
      <c r="E1762" s="11">
        <v>43108</v>
      </c>
      <c r="F1762" s="8" t="s">
        <v>57</v>
      </c>
      <c r="G1762" s="11">
        <v>43109</v>
      </c>
      <c r="H1762" s="8" t="s">
        <v>25</v>
      </c>
      <c r="J1762" s="8" t="s">
        <v>25</v>
      </c>
      <c r="N1762" s="8" t="s">
        <v>58</v>
      </c>
      <c r="O1762" s="8" t="s">
        <v>59</v>
      </c>
      <c r="P1762" s="8" t="s">
        <v>59</v>
      </c>
      <c r="R1762" s="8">
        <v>0</v>
      </c>
      <c r="S1762" s="8">
        <v>0</v>
      </c>
      <c r="T1762" s="8">
        <v>1</v>
      </c>
      <c r="U1762" s="8">
        <v>2</v>
      </c>
      <c r="AG1762" s="8" t="str">
        <f t="shared" si="109"/>
        <v/>
      </c>
      <c r="AI1762" s="8" t="str">
        <f t="shared" si="110"/>
        <v/>
      </c>
      <c r="AJ1762" s="8" t="str">
        <f t="shared" si="111"/>
        <v/>
      </c>
      <c r="AL1762" s="8" t="str">
        <f t="shared" si="112"/>
        <v/>
      </c>
    </row>
    <row r="1763" spans="1:38" x14ac:dyDescent="0.25">
      <c r="A1763" s="8" t="s">
        <v>2356</v>
      </c>
      <c r="B1763" s="8" t="s">
        <v>2357</v>
      </c>
      <c r="C1763" s="8">
        <v>30841481</v>
      </c>
      <c r="D1763" s="8">
        <v>4</v>
      </c>
      <c r="E1763" s="11">
        <v>43109</v>
      </c>
      <c r="F1763" s="8" t="s">
        <v>58</v>
      </c>
      <c r="G1763" s="11">
        <v>43110</v>
      </c>
      <c r="H1763" s="8" t="s">
        <v>25</v>
      </c>
      <c r="I1763" s="11">
        <v>43115</v>
      </c>
      <c r="J1763" s="8" t="s">
        <v>145</v>
      </c>
      <c r="N1763" s="8" t="s">
        <v>58</v>
      </c>
      <c r="O1763" s="8" t="s">
        <v>59</v>
      </c>
      <c r="P1763" s="8" t="s">
        <v>59</v>
      </c>
      <c r="R1763" s="8">
        <v>0</v>
      </c>
      <c r="S1763" s="8">
        <v>0</v>
      </c>
      <c r="T1763" s="8">
        <v>1</v>
      </c>
      <c r="U1763" s="8">
        <v>2</v>
      </c>
      <c r="X1763" s="8">
        <v>5</v>
      </c>
      <c r="AG1763" s="8" t="str">
        <f t="shared" si="109"/>
        <v/>
      </c>
      <c r="AI1763" s="8" t="str">
        <f t="shared" si="110"/>
        <v/>
      </c>
      <c r="AJ1763" s="8" t="str">
        <f t="shared" si="111"/>
        <v/>
      </c>
      <c r="AL1763" s="8" t="str">
        <f t="shared" si="112"/>
        <v/>
      </c>
    </row>
    <row r="1764" spans="1:38" x14ac:dyDescent="0.25">
      <c r="A1764" s="8" t="s">
        <v>1196</v>
      </c>
      <c r="B1764" s="8" t="s">
        <v>1197</v>
      </c>
      <c r="C1764" s="8">
        <v>30818397</v>
      </c>
      <c r="D1764" s="8">
        <v>5</v>
      </c>
      <c r="E1764" s="11">
        <v>43108</v>
      </c>
      <c r="F1764" s="8" t="s">
        <v>58</v>
      </c>
      <c r="G1764" s="11">
        <v>43109</v>
      </c>
      <c r="H1764" s="8" t="s">
        <v>25</v>
      </c>
      <c r="I1764" s="11">
        <v>43110</v>
      </c>
      <c r="J1764" s="8" t="s">
        <v>25</v>
      </c>
      <c r="N1764" s="8" t="s">
        <v>58</v>
      </c>
      <c r="O1764" s="8" t="s">
        <v>59</v>
      </c>
      <c r="P1764" s="8" t="s">
        <v>59</v>
      </c>
      <c r="R1764" s="8">
        <v>0</v>
      </c>
      <c r="S1764" s="8">
        <v>0</v>
      </c>
      <c r="T1764" s="8">
        <v>1</v>
      </c>
      <c r="U1764" s="8">
        <v>2</v>
      </c>
      <c r="X1764" s="8">
        <v>5</v>
      </c>
      <c r="AG1764" s="8" t="str">
        <f t="shared" si="109"/>
        <v/>
      </c>
      <c r="AI1764" s="8" t="str">
        <f t="shared" si="110"/>
        <v/>
      </c>
      <c r="AJ1764" s="8" t="str">
        <f t="shared" si="111"/>
        <v/>
      </c>
      <c r="AL1764" s="8" t="str">
        <f t="shared" si="112"/>
        <v/>
      </c>
    </row>
    <row r="1765" spans="1:38" x14ac:dyDescent="0.25">
      <c r="A1765" s="8" t="s">
        <v>5420</v>
      </c>
      <c r="B1765" s="8" t="s">
        <v>5421</v>
      </c>
      <c r="C1765" s="8">
        <v>30891753</v>
      </c>
      <c r="D1765" s="8">
        <v>5</v>
      </c>
      <c r="E1765" s="11">
        <v>43111</v>
      </c>
      <c r="F1765" s="8" t="s">
        <v>57</v>
      </c>
      <c r="G1765" s="11">
        <v>43112</v>
      </c>
      <c r="H1765" s="8" t="s">
        <v>25</v>
      </c>
      <c r="J1765" s="8" t="s">
        <v>25</v>
      </c>
      <c r="N1765" s="8" t="s">
        <v>58</v>
      </c>
      <c r="O1765" s="8" t="s">
        <v>59</v>
      </c>
      <c r="P1765" s="8" t="s">
        <v>59</v>
      </c>
      <c r="R1765" s="8">
        <v>0</v>
      </c>
      <c r="S1765" s="8">
        <v>0</v>
      </c>
      <c r="T1765" s="8">
        <v>1</v>
      </c>
      <c r="U1765" s="8">
        <v>2</v>
      </c>
      <c r="AG1765" s="8" t="str">
        <f t="shared" si="109"/>
        <v/>
      </c>
      <c r="AI1765" s="8" t="str">
        <f t="shared" si="110"/>
        <v/>
      </c>
      <c r="AJ1765" s="8" t="str">
        <f t="shared" si="111"/>
        <v/>
      </c>
      <c r="AL1765" s="8" t="str">
        <f t="shared" si="112"/>
        <v/>
      </c>
    </row>
    <row r="1766" spans="1:38" x14ac:dyDescent="0.25">
      <c r="A1766" s="8" t="s">
        <v>7243</v>
      </c>
      <c r="B1766" s="8" t="s">
        <v>7244</v>
      </c>
      <c r="C1766" s="8">
        <v>30906131</v>
      </c>
      <c r="D1766" s="8">
        <v>5</v>
      </c>
      <c r="E1766" s="11">
        <v>43112</v>
      </c>
      <c r="F1766" s="8" t="s">
        <v>57</v>
      </c>
      <c r="G1766" s="11">
        <v>43115</v>
      </c>
      <c r="H1766" s="8" t="s">
        <v>25</v>
      </c>
      <c r="J1766" s="8" t="s">
        <v>25</v>
      </c>
      <c r="N1766" s="8" t="s">
        <v>58</v>
      </c>
      <c r="O1766" s="8" t="s">
        <v>59</v>
      </c>
      <c r="P1766" s="8" t="s">
        <v>59</v>
      </c>
      <c r="R1766" s="8">
        <v>0</v>
      </c>
      <c r="S1766" s="8">
        <v>0</v>
      </c>
      <c r="T1766" s="8">
        <v>1</v>
      </c>
      <c r="U1766" s="8">
        <v>2</v>
      </c>
      <c r="AG1766" s="8" t="str">
        <f t="shared" si="109"/>
        <v/>
      </c>
      <c r="AI1766" s="8" t="str">
        <f t="shared" si="110"/>
        <v/>
      </c>
      <c r="AJ1766" s="8" t="str">
        <f t="shared" si="111"/>
        <v/>
      </c>
      <c r="AL1766" s="8" t="str">
        <f t="shared" si="112"/>
        <v/>
      </c>
    </row>
    <row r="1767" spans="1:38" x14ac:dyDescent="0.25">
      <c r="A1767" s="8" t="s">
        <v>7245</v>
      </c>
      <c r="B1767" s="8" t="s">
        <v>7246</v>
      </c>
      <c r="C1767" s="8">
        <v>30906000</v>
      </c>
      <c r="D1767" s="8">
        <v>4</v>
      </c>
      <c r="E1767" s="11">
        <v>43112</v>
      </c>
      <c r="F1767" s="8" t="s">
        <v>60</v>
      </c>
      <c r="G1767" s="11">
        <v>43115</v>
      </c>
      <c r="H1767" s="8" t="s">
        <v>25</v>
      </c>
      <c r="J1767" s="8" t="s">
        <v>25</v>
      </c>
      <c r="L1767" s="8" t="s">
        <v>6525</v>
      </c>
      <c r="N1767" s="8" t="s">
        <v>58</v>
      </c>
      <c r="O1767" s="8" t="s">
        <v>59</v>
      </c>
      <c r="P1767" s="8" t="s">
        <v>59</v>
      </c>
      <c r="R1767" s="8">
        <v>0</v>
      </c>
      <c r="S1767" s="8">
        <v>0</v>
      </c>
      <c r="T1767" s="8">
        <v>1</v>
      </c>
      <c r="U1767" s="8">
        <v>2</v>
      </c>
      <c r="W1767" s="8">
        <v>4</v>
      </c>
      <c r="AG1767" s="8" t="str">
        <f t="shared" si="109"/>
        <v/>
      </c>
      <c r="AI1767" s="8" t="str">
        <f t="shared" si="110"/>
        <v/>
      </c>
      <c r="AJ1767" s="8" t="str">
        <f t="shared" si="111"/>
        <v/>
      </c>
      <c r="AL1767" s="8" t="str">
        <f t="shared" si="112"/>
        <v/>
      </c>
    </row>
    <row r="1768" spans="1:38" x14ac:dyDescent="0.25">
      <c r="A1768" s="8" t="s">
        <v>5422</v>
      </c>
      <c r="B1768" s="8" t="s">
        <v>5423</v>
      </c>
      <c r="C1768" s="8">
        <v>30906636</v>
      </c>
      <c r="D1768" s="8">
        <v>5</v>
      </c>
      <c r="E1768" s="11">
        <v>43112</v>
      </c>
      <c r="F1768" s="8" t="s">
        <v>57</v>
      </c>
      <c r="G1768" s="11">
        <v>43112</v>
      </c>
      <c r="H1768" s="8" t="s">
        <v>25</v>
      </c>
      <c r="J1768" s="8" t="s">
        <v>25</v>
      </c>
      <c r="N1768" s="8" t="s">
        <v>58</v>
      </c>
      <c r="O1768" s="8" t="s">
        <v>59</v>
      </c>
      <c r="P1768" s="8" t="s">
        <v>59</v>
      </c>
      <c r="R1768" s="8">
        <v>0</v>
      </c>
      <c r="S1768" s="8">
        <v>0</v>
      </c>
      <c r="T1768" s="8">
        <v>1</v>
      </c>
      <c r="U1768" s="8">
        <v>2</v>
      </c>
      <c r="AG1768" s="8" t="str">
        <f t="shared" si="109"/>
        <v/>
      </c>
      <c r="AI1768" s="8" t="str">
        <f t="shared" si="110"/>
        <v/>
      </c>
      <c r="AJ1768" s="8" t="str">
        <f t="shared" si="111"/>
        <v/>
      </c>
      <c r="AL1768" s="8" t="str">
        <f t="shared" si="112"/>
        <v/>
      </c>
    </row>
    <row r="1769" spans="1:38" x14ac:dyDescent="0.25">
      <c r="A1769" s="8" t="s">
        <v>7247</v>
      </c>
      <c r="B1769" s="8" t="s">
        <v>7248</v>
      </c>
      <c r="C1769" s="8">
        <v>30910139</v>
      </c>
      <c r="D1769" s="8">
        <v>5</v>
      </c>
      <c r="E1769" s="11">
        <v>43112</v>
      </c>
      <c r="F1769" s="8" t="s">
        <v>57</v>
      </c>
      <c r="G1769" s="11">
        <v>43115</v>
      </c>
      <c r="H1769" s="8" t="s">
        <v>25</v>
      </c>
      <c r="J1769" s="8" t="s">
        <v>25</v>
      </c>
      <c r="N1769" s="8" t="s">
        <v>58</v>
      </c>
      <c r="O1769" s="8" t="s">
        <v>59</v>
      </c>
      <c r="P1769" s="8" t="s">
        <v>59</v>
      </c>
      <c r="R1769" s="8">
        <v>0</v>
      </c>
      <c r="S1769" s="8">
        <v>0</v>
      </c>
      <c r="T1769" s="8">
        <v>1</v>
      </c>
      <c r="U1769" s="8">
        <v>2</v>
      </c>
      <c r="AG1769" s="8" t="str">
        <f t="shared" si="109"/>
        <v/>
      </c>
      <c r="AI1769" s="8" t="str">
        <f t="shared" si="110"/>
        <v/>
      </c>
      <c r="AJ1769" s="8" t="str">
        <f t="shared" si="111"/>
        <v/>
      </c>
      <c r="AL1769" s="8" t="str">
        <f t="shared" si="112"/>
        <v/>
      </c>
    </row>
    <row r="1770" spans="1:38" x14ac:dyDescent="0.25">
      <c r="A1770" s="8" t="s">
        <v>2358</v>
      </c>
      <c r="B1770" s="8" t="s">
        <v>2359</v>
      </c>
      <c r="C1770" s="8">
        <v>30861499</v>
      </c>
      <c r="D1770" s="8">
        <v>5</v>
      </c>
      <c r="E1770" s="11">
        <v>43110</v>
      </c>
      <c r="F1770" s="8" t="s">
        <v>58</v>
      </c>
      <c r="G1770" s="11">
        <v>43110</v>
      </c>
      <c r="H1770" s="8" t="s">
        <v>25</v>
      </c>
      <c r="I1770" s="11">
        <v>43115</v>
      </c>
      <c r="J1770" s="8" t="s">
        <v>145</v>
      </c>
      <c r="N1770" s="8" t="s">
        <v>58</v>
      </c>
      <c r="O1770" s="8" t="s">
        <v>59</v>
      </c>
      <c r="P1770" s="8" t="s">
        <v>59</v>
      </c>
      <c r="R1770" s="8">
        <v>0</v>
      </c>
      <c r="S1770" s="8">
        <v>0</v>
      </c>
      <c r="T1770" s="8">
        <v>1</v>
      </c>
      <c r="U1770" s="8">
        <v>2</v>
      </c>
      <c r="X1770" s="8">
        <v>5</v>
      </c>
      <c r="AG1770" s="8" t="str">
        <f t="shared" si="109"/>
        <v/>
      </c>
      <c r="AI1770" s="8" t="str">
        <f t="shared" si="110"/>
        <v/>
      </c>
      <c r="AJ1770" s="8" t="str">
        <f t="shared" si="111"/>
        <v/>
      </c>
      <c r="AL1770" s="8" t="str">
        <f t="shared" si="112"/>
        <v/>
      </c>
    </row>
    <row r="1771" spans="1:38" x14ac:dyDescent="0.25">
      <c r="A1771" s="8" t="s">
        <v>7249</v>
      </c>
      <c r="B1771" s="8" t="s">
        <v>7250</v>
      </c>
      <c r="C1771" s="8">
        <v>30914447</v>
      </c>
      <c r="D1771" s="8">
        <v>5</v>
      </c>
      <c r="E1771" s="11">
        <v>43112</v>
      </c>
      <c r="F1771" s="8" t="s">
        <v>57</v>
      </c>
      <c r="G1771" s="11">
        <v>43115</v>
      </c>
      <c r="H1771" s="8" t="s">
        <v>25</v>
      </c>
      <c r="J1771" s="8" t="s">
        <v>25</v>
      </c>
      <c r="N1771" s="8" t="s">
        <v>58</v>
      </c>
      <c r="O1771" s="8" t="s">
        <v>59</v>
      </c>
      <c r="P1771" s="8" t="s">
        <v>59</v>
      </c>
      <c r="R1771" s="8">
        <v>0</v>
      </c>
      <c r="S1771" s="8">
        <v>0</v>
      </c>
      <c r="T1771" s="8">
        <v>1</v>
      </c>
      <c r="U1771" s="8">
        <v>2</v>
      </c>
      <c r="AG1771" s="8" t="str">
        <f t="shared" si="109"/>
        <v/>
      </c>
      <c r="AI1771" s="8" t="str">
        <f t="shared" si="110"/>
        <v/>
      </c>
      <c r="AJ1771" s="8" t="str">
        <f t="shared" si="111"/>
        <v/>
      </c>
      <c r="AL1771" s="8" t="str">
        <f t="shared" si="112"/>
        <v/>
      </c>
    </row>
    <row r="1772" spans="1:38" x14ac:dyDescent="0.25">
      <c r="A1772" s="8" t="s">
        <v>3892</v>
      </c>
      <c r="B1772" s="8" t="s">
        <v>3893</v>
      </c>
      <c r="C1772" s="8">
        <v>30845344</v>
      </c>
      <c r="D1772" s="8">
        <v>5</v>
      </c>
      <c r="E1772" s="11">
        <v>43109</v>
      </c>
      <c r="F1772" s="8" t="s">
        <v>57</v>
      </c>
      <c r="G1772" s="11">
        <v>43111</v>
      </c>
      <c r="H1772" s="8" t="s">
        <v>25</v>
      </c>
      <c r="J1772" s="8" t="s">
        <v>25</v>
      </c>
      <c r="N1772" s="8" t="s">
        <v>58</v>
      </c>
      <c r="O1772" s="8" t="s">
        <v>59</v>
      </c>
      <c r="P1772" s="8" t="s">
        <v>59</v>
      </c>
      <c r="R1772" s="8">
        <v>0</v>
      </c>
      <c r="S1772" s="8">
        <v>0</v>
      </c>
      <c r="T1772" s="8">
        <v>1</v>
      </c>
      <c r="U1772" s="8">
        <v>2</v>
      </c>
      <c r="AG1772" s="8" t="str">
        <f t="shared" si="109"/>
        <v/>
      </c>
      <c r="AI1772" s="8" t="str">
        <f t="shared" si="110"/>
        <v/>
      </c>
      <c r="AJ1772" s="8" t="str">
        <f t="shared" si="111"/>
        <v/>
      </c>
      <c r="AL1772" s="8" t="str">
        <f t="shared" si="112"/>
        <v/>
      </c>
    </row>
    <row r="1773" spans="1:38" x14ac:dyDescent="0.25">
      <c r="A1773" s="8" t="s">
        <v>2360</v>
      </c>
      <c r="B1773" s="8" t="s">
        <v>2361</v>
      </c>
      <c r="C1773" s="8">
        <v>30840440</v>
      </c>
      <c r="D1773" s="8">
        <v>5</v>
      </c>
      <c r="E1773" s="11">
        <v>43109</v>
      </c>
      <c r="F1773" s="8" t="s">
        <v>57</v>
      </c>
      <c r="G1773" s="11">
        <v>43110</v>
      </c>
      <c r="H1773" s="8" t="s">
        <v>25</v>
      </c>
      <c r="J1773" s="8" t="s">
        <v>25</v>
      </c>
      <c r="N1773" s="8" t="s">
        <v>58</v>
      </c>
      <c r="O1773" s="8" t="s">
        <v>59</v>
      </c>
      <c r="P1773" s="8" t="s">
        <v>59</v>
      </c>
      <c r="R1773" s="8">
        <v>0</v>
      </c>
      <c r="S1773" s="8">
        <v>0</v>
      </c>
      <c r="T1773" s="8">
        <v>1</v>
      </c>
      <c r="U1773" s="8">
        <v>2</v>
      </c>
      <c r="AG1773" s="8" t="str">
        <f t="shared" si="109"/>
        <v/>
      </c>
      <c r="AI1773" s="8" t="str">
        <f t="shared" si="110"/>
        <v/>
      </c>
      <c r="AJ1773" s="8" t="str">
        <f t="shared" si="111"/>
        <v/>
      </c>
      <c r="AL1773" s="8" t="str">
        <f t="shared" si="112"/>
        <v/>
      </c>
    </row>
    <row r="1774" spans="1:38" x14ac:dyDescent="0.25">
      <c r="A1774" s="8" t="s">
        <v>7251</v>
      </c>
      <c r="B1774" s="8" t="s">
        <v>7252</v>
      </c>
      <c r="C1774" s="8">
        <v>30915212</v>
      </c>
      <c r="D1774" s="8">
        <v>5</v>
      </c>
      <c r="E1774" s="11">
        <v>43112</v>
      </c>
      <c r="F1774" s="8" t="s">
        <v>57</v>
      </c>
      <c r="G1774" s="11">
        <v>43115</v>
      </c>
      <c r="H1774" s="8" t="s">
        <v>25</v>
      </c>
      <c r="J1774" s="8" t="s">
        <v>25</v>
      </c>
      <c r="N1774" s="8" t="s">
        <v>58</v>
      </c>
      <c r="O1774" s="8" t="s">
        <v>59</v>
      </c>
      <c r="P1774" s="8" t="s">
        <v>59</v>
      </c>
      <c r="R1774" s="8">
        <v>0</v>
      </c>
      <c r="S1774" s="8">
        <v>0</v>
      </c>
      <c r="T1774" s="8">
        <v>1</v>
      </c>
      <c r="U1774" s="8">
        <v>2</v>
      </c>
      <c r="AG1774" s="8" t="str">
        <f t="shared" si="109"/>
        <v/>
      </c>
      <c r="AI1774" s="8" t="str">
        <f t="shared" si="110"/>
        <v/>
      </c>
      <c r="AJ1774" s="8" t="str">
        <f t="shared" si="111"/>
        <v/>
      </c>
      <c r="AL1774" s="8" t="str">
        <f t="shared" si="112"/>
        <v/>
      </c>
    </row>
    <row r="1775" spans="1:38" x14ac:dyDescent="0.25">
      <c r="A1775" s="8" t="s">
        <v>2362</v>
      </c>
      <c r="B1775" s="8" t="s">
        <v>2363</v>
      </c>
      <c r="C1775" s="8">
        <v>30845427</v>
      </c>
      <c r="D1775" s="8">
        <v>5</v>
      </c>
      <c r="E1775" s="11">
        <v>43109</v>
      </c>
      <c r="F1775" s="8" t="s">
        <v>58</v>
      </c>
      <c r="G1775" s="11">
        <v>43110</v>
      </c>
      <c r="H1775" s="8" t="s">
        <v>25</v>
      </c>
      <c r="I1775" s="11">
        <v>43112</v>
      </c>
      <c r="J1775" s="8" t="s">
        <v>25</v>
      </c>
      <c r="N1775" s="8" t="s">
        <v>58</v>
      </c>
      <c r="O1775" s="8" t="s">
        <v>59</v>
      </c>
      <c r="P1775" s="8" t="s">
        <v>59</v>
      </c>
      <c r="R1775" s="8">
        <v>0</v>
      </c>
      <c r="S1775" s="8">
        <v>0</v>
      </c>
      <c r="T1775" s="8">
        <v>1</v>
      </c>
      <c r="U1775" s="8">
        <v>2</v>
      </c>
      <c r="X1775" s="8">
        <v>5</v>
      </c>
      <c r="AG1775" s="8" t="str">
        <f t="shared" si="109"/>
        <v/>
      </c>
      <c r="AI1775" s="8" t="str">
        <f t="shared" si="110"/>
        <v/>
      </c>
      <c r="AJ1775" s="8" t="str">
        <f t="shared" si="111"/>
        <v/>
      </c>
      <c r="AL1775" s="8" t="str">
        <f t="shared" si="112"/>
        <v/>
      </c>
    </row>
    <row r="1776" spans="1:38" x14ac:dyDescent="0.25">
      <c r="A1776" s="8" t="s">
        <v>5424</v>
      </c>
      <c r="B1776" s="8" t="s">
        <v>5425</v>
      </c>
      <c r="C1776" s="8">
        <v>30898443</v>
      </c>
      <c r="D1776" s="8">
        <v>5</v>
      </c>
      <c r="E1776" s="11">
        <v>43111</v>
      </c>
      <c r="F1776" s="8" t="s">
        <v>57</v>
      </c>
      <c r="G1776" s="11">
        <v>43112</v>
      </c>
      <c r="H1776" s="8" t="s">
        <v>25</v>
      </c>
      <c r="J1776" s="8" t="s">
        <v>25</v>
      </c>
      <c r="N1776" s="8" t="s">
        <v>58</v>
      </c>
      <c r="O1776" s="8" t="s">
        <v>59</v>
      </c>
      <c r="P1776" s="8" t="s">
        <v>59</v>
      </c>
      <c r="R1776" s="8">
        <v>0</v>
      </c>
      <c r="S1776" s="8">
        <v>0</v>
      </c>
      <c r="T1776" s="8">
        <v>1</v>
      </c>
      <c r="U1776" s="8">
        <v>2</v>
      </c>
      <c r="AG1776" s="8" t="str">
        <f t="shared" si="109"/>
        <v/>
      </c>
      <c r="AI1776" s="8" t="str">
        <f t="shared" si="110"/>
        <v/>
      </c>
      <c r="AJ1776" s="8" t="str">
        <f t="shared" si="111"/>
        <v/>
      </c>
      <c r="AL1776" s="8" t="str">
        <f t="shared" si="112"/>
        <v/>
      </c>
    </row>
    <row r="1777" spans="1:38" x14ac:dyDescent="0.25">
      <c r="A1777" s="8" t="s">
        <v>7253</v>
      </c>
      <c r="B1777" s="8" t="s">
        <v>7254</v>
      </c>
      <c r="C1777" s="8">
        <v>30899784</v>
      </c>
      <c r="D1777" s="8">
        <v>4</v>
      </c>
      <c r="E1777" s="11">
        <v>43111</v>
      </c>
      <c r="F1777" s="8" t="s">
        <v>58</v>
      </c>
      <c r="G1777" s="11">
        <v>43115</v>
      </c>
      <c r="H1777" s="8" t="s">
        <v>25</v>
      </c>
      <c r="I1777" s="11">
        <v>43115</v>
      </c>
      <c r="J1777" s="8" t="s">
        <v>25</v>
      </c>
      <c r="N1777" s="8" t="s">
        <v>58</v>
      </c>
      <c r="O1777" s="8" t="s">
        <v>59</v>
      </c>
      <c r="P1777" s="8" t="s">
        <v>59</v>
      </c>
      <c r="R1777" s="8">
        <v>0</v>
      </c>
      <c r="S1777" s="8">
        <v>0</v>
      </c>
      <c r="T1777" s="8">
        <v>1</v>
      </c>
      <c r="U1777" s="8">
        <v>2</v>
      </c>
      <c r="X1777" s="8">
        <v>5</v>
      </c>
      <c r="AG1777" s="8" t="str">
        <f t="shared" si="109"/>
        <v/>
      </c>
      <c r="AI1777" s="8" t="str">
        <f t="shared" si="110"/>
        <v/>
      </c>
      <c r="AJ1777" s="8" t="str">
        <f t="shared" si="111"/>
        <v/>
      </c>
      <c r="AL1777" s="8" t="str">
        <f t="shared" si="112"/>
        <v/>
      </c>
    </row>
    <row r="1778" spans="1:38" x14ac:dyDescent="0.25">
      <c r="A1778" s="8" t="s">
        <v>5426</v>
      </c>
      <c r="B1778" s="8" t="s">
        <v>5427</v>
      </c>
      <c r="C1778" s="8">
        <v>30876636</v>
      </c>
      <c r="D1778" s="8">
        <v>4</v>
      </c>
      <c r="E1778" s="11">
        <v>43110</v>
      </c>
      <c r="F1778" s="8" t="s">
        <v>58</v>
      </c>
      <c r="G1778" s="11">
        <v>43112</v>
      </c>
      <c r="H1778" s="8" t="s">
        <v>25</v>
      </c>
      <c r="I1778" s="11">
        <v>43112</v>
      </c>
      <c r="J1778" s="8" t="s">
        <v>25</v>
      </c>
      <c r="N1778" s="8" t="s">
        <v>58</v>
      </c>
      <c r="O1778" s="8" t="s">
        <v>59</v>
      </c>
      <c r="P1778" s="8" t="s">
        <v>59</v>
      </c>
      <c r="R1778" s="8">
        <v>0</v>
      </c>
      <c r="S1778" s="8">
        <v>0</v>
      </c>
      <c r="T1778" s="8">
        <v>1</v>
      </c>
      <c r="U1778" s="8">
        <v>2</v>
      </c>
      <c r="X1778" s="8">
        <v>5</v>
      </c>
      <c r="AG1778" s="8" t="str">
        <f t="shared" si="109"/>
        <v/>
      </c>
      <c r="AI1778" s="8" t="str">
        <f t="shared" si="110"/>
        <v/>
      </c>
      <c r="AJ1778" s="8" t="str">
        <f t="shared" si="111"/>
        <v/>
      </c>
      <c r="AL1778" s="8" t="str">
        <f t="shared" si="112"/>
        <v/>
      </c>
    </row>
    <row r="1779" spans="1:38" x14ac:dyDescent="0.25">
      <c r="A1779" s="8" t="s">
        <v>5428</v>
      </c>
      <c r="B1779" s="8" t="s">
        <v>5429</v>
      </c>
      <c r="C1779" s="8">
        <v>30881702</v>
      </c>
      <c r="D1779" s="8">
        <v>5</v>
      </c>
      <c r="E1779" s="11">
        <v>43111</v>
      </c>
      <c r="F1779" s="8" t="s">
        <v>57</v>
      </c>
      <c r="G1779" s="11">
        <v>43112</v>
      </c>
      <c r="H1779" s="8" t="s">
        <v>25</v>
      </c>
      <c r="J1779" s="8" t="s">
        <v>25</v>
      </c>
      <c r="N1779" s="8" t="s">
        <v>58</v>
      </c>
      <c r="O1779" s="8" t="s">
        <v>59</v>
      </c>
      <c r="P1779" s="8" t="s">
        <v>59</v>
      </c>
      <c r="R1779" s="8">
        <v>0</v>
      </c>
      <c r="S1779" s="8">
        <v>0</v>
      </c>
      <c r="T1779" s="8">
        <v>1</v>
      </c>
      <c r="U1779" s="8">
        <v>2</v>
      </c>
      <c r="AG1779" s="8" t="str">
        <f t="shared" si="109"/>
        <v/>
      </c>
      <c r="AI1779" s="8" t="str">
        <f t="shared" si="110"/>
        <v/>
      </c>
      <c r="AJ1779" s="8" t="str">
        <f t="shared" si="111"/>
        <v/>
      </c>
      <c r="AL1779" s="8" t="str">
        <f t="shared" si="112"/>
        <v/>
      </c>
    </row>
    <row r="1780" spans="1:38" x14ac:dyDescent="0.25">
      <c r="A1780" s="8" t="s">
        <v>3894</v>
      </c>
      <c r="B1780" s="8" t="s">
        <v>3895</v>
      </c>
      <c r="C1780" s="8">
        <v>30893350</v>
      </c>
      <c r="D1780" s="8">
        <v>5</v>
      </c>
      <c r="E1780" s="11">
        <v>43111</v>
      </c>
      <c r="F1780" s="8" t="s">
        <v>58</v>
      </c>
      <c r="G1780" s="11">
        <v>43111</v>
      </c>
      <c r="H1780" s="8" t="s">
        <v>25</v>
      </c>
      <c r="I1780" s="11">
        <v>43111</v>
      </c>
      <c r="J1780" s="8" t="s">
        <v>25</v>
      </c>
      <c r="N1780" s="8" t="s">
        <v>58</v>
      </c>
      <c r="O1780" s="8" t="s">
        <v>59</v>
      </c>
      <c r="P1780" s="8" t="s">
        <v>59</v>
      </c>
      <c r="R1780" s="8">
        <v>0</v>
      </c>
      <c r="S1780" s="8">
        <v>0</v>
      </c>
      <c r="T1780" s="8">
        <v>1</v>
      </c>
      <c r="U1780" s="8">
        <v>2</v>
      </c>
      <c r="X1780" s="8">
        <v>5</v>
      </c>
      <c r="AG1780" s="8" t="str">
        <f t="shared" si="109"/>
        <v/>
      </c>
      <c r="AI1780" s="8" t="str">
        <f t="shared" si="110"/>
        <v/>
      </c>
      <c r="AJ1780" s="8" t="str">
        <f t="shared" si="111"/>
        <v/>
      </c>
      <c r="AL1780" s="8" t="str">
        <f t="shared" si="112"/>
        <v/>
      </c>
    </row>
    <row r="1781" spans="1:38" x14ac:dyDescent="0.25">
      <c r="A1781" s="8" t="s">
        <v>5430</v>
      </c>
      <c r="B1781" s="8" t="s">
        <v>5431</v>
      </c>
      <c r="C1781" s="8">
        <v>30843048</v>
      </c>
      <c r="D1781" s="8">
        <v>5</v>
      </c>
      <c r="E1781" s="11">
        <v>43109</v>
      </c>
      <c r="F1781" s="8" t="s">
        <v>57</v>
      </c>
      <c r="G1781" s="11">
        <v>43114</v>
      </c>
      <c r="H1781" s="8" t="s">
        <v>145</v>
      </c>
      <c r="J1781" s="8" t="s">
        <v>25</v>
      </c>
      <c r="N1781" s="8" t="s">
        <v>58</v>
      </c>
      <c r="O1781" s="8" t="s">
        <v>59</v>
      </c>
      <c r="P1781" s="8" t="s">
        <v>59</v>
      </c>
      <c r="R1781" s="8">
        <v>0</v>
      </c>
      <c r="S1781" s="8">
        <v>0</v>
      </c>
      <c r="T1781" s="8">
        <v>1</v>
      </c>
      <c r="U1781" s="8">
        <v>2</v>
      </c>
      <c r="AG1781" s="8" t="str">
        <f t="shared" si="109"/>
        <v/>
      </c>
      <c r="AI1781" s="8" t="str">
        <f t="shared" si="110"/>
        <v/>
      </c>
      <c r="AJ1781" s="8" t="str">
        <f t="shared" si="111"/>
        <v/>
      </c>
      <c r="AL1781" s="8" t="str">
        <f t="shared" si="112"/>
        <v/>
      </c>
    </row>
    <row r="1782" spans="1:38" x14ac:dyDescent="0.25">
      <c r="A1782" s="8" t="s">
        <v>5432</v>
      </c>
      <c r="B1782" s="8" t="s">
        <v>5433</v>
      </c>
      <c r="C1782" s="8">
        <v>30862026</v>
      </c>
      <c r="D1782" s="8">
        <v>5</v>
      </c>
      <c r="E1782" s="11">
        <v>43110</v>
      </c>
      <c r="F1782" s="8" t="s">
        <v>57</v>
      </c>
      <c r="G1782" s="11">
        <v>43114</v>
      </c>
      <c r="H1782" s="8" t="s">
        <v>25</v>
      </c>
      <c r="J1782" s="8" t="s">
        <v>25</v>
      </c>
      <c r="N1782" s="8" t="s">
        <v>58</v>
      </c>
      <c r="O1782" s="8" t="s">
        <v>59</v>
      </c>
      <c r="P1782" s="8" t="s">
        <v>59</v>
      </c>
      <c r="R1782" s="8">
        <v>0</v>
      </c>
      <c r="S1782" s="8">
        <v>0</v>
      </c>
      <c r="T1782" s="8">
        <v>1</v>
      </c>
      <c r="U1782" s="8">
        <v>2</v>
      </c>
      <c r="AG1782" s="8" t="str">
        <f t="shared" si="109"/>
        <v/>
      </c>
      <c r="AI1782" s="8" t="str">
        <f t="shared" si="110"/>
        <v/>
      </c>
      <c r="AJ1782" s="8" t="str">
        <f t="shared" si="111"/>
        <v/>
      </c>
      <c r="AL1782" s="8" t="str">
        <f t="shared" si="112"/>
        <v/>
      </c>
    </row>
    <row r="1783" spans="1:38" x14ac:dyDescent="0.25">
      <c r="A1783" s="8" t="s">
        <v>5434</v>
      </c>
      <c r="B1783" s="8" t="s">
        <v>5435</v>
      </c>
      <c r="C1783" s="8">
        <v>30830248</v>
      </c>
      <c r="D1783" s="8">
        <v>5</v>
      </c>
      <c r="E1783" s="11">
        <v>43108</v>
      </c>
      <c r="F1783" s="8" t="s">
        <v>57</v>
      </c>
      <c r="G1783" s="11">
        <v>43114</v>
      </c>
      <c r="H1783" s="8" t="s">
        <v>856</v>
      </c>
      <c r="J1783" s="8" t="s">
        <v>25</v>
      </c>
      <c r="N1783" s="8" t="s">
        <v>58</v>
      </c>
      <c r="O1783" s="8" t="s">
        <v>59</v>
      </c>
      <c r="P1783" s="8" t="s">
        <v>59</v>
      </c>
      <c r="R1783" s="8">
        <v>0</v>
      </c>
      <c r="S1783" s="8">
        <v>0</v>
      </c>
      <c r="T1783" s="8">
        <v>1</v>
      </c>
      <c r="U1783" s="8">
        <v>2</v>
      </c>
      <c r="AG1783" s="8" t="str">
        <f t="shared" si="109"/>
        <v/>
      </c>
      <c r="AI1783" s="8" t="str">
        <f t="shared" si="110"/>
        <v/>
      </c>
      <c r="AJ1783" s="8" t="str">
        <f t="shared" si="111"/>
        <v/>
      </c>
      <c r="AL1783" s="8" t="str">
        <f t="shared" si="112"/>
        <v/>
      </c>
    </row>
    <row r="1784" spans="1:38" x14ac:dyDescent="0.25">
      <c r="A1784" s="8" t="s">
        <v>5436</v>
      </c>
      <c r="B1784" s="8" t="s">
        <v>5437</v>
      </c>
      <c r="C1784" s="8">
        <v>30816852</v>
      </c>
      <c r="D1784" s="8">
        <v>5</v>
      </c>
      <c r="E1784" s="11">
        <v>43108</v>
      </c>
      <c r="F1784" s="8" t="s">
        <v>57</v>
      </c>
      <c r="G1784" s="11">
        <v>43114</v>
      </c>
      <c r="H1784" s="8" t="s">
        <v>856</v>
      </c>
      <c r="J1784" s="8" t="s">
        <v>25</v>
      </c>
      <c r="N1784" s="8" t="s">
        <v>58</v>
      </c>
      <c r="O1784" s="8" t="s">
        <v>59</v>
      </c>
      <c r="P1784" s="8" t="s">
        <v>59</v>
      </c>
      <c r="R1784" s="8">
        <v>0</v>
      </c>
      <c r="S1784" s="8">
        <v>0</v>
      </c>
      <c r="T1784" s="8">
        <v>1</v>
      </c>
      <c r="U1784" s="8">
        <v>2</v>
      </c>
      <c r="AG1784" s="8" t="str">
        <f t="shared" si="109"/>
        <v/>
      </c>
      <c r="AI1784" s="8" t="str">
        <f t="shared" si="110"/>
        <v/>
      </c>
      <c r="AJ1784" s="8" t="str">
        <f t="shared" si="111"/>
        <v/>
      </c>
      <c r="AL1784" s="8" t="str">
        <f t="shared" si="112"/>
        <v/>
      </c>
    </row>
    <row r="1785" spans="1:38" x14ac:dyDescent="0.25">
      <c r="A1785" s="8" t="s">
        <v>429</v>
      </c>
      <c r="B1785" s="8" t="s">
        <v>430</v>
      </c>
      <c r="C1785" s="8">
        <v>30816951</v>
      </c>
      <c r="D1785" s="8">
        <v>5</v>
      </c>
      <c r="E1785" s="11">
        <v>43108</v>
      </c>
      <c r="F1785" s="8" t="s">
        <v>58</v>
      </c>
      <c r="G1785" s="11">
        <v>43108</v>
      </c>
      <c r="H1785" s="8" t="s">
        <v>25</v>
      </c>
      <c r="I1785" s="11">
        <v>43108</v>
      </c>
      <c r="J1785" s="8" t="s">
        <v>25</v>
      </c>
      <c r="N1785" s="8" t="s">
        <v>58</v>
      </c>
      <c r="O1785" s="8" t="s">
        <v>59</v>
      </c>
      <c r="P1785" s="8" t="s">
        <v>59</v>
      </c>
      <c r="R1785" s="8">
        <v>0</v>
      </c>
      <c r="S1785" s="8">
        <v>0</v>
      </c>
      <c r="T1785" s="8">
        <v>1</v>
      </c>
      <c r="U1785" s="8">
        <v>2</v>
      </c>
      <c r="X1785" s="8">
        <v>5</v>
      </c>
      <c r="AG1785" s="8" t="str">
        <f t="shared" si="109"/>
        <v/>
      </c>
      <c r="AI1785" s="8" t="str">
        <f t="shared" si="110"/>
        <v/>
      </c>
      <c r="AJ1785" s="8" t="str">
        <f t="shared" si="111"/>
        <v/>
      </c>
      <c r="AL1785" s="8" t="str">
        <f t="shared" si="112"/>
        <v/>
      </c>
    </row>
    <row r="1786" spans="1:38" x14ac:dyDescent="0.25">
      <c r="A1786" s="8" t="s">
        <v>5438</v>
      </c>
      <c r="B1786" s="8" t="s">
        <v>5439</v>
      </c>
      <c r="C1786" s="8">
        <v>30817988</v>
      </c>
      <c r="D1786" s="8">
        <v>5</v>
      </c>
      <c r="E1786" s="11">
        <v>43108</v>
      </c>
      <c r="F1786" s="8" t="s">
        <v>57</v>
      </c>
      <c r="G1786" s="11">
        <v>43114</v>
      </c>
      <c r="H1786" s="8" t="s">
        <v>856</v>
      </c>
      <c r="J1786" s="8" t="s">
        <v>25</v>
      </c>
      <c r="N1786" s="8" t="s">
        <v>58</v>
      </c>
      <c r="O1786" s="8" t="s">
        <v>59</v>
      </c>
      <c r="P1786" s="8" t="s">
        <v>59</v>
      </c>
      <c r="R1786" s="8">
        <v>0</v>
      </c>
      <c r="S1786" s="8">
        <v>0</v>
      </c>
      <c r="T1786" s="8">
        <v>1</v>
      </c>
      <c r="U1786" s="8">
        <v>2</v>
      </c>
      <c r="AG1786" s="8" t="str">
        <f t="shared" si="109"/>
        <v/>
      </c>
      <c r="AI1786" s="8" t="str">
        <f t="shared" si="110"/>
        <v/>
      </c>
      <c r="AJ1786" s="8" t="str">
        <f t="shared" si="111"/>
        <v/>
      </c>
      <c r="AL1786" s="8" t="str">
        <f t="shared" si="112"/>
        <v/>
      </c>
    </row>
    <row r="1787" spans="1:38" x14ac:dyDescent="0.25">
      <c r="A1787" s="8" t="s">
        <v>5440</v>
      </c>
      <c r="B1787" s="8" t="s">
        <v>5441</v>
      </c>
      <c r="C1787" s="8">
        <v>30820285</v>
      </c>
      <c r="D1787" s="8">
        <v>5</v>
      </c>
      <c r="E1787" s="11">
        <v>43108</v>
      </c>
      <c r="F1787" s="8" t="s">
        <v>57</v>
      </c>
      <c r="G1787" s="11">
        <v>43114</v>
      </c>
      <c r="H1787" s="8" t="s">
        <v>856</v>
      </c>
      <c r="J1787" s="8" t="s">
        <v>25</v>
      </c>
      <c r="N1787" s="8" t="s">
        <v>58</v>
      </c>
      <c r="O1787" s="8" t="s">
        <v>59</v>
      </c>
      <c r="P1787" s="8" t="s">
        <v>59</v>
      </c>
      <c r="R1787" s="8">
        <v>0</v>
      </c>
      <c r="S1787" s="8">
        <v>0</v>
      </c>
      <c r="T1787" s="8">
        <v>1</v>
      </c>
      <c r="U1787" s="8">
        <v>2</v>
      </c>
      <c r="AG1787" s="8" t="str">
        <f t="shared" si="109"/>
        <v/>
      </c>
      <c r="AI1787" s="8" t="str">
        <f t="shared" si="110"/>
        <v/>
      </c>
      <c r="AJ1787" s="8" t="str">
        <f t="shared" si="111"/>
        <v/>
      </c>
      <c r="AL1787" s="8" t="str">
        <f t="shared" si="112"/>
        <v/>
      </c>
    </row>
    <row r="1788" spans="1:38" x14ac:dyDescent="0.25">
      <c r="A1788" s="8" t="s">
        <v>431</v>
      </c>
      <c r="B1788" s="8" t="s">
        <v>432</v>
      </c>
      <c r="C1788" s="8">
        <v>30817177</v>
      </c>
      <c r="D1788" s="8">
        <v>5</v>
      </c>
      <c r="E1788" s="11">
        <v>43108</v>
      </c>
      <c r="F1788" s="8" t="s">
        <v>58</v>
      </c>
      <c r="G1788" s="11">
        <v>43108</v>
      </c>
      <c r="H1788" s="8" t="s">
        <v>25</v>
      </c>
      <c r="I1788" s="11">
        <v>43108</v>
      </c>
      <c r="J1788" s="8" t="s">
        <v>25</v>
      </c>
      <c r="N1788" s="8" t="s">
        <v>58</v>
      </c>
      <c r="O1788" s="8" t="s">
        <v>59</v>
      </c>
      <c r="P1788" s="8" t="s">
        <v>59</v>
      </c>
      <c r="R1788" s="8">
        <v>0</v>
      </c>
      <c r="S1788" s="8">
        <v>0</v>
      </c>
      <c r="T1788" s="8">
        <v>1</v>
      </c>
      <c r="U1788" s="8">
        <v>2</v>
      </c>
      <c r="X1788" s="8">
        <v>5</v>
      </c>
      <c r="AG1788" s="8" t="str">
        <f t="shared" si="109"/>
        <v/>
      </c>
      <c r="AI1788" s="8" t="str">
        <f t="shared" si="110"/>
        <v/>
      </c>
      <c r="AJ1788" s="8" t="str">
        <f t="shared" si="111"/>
        <v/>
      </c>
      <c r="AL1788" s="8" t="str">
        <f t="shared" si="112"/>
        <v/>
      </c>
    </row>
    <row r="1789" spans="1:38" x14ac:dyDescent="0.25">
      <c r="A1789" s="8" t="s">
        <v>2364</v>
      </c>
      <c r="B1789" s="8" t="s">
        <v>2365</v>
      </c>
      <c r="C1789" s="8">
        <v>30866416</v>
      </c>
      <c r="D1789" s="8">
        <v>5</v>
      </c>
      <c r="E1789" s="11">
        <v>43110</v>
      </c>
      <c r="F1789" s="8" t="s">
        <v>58</v>
      </c>
      <c r="G1789" s="11">
        <v>43110</v>
      </c>
      <c r="H1789" s="8" t="s">
        <v>25</v>
      </c>
      <c r="I1789" s="11">
        <v>43110</v>
      </c>
      <c r="J1789" s="8" t="s">
        <v>25</v>
      </c>
      <c r="N1789" s="8" t="s">
        <v>58</v>
      </c>
      <c r="O1789" s="8" t="s">
        <v>59</v>
      </c>
      <c r="P1789" s="8" t="s">
        <v>59</v>
      </c>
      <c r="R1789" s="8">
        <v>0</v>
      </c>
      <c r="S1789" s="8">
        <v>0</v>
      </c>
      <c r="T1789" s="8">
        <v>1</v>
      </c>
      <c r="U1789" s="8">
        <v>2</v>
      </c>
      <c r="X1789" s="8">
        <v>5</v>
      </c>
      <c r="AG1789" s="8" t="str">
        <f t="shared" si="109"/>
        <v/>
      </c>
      <c r="AI1789" s="8" t="str">
        <f t="shared" si="110"/>
        <v/>
      </c>
      <c r="AJ1789" s="8" t="str">
        <f t="shared" si="111"/>
        <v/>
      </c>
      <c r="AL1789" s="8" t="str">
        <f t="shared" si="112"/>
        <v/>
      </c>
    </row>
    <row r="1790" spans="1:38" x14ac:dyDescent="0.25">
      <c r="A1790" s="8" t="s">
        <v>3896</v>
      </c>
      <c r="B1790" s="8" t="s">
        <v>3897</v>
      </c>
      <c r="C1790" s="8">
        <v>30881309</v>
      </c>
      <c r="D1790" s="8">
        <v>5</v>
      </c>
      <c r="E1790" s="11">
        <v>43111</v>
      </c>
      <c r="F1790" s="8" t="s">
        <v>58</v>
      </c>
      <c r="G1790" s="11">
        <v>43111</v>
      </c>
      <c r="H1790" s="8" t="s">
        <v>25</v>
      </c>
      <c r="I1790" s="11">
        <v>43111</v>
      </c>
      <c r="J1790" s="8" t="s">
        <v>25</v>
      </c>
      <c r="N1790" s="8" t="s">
        <v>58</v>
      </c>
      <c r="O1790" s="8" t="s">
        <v>59</v>
      </c>
      <c r="P1790" s="8" t="s">
        <v>59</v>
      </c>
      <c r="R1790" s="8">
        <v>0</v>
      </c>
      <c r="S1790" s="8">
        <v>0</v>
      </c>
      <c r="T1790" s="8">
        <v>1</v>
      </c>
      <c r="U1790" s="8">
        <v>2</v>
      </c>
      <c r="X1790" s="8">
        <v>5</v>
      </c>
      <c r="AG1790" s="8" t="str">
        <f t="shared" si="109"/>
        <v/>
      </c>
      <c r="AI1790" s="8" t="str">
        <f t="shared" si="110"/>
        <v/>
      </c>
      <c r="AJ1790" s="8" t="str">
        <f t="shared" si="111"/>
        <v/>
      </c>
      <c r="AL1790" s="8" t="str">
        <f t="shared" si="112"/>
        <v/>
      </c>
    </row>
    <row r="1791" spans="1:38" x14ac:dyDescent="0.25">
      <c r="A1791" s="8" t="s">
        <v>2366</v>
      </c>
      <c r="B1791" s="8" t="s">
        <v>2367</v>
      </c>
      <c r="C1791" s="8">
        <v>30843414</v>
      </c>
      <c r="D1791" s="8">
        <v>5</v>
      </c>
      <c r="E1791" s="11">
        <v>43109</v>
      </c>
      <c r="F1791" s="8" t="s">
        <v>57</v>
      </c>
      <c r="G1791" s="11">
        <v>43110</v>
      </c>
      <c r="H1791" s="8" t="s">
        <v>25</v>
      </c>
      <c r="J1791" s="8" t="s">
        <v>25</v>
      </c>
      <c r="N1791" s="8" t="s">
        <v>58</v>
      </c>
      <c r="O1791" s="8" t="s">
        <v>59</v>
      </c>
      <c r="P1791" s="8" t="s">
        <v>59</v>
      </c>
      <c r="R1791" s="8">
        <v>0</v>
      </c>
      <c r="S1791" s="8">
        <v>0</v>
      </c>
      <c r="T1791" s="8">
        <v>1</v>
      </c>
      <c r="U1791" s="8">
        <v>2</v>
      </c>
      <c r="AG1791" s="8" t="str">
        <f t="shared" si="109"/>
        <v/>
      </c>
      <c r="AI1791" s="8" t="str">
        <f t="shared" si="110"/>
        <v/>
      </c>
      <c r="AJ1791" s="8" t="str">
        <f t="shared" si="111"/>
        <v/>
      </c>
      <c r="AL1791" s="8" t="str">
        <f t="shared" si="112"/>
        <v/>
      </c>
    </row>
    <row r="1792" spans="1:38" x14ac:dyDescent="0.25">
      <c r="A1792" s="8" t="s">
        <v>5442</v>
      </c>
      <c r="B1792" s="8" t="s">
        <v>5443</v>
      </c>
      <c r="C1792" s="8">
        <v>30832716</v>
      </c>
      <c r="D1792" s="8">
        <v>5</v>
      </c>
      <c r="E1792" s="11">
        <v>43109</v>
      </c>
      <c r="F1792" s="8" t="s">
        <v>57</v>
      </c>
      <c r="G1792" s="11">
        <v>43114</v>
      </c>
      <c r="H1792" s="8" t="s">
        <v>145</v>
      </c>
      <c r="J1792" s="8" t="s">
        <v>25</v>
      </c>
      <c r="N1792" s="8" t="s">
        <v>58</v>
      </c>
      <c r="O1792" s="8" t="s">
        <v>59</v>
      </c>
      <c r="P1792" s="8" t="s">
        <v>59</v>
      </c>
      <c r="R1792" s="8">
        <v>0</v>
      </c>
      <c r="S1792" s="8">
        <v>0</v>
      </c>
      <c r="T1792" s="8">
        <v>1</v>
      </c>
      <c r="U1792" s="8">
        <v>2</v>
      </c>
      <c r="AG1792" s="8" t="str">
        <f t="shared" si="109"/>
        <v/>
      </c>
      <c r="AI1792" s="8" t="str">
        <f t="shared" si="110"/>
        <v/>
      </c>
      <c r="AJ1792" s="8" t="str">
        <f t="shared" si="111"/>
        <v/>
      </c>
      <c r="AL1792" s="8" t="str">
        <f t="shared" si="112"/>
        <v/>
      </c>
    </row>
    <row r="1793" spans="1:38" x14ac:dyDescent="0.25">
      <c r="A1793" s="8" t="s">
        <v>1198</v>
      </c>
      <c r="B1793" s="8" t="s">
        <v>1199</v>
      </c>
      <c r="C1793" s="8">
        <v>30838486</v>
      </c>
      <c r="D1793" s="8">
        <v>5</v>
      </c>
      <c r="E1793" s="11">
        <v>43109</v>
      </c>
      <c r="F1793" s="8" t="s">
        <v>58</v>
      </c>
      <c r="G1793" s="11">
        <v>43109</v>
      </c>
      <c r="H1793" s="8" t="s">
        <v>25</v>
      </c>
      <c r="I1793" s="11">
        <v>43109</v>
      </c>
      <c r="J1793" s="8" t="s">
        <v>25</v>
      </c>
      <c r="N1793" s="8" t="s">
        <v>58</v>
      </c>
      <c r="O1793" s="8" t="s">
        <v>59</v>
      </c>
      <c r="P1793" s="8" t="s">
        <v>59</v>
      </c>
      <c r="R1793" s="8">
        <v>0</v>
      </c>
      <c r="S1793" s="8">
        <v>0</v>
      </c>
      <c r="T1793" s="8">
        <v>1</v>
      </c>
      <c r="U1793" s="8">
        <v>2</v>
      </c>
      <c r="X1793" s="8">
        <v>5</v>
      </c>
      <c r="AG1793" s="8" t="str">
        <f t="shared" si="109"/>
        <v/>
      </c>
      <c r="AI1793" s="8" t="str">
        <f t="shared" si="110"/>
        <v/>
      </c>
      <c r="AJ1793" s="8" t="str">
        <f t="shared" si="111"/>
        <v/>
      </c>
      <c r="AL1793" s="8" t="str">
        <f t="shared" si="112"/>
        <v/>
      </c>
    </row>
    <row r="1794" spans="1:38" x14ac:dyDescent="0.25">
      <c r="A1794" s="8" t="s">
        <v>7255</v>
      </c>
      <c r="B1794" s="8" t="s">
        <v>7256</v>
      </c>
      <c r="C1794" s="8">
        <v>30943582</v>
      </c>
      <c r="D1794" s="8">
        <v>5</v>
      </c>
      <c r="E1794" s="11">
        <v>43115</v>
      </c>
      <c r="F1794" s="8" t="s">
        <v>57</v>
      </c>
      <c r="G1794" s="11">
        <v>43115</v>
      </c>
      <c r="H1794" s="8" t="s">
        <v>25</v>
      </c>
      <c r="J1794" s="8" t="s">
        <v>25</v>
      </c>
      <c r="N1794" s="8" t="s">
        <v>58</v>
      </c>
      <c r="O1794" s="8" t="s">
        <v>59</v>
      </c>
      <c r="P1794" s="8" t="s">
        <v>59</v>
      </c>
      <c r="R1794" s="8">
        <v>0</v>
      </c>
      <c r="S1794" s="8">
        <v>0</v>
      </c>
      <c r="T1794" s="8">
        <v>1</v>
      </c>
      <c r="U1794" s="8">
        <v>2</v>
      </c>
      <c r="AG1794" s="8" t="str">
        <f t="shared" si="109"/>
        <v/>
      </c>
      <c r="AI1794" s="8" t="str">
        <f t="shared" si="110"/>
        <v/>
      </c>
      <c r="AJ1794" s="8" t="str">
        <f t="shared" si="111"/>
        <v/>
      </c>
      <c r="AL1794" s="8" t="str">
        <f t="shared" si="112"/>
        <v/>
      </c>
    </row>
    <row r="1795" spans="1:38" x14ac:dyDescent="0.25">
      <c r="A1795" s="8" t="s">
        <v>2368</v>
      </c>
      <c r="B1795" s="8" t="s">
        <v>2369</v>
      </c>
      <c r="C1795" s="8">
        <v>30869609</v>
      </c>
      <c r="D1795" s="8">
        <v>5</v>
      </c>
      <c r="E1795" s="11">
        <v>43110</v>
      </c>
      <c r="F1795" s="8" t="s">
        <v>58</v>
      </c>
      <c r="G1795" s="11">
        <v>43110</v>
      </c>
      <c r="H1795" s="8" t="s">
        <v>25</v>
      </c>
      <c r="I1795" s="11">
        <v>43110</v>
      </c>
      <c r="J1795" s="8" t="s">
        <v>25</v>
      </c>
      <c r="N1795" s="8" t="s">
        <v>58</v>
      </c>
      <c r="O1795" s="8" t="s">
        <v>59</v>
      </c>
      <c r="P1795" s="8" t="s">
        <v>59</v>
      </c>
      <c r="R1795" s="8">
        <v>0</v>
      </c>
      <c r="S1795" s="8">
        <v>0</v>
      </c>
      <c r="T1795" s="8">
        <v>1</v>
      </c>
      <c r="U1795" s="8">
        <v>2</v>
      </c>
      <c r="X1795" s="8">
        <v>5</v>
      </c>
      <c r="AG1795" s="8" t="str">
        <f t="shared" ref="AG1795:AG1858" si="113">IF(AND(U1795="",G1795&lt;&gt;"",NOT(OR(R1795,S1795))),IF(NETWORKDAYS.INTL(G1795,TODAY(),11)&lt;5,"En Plazo",IF(NETWORKDAYS.INTL(G1795,TODAY(),11)=5,"Riesgo Incumplimiento","FALTA_02")),"")</f>
        <v/>
      </c>
      <c r="AI1795" s="8" t="str">
        <f t="shared" ref="AI1795:AI1858" si="114">IF(AND(O1795&lt;&gt;"B1",F1795="Rejected"),IF(W1795="","FALTA_04",""),"")</f>
        <v/>
      </c>
      <c r="AJ1795" s="8" t="str">
        <f t="shared" ref="AJ1795:AJ1858" si="115">IF(AND(X1795="",I1795&lt;&gt;"",NOT(OR(R1795,S1795))),IF(NETWORKDAYS.INTL(G1795,TODAY(),11)&lt;=1,"En Plazo",IF(OR(AND(X1795="",O1795&lt;&gt;"M1"),AND(O1795="M1",(OR(Q1795="S - S",Q1795="S - T",)))),"FALTA_05","")),"")</f>
        <v/>
      </c>
      <c r="AL1795" s="8" t="str">
        <f t="shared" ref="AL1795:AL1858" si="116">IF(AND(O1795="B1",F1795="Rejected"),IF(Z1795="","FALTA_07",""),"")</f>
        <v/>
      </c>
    </row>
    <row r="1796" spans="1:38" x14ac:dyDescent="0.25">
      <c r="A1796" s="8" t="s">
        <v>7257</v>
      </c>
      <c r="B1796" s="8" t="s">
        <v>7258</v>
      </c>
      <c r="C1796" s="8">
        <v>30932557</v>
      </c>
      <c r="D1796" s="8">
        <v>5</v>
      </c>
      <c r="E1796" s="11">
        <v>43115</v>
      </c>
      <c r="F1796" s="8" t="s">
        <v>57</v>
      </c>
      <c r="G1796" s="11">
        <v>43115</v>
      </c>
      <c r="H1796" s="8" t="s">
        <v>25</v>
      </c>
      <c r="J1796" s="8" t="s">
        <v>25</v>
      </c>
      <c r="N1796" s="8" t="s">
        <v>58</v>
      </c>
      <c r="O1796" s="8" t="s">
        <v>59</v>
      </c>
      <c r="P1796" s="8" t="s">
        <v>59</v>
      </c>
      <c r="R1796" s="8">
        <v>0</v>
      </c>
      <c r="S1796" s="8">
        <v>0</v>
      </c>
      <c r="T1796" s="8">
        <v>1</v>
      </c>
      <c r="U1796" s="8">
        <v>2</v>
      </c>
      <c r="AG1796" s="8" t="str">
        <f t="shared" si="113"/>
        <v/>
      </c>
      <c r="AI1796" s="8" t="str">
        <f t="shared" si="114"/>
        <v/>
      </c>
      <c r="AJ1796" s="8" t="str">
        <f t="shared" si="115"/>
        <v/>
      </c>
      <c r="AL1796" s="8" t="str">
        <f t="shared" si="116"/>
        <v/>
      </c>
    </row>
    <row r="1797" spans="1:38" x14ac:dyDescent="0.25">
      <c r="A1797" s="8" t="s">
        <v>1200</v>
      </c>
      <c r="B1797" s="8" t="s">
        <v>1201</v>
      </c>
      <c r="C1797" s="8">
        <v>30834084</v>
      </c>
      <c r="D1797" s="8">
        <v>5</v>
      </c>
      <c r="E1797" s="11">
        <v>43109</v>
      </c>
      <c r="F1797" s="8" t="s">
        <v>58</v>
      </c>
      <c r="G1797" s="11">
        <v>43109</v>
      </c>
      <c r="H1797" s="8" t="s">
        <v>25</v>
      </c>
      <c r="I1797" s="11">
        <v>43109</v>
      </c>
      <c r="J1797" s="8" t="s">
        <v>25</v>
      </c>
      <c r="N1797" s="8" t="s">
        <v>58</v>
      </c>
      <c r="O1797" s="8" t="s">
        <v>59</v>
      </c>
      <c r="P1797" s="8" t="s">
        <v>59</v>
      </c>
      <c r="R1797" s="8">
        <v>0</v>
      </c>
      <c r="S1797" s="8">
        <v>0</v>
      </c>
      <c r="T1797" s="8">
        <v>1</v>
      </c>
      <c r="U1797" s="8">
        <v>2</v>
      </c>
      <c r="X1797" s="8">
        <v>5</v>
      </c>
      <c r="AG1797" s="8" t="str">
        <f t="shared" si="113"/>
        <v/>
      </c>
      <c r="AI1797" s="8" t="str">
        <f t="shared" si="114"/>
        <v/>
      </c>
      <c r="AJ1797" s="8" t="str">
        <f t="shared" si="115"/>
        <v/>
      </c>
      <c r="AL1797" s="8" t="str">
        <f t="shared" si="116"/>
        <v/>
      </c>
    </row>
    <row r="1798" spans="1:38" x14ac:dyDescent="0.25">
      <c r="A1798" s="8" t="s">
        <v>433</v>
      </c>
      <c r="B1798" s="8" t="s">
        <v>434</v>
      </c>
      <c r="C1798" s="8">
        <v>30826181</v>
      </c>
      <c r="D1798" s="8">
        <v>5</v>
      </c>
      <c r="E1798" s="11">
        <v>43108</v>
      </c>
      <c r="F1798" s="8" t="s">
        <v>58</v>
      </c>
      <c r="G1798" s="11">
        <v>43108</v>
      </c>
      <c r="H1798" s="8" t="s">
        <v>25</v>
      </c>
      <c r="I1798" s="11">
        <v>43108</v>
      </c>
      <c r="J1798" s="8" t="s">
        <v>25</v>
      </c>
      <c r="N1798" s="8" t="s">
        <v>58</v>
      </c>
      <c r="O1798" s="8" t="s">
        <v>59</v>
      </c>
      <c r="P1798" s="8" t="s">
        <v>59</v>
      </c>
      <c r="R1798" s="8">
        <v>0</v>
      </c>
      <c r="S1798" s="8">
        <v>0</v>
      </c>
      <c r="T1798" s="8">
        <v>1</v>
      </c>
      <c r="U1798" s="8">
        <v>2</v>
      </c>
      <c r="X1798" s="8">
        <v>5</v>
      </c>
      <c r="AG1798" s="8" t="str">
        <f t="shared" si="113"/>
        <v/>
      </c>
      <c r="AI1798" s="8" t="str">
        <f t="shared" si="114"/>
        <v/>
      </c>
      <c r="AJ1798" s="8" t="str">
        <f t="shared" si="115"/>
        <v/>
      </c>
      <c r="AL1798" s="8" t="str">
        <f t="shared" si="116"/>
        <v/>
      </c>
    </row>
    <row r="1799" spans="1:38" x14ac:dyDescent="0.25">
      <c r="A1799" s="8" t="s">
        <v>7259</v>
      </c>
      <c r="B1799" s="8" t="s">
        <v>7260</v>
      </c>
      <c r="C1799" s="8">
        <v>30931501</v>
      </c>
      <c r="D1799" s="8">
        <v>5</v>
      </c>
      <c r="E1799" s="11">
        <v>43115</v>
      </c>
      <c r="F1799" s="8" t="s">
        <v>57</v>
      </c>
      <c r="G1799" s="11">
        <v>43115</v>
      </c>
      <c r="H1799" s="8" t="s">
        <v>25</v>
      </c>
      <c r="J1799" s="8" t="s">
        <v>25</v>
      </c>
      <c r="N1799" s="8" t="s">
        <v>58</v>
      </c>
      <c r="O1799" s="8" t="s">
        <v>59</v>
      </c>
      <c r="P1799" s="8" t="s">
        <v>59</v>
      </c>
      <c r="R1799" s="8">
        <v>0</v>
      </c>
      <c r="S1799" s="8">
        <v>0</v>
      </c>
      <c r="T1799" s="8">
        <v>1</v>
      </c>
      <c r="U1799" s="8">
        <v>2</v>
      </c>
      <c r="AG1799" s="8" t="str">
        <f t="shared" si="113"/>
        <v/>
      </c>
      <c r="AI1799" s="8" t="str">
        <f t="shared" si="114"/>
        <v/>
      </c>
      <c r="AJ1799" s="8" t="str">
        <f t="shared" si="115"/>
        <v/>
      </c>
      <c r="AL1799" s="8" t="str">
        <f t="shared" si="116"/>
        <v/>
      </c>
    </row>
    <row r="1800" spans="1:38" x14ac:dyDescent="0.25">
      <c r="A1800" s="8" t="s">
        <v>3898</v>
      </c>
      <c r="B1800" s="8" t="s">
        <v>3899</v>
      </c>
      <c r="C1800" s="8">
        <v>30887521</v>
      </c>
      <c r="D1800" s="8">
        <v>5</v>
      </c>
      <c r="E1800" s="11">
        <v>43111</v>
      </c>
      <c r="F1800" s="8" t="s">
        <v>58</v>
      </c>
      <c r="G1800" s="11">
        <v>43111</v>
      </c>
      <c r="H1800" s="8" t="s">
        <v>25</v>
      </c>
      <c r="I1800" s="11">
        <v>43111</v>
      </c>
      <c r="J1800" s="8" t="s">
        <v>25</v>
      </c>
      <c r="N1800" s="8" t="s">
        <v>58</v>
      </c>
      <c r="O1800" s="8" t="s">
        <v>59</v>
      </c>
      <c r="P1800" s="8" t="s">
        <v>59</v>
      </c>
      <c r="R1800" s="8">
        <v>0</v>
      </c>
      <c r="S1800" s="8">
        <v>0</v>
      </c>
      <c r="T1800" s="8">
        <v>1</v>
      </c>
      <c r="U1800" s="8">
        <v>2</v>
      </c>
      <c r="X1800" s="8">
        <v>5</v>
      </c>
      <c r="AG1800" s="8" t="str">
        <f t="shared" si="113"/>
        <v/>
      </c>
      <c r="AI1800" s="8" t="str">
        <f t="shared" si="114"/>
        <v/>
      </c>
      <c r="AJ1800" s="8" t="str">
        <f t="shared" si="115"/>
        <v/>
      </c>
      <c r="AL1800" s="8" t="str">
        <f t="shared" si="116"/>
        <v/>
      </c>
    </row>
    <row r="1801" spans="1:38" x14ac:dyDescent="0.25">
      <c r="A1801" s="8" t="s">
        <v>7261</v>
      </c>
      <c r="B1801" s="8" t="s">
        <v>7262</v>
      </c>
      <c r="C1801" s="8">
        <v>30943258</v>
      </c>
      <c r="D1801" s="8">
        <v>5</v>
      </c>
      <c r="E1801" s="11">
        <v>43115</v>
      </c>
      <c r="F1801" s="8" t="s">
        <v>57</v>
      </c>
      <c r="G1801" s="11">
        <v>43115</v>
      </c>
      <c r="H1801" s="8" t="s">
        <v>25</v>
      </c>
      <c r="J1801" s="8" t="s">
        <v>25</v>
      </c>
      <c r="N1801" s="8" t="s">
        <v>58</v>
      </c>
      <c r="O1801" s="8" t="s">
        <v>59</v>
      </c>
      <c r="P1801" s="8" t="s">
        <v>59</v>
      </c>
      <c r="R1801" s="8">
        <v>0</v>
      </c>
      <c r="S1801" s="8">
        <v>0</v>
      </c>
      <c r="T1801" s="8">
        <v>1</v>
      </c>
      <c r="U1801" s="8">
        <v>2</v>
      </c>
      <c r="AG1801" s="8" t="str">
        <f t="shared" si="113"/>
        <v/>
      </c>
      <c r="AI1801" s="8" t="str">
        <f t="shared" si="114"/>
        <v/>
      </c>
      <c r="AJ1801" s="8" t="str">
        <f t="shared" si="115"/>
        <v/>
      </c>
      <c r="AL1801" s="8" t="str">
        <f t="shared" si="116"/>
        <v/>
      </c>
    </row>
    <row r="1802" spans="1:38" x14ac:dyDescent="0.25">
      <c r="A1802" s="8" t="s">
        <v>5444</v>
      </c>
      <c r="B1802" s="8" t="s">
        <v>5445</v>
      </c>
      <c r="C1802" s="8">
        <v>30925642</v>
      </c>
      <c r="D1802" s="8">
        <v>5</v>
      </c>
      <c r="E1802" s="11">
        <v>43112</v>
      </c>
      <c r="F1802" s="8" t="s">
        <v>58</v>
      </c>
      <c r="G1802" s="11">
        <v>43113</v>
      </c>
      <c r="H1802" s="8" t="s">
        <v>25</v>
      </c>
      <c r="I1802" s="11">
        <v>43113</v>
      </c>
      <c r="J1802" s="8" t="s">
        <v>25</v>
      </c>
      <c r="N1802" s="8" t="s">
        <v>58</v>
      </c>
      <c r="O1802" s="8" t="s">
        <v>59</v>
      </c>
      <c r="P1802" s="8" t="s">
        <v>59</v>
      </c>
      <c r="R1802" s="8">
        <v>0</v>
      </c>
      <c r="S1802" s="8">
        <v>0</v>
      </c>
      <c r="T1802" s="8">
        <v>1</v>
      </c>
      <c r="U1802" s="8">
        <v>2</v>
      </c>
      <c r="X1802" s="8">
        <v>5</v>
      </c>
      <c r="AG1802" s="8" t="str">
        <f t="shared" si="113"/>
        <v/>
      </c>
      <c r="AI1802" s="8" t="str">
        <f t="shared" si="114"/>
        <v/>
      </c>
      <c r="AJ1802" s="8" t="str">
        <f t="shared" si="115"/>
        <v/>
      </c>
      <c r="AL1802" s="8" t="str">
        <f t="shared" si="116"/>
        <v/>
      </c>
    </row>
    <row r="1803" spans="1:38" x14ac:dyDescent="0.25">
      <c r="A1803" s="8" t="s">
        <v>2370</v>
      </c>
      <c r="B1803" s="8" t="s">
        <v>2371</v>
      </c>
      <c r="C1803" s="8">
        <v>30863276</v>
      </c>
      <c r="D1803" s="8">
        <v>5</v>
      </c>
      <c r="E1803" s="11">
        <v>43110</v>
      </c>
      <c r="F1803" s="8" t="s">
        <v>58</v>
      </c>
      <c r="G1803" s="11">
        <v>43110</v>
      </c>
      <c r="H1803" s="8" t="s">
        <v>25</v>
      </c>
      <c r="I1803" s="11">
        <v>43110</v>
      </c>
      <c r="J1803" s="8" t="s">
        <v>25</v>
      </c>
      <c r="N1803" s="8" t="s">
        <v>58</v>
      </c>
      <c r="O1803" s="8" t="s">
        <v>59</v>
      </c>
      <c r="P1803" s="8" t="s">
        <v>59</v>
      </c>
      <c r="R1803" s="8">
        <v>0</v>
      </c>
      <c r="S1803" s="8">
        <v>0</v>
      </c>
      <c r="T1803" s="8">
        <v>1</v>
      </c>
      <c r="U1803" s="8">
        <v>2</v>
      </c>
      <c r="X1803" s="8">
        <v>5</v>
      </c>
      <c r="AG1803" s="8" t="str">
        <f t="shared" si="113"/>
        <v/>
      </c>
      <c r="AI1803" s="8" t="str">
        <f t="shared" si="114"/>
        <v/>
      </c>
      <c r="AJ1803" s="8" t="str">
        <f t="shared" si="115"/>
        <v/>
      </c>
      <c r="AL1803" s="8" t="str">
        <f t="shared" si="116"/>
        <v/>
      </c>
    </row>
    <row r="1804" spans="1:38" x14ac:dyDescent="0.25">
      <c r="A1804" s="8" t="s">
        <v>1202</v>
      </c>
      <c r="B1804" s="8" t="s">
        <v>1203</v>
      </c>
      <c r="C1804" s="8">
        <v>30810012</v>
      </c>
      <c r="D1804" s="8">
        <v>5</v>
      </c>
      <c r="E1804" s="11">
        <v>43108</v>
      </c>
      <c r="F1804" s="8" t="s">
        <v>58</v>
      </c>
      <c r="G1804" s="11">
        <v>43109</v>
      </c>
      <c r="H1804" s="8" t="s">
        <v>25</v>
      </c>
      <c r="I1804" s="11">
        <v>43112</v>
      </c>
      <c r="J1804" s="8" t="s">
        <v>25</v>
      </c>
      <c r="N1804" s="8" t="s">
        <v>58</v>
      </c>
      <c r="O1804" s="8" t="s">
        <v>59</v>
      </c>
      <c r="P1804" s="8" t="s">
        <v>59</v>
      </c>
      <c r="R1804" s="8">
        <v>0</v>
      </c>
      <c r="S1804" s="8">
        <v>0</v>
      </c>
      <c r="T1804" s="8">
        <v>1</v>
      </c>
      <c r="U1804" s="8">
        <v>2</v>
      </c>
      <c r="X1804" s="8">
        <v>5</v>
      </c>
      <c r="AG1804" s="8" t="str">
        <f t="shared" si="113"/>
        <v/>
      </c>
      <c r="AI1804" s="8" t="str">
        <f t="shared" si="114"/>
        <v/>
      </c>
      <c r="AJ1804" s="8" t="str">
        <f t="shared" si="115"/>
        <v/>
      </c>
      <c r="AL1804" s="8" t="str">
        <f t="shared" si="116"/>
        <v/>
      </c>
    </row>
    <row r="1805" spans="1:38" x14ac:dyDescent="0.25">
      <c r="A1805" s="8" t="s">
        <v>7263</v>
      </c>
      <c r="B1805" s="8" t="s">
        <v>7264</v>
      </c>
      <c r="C1805" s="8">
        <v>30940980</v>
      </c>
      <c r="D1805" s="8">
        <v>5</v>
      </c>
      <c r="E1805" s="11">
        <v>43115</v>
      </c>
      <c r="F1805" s="8" t="s">
        <v>57</v>
      </c>
      <c r="G1805" s="11">
        <v>43115</v>
      </c>
      <c r="H1805" s="8" t="s">
        <v>25</v>
      </c>
      <c r="J1805" s="8" t="s">
        <v>25</v>
      </c>
      <c r="N1805" s="8" t="s">
        <v>58</v>
      </c>
      <c r="O1805" s="8" t="s">
        <v>59</v>
      </c>
      <c r="P1805" s="8" t="s">
        <v>59</v>
      </c>
      <c r="R1805" s="8">
        <v>0</v>
      </c>
      <c r="S1805" s="8">
        <v>0</v>
      </c>
      <c r="T1805" s="8">
        <v>1</v>
      </c>
      <c r="U1805" s="8">
        <v>2</v>
      </c>
      <c r="AG1805" s="8" t="str">
        <f t="shared" si="113"/>
        <v/>
      </c>
      <c r="AI1805" s="8" t="str">
        <f t="shared" si="114"/>
        <v/>
      </c>
      <c r="AJ1805" s="8" t="str">
        <f t="shared" si="115"/>
        <v/>
      </c>
      <c r="AL1805" s="8" t="str">
        <f t="shared" si="116"/>
        <v/>
      </c>
    </row>
    <row r="1806" spans="1:38" x14ac:dyDescent="0.25">
      <c r="A1806" s="8" t="s">
        <v>3900</v>
      </c>
      <c r="B1806" s="8" t="s">
        <v>3901</v>
      </c>
      <c r="C1806" s="8">
        <v>30899802</v>
      </c>
      <c r="D1806" s="8">
        <v>5</v>
      </c>
      <c r="E1806" s="11">
        <v>43111</v>
      </c>
      <c r="F1806" s="8" t="s">
        <v>58</v>
      </c>
      <c r="G1806" s="11">
        <v>43111</v>
      </c>
      <c r="H1806" s="8" t="s">
        <v>25</v>
      </c>
      <c r="I1806" s="11">
        <v>43112</v>
      </c>
      <c r="J1806" s="8" t="s">
        <v>25</v>
      </c>
      <c r="N1806" s="8" t="s">
        <v>58</v>
      </c>
      <c r="O1806" s="8" t="s">
        <v>59</v>
      </c>
      <c r="P1806" s="8" t="s">
        <v>59</v>
      </c>
      <c r="R1806" s="8">
        <v>0</v>
      </c>
      <c r="S1806" s="8">
        <v>0</v>
      </c>
      <c r="T1806" s="8">
        <v>1</v>
      </c>
      <c r="U1806" s="8">
        <v>2</v>
      </c>
      <c r="X1806" s="8">
        <v>5</v>
      </c>
      <c r="AG1806" s="8" t="str">
        <f t="shared" si="113"/>
        <v/>
      </c>
      <c r="AI1806" s="8" t="str">
        <f t="shared" si="114"/>
        <v/>
      </c>
      <c r="AJ1806" s="8" t="str">
        <f t="shared" si="115"/>
        <v/>
      </c>
      <c r="AL1806" s="8" t="str">
        <f t="shared" si="116"/>
        <v/>
      </c>
    </row>
    <row r="1807" spans="1:38" x14ac:dyDescent="0.25">
      <c r="A1807" s="8" t="s">
        <v>435</v>
      </c>
      <c r="B1807" s="8" t="s">
        <v>436</v>
      </c>
      <c r="C1807" s="8">
        <v>30823166</v>
      </c>
      <c r="D1807" s="8">
        <v>5</v>
      </c>
      <c r="E1807" s="11">
        <v>43108</v>
      </c>
      <c r="F1807" s="8" t="s">
        <v>58</v>
      </c>
      <c r="G1807" s="11">
        <v>43108</v>
      </c>
      <c r="H1807" s="8" t="s">
        <v>25</v>
      </c>
      <c r="I1807" s="11">
        <v>43108</v>
      </c>
      <c r="J1807" s="8" t="s">
        <v>25</v>
      </c>
      <c r="N1807" s="8" t="s">
        <v>58</v>
      </c>
      <c r="O1807" s="8" t="s">
        <v>59</v>
      </c>
      <c r="P1807" s="8" t="s">
        <v>59</v>
      </c>
      <c r="R1807" s="8">
        <v>0</v>
      </c>
      <c r="S1807" s="8">
        <v>0</v>
      </c>
      <c r="T1807" s="8">
        <v>1</v>
      </c>
      <c r="U1807" s="8">
        <v>2</v>
      </c>
      <c r="X1807" s="8">
        <v>5</v>
      </c>
      <c r="AG1807" s="8" t="str">
        <f t="shared" si="113"/>
        <v/>
      </c>
      <c r="AI1807" s="8" t="str">
        <f t="shared" si="114"/>
        <v/>
      </c>
      <c r="AJ1807" s="8" t="str">
        <f t="shared" si="115"/>
        <v/>
      </c>
      <c r="AL1807" s="8" t="str">
        <f t="shared" si="116"/>
        <v/>
      </c>
    </row>
    <row r="1808" spans="1:38" x14ac:dyDescent="0.25">
      <c r="A1808" s="8" t="s">
        <v>7265</v>
      </c>
      <c r="B1808" s="8" t="s">
        <v>7266</v>
      </c>
      <c r="C1808" s="8">
        <v>30945241</v>
      </c>
      <c r="D1808" s="8">
        <v>5</v>
      </c>
      <c r="E1808" s="11">
        <v>43115</v>
      </c>
      <c r="F1808" s="8" t="s">
        <v>57</v>
      </c>
      <c r="G1808" s="11">
        <v>43115</v>
      </c>
      <c r="H1808" s="8" t="s">
        <v>25</v>
      </c>
      <c r="J1808" s="8" t="s">
        <v>25</v>
      </c>
      <c r="N1808" s="8" t="s">
        <v>58</v>
      </c>
      <c r="O1808" s="8" t="s">
        <v>59</v>
      </c>
      <c r="P1808" s="8" t="s">
        <v>59</v>
      </c>
      <c r="R1808" s="8">
        <v>0</v>
      </c>
      <c r="S1808" s="8">
        <v>0</v>
      </c>
      <c r="T1808" s="8">
        <v>1</v>
      </c>
      <c r="U1808" s="8">
        <v>2</v>
      </c>
      <c r="AG1808" s="8" t="str">
        <f t="shared" si="113"/>
        <v/>
      </c>
      <c r="AI1808" s="8" t="str">
        <f t="shared" si="114"/>
        <v/>
      </c>
      <c r="AJ1808" s="8" t="str">
        <f t="shared" si="115"/>
        <v/>
      </c>
      <c r="AL1808" s="8" t="str">
        <f t="shared" si="116"/>
        <v/>
      </c>
    </row>
    <row r="1809" spans="1:38" x14ac:dyDescent="0.25">
      <c r="A1809" s="8" t="s">
        <v>3902</v>
      </c>
      <c r="B1809" s="8" t="s">
        <v>3903</v>
      </c>
      <c r="C1809" s="8">
        <v>30895163</v>
      </c>
      <c r="D1809" s="8">
        <v>5</v>
      </c>
      <c r="E1809" s="11">
        <v>43111</v>
      </c>
      <c r="F1809" s="8" t="s">
        <v>58</v>
      </c>
      <c r="G1809" s="11">
        <v>43111</v>
      </c>
      <c r="H1809" s="8" t="s">
        <v>25</v>
      </c>
      <c r="I1809" s="11">
        <v>43111</v>
      </c>
      <c r="J1809" s="8" t="s">
        <v>25</v>
      </c>
      <c r="N1809" s="8" t="s">
        <v>58</v>
      </c>
      <c r="O1809" s="8" t="s">
        <v>59</v>
      </c>
      <c r="P1809" s="8" t="s">
        <v>59</v>
      </c>
      <c r="R1809" s="8">
        <v>0</v>
      </c>
      <c r="S1809" s="8">
        <v>0</v>
      </c>
      <c r="T1809" s="8">
        <v>1</v>
      </c>
      <c r="U1809" s="8">
        <v>2</v>
      </c>
      <c r="X1809" s="8">
        <v>5</v>
      </c>
      <c r="AG1809" s="8" t="str">
        <f t="shared" si="113"/>
        <v/>
      </c>
      <c r="AI1809" s="8" t="str">
        <f t="shared" si="114"/>
        <v/>
      </c>
      <c r="AJ1809" s="8" t="str">
        <f t="shared" si="115"/>
        <v/>
      </c>
      <c r="AL1809" s="8" t="str">
        <f t="shared" si="116"/>
        <v/>
      </c>
    </row>
    <row r="1810" spans="1:38" x14ac:dyDescent="0.25">
      <c r="A1810" s="8" t="s">
        <v>3904</v>
      </c>
      <c r="B1810" s="8" t="s">
        <v>3905</v>
      </c>
      <c r="C1810" s="8">
        <v>30883582</v>
      </c>
      <c r="D1810" s="8">
        <v>5</v>
      </c>
      <c r="E1810" s="11">
        <v>43111</v>
      </c>
      <c r="F1810" s="8" t="s">
        <v>58</v>
      </c>
      <c r="G1810" s="11">
        <v>43111</v>
      </c>
      <c r="H1810" s="8" t="s">
        <v>25</v>
      </c>
      <c r="I1810" s="11">
        <v>43111</v>
      </c>
      <c r="J1810" s="8" t="s">
        <v>25</v>
      </c>
      <c r="N1810" s="8" t="s">
        <v>58</v>
      </c>
      <c r="O1810" s="8" t="s">
        <v>59</v>
      </c>
      <c r="P1810" s="8" t="s">
        <v>59</v>
      </c>
      <c r="R1810" s="8">
        <v>0</v>
      </c>
      <c r="S1810" s="8">
        <v>0</v>
      </c>
      <c r="T1810" s="8">
        <v>1</v>
      </c>
      <c r="U1810" s="8">
        <v>2</v>
      </c>
      <c r="X1810" s="8">
        <v>5</v>
      </c>
      <c r="AG1810" s="8" t="str">
        <f t="shared" si="113"/>
        <v/>
      </c>
      <c r="AI1810" s="8" t="str">
        <f t="shared" si="114"/>
        <v/>
      </c>
      <c r="AJ1810" s="8" t="str">
        <f t="shared" si="115"/>
        <v/>
      </c>
      <c r="AL1810" s="8" t="str">
        <f t="shared" si="116"/>
        <v/>
      </c>
    </row>
    <row r="1811" spans="1:38" x14ac:dyDescent="0.25">
      <c r="A1811" s="8" t="s">
        <v>3906</v>
      </c>
      <c r="B1811" s="8" t="s">
        <v>3907</v>
      </c>
      <c r="C1811" s="8">
        <v>30877972</v>
      </c>
      <c r="D1811" s="8">
        <v>5</v>
      </c>
      <c r="E1811" s="11">
        <v>43110</v>
      </c>
      <c r="F1811" s="8" t="s">
        <v>58</v>
      </c>
      <c r="G1811" s="11">
        <v>43111</v>
      </c>
      <c r="H1811" s="8" t="s">
        <v>25</v>
      </c>
      <c r="I1811" s="11">
        <v>43111</v>
      </c>
      <c r="J1811" s="8" t="s">
        <v>25</v>
      </c>
      <c r="N1811" s="8" t="s">
        <v>58</v>
      </c>
      <c r="O1811" s="8" t="s">
        <v>59</v>
      </c>
      <c r="P1811" s="8" t="s">
        <v>59</v>
      </c>
      <c r="R1811" s="8">
        <v>0</v>
      </c>
      <c r="S1811" s="8">
        <v>0</v>
      </c>
      <c r="T1811" s="8">
        <v>1</v>
      </c>
      <c r="U1811" s="8">
        <v>2</v>
      </c>
      <c r="X1811" s="8">
        <v>5</v>
      </c>
      <c r="AG1811" s="8" t="str">
        <f t="shared" si="113"/>
        <v/>
      </c>
      <c r="AI1811" s="8" t="str">
        <f t="shared" si="114"/>
        <v/>
      </c>
      <c r="AJ1811" s="8" t="str">
        <f t="shared" si="115"/>
        <v/>
      </c>
      <c r="AL1811" s="8" t="str">
        <f t="shared" si="116"/>
        <v/>
      </c>
    </row>
    <row r="1812" spans="1:38" x14ac:dyDescent="0.25">
      <c r="A1812" s="8" t="s">
        <v>2372</v>
      </c>
      <c r="B1812" s="8" t="s">
        <v>2373</v>
      </c>
      <c r="C1812" s="8">
        <v>30855500</v>
      </c>
      <c r="D1812" s="8">
        <v>5</v>
      </c>
      <c r="E1812" s="11">
        <v>43109</v>
      </c>
      <c r="F1812" s="8" t="s">
        <v>58</v>
      </c>
      <c r="G1812" s="11">
        <v>43110</v>
      </c>
      <c r="H1812" s="8" t="s">
        <v>25</v>
      </c>
      <c r="I1812" s="11">
        <v>43110</v>
      </c>
      <c r="J1812" s="8" t="s">
        <v>25</v>
      </c>
      <c r="N1812" s="8" t="s">
        <v>58</v>
      </c>
      <c r="O1812" s="8" t="s">
        <v>59</v>
      </c>
      <c r="P1812" s="8" t="s">
        <v>59</v>
      </c>
      <c r="R1812" s="8">
        <v>0</v>
      </c>
      <c r="S1812" s="8">
        <v>0</v>
      </c>
      <c r="T1812" s="8">
        <v>1</v>
      </c>
      <c r="U1812" s="8">
        <v>2</v>
      </c>
      <c r="X1812" s="8">
        <v>5</v>
      </c>
      <c r="AG1812" s="8" t="str">
        <f t="shared" si="113"/>
        <v/>
      </c>
      <c r="AI1812" s="8" t="str">
        <f t="shared" si="114"/>
        <v/>
      </c>
      <c r="AJ1812" s="8" t="str">
        <f t="shared" si="115"/>
        <v/>
      </c>
      <c r="AL1812" s="8" t="str">
        <f t="shared" si="116"/>
        <v/>
      </c>
    </row>
    <row r="1813" spans="1:38" x14ac:dyDescent="0.25">
      <c r="A1813" s="8" t="s">
        <v>5446</v>
      </c>
      <c r="B1813" s="8" t="s">
        <v>5447</v>
      </c>
      <c r="C1813" s="8">
        <v>30917092</v>
      </c>
      <c r="D1813" s="8">
        <v>5</v>
      </c>
      <c r="E1813" s="11">
        <v>43112</v>
      </c>
      <c r="F1813" s="8" t="s">
        <v>58</v>
      </c>
      <c r="G1813" s="11">
        <v>43112</v>
      </c>
      <c r="H1813" s="8" t="s">
        <v>25</v>
      </c>
      <c r="I1813" s="11">
        <v>43112</v>
      </c>
      <c r="J1813" s="8" t="s">
        <v>25</v>
      </c>
      <c r="N1813" s="8" t="s">
        <v>58</v>
      </c>
      <c r="O1813" s="8" t="s">
        <v>59</v>
      </c>
      <c r="P1813" s="8" t="s">
        <v>59</v>
      </c>
      <c r="R1813" s="8">
        <v>0</v>
      </c>
      <c r="S1813" s="8">
        <v>0</v>
      </c>
      <c r="T1813" s="8">
        <v>1</v>
      </c>
      <c r="U1813" s="8">
        <v>2</v>
      </c>
      <c r="X1813" s="8">
        <v>5</v>
      </c>
      <c r="AG1813" s="8" t="str">
        <f t="shared" si="113"/>
        <v/>
      </c>
      <c r="AI1813" s="8" t="str">
        <f t="shared" si="114"/>
        <v/>
      </c>
      <c r="AJ1813" s="8" t="str">
        <f t="shared" si="115"/>
        <v/>
      </c>
      <c r="AL1813" s="8" t="str">
        <f t="shared" si="116"/>
        <v/>
      </c>
    </row>
    <row r="1814" spans="1:38" x14ac:dyDescent="0.25">
      <c r="A1814" s="8" t="s">
        <v>5448</v>
      </c>
      <c r="B1814" s="8" t="s">
        <v>5449</v>
      </c>
      <c r="C1814" s="8">
        <v>30828637</v>
      </c>
      <c r="D1814" s="8">
        <v>5</v>
      </c>
      <c r="E1814" s="11">
        <v>43108</v>
      </c>
      <c r="F1814" s="8" t="s">
        <v>57</v>
      </c>
      <c r="G1814" s="11">
        <v>43114</v>
      </c>
      <c r="H1814" s="8" t="s">
        <v>856</v>
      </c>
      <c r="J1814" s="8" t="s">
        <v>25</v>
      </c>
      <c r="N1814" s="8" t="s">
        <v>58</v>
      </c>
      <c r="O1814" s="8" t="s">
        <v>59</v>
      </c>
      <c r="P1814" s="8" t="s">
        <v>59</v>
      </c>
      <c r="R1814" s="8">
        <v>0</v>
      </c>
      <c r="S1814" s="8">
        <v>0</v>
      </c>
      <c r="T1814" s="8">
        <v>1</v>
      </c>
      <c r="U1814" s="8">
        <v>2</v>
      </c>
      <c r="AG1814" s="8" t="str">
        <f t="shared" si="113"/>
        <v/>
      </c>
      <c r="AI1814" s="8" t="str">
        <f t="shared" si="114"/>
        <v/>
      </c>
      <c r="AJ1814" s="8" t="str">
        <f t="shared" si="115"/>
        <v/>
      </c>
      <c r="AL1814" s="8" t="str">
        <f t="shared" si="116"/>
        <v/>
      </c>
    </row>
    <row r="1815" spans="1:38" x14ac:dyDescent="0.25">
      <c r="A1815" s="8" t="s">
        <v>7267</v>
      </c>
      <c r="B1815" s="8" t="s">
        <v>7268</v>
      </c>
      <c r="C1815" s="8">
        <v>30947327</v>
      </c>
      <c r="D1815" s="8">
        <v>5</v>
      </c>
      <c r="E1815" s="11">
        <v>43115</v>
      </c>
      <c r="F1815" s="8" t="s">
        <v>57</v>
      </c>
      <c r="G1815" s="11">
        <v>43115</v>
      </c>
      <c r="H1815" s="8" t="s">
        <v>25</v>
      </c>
      <c r="J1815" s="8" t="s">
        <v>25</v>
      </c>
      <c r="N1815" s="8" t="s">
        <v>58</v>
      </c>
      <c r="O1815" s="8" t="s">
        <v>59</v>
      </c>
      <c r="P1815" s="8" t="s">
        <v>59</v>
      </c>
      <c r="R1815" s="8">
        <v>0</v>
      </c>
      <c r="S1815" s="8">
        <v>0</v>
      </c>
      <c r="T1815" s="8">
        <v>1</v>
      </c>
      <c r="U1815" s="8">
        <v>2</v>
      </c>
      <c r="AG1815" s="8" t="str">
        <f t="shared" si="113"/>
        <v/>
      </c>
      <c r="AI1815" s="8" t="str">
        <f t="shared" si="114"/>
        <v/>
      </c>
      <c r="AJ1815" s="8" t="str">
        <f t="shared" si="115"/>
        <v/>
      </c>
      <c r="AL1815" s="8" t="str">
        <f t="shared" si="116"/>
        <v/>
      </c>
    </row>
    <row r="1816" spans="1:38" x14ac:dyDescent="0.25">
      <c r="A1816" s="8" t="s">
        <v>1204</v>
      </c>
      <c r="B1816" s="8" t="s">
        <v>1205</v>
      </c>
      <c r="C1816" s="8">
        <v>30838457</v>
      </c>
      <c r="D1816" s="8">
        <v>5</v>
      </c>
      <c r="E1816" s="11">
        <v>43109</v>
      </c>
      <c r="F1816" s="8" t="s">
        <v>58</v>
      </c>
      <c r="G1816" s="11">
        <v>43109</v>
      </c>
      <c r="H1816" s="8" t="s">
        <v>25</v>
      </c>
      <c r="I1816" s="11">
        <v>43109</v>
      </c>
      <c r="J1816" s="8" t="s">
        <v>25</v>
      </c>
      <c r="N1816" s="8" t="s">
        <v>58</v>
      </c>
      <c r="O1816" s="8" t="s">
        <v>59</v>
      </c>
      <c r="P1816" s="8" t="s">
        <v>59</v>
      </c>
      <c r="R1816" s="8">
        <v>0</v>
      </c>
      <c r="S1816" s="8">
        <v>0</v>
      </c>
      <c r="T1816" s="8">
        <v>1</v>
      </c>
      <c r="U1816" s="8">
        <v>2</v>
      </c>
      <c r="X1816" s="8">
        <v>5</v>
      </c>
      <c r="AG1816" s="8" t="str">
        <f t="shared" si="113"/>
        <v/>
      </c>
      <c r="AI1816" s="8" t="str">
        <f t="shared" si="114"/>
        <v/>
      </c>
      <c r="AJ1816" s="8" t="str">
        <f t="shared" si="115"/>
        <v/>
      </c>
      <c r="AL1816" s="8" t="str">
        <f t="shared" si="116"/>
        <v/>
      </c>
    </row>
    <row r="1817" spans="1:38" x14ac:dyDescent="0.25">
      <c r="A1817" s="8" t="s">
        <v>2374</v>
      </c>
      <c r="B1817" s="8" t="s">
        <v>2375</v>
      </c>
      <c r="C1817" s="8">
        <v>30862988</v>
      </c>
      <c r="D1817" s="8">
        <v>5</v>
      </c>
      <c r="E1817" s="11">
        <v>43110</v>
      </c>
      <c r="F1817" s="8" t="s">
        <v>58</v>
      </c>
      <c r="G1817" s="11">
        <v>43110</v>
      </c>
      <c r="H1817" s="8" t="s">
        <v>25</v>
      </c>
      <c r="I1817" s="11">
        <v>43115</v>
      </c>
      <c r="J1817" s="8" t="s">
        <v>145</v>
      </c>
      <c r="N1817" s="8" t="s">
        <v>58</v>
      </c>
      <c r="O1817" s="8" t="s">
        <v>59</v>
      </c>
      <c r="P1817" s="8" t="s">
        <v>59</v>
      </c>
      <c r="R1817" s="8">
        <v>0</v>
      </c>
      <c r="S1817" s="8">
        <v>0</v>
      </c>
      <c r="T1817" s="8">
        <v>1</v>
      </c>
      <c r="U1817" s="8">
        <v>2</v>
      </c>
      <c r="X1817" s="8">
        <v>5</v>
      </c>
      <c r="AG1817" s="8" t="str">
        <f t="shared" si="113"/>
        <v/>
      </c>
      <c r="AI1817" s="8" t="str">
        <f t="shared" si="114"/>
        <v/>
      </c>
      <c r="AJ1817" s="8" t="str">
        <f t="shared" si="115"/>
        <v/>
      </c>
      <c r="AL1817" s="8" t="str">
        <f t="shared" si="116"/>
        <v/>
      </c>
    </row>
    <row r="1818" spans="1:38" x14ac:dyDescent="0.25">
      <c r="A1818" s="8" t="s">
        <v>5450</v>
      </c>
      <c r="B1818" s="8" t="s">
        <v>5451</v>
      </c>
      <c r="C1818" s="8">
        <v>30820653</v>
      </c>
      <c r="D1818" s="8">
        <v>5</v>
      </c>
      <c r="E1818" s="11">
        <v>43108</v>
      </c>
      <c r="F1818" s="8" t="s">
        <v>57</v>
      </c>
      <c r="G1818" s="11">
        <v>43114</v>
      </c>
      <c r="H1818" s="8" t="s">
        <v>856</v>
      </c>
      <c r="J1818" s="8" t="s">
        <v>25</v>
      </c>
      <c r="N1818" s="8" t="s">
        <v>58</v>
      </c>
      <c r="O1818" s="8" t="s">
        <v>59</v>
      </c>
      <c r="P1818" s="8" t="s">
        <v>59</v>
      </c>
      <c r="R1818" s="8">
        <v>0</v>
      </c>
      <c r="S1818" s="8">
        <v>0</v>
      </c>
      <c r="T1818" s="8">
        <v>1</v>
      </c>
      <c r="U1818" s="8">
        <v>2</v>
      </c>
      <c r="AG1818" s="8" t="str">
        <f t="shared" si="113"/>
        <v/>
      </c>
      <c r="AI1818" s="8" t="str">
        <f t="shared" si="114"/>
        <v/>
      </c>
      <c r="AJ1818" s="8" t="str">
        <f t="shared" si="115"/>
        <v/>
      </c>
      <c r="AL1818" s="8" t="str">
        <f t="shared" si="116"/>
        <v/>
      </c>
    </row>
    <row r="1819" spans="1:38" x14ac:dyDescent="0.25">
      <c r="A1819" s="8" t="s">
        <v>3908</v>
      </c>
      <c r="B1819" s="8" t="s">
        <v>3909</v>
      </c>
      <c r="C1819" s="8">
        <v>30895293</v>
      </c>
      <c r="D1819" s="8">
        <v>5</v>
      </c>
      <c r="E1819" s="11">
        <v>43111</v>
      </c>
      <c r="F1819" s="8" t="s">
        <v>58</v>
      </c>
      <c r="G1819" s="11">
        <v>43111</v>
      </c>
      <c r="H1819" s="8" t="s">
        <v>25</v>
      </c>
      <c r="I1819" s="11">
        <v>43111</v>
      </c>
      <c r="J1819" s="8" t="s">
        <v>25</v>
      </c>
      <c r="N1819" s="8" t="s">
        <v>58</v>
      </c>
      <c r="O1819" s="8" t="s">
        <v>59</v>
      </c>
      <c r="P1819" s="8" t="s">
        <v>59</v>
      </c>
      <c r="R1819" s="8">
        <v>0</v>
      </c>
      <c r="S1819" s="8">
        <v>0</v>
      </c>
      <c r="T1819" s="8">
        <v>1</v>
      </c>
      <c r="U1819" s="8">
        <v>2</v>
      </c>
      <c r="X1819" s="8">
        <v>5</v>
      </c>
      <c r="AG1819" s="8" t="str">
        <f t="shared" si="113"/>
        <v/>
      </c>
      <c r="AI1819" s="8" t="str">
        <f t="shared" si="114"/>
        <v/>
      </c>
      <c r="AJ1819" s="8" t="str">
        <f t="shared" si="115"/>
        <v/>
      </c>
      <c r="AL1819" s="8" t="str">
        <f t="shared" si="116"/>
        <v/>
      </c>
    </row>
    <row r="1820" spans="1:38" x14ac:dyDescent="0.25">
      <c r="A1820" s="8" t="s">
        <v>1206</v>
      </c>
      <c r="B1820" s="8" t="s">
        <v>1207</v>
      </c>
      <c r="C1820" s="8">
        <v>30841482</v>
      </c>
      <c r="D1820" s="8">
        <v>5</v>
      </c>
      <c r="E1820" s="11">
        <v>43109</v>
      </c>
      <c r="F1820" s="8" t="s">
        <v>58</v>
      </c>
      <c r="G1820" s="11">
        <v>43109</v>
      </c>
      <c r="H1820" s="8" t="s">
        <v>25</v>
      </c>
      <c r="I1820" s="11">
        <v>43110</v>
      </c>
      <c r="J1820" s="8" t="s">
        <v>25</v>
      </c>
      <c r="N1820" s="8" t="s">
        <v>58</v>
      </c>
      <c r="O1820" s="8" t="s">
        <v>59</v>
      </c>
      <c r="P1820" s="8" t="s">
        <v>59</v>
      </c>
      <c r="R1820" s="8">
        <v>0</v>
      </c>
      <c r="S1820" s="8">
        <v>0</v>
      </c>
      <c r="T1820" s="8">
        <v>1</v>
      </c>
      <c r="U1820" s="8">
        <v>2</v>
      </c>
      <c r="X1820" s="8">
        <v>5</v>
      </c>
      <c r="AG1820" s="8" t="str">
        <f t="shared" si="113"/>
        <v/>
      </c>
      <c r="AI1820" s="8" t="str">
        <f t="shared" si="114"/>
        <v/>
      </c>
      <c r="AJ1820" s="8" t="str">
        <f t="shared" si="115"/>
        <v/>
      </c>
      <c r="AL1820" s="8" t="str">
        <f t="shared" si="116"/>
        <v/>
      </c>
    </row>
    <row r="1821" spans="1:38" x14ac:dyDescent="0.25">
      <c r="A1821" s="8" t="s">
        <v>2376</v>
      </c>
      <c r="B1821" s="8" t="s">
        <v>2377</v>
      </c>
      <c r="C1821" s="8">
        <v>30852470</v>
      </c>
      <c r="D1821" s="8">
        <v>5</v>
      </c>
      <c r="E1821" s="11">
        <v>43109</v>
      </c>
      <c r="F1821" s="8" t="s">
        <v>58</v>
      </c>
      <c r="G1821" s="11">
        <v>43110</v>
      </c>
      <c r="H1821" s="8" t="s">
        <v>25</v>
      </c>
      <c r="I1821" s="11">
        <v>43112</v>
      </c>
      <c r="J1821" s="8" t="s">
        <v>25</v>
      </c>
      <c r="N1821" s="8" t="s">
        <v>58</v>
      </c>
      <c r="O1821" s="8" t="s">
        <v>59</v>
      </c>
      <c r="P1821" s="8" t="s">
        <v>59</v>
      </c>
      <c r="R1821" s="8">
        <v>0</v>
      </c>
      <c r="S1821" s="8">
        <v>0</v>
      </c>
      <c r="T1821" s="8">
        <v>1</v>
      </c>
      <c r="U1821" s="8">
        <v>2</v>
      </c>
      <c r="X1821" s="8">
        <v>5</v>
      </c>
      <c r="AG1821" s="8" t="str">
        <f t="shared" si="113"/>
        <v/>
      </c>
      <c r="AI1821" s="8" t="str">
        <f t="shared" si="114"/>
        <v/>
      </c>
      <c r="AJ1821" s="8" t="str">
        <f t="shared" si="115"/>
        <v/>
      </c>
      <c r="AL1821" s="8" t="str">
        <f t="shared" si="116"/>
        <v/>
      </c>
    </row>
    <row r="1822" spans="1:38" x14ac:dyDescent="0.25">
      <c r="A1822" s="8" t="s">
        <v>5452</v>
      </c>
      <c r="B1822" s="8" t="s">
        <v>5453</v>
      </c>
      <c r="C1822" s="8">
        <v>30904387</v>
      </c>
      <c r="D1822" s="8">
        <v>5</v>
      </c>
      <c r="E1822" s="11">
        <v>43111</v>
      </c>
      <c r="F1822" s="8" t="s">
        <v>58</v>
      </c>
      <c r="G1822" s="11">
        <v>43112</v>
      </c>
      <c r="H1822" s="8" t="s">
        <v>25</v>
      </c>
      <c r="I1822" s="11">
        <v>43112</v>
      </c>
      <c r="J1822" s="8" t="s">
        <v>25</v>
      </c>
      <c r="N1822" s="8" t="s">
        <v>58</v>
      </c>
      <c r="O1822" s="8" t="s">
        <v>59</v>
      </c>
      <c r="P1822" s="8" t="s">
        <v>59</v>
      </c>
      <c r="R1822" s="8">
        <v>0</v>
      </c>
      <c r="S1822" s="8">
        <v>0</v>
      </c>
      <c r="T1822" s="8">
        <v>1</v>
      </c>
      <c r="U1822" s="8">
        <v>2</v>
      </c>
      <c r="X1822" s="8">
        <v>5</v>
      </c>
      <c r="AG1822" s="8" t="str">
        <f t="shared" si="113"/>
        <v/>
      </c>
      <c r="AI1822" s="8" t="str">
        <f t="shared" si="114"/>
        <v/>
      </c>
      <c r="AJ1822" s="8" t="str">
        <f t="shared" si="115"/>
        <v/>
      </c>
      <c r="AL1822" s="8" t="str">
        <f t="shared" si="116"/>
        <v/>
      </c>
    </row>
    <row r="1823" spans="1:38" x14ac:dyDescent="0.25">
      <c r="A1823" s="8" t="s">
        <v>437</v>
      </c>
      <c r="B1823" s="8" t="s">
        <v>438</v>
      </c>
      <c r="C1823" s="8">
        <v>30817750</v>
      </c>
      <c r="D1823" s="8">
        <v>5</v>
      </c>
      <c r="E1823" s="11">
        <v>43108</v>
      </c>
      <c r="F1823" s="8" t="s">
        <v>58</v>
      </c>
      <c r="G1823" s="11">
        <v>43108</v>
      </c>
      <c r="H1823" s="8" t="s">
        <v>25</v>
      </c>
      <c r="I1823" s="11">
        <v>43111</v>
      </c>
      <c r="J1823" s="8" t="s">
        <v>25</v>
      </c>
      <c r="N1823" s="8" t="s">
        <v>58</v>
      </c>
      <c r="O1823" s="8" t="s">
        <v>59</v>
      </c>
      <c r="P1823" s="8" t="s">
        <v>59</v>
      </c>
      <c r="R1823" s="8">
        <v>0</v>
      </c>
      <c r="S1823" s="8">
        <v>0</v>
      </c>
      <c r="T1823" s="8">
        <v>1</v>
      </c>
      <c r="U1823" s="8">
        <v>2</v>
      </c>
      <c r="X1823" s="8">
        <v>5</v>
      </c>
      <c r="AG1823" s="8" t="str">
        <f t="shared" si="113"/>
        <v/>
      </c>
      <c r="AI1823" s="8" t="str">
        <f t="shared" si="114"/>
        <v/>
      </c>
      <c r="AJ1823" s="8" t="str">
        <f t="shared" si="115"/>
        <v/>
      </c>
      <c r="AL1823" s="8" t="str">
        <f t="shared" si="116"/>
        <v/>
      </c>
    </row>
    <row r="1824" spans="1:38" x14ac:dyDescent="0.25">
      <c r="A1824" s="8" t="s">
        <v>1208</v>
      </c>
      <c r="B1824" s="8" t="s">
        <v>1209</v>
      </c>
      <c r="C1824" s="8">
        <v>30837676</v>
      </c>
      <c r="D1824" s="8">
        <v>5</v>
      </c>
      <c r="E1824" s="11">
        <v>43109</v>
      </c>
      <c r="F1824" s="8" t="s">
        <v>58</v>
      </c>
      <c r="G1824" s="11">
        <v>43109</v>
      </c>
      <c r="H1824" s="8" t="s">
        <v>25</v>
      </c>
      <c r="I1824" s="11">
        <v>43111</v>
      </c>
      <c r="J1824" s="8" t="s">
        <v>25</v>
      </c>
      <c r="N1824" s="8" t="s">
        <v>58</v>
      </c>
      <c r="O1824" s="8" t="s">
        <v>59</v>
      </c>
      <c r="P1824" s="8" t="s">
        <v>59</v>
      </c>
      <c r="R1824" s="8">
        <v>0</v>
      </c>
      <c r="S1824" s="8">
        <v>0</v>
      </c>
      <c r="T1824" s="8">
        <v>1</v>
      </c>
      <c r="U1824" s="8">
        <v>2</v>
      </c>
      <c r="X1824" s="8">
        <v>5</v>
      </c>
      <c r="AG1824" s="8" t="str">
        <f t="shared" si="113"/>
        <v/>
      </c>
      <c r="AI1824" s="8" t="str">
        <f t="shared" si="114"/>
        <v/>
      </c>
      <c r="AJ1824" s="8" t="str">
        <f t="shared" si="115"/>
        <v/>
      </c>
      <c r="AL1824" s="8" t="str">
        <f t="shared" si="116"/>
        <v/>
      </c>
    </row>
    <row r="1825" spans="1:38" x14ac:dyDescent="0.25">
      <c r="A1825" s="8" t="s">
        <v>5454</v>
      </c>
      <c r="B1825" s="8" t="s">
        <v>5455</v>
      </c>
      <c r="C1825" s="8">
        <v>30928569</v>
      </c>
      <c r="D1825" s="8">
        <v>5</v>
      </c>
      <c r="E1825" s="11">
        <v>43114</v>
      </c>
      <c r="F1825" s="8" t="s">
        <v>58</v>
      </c>
      <c r="G1825" s="11">
        <v>43114</v>
      </c>
      <c r="H1825" s="8" t="s">
        <v>25</v>
      </c>
      <c r="I1825" s="11">
        <v>43115</v>
      </c>
      <c r="J1825" s="8" t="s">
        <v>25</v>
      </c>
      <c r="N1825" s="8" t="s">
        <v>58</v>
      </c>
      <c r="O1825" s="8" t="s">
        <v>59</v>
      </c>
      <c r="P1825" s="8" t="s">
        <v>59</v>
      </c>
      <c r="R1825" s="8">
        <v>0</v>
      </c>
      <c r="S1825" s="8">
        <v>0</v>
      </c>
      <c r="T1825" s="8">
        <v>1</v>
      </c>
      <c r="U1825" s="8">
        <v>2</v>
      </c>
      <c r="X1825" s="8">
        <v>5</v>
      </c>
      <c r="AG1825" s="8" t="str">
        <f t="shared" si="113"/>
        <v/>
      </c>
      <c r="AI1825" s="8" t="str">
        <f t="shared" si="114"/>
        <v/>
      </c>
      <c r="AJ1825" s="8" t="str">
        <f t="shared" si="115"/>
        <v/>
      </c>
      <c r="AL1825" s="8" t="str">
        <f t="shared" si="116"/>
        <v/>
      </c>
    </row>
    <row r="1826" spans="1:38" x14ac:dyDescent="0.25">
      <c r="A1826" s="8" t="s">
        <v>5456</v>
      </c>
      <c r="B1826" s="8" t="s">
        <v>5457</v>
      </c>
      <c r="C1826" s="8">
        <v>30827558</v>
      </c>
      <c r="D1826" s="8">
        <v>5</v>
      </c>
      <c r="E1826" s="11">
        <v>43108</v>
      </c>
      <c r="F1826" s="8" t="s">
        <v>57</v>
      </c>
      <c r="G1826" s="11">
        <v>43114</v>
      </c>
      <c r="H1826" s="8" t="s">
        <v>856</v>
      </c>
      <c r="J1826" s="8" t="s">
        <v>25</v>
      </c>
      <c r="N1826" s="8" t="s">
        <v>58</v>
      </c>
      <c r="O1826" s="8" t="s">
        <v>59</v>
      </c>
      <c r="P1826" s="8" t="s">
        <v>59</v>
      </c>
      <c r="R1826" s="8">
        <v>0</v>
      </c>
      <c r="S1826" s="8">
        <v>0</v>
      </c>
      <c r="T1826" s="8">
        <v>1</v>
      </c>
      <c r="U1826" s="8">
        <v>2</v>
      </c>
      <c r="AG1826" s="8" t="str">
        <f t="shared" si="113"/>
        <v/>
      </c>
      <c r="AI1826" s="8" t="str">
        <f t="shared" si="114"/>
        <v/>
      </c>
      <c r="AJ1826" s="8" t="str">
        <f t="shared" si="115"/>
        <v/>
      </c>
      <c r="AL1826" s="8" t="str">
        <f t="shared" si="116"/>
        <v/>
      </c>
    </row>
    <row r="1827" spans="1:38" x14ac:dyDescent="0.25">
      <c r="A1827" s="8" t="s">
        <v>3910</v>
      </c>
      <c r="B1827" s="8" t="s">
        <v>3911</v>
      </c>
      <c r="C1827" s="8">
        <v>30898897</v>
      </c>
      <c r="D1827" s="8">
        <v>5</v>
      </c>
      <c r="E1827" s="11">
        <v>43111</v>
      </c>
      <c r="F1827" s="8" t="s">
        <v>58</v>
      </c>
      <c r="G1827" s="11">
        <v>43111</v>
      </c>
      <c r="H1827" s="8" t="s">
        <v>25</v>
      </c>
      <c r="I1827" s="11">
        <v>43111</v>
      </c>
      <c r="J1827" s="8" t="s">
        <v>25</v>
      </c>
      <c r="N1827" s="8" t="s">
        <v>58</v>
      </c>
      <c r="O1827" s="8" t="s">
        <v>59</v>
      </c>
      <c r="P1827" s="8" t="s">
        <v>59</v>
      </c>
      <c r="R1827" s="8">
        <v>0</v>
      </c>
      <c r="S1827" s="8">
        <v>0</v>
      </c>
      <c r="T1827" s="8">
        <v>1</v>
      </c>
      <c r="U1827" s="8">
        <v>2</v>
      </c>
      <c r="X1827" s="8">
        <v>5</v>
      </c>
      <c r="AG1827" s="8" t="str">
        <f t="shared" si="113"/>
        <v/>
      </c>
      <c r="AI1827" s="8" t="str">
        <f t="shared" si="114"/>
        <v/>
      </c>
      <c r="AJ1827" s="8" t="str">
        <f t="shared" si="115"/>
        <v/>
      </c>
      <c r="AL1827" s="8" t="str">
        <f t="shared" si="116"/>
        <v/>
      </c>
    </row>
    <row r="1828" spans="1:38" x14ac:dyDescent="0.25">
      <c r="A1828" s="8" t="s">
        <v>5458</v>
      </c>
      <c r="B1828" s="8" t="s">
        <v>5459</v>
      </c>
      <c r="C1828" s="8">
        <v>30840733</v>
      </c>
      <c r="D1828" s="8">
        <v>5</v>
      </c>
      <c r="E1828" s="11">
        <v>43109</v>
      </c>
      <c r="F1828" s="8" t="s">
        <v>57</v>
      </c>
      <c r="G1828" s="11">
        <v>43114</v>
      </c>
      <c r="H1828" s="8" t="s">
        <v>145</v>
      </c>
      <c r="J1828" s="8" t="s">
        <v>25</v>
      </c>
      <c r="N1828" s="8" t="s">
        <v>58</v>
      </c>
      <c r="O1828" s="8" t="s">
        <v>59</v>
      </c>
      <c r="P1828" s="8" t="s">
        <v>59</v>
      </c>
      <c r="R1828" s="8">
        <v>0</v>
      </c>
      <c r="S1828" s="8">
        <v>0</v>
      </c>
      <c r="T1828" s="8">
        <v>1</v>
      </c>
      <c r="U1828" s="8">
        <v>2</v>
      </c>
      <c r="AG1828" s="8" t="str">
        <f t="shared" si="113"/>
        <v/>
      </c>
      <c r="AI1828" s="8" t="str">
        <f t="shared" si="114"/>
        <v/>
      </c>
      <c r="AJ1828" s="8" t="str">
        <f t="shared" si="115"/>
        <v/>
      </c>
      <c r="AL1828" s="8" t="str">
        <f t="shared" si="116"/>
        <v/>
      </c>
    </row>
    <row r="1829" spans="1:38" x14ac:dyDescent="0.25">
      <c r="A1829" s="8" t="s">
        <v>7269</v>
      </c>
      <c r="B1829" s="8" t="s">
        <v>7270</v>
      </c>
      <c r="C1829" s="8">
        <v>30932644</v>
      </c>
      <c r="D1829" s="8">
        <v>5</v>
      </c>
      <c r="E1829" s="11">
        <v>43115</v>
      </c>
      <c r="F1829" s="8" t="s">
        <v>57</v>
      </c>
      <c r="G1829" s="11">
        <v>43115</v>
      </c>
      <c r="H1829" s="8" t="s">
        <v>25</v>
      </c>
      <c r="J1829" s="8" t="s">
        <v>25</v>
      </c>
      <c r="N1829" s="8" t="s">
        <v>58</v>
      </c>
      <c r="O1829" s="8" t="s">
        <v>59</v>
      </c>
      <c r="P1829" s="8" t="s">
        <v>59</v>
      </c>
      <c r="R1829" s="8">
        <v>0</v>
      </c>
      <c r="S1829" s="8">
        <v>0</v>
      </c>
      <c r="T1829" s="8">
        <v>1</v>
      </c>
      <c r="U1829" s="8">
        <v>2</v>
      </c>
      <c r="AG1829" s="8" t="str">
        <f t="shared" si="113"/>
        <v/>
      </c>
      <c r="AI1829" s="8" t="str">
        <f t="shared" si="114"/>
        <v/>
      </c>
      <c r="AJ1829" s="8" t="str">
        <f t="shared" si="115"/>
        <v/>
      </c>
      <c r="AL1829" s="8" t="str">
        <f t="shared" si="116"/>
        <v/>
      </c>
    </row>
    <row r="1830" spans="1:38" x14ac:dyDescent="0.25">
      <c r="A1830" s="8" t="s">
        <v>1210</v>
      </c>
      <c r="B1830" s="8" t="s">
        <v>1211</v>
      </c>
      <c r="C1830" s="8">
        <v>30851127</v>
      </c>
      <c r="D1830" s="8">
        <v>5</v>
      </c>
      <c r="E1830" s="11">
        <v>43109</v>
      </c>
      <c r="F1830" s="8" t="s">
        <v>58</v>
      </c>
      <c r="G1830" s="11">
        <v>43109</v>
      </c>
      <c r="H1830" s="8" t="s">
        <v>25</v>
      </c>
      <c r="I1830" s="11">
        <v>43110</v>
      </c>
      <c r="J1830" s="8" t="s">
        <v>25</v>
      </c>
      <c r="N1830" s="8" t="s">
        <v>58</v>
      </c>
      <c r="O1830" s="8" t="s">
        <v>59</v>
      </c>
      <c r="P1830" s="8" t="s">
        <v>59</v>
      </c>
      <c r="R1830" s="8">
        <v>0</v>
      </c>
      <c r="S1830" s="8">
        <v>0</v>
      </c>
      <c r="T1830" s="8">
        <v>1</v>
      </c>
      <c r="U1830" s="8">
        <v>2</v>
      </c>
      <c r="X1830" s="8">
        <v>5</v>
      </c>
      <c r="AG1830" s="8" t="str">
        <f t="shared" si="113"/>
        <v/>
      </c>
      <c r="AI1830" s="8" t="str">
        <f t="shared" si="114"/>
        <v/>
      </c>
      <c r="AJ1830" s="8" t="str">
        <f t="shared" si="115"/>
        <v/>
      </c>
      <c r="AL1830" s="8" t="str">
        <f t="shared" si="116"/>
        <v/>
      </c>
    </row>
    <row r="1831" spans="1:38" x14ac:dyDescent="0.25">
      <c r="A1831" s="8" t="s">
        <v>2378</v>
      </c>
      <c r="B1831" s="8" t="s">
        <v>2379</v>
      </c>
      <c r="C1831" s="8">
        <v>30862621</v>
      </c>
      <c r="D1831" s="8">
        <v>5</v>
      </c>
      <c r="E1831" s="11">
        <v>43110</v>
      </c>
      <c r="F1831" s="8" t="s">
        <v>58</v>
      </c>
      <c r="G1831" s="11">
        <v>43110</v>
      </c>
      <c r="H1831" s="8" t="s">
        <v>25</v>
      </c>
      <c r="I1831" s="11">
        <v>43111</v>
      </c>
      <c r="J1831" s="8" t="s">
        <v>25</v>
      </c>
      <c r="N1831" s="8" t="s">
        <v>58</v>
      </c>
      <c r="O1831" s="8" t="s">
        <v>59</v>
      </c>
      <c r="P1831" s="8" t="s">
        <v>59</v>
      </c>
      <c r="R1831" s="8">
        <v>0</v>
      </c>
      <c r="S1831" s="8">
        <v>0</v>
      </c>
      <c r="T1831" s="8">
        <v>1</v>
      </c>
      <c r="U1831" s="8">
        <v>2</v>
      </c>
      <c r="X1831" s="8">
        <v>5</v>
      </c>
      <c r="AG1831" s="8" t="str">
        <f t="shared" si="113"/>
        <v/>
      </c>
      <c r="AI1831" s="8" t="str">
        <f t="shared" si="114"/>
        <v/>
      </c>
      <c r="AJ1831" s="8" t="str">
        <f t="shared" si="115"/>
        <v/>
      </c>
      <c r="AL1831" s="8" t="str">
        <f t="shared" si="116"/>
        <v/>
      </c>
    </row>
    <row r="1832" spans="1:38" x14ac:dyDescent="0.25">
      <c r="A1832" s="8" t="s">
        <v>7271</v>
      </c>
      <c r="B1832" s="8" t="s">
        <v>7272</v>
      </c>
      <c r="C1832" s="8">
        <v>30930568</v>
      </c>
      <c r="D1832" s="8">
        <v>5</v>
      </c>
      <c r="E1832" s="11">
        <v>43115</v>
      </c>
      <c r="F1832" s="8" t="s">
        <v>57</v>
      </c>
      <c r="G1832" s="11">
        <v>43115</v>
      </c>
      <c r="H1832" s="8" t="s">
        <v>25</v>
      </c>
      <c r="J1832" s="8" t="s">
        <v>25</v>
      </c>
      <c r="N1832" s="8" t="s">
        <v>58</v>
      </c>
      <c r="O1832" s="8" t="s">
        <v>59</v>
      </c>
      <c r="P1832" s="8" t="s">
        <v>59</v>
      </c>
      <c r="R1832" s="8">
        <v>0</v>
      </c>
      <c r="S1832" s="8">
        <v>0</v>
      </c>
      <c r="T1832" s="8">
        <v>1</v>
      </c>
      <c r="U1832" s="8">
        <v>2</v>
      </c>
      <c r="AG1832" s="8" t="str">
        <f t="shared" si="113"/>
        <v/>
      </c>
      <c r="AI1832" s="8" t="str">
        <f t="shared" si="114"/>
        <v/>
      </c>
      <c r="AJ1832" s="8" t="str">
        <f t="shared" si="115"/>
        <v/>
      </c>
      <c r="AL1832" s="8" t="str">
        <f t="shared" si="116"/>
        <v/>
      </c>
    </row>
    <row r="1833" spans="1:38" x14ac:dyDescent="0.25">
      <c r="A1833" s="8" t="s">
        <v>7273</v>
      </c>
      <c r="B1833" s="8" t="s">
        <v>7274</v>
      </c>
      <c r="C1833" s="8">
        <v>30931006</v>
      </c>
      <c r="D1833" s="8">
        <v>5</v>
      </c>
      <c r="E1833" s="11">
        <v>43115</v>
      </c>
      <c r="F1833" s="8" t="s">
        <v>57</v>
      </c>
      <c r="G1833" s="11">
        <v>43115</v>
      </c>
      <c r="H1833" s="8" t="s">
        <v>25</v>
      </c>
      <c r="J1833" s="8" t="s">
        <v>25</v>
      </c>
      <c r="N1833" s="8" t="s">
        <v>58</v>
      </c>
      <c r="O1833" s="8" t="s">
        <v>59</v>
      </c>
      <c r="P1833" s="8" t="s">
        <v>59</v>
      </c>
      <c r="R1833" s="8">
        <v>0</v>
      </c>
      <c r="S1833" s="8">
        <v>0</v>
      </c>
      <c r="T1833" s="8">
        <v>1</v>
      </c>
      <c r="U1833" s="8">
        <v>2</v>
      </c>
      <c r="AG1833" s="8" t="str">
        <f t="shared" si="113"/>
        <v/>
      </c>
      <c r="AI1833" s="8" t="str">
        <f t="shared" si="114"/>
        <v/>
      </c>
      <c r="AJ1833" s="8" t="str">
        <f t="shared" si="115"/>
        <v/>
      </c>
      <c r="AL1833" s="8" t="str">
        <f t="shared" si="116"/>
        <v/>
      </c>
    </row>
    <row r="1834" spans="1:38" x14ac:dyDescent="0.25">
      <c r="A1834" s="8" t="s">
        <v>7275</v>
      </c>
      <c r="B1834" s="8" t="s">
        <v>7276</v>
      </c>
      <c r="C1834" s="8">
        <v>30936846</v>
      </c>
      <c r="D1834" s="8">
        <v>5</v>
      </c>
      <c r="E1834" s="11">
        <v>43115</v>
      </c>
      <c r="F1834" s="8" t="s">
        <v>58</v>
      </c>
      <c r="G1834" s="11">
        <v>43115</v>
      </c>
      <c r="H1834" s="8" t="s">
        <v>25</v>
      </c>
      <c r="I1834" s="11">
        <v>43115</v>
      </c>
      <c r="J1834" s="8" t="s">
        <v>25</v>
      </c>
      <c r="N1834" s="8" t="s">
        <v>58</v>
      </c>
      <c r="O1834" s="8" t="s">
        <v>59</v>
      </c>
      <c r="P1834" s="8" t="s">
        <v>59</v>
      </c>
      <c r="R1834" s="8">
        <v>0</v>
      </c>
      <c r="S1834" s="8">
        <v>0</v>
      </c>
      <c r="T1834" s="8">
        <v>1</v>
      </c>
      <c r="U1834" s="8">
        <v>2</v>
      </c>
      <c r="X1834" s="8">
        <v>5</v>
      </c>
      <c r="AG1834" s="8" t="str">
        <f t="shared" si="113"/>
        <v/>
      </c>
      <c r="AI1834" s="8" t="str">
        <f t="shared" si="114"/>
        <v/>
      </c>
      <c r="AJ1834" s="8" t="str">
        <f t="shared" si="115"/>
        <v/>
      </c>
      <c r="AL1834" s="8" t="str">
        <f t="shared" si="116"/>
        <v/>
      </c>
    </row>
    <row r="1835" spans="1:38" x14ac:dyDescent="0.25">
      <c r="A1835" s="8" t="s">
        <v>439</v>
      </c>
      <c r="B1835" s="8" t="s">
        <v>440</v>
      </c>
      <c r="C1835" s="8">
        <v>30828228</v>
      </c>
      <c r="D1835" s="8">
        <v>5</v>
      </c>
      <c r="E1835" s="11">
        <v>43108</v>
      </c>
      <c r="F1835" s="8" t="s">
        <v>58</v>
      </c>
      <c r="G1835" s="11">
        <v>43108</v>
      </c>
      <c r="H1835" s="8" t="s">
        <v>25</v>
      </c>
      <c r="I1835" s="11">
        <v>43110</v>
      </c>
      <c r="J1835" s="8" t="s">
        <v>25</v>
      </c>
      <c r="N1835" s="8" t="s">
        <v>58</v>
      </c>
      <c r="O1835" s="8" t="s">
        <v>59</v>
      </c>
      <c r="P1835" s="8" t="s">
        <v>59</v>
      </c>
      <c r="R1835" s="8">
        <v>0</v>
      </c>
      <c r="S1835" s="8">
        <v>0</v>
      </c>
      <c r="T1835" s="8">
        <v>1</v>
      </c>
      <c r="U1835" s="8">
        <v>2</v>
      </c>
      <c r="X1835" s="8">
        <v>5</v>
      </c>
      <c r="AG1835" s="8" t="str">
        <f t="shared" si="113"/>
        <v/>
      </c>
      <c r="AI1835" s="8" t="str">
        <f t="shared" si="114"/>
        <v/>
      </c>
      <c r="AJ1835" s="8" t="str">
        <f t="shared" si="115"/>
        <v/>
      </c>
      <c r="AL1835" s="8" t="str">
        <f t="shared" si="116"/>
        <v/>
      </c>
    </row>
    <row r="1836" spans="1:38" x14ac:dyDescent="0.25">
      <c r="A1836" s="8" t="s">
        <v>5460</v>
      </c>
      <c r="B1836" s="8" t="s">
        <v>5461</v>
      </c>
      <c r="C1836" s="8">
        <v>30861036</v>
      </c>
      <c r="D1836" s="8">
        <v>5</v>
      </c>
      <c r="E1836" s="11">
        <v>43110</v>
      </c>
      <c r="F1836" s="8" t="s">
        <v>57</v>
      </c>
      <c r="G1836" s="11">
        <v>43114</v>
      </c>
      <c r="H1836" s="8" t="s">
        <v>25</v>
      </c>
      <c r="J1836" s="8" t="s">
        <v>25</v>
      </c>
      <c r="N1836" s="8" t="s">
        <v>58</v>
      </c>
      <c r="O1836" s="8" t="s">
        <v>59</v>
      </c>
      <c r="P1836" s="8" t="s">
        <v>59</v>
      </c>
      <c r="R1836" s="8">
        <v>0</v>
      </c>
      <c r="S1836" s="8">
        <v>0</v>
      </c>
      <c r="T1836" s="8">
        <v>1</v>
      </c>
      <c r="U1836" s="8">
        <v>2</v>
      </c>
      <c r="AG1836" s="8" t="str">
        <f t="shared" si="113"/>
        <v/>
      </c>
      <c r="AI1836" s="8" t="str">
        <f t="shared" si="114"/>
        <v/>
      </c>
      <c r="AJ1836" s="8" t="str">
        <f t="shared" si="115"/>
        <v/>
      </c>
      <c r="AL1836" s="8" t="str">
        <f t="shared" si="116"/>
        <v/>
      </c>
    </row>
    <row r="1837" spans="1:38" x14ac:dyDescent="0.25">
      <c r="A1837" s="8" t="s">
        <v>5462</v>
      </c>
      <c r="B1837" s="8" t="s">
        <v>5463</v>
      </c>
      <c r="C1837" s="8">
        <v>30838542</v>
      </c>
      <c r="D1837" s="8">
        <v>5</v>
      </c>
      <c r="E1837" s="11">
        <v>43109</v>
      </c>
      <c r="F1837" s="8" t="s">
        <v>57</v>
      </c>
      <c r="G1837" s="11">
        <v>43114</v>
      </c>
      <c r="H1837" s="8" t="s">
        <v>145</v>
      </c>
      <c r="J1837" s="8" t="s">
        <v>25</v>
      </c>
      <c r="N1837" s="8" t="s">
        <v>58</v>
      </c>
      <c r="O1837" s="8" t="s">
        <v>59</v>
      </c>
      <c r="P1837" s="8" t="s">
        <v>59</v>
      </c>
      <c r="R1837" s="8">
        <v>0</v>
      </c>
      <c r="S1837" s="8">
        <v>0</v>
      </c>
      <c r="T1837" s="8">
        <v>1</v>
      </c>
      <c r="U1837" s="8">
        <v>2</v>
      </c>
      <c r="AG1837" s="8" t="str">
        <f t="shared" si="113"/>
        <v/>
      </c>
      <c r="AI1837" s="8" t="str">
        <f t="shared" si="114"/>
        <v/>
      </c>
      <c r="AJ1837" s="8" t="str">
        <f t="shared" si="115"/>
        <v/>
      </c>
      <c r="AL1837" s="8" t="str">
        <f t="shared" si="116"/>
        <v/>
      </c>
    </row>
    <row r="1838" spans="1:38" x14ac:dyDescent="0.25">
      <c r="A1838" s="8" t="s">
        <v>3912</v>
      </c>
      <c r="B1838" s="8" t="s">
        <v>3913</v>
      </c>
      <c r="C1838" s="8">
        <v>30900283</v>
      </c>
      <c r="D1838" s="8">
        <v>5</v>
      </c>
      <c r="E1838" s="11">
        <v>43111</v>
      </c>
      <c r="F1838" s="8" t="s">
        <v>58</v>
      </c>
      <c r="G1838" s="11">
        <v>43111</v>
      </c>
      <c r="H1838" s="8" t="s">
        <v>25</v>
      </c>
      <c r="I1838" s="11">
        <v>43111</v>
      </c>
      <c r="J1838" s="8" t="s">
        <v>25</v>
      </c>
      <c r="N1838" s="8" t="s">
        <v>58</v>
      </c>
      <c r="O1838" s="8" t="s">
        <v>59</v>
      </c>
      <c r="P1838" s="8" t="s">
        <v>59</v>
      </c>
      <c r="R1838" s="8">
        <v>0</v>
      </c>
      <c r="S1838" s="8">
        <v>0</v>
      </c>
      <c r="T1838" s="8">
        <v>1</v>
      </c>
      <c r="U1838" s="8">
        <v>2</v>
      </c>
      <c r="X1838" s="8">
        <v>5</v>
      </c>
      <c r="AG1838" s="8" t="str">
        <f t="shared" si="113"/>
        <v/>
      </c>
      <c r="AI1838" s="8" t="str">
        <f t="shared" si="114"/>
        <v/>
      </c>
      <c r="AJ1838" s="8" t="str">
        <f t="shared" si="115"/>
        <v/>
      </c>
      <c r="AL1838" s="8" t="str">
        <f t="shared" si="116"/>
        <v/>
      </c>
    </row>
    <row r="1839" spans="1:38" x14ac:dyDescent="0.25">
      <c r="A1839" s="8" t="s">
        <v>3914</v>
      </c>
      <c r="B1839" s="8" t="s">
        <v>3915</v>
      </c>
      <c r="C1839" s="8">
        <v>30893625</v>
      </c>
      <c r="D1839" s="8">
        <v>5</v>
      </c>
      <c r="E1839" s="11">
        <v>43111</v>
      </c>
      <c r="F1839" s="8" t="s">
        <v>58</v>
      </c>
      <c r="G1839" s="11">
        <v>43111</v>
      </c>
      <c r="H1839" s="8" t="s">
        <v>25</v>
      </c>
      <c r="I1839" s="11">
        <v>43111</v>
      </c>
      <c r="J1839" s="8" t="s">
        <v>25</v>
      </c>
      <c r="N1839" s="8" t="s">
        <v>58</v>
      </c>
      <c r="O1839" s="8" t="s">
        <v>59</v>
      </c>
      <c r="P1839" s="8" t="s">
        <v>59</v>
      </c>
      <c r="R1839" s="8">
        <v>0</v>
      </c>
      <c r="S1839" s="8">
        <v>0</v>
      </c>
      <c r="T1839" s="8">
        <v>1</v>
      </c>
      <c r="U1839" s="8">
        <v>2</v>
      </c>
      <c r="X1839" s="8">
        <v>5</v>
      </c>
      <c r="AG1839" s="8" t="str">
        <f t="shared" si="113"/>
        <v/>
      </c>
      <c r="AI1839" s="8" t="str">
        <f t="shared" si="114"/>
        <v/>
      </c>
      <c r="AJ1839" s="8" t="str">
        <f t="shared" si="115"/>
        <v/>
      </c>
      <c r="AL1839" s="8" t="str">
        <f t="shared" si="116"/>
        <v/>
      </c>
    </row>
    <row r="1840" spans="1:38" x14ac:dyDescent="0.25">
      <c r="A1840" s="8" t="s">
        <v>2380</v>
      </c>
      <c r="B1840" s="8" t="s">
        <v>2381</v>
      </c>
      <c r="C1840" s="8">
        <v>30862363</v>
      </c>
      <c r="D1840" s="8">
        <v>5</v>
      </c>
      <c r="E1840" s="11">
        <v>43110</v>
      </c>
      <c r="F1840" s="8" t="s">
        <v>60</v>
      </c>
      <c r="G1840" s="11">
        <v>43110</v>
      </c>
      <c r="H1840" s="8" t="s">
        <v>25</v>
      </c>
      <c r="J1840" s="8" t="s">
        <v>145</v>
      </c>
      <c r="L1840" s="8" t="s">
        <v>6525</v>
      </c>
      <c r="N1840" s="8" t="s">
        <v>58</v>
      </c>
      <c r="O1840" s="8" t="s">
        <v>59</v>
      </c>
      <c r="P1840" s="8" t="s">
        <v>59</v>
      </c>
      <c r="R1840" s="8">
        <v>0</v>
      </c>
      <c r="S1840" s="8">
        <v>0</v>
      </c>
      <c r="T1840" s="8">
        <v>1</v>
      </c>
      <c r="U1840" s="8">
        <v>2</v>
      </c>
      <c r="W1840" s="8">
        <v>4</v>
      </c>
      <c r="AG1840" s="8" t="str">
        <f t="shared" si="113"/>
        <v/>
      </c>
      <c r="AI1840" s="8" t="str">
        <f t="shared" si="114"/>
        <v/>
      </c>
      <c r="AJ1840" s="8" t="str">
        <f t="shared" si="115"/>
        <v/>
      </c>
      <c r="AL1840" s="8" t="str">
        <f t="shared" si="116"/>
        <v/>
      </c>
    </row>
    <row r="1841" spans="1:38" x14ac:dyDescent="0.25">
      <c r="A1841" s="8" t="s">
        <v>2382</v>
      </c>
      <c r="B1841" s="8" t="s">
        <v>2383</v>
      </c>
      <c r="C1841" s="8">
        <v>30862827</v>
      </c>
      <c r="D1841" s="8">
        <v>5</v>
      </c>
      <c r="E1841" s="11">
        <v>43110</v>
      </c>
      <c r="F1841" s="8" t="s">
        <v>58</v>
      </c>
      <c r="G1841" s="11">
        <v>43110</v>
      </c>
      <c r="H1841" s="8" t="s">
        <v>25</v>
      </c>
      <c r="I1841" s="11">
        <v>43110</v>
      </c>
      <c r="J1841" s="8" t="s">
        <v>25</v>
      </c>
      <c r="N1841" s="8" t="s">
        <v>58</v>
      </c>
      <c r="O1841" s="8" t="s">
        <v>59</v>
      </c>
      <c r="P1841" s="8" t="s">
        <v>59</v>
      </c>
      <c r="R1841" s="8">
        <v>0</v>
      </c>
      <c r="S1841" s="8">
        <v>0</v>
      </c>
      <c r="T1841" s="8">
        <v>1</v>
      </c>
      <c r="U1841" s="8">
        <v>2</v>
      </c>
      <c r="X1841" s="8">
        <v>5</v>
      </c>
      <c r="AG1841" s="8" t="str">
        <f t="shared" si="113"/>
        <v/>
      </c>
      <c r="AI1841" s="8" t="str">
        <f t="shared" si="114"/>
        <v/>
      </c>
      <c r="AJ1841" s="8" t="str">
        <f t="shared" si="115"/>
        <v/>
      </c>
      <c r="AL1841" s="8" t="str">
        <f t="shared" si="116"/>
        <v/>
      </c>
    </row>
    <row r="1842" spans="1:38" x14ac:dyDescent="0.25">
      <c r="A1842" s="8" t="s">
        <v>1212</v>
      </c>
      <c r="B1842" s="8" t="s">
        <v>1213</v>
      </c>
      <c r="C1842" s="8">
        <v>30841483</v>
      </c>
      <c r="D1842" s="8">
        <v>5</v>
      </c>
      <c r="E1842" s="11">
        <v>43109</v>
      </c>
      <c r="F1842" s="8" t="s">
        <v>58</v>
      </c>
      <c r="G1842" s="11">
        <v>43109</v>
      </c>
      <c r="H1842" s="8" t="s">
        <v>25</v>
      </c>
      <c r="I1842" s="11">
        <v>43111</v>
      </c>
      <c r="J1842" s="8" t="s">
        <v>25</v>
      </c>
      <c r="N1842" s="8" t="s">
        <v>58</v>
      </c>
      <c r="O1842" s="8" t="s">
        <v>59</v>
      </c>
      <c r="P1842" s="8" t="s">
        <v>59</v>
      </c>
      <c r="R1842" s="8">
        <v>0</v>
      </c>
      <c r="S1842" s="8">
        <v>0</v>
      </c>
      <c r="T1842" s="8">
        <v>1</v>
      </c>
      <c r="U1842" s="8">
        <v>2</v>
      </c>
      <c r="X1842" s="8">
        <v>5</v>
      </c>
      <c r="AG1842" s="8" t="str">
        <f t="shared" si="113"/>
        <v/>
      </c>
      <c r="AI1842" s="8" t="str">
        <f t="shared" si="114"/>
        <v/>
      </c>
      <c r="AJ1842" s="8" t="str">
        <f t="shared" si="115"/>
        <v/>
      </c>
      <c r="AL1842" s="8" t="str">
        <f t="shared" si="116"/>
        <v/>
      </c>
    </row>
    <row r="1843" spans="1:38" x14ac:dyDescent="0.25">
      <c r="A1843" s="8" t="s">
        <v>1214</v>
      </c>
      <c r="B1843" s="8" t="s">
        <v>1215</v>
      </c>
      <c r="C1843" s="8">
        <v>30852203</v>
      </c>
      <c r="D1843" s="8">
        <v>5</v>
      </c>
      <c r="E1843" s="11">
        <v>43109</v>
      </c>
      <c r="F1843" s="8" t="s">
        <v>58</v>
      </c>
      <c r="G1843" s="11">
        <v>43109</v>
      </c>
      <c r="H1843" s="8" t="s">
        <v>25</v>
      </c>
      <c r="I1843" s="11">
        <v>43109</v>
      </c>
      <c r="J1843" s="8" t="s">
        <v>25</v>
      </c>
      <c r="N1843" s="8" t="s">
        <v>58</v>
      </c>
      <c r="O1843" s="8" t="s">
        <v>59</v>
      </c>
      <c r="P1843" s="8" t="s">
        <v>59</v>
      </c>
      <c r="R1843" s="8">
        <v>0</v>
      </c>
      <c r="S1843" s="8">
        <v>0</v>
      </c>
      <c r="T1843" s="8">
        <v>1</v>
      </c>
      <c r="U1843" s="8">
        <v>2</v>
      </c>
      <c r="X1843" s="8">
        <v>5</v>
      </c>
      <c r="AG1843" s="8" t="str">
        <f t="shared" si="113"/>
        <v/>
      </c>
      <c r="AI1843" s="8" t="str">
        <f t="shared" si="114"/>
        <v/>
      </c>
      <c r="AJ1843" s="8" t="str">
        <f t="shared" si="115"/>
        <v/>
      </c>
      <c r="AL1843" s="8" t="str">
        <f t="shared" si="116"/>
        <v/>
      </c>
    </row>
    <row r="1844" spans="1:38" x14ac:dyDescent="0.25">
      <c r="A1844" s="8" t="s">
        <v>2384</v>
      </c>
      <c r="B1844" s="8" t="s">
        <v>2385</v>
      </c>
      <c r="C1844" s="8">
        <v>30873644</v>
      </c>
      <c r="D1844" s="8">
        <v>5</v>
      </c>
      <c r="E1844" s="11">
        <v>43110</v>
      </c>
      <c r="F1844" s="8" t="s">
        <v>58</v>
      </c>
      <c r="G1844" s="11">
        <v>43110</v>
      </c>
      <c r="H1844" s="8" t="s">
        <v>25</v>
      </c>
      <c r="I1844" s="11">
        <v>43110</v>
      </c>
      <c r="J1844" s="8" t="s">
        <v>25</v>
      </c>
      <c r="N1844" s="8" t="s">
        <v>58</v>
      </c>
      <c r="O1844" s="8" t="s">
        <v>59</v>
      </c>
      <c r="P1844" s="8" t="s">
        <v>59</v>
      </c>
      <c r="R1844" s="8">
        <v>0</v>
      </c>
      <c r="S1844" s="8">
        <v>0</v>
      </c>
      <c r="T1844" s="8">
        <v>1</v>
      </c>
      <c r="U1844" s="8">
        <v>2</v>
      </c>
      <c r="X1844" s="8">
        <v>5</v>
      </c>
      <c r="AG1844" s="8" t="str">
        <f t="shared" si="113"/>
        <v/>
      </c>
      <c r="AI1844" s="8" t="str">
        <f t="shared" si="114"/>
        <v/>
      </c>
      <c r="AJ1844" s="8" t="str">
        <f t="shared" si="115"/>
        <v/>
      </c>
      <c r="AL1844" s="8" t="str">
        <f t="shared" si="116"/>
        <v/>
      </c>
    </row>
    <row r="1845" spans="1:38" x14ac:dyDescent="0.25">
      <c r="A1845" s="8" t="s">
        <v>2386</v>
      </c>
      <c r="B1845" s="8" t="s">
        <v>2387</v>
      </c>
      <c r="C1845" s="8">
        <v>30858318</v>
      </c>
      <c r="D1845" s="8">
        <v>5</v>
      </c>
      <c r="E1845" s="11">
        <v>43110</v>
      </c>
      <c r="F1845" s="8" t="s">
        <v>58</v>
      </c>
      <c r="G1845" s="11">
        <v>43110</v>
      </c>
      <c r="H1845" s="8" t="s">
        <v>25</v>
      </c>
      <c r="I1845" s="11">
        <v>43111</v>
      </c>
      <c r="J1845" s="8" t="s">
        <v>25</v>
      </c>
      <c r="N1845" s="8" t="s">
        <v>58</v>
      </c>
      <c r="O1845" s="8" t="s">
        <v>59</v>
      </c>
      <c r="P1845" s="8" t="s">
        <v>59</v>
      </c>
      <c r="R1845" s="8">
        <v>0</v>
      </c>
      <c r="S1845" s="8">
        <v>0</v>
      </c>
      <c r="T1845" s="8">
        <v>1</v>
      </c>
      <c r="U1845" s="8">
        <v>2</v>
      </c>
      <c r="X1845" s="8">
        <v>5</v>
      </c>
      <c r="AG1845" s="8" t="str">
        <f t="shared" si="113"/>
        <v/>
      </c>
      <c r="AI1845" s="8" t="str">
        <f t="shared" si="114"/>
        <v/>
      </c>
      <c r="AJ1845" s="8" t="str">
        <f t="shared" si="115"/>
        <v/>
      </c>
      <c r="AL1845" s="8" t="str">
        <f t="shared" si="116"/>
        <v/>
      </c>
    </row>
    <row r="1846" spans="1:38" x14ac:dyDescent="0.25">
      <c r="A1846" s="8" t="s">
        <v>441</v>
      </c>
      <c r="B1846" s="8" t="s">
        <v>442</v>
      </c>
      <c r="C1846" s="8">
        <v>30816758</v>
      </c>
      <c r="D1846" s="8">
        <v>5</v>
      </c>
      <c r="E1846" s="11">
        <v>43108</v>
      </c>
      <c r="F1846" s="8" t="s">
        <v>58</v>
      </c>
      <c r="G1846" s="11">
        <v>43108</v>
      </c>
      <c r="H1846" s="8" t="s">
        <v>25</v>
      </c>
      <c r="I1846" s="11">
        <v>43108</v>
      </c>
      <c r="J1846" s="8" t="s">
        <v>25</v>
      </c>
      <c r="N1846" s="8" t="s">
        <v>58</v>
      </c>
      <c r="O1846" s="8" t="s">
        <v>59</v>
      </c>
      <c r="P1846" s="8" t="s">
        <v>59</v>
      </c>
      <c r="R1846" s="8">
        <v>0</v>
      </c>
      <c r="S1846" s="8">
        <v>0</v>
      </c>
      <c r="T1846" s="8">
        <v>1</v>
      </c>
      <c r="U1846" s="8">
        <v>2</v>
      </c>
      <c r="X1846" s="8">
        <v>5</v>
      </c>
      <c r="AG1846" s="8" t="str">
        <f t="shared" si="113"/>
        <v/>
      </c>
      <c r="AI1846" s="8" t="str">
        <f t="shared" si="114"/>
        <v/>
      </c>
      <c r="AJ1846" s="8" t="str">
        <f t="shared" si="115"/>
        <v/>
      </c>
      <c r="AL1846" s="8" t="str">
        <f t="shared" si="116"/>
        <v/>
      </c>
    </row>
    <row r="1847" spans="1:38" x14ac:dyDescent="0.25">
      <c r="A1847" s="8" t="s">
        <v>5464</v>
      </c>
      <c r="B1847" s="8" t="s">
        <v>5465</v>
      </c>
      <c r="C1847" s="8">
        <v>30867155</v>
      </c>
      <c r="D1847" s="8">
        <v>4</v>
      </c>
      <c r="E1847" s="11">
        <v>43110</v>
      </c>
      <c r="F1847" s="8" t="s">
        <v>58</v>
      </c>
      <c r="G1847" s="11">
        <v>43114</v>
      </c>
      <c r="H1847" s="8" t="s">
        <v>25</v>
      </c>
      <c r="I1847" s="11">
        <v>43115</v>
      </c>
      <c r="J1847" s="8" t="s">
        <v>25</v>
      </c>
      <c r="N1847" s="8" t="s">
        <v>58</v>
      </c>
      <c r="O1847" s="8" t="s">
        <v>59</v>
      </c>
      <c r="P1847" s="8" t="s">
        <v>59</v>
      </c>
      <c r="R1847" s="8">
        <v>0</v>
      </c>
      <c r="S1847" s="8">
        <v>0</v>
      </c>
      <c r="T1847" s="8">
        <v>1</v>
      </c>
      <c r="U1847" s="8">
        <v>2</v>
      </c>
      <c r="X1847" s="8">
        <v>5</v>
      </c>
      <c r="AG1847" s="8" t="str">
        <f t="shared" si="113"/>
        <v/>
      </c>
      <c r="AI1847" s="8" t="str">
        <f t="shared" si="114"/>
        <v/>
      </c>
      <c r="AJ1847" s="8" t="str">
        <f t="shared" si="115"/>
        <v/>
      </c>
      <c r="AL1847" s="8" t="str">
        <f t="shared" si="116"/>
        <v/>
      </c>
    </row>
    <row r="1848" spans="1:38" x14ac:dyDescent="0.25">
      <c r="A1848" s="8" t="s">
        <v>7277</v>
      </c>
      <c r="B1848" s="8" t="s">
        <v>7278</v>
      </c>
      <c r="C1848" s="8">
        <v>30931754</v>
      </c>
      <c r="D1848" s="8">
        <v>5</v>
      </c>
      <c r="E1848" s="11">
        <v>43115</v>
      </c>
      <c r="F1848" s="8" t="s">
        <v>58</v>
      </c>
      <c r="G1848" s="11">
        <v>43115</v>
      </c>
      <c r="H1848" s="8" t="s">
        <v>25</v>
      </c>
      <c r="I1848" s="11">
        <v>43115</v>
      </c>
      <c r="J1848" s="8" t="s">
        <v>25</v>
      </c>
      <c r="N1848" s="8" t="s">
        <v>58</v>
      </c>
      <c r="O1848" s="8" t="s">
        <v>59</v>
      </c>
      <c r="P1848" s="8" t="s">
        <v>59</v>
      </c>
      <c r="R1848" s="8">
        <v>0</v>
      </c>
      <c r="S1848" s="8">
        <v>0</v>
      </c>
      <c r="T1848" s="8">
        <v>1</v>
      </c>
      <c r="U1848" s="8">
        <v>2</v>
      </c>
      <c r="X1848" s="8">
        <v>5</v>
      </c>
      <c r="AG1848" s="8" t="str">
        <f t="shared" si="113"/>
        <v/>
      </c>
      <c r="AI1848" s="8" t="str">
        <f t="shared" si="114"/>
        <v/>
      </c>
      <c r="AJ1848" s="8" t="str">
        <f t="shared" si="115"/>
        <v/>
      </c>
      <c r="AL1848" s="8" t="str">
        <f t="shared" si="116"/>
        <v/>
      </c>
    </row>
    <row r="1849" spans="1:38" x14ac:dyDescent="0.25">
      <c r="A1849" s="8" t="s">
        <v>2388</v>
      </c>
      <c r="B1849" s="8" t="s">
        <v>2389</v>
      </c>
      <c r="C1849" s="8">
        <v>30843563</v>
      </c>
      <c r="D1849" s="8">
        <v>5</v>
      </c>
      <c r="E1849" s="11">
        <v>43109</v>
      </c>
      <c r="F1849" s="8" t="s">
        <v>58</v>
      </c>
      <c r="G1849" s="11">
        <v>43110</v>
      </c>
      <c r="H1849" s="8" t="s">
        <v>25</v>
      </c>
      <c r="I1849" s="11">
        <v>43112</v>
      </c>
      <c r="J1849" s="8" t="s">
        <v>25</v>
      </c>
      <c r="N1849" s="8" t="s">
        <v>58</v>
      </c>
      <c r="O1849" s="8" t="s">
        <v>59</v>
      </c>
      <c r="P1849" s="8" t="s">
        <v>59</v>
      </c>
      <c r="R1849" s="8">
        <v>0</v>
      </c>
      <c r="S1849" s="8">
        <v>0</v>
      </c>
      <c r="T1849" s="8">
        <v>1</v>
      </c>
      <c r="U1849" s="8">
        <v>2</v>
      </c>
      <c r="X1849" s="8">
        <v>5</v>
      </c>
      <c r="AG1849" s="8" t="str">
        <f t="shared" si="113"/>
        <v/>
      </c>
      <c r="AI1849" s="8" t="str">
        <f t="shared" si="114"/>
        <v/>
      </c>
      <c r="AJ1849" s="8" t="str">
        <f t="shared" si="115"/>
        <v/>
      </c>
      <c r="AL1849" s="8" t="str">
        <f t="shared" si="116"/>
        <v/>
      </c>
    </row>
    <row r="1850" spans="1:38" x14ac:dyDescent="0.25">
      <c r="A1850" s="8" t="s">
        <v>1216</v>
      </c>
      <c r="B1850" s="8" t="s">
        <v>1217</v>
      </c>
      <c r="C1850" s="8">
        <v>30812569</v>
      </c>
      <c r="D1850" s="8">
        <v>5</v>
      </c>
      <c r="E1850" s="11">
        <v>43108</v>
      </c>
      <c r="F1850" s="8" t="s">
        <v>58</v>
      </c>
      <c r="G1850" s="11">
        <v>43109</v>
      </c>
      <c r="H1850" s="8" t="s">
        <v>25</v>
      </c>
      <c r="I1850" s="11">
        <v>43110</v>
      </c>
      <c r="J1850" s="8" t="s">
        <v>25</v>
      </c>
      <c r="N1850" s="8" t="s">
        <v>58</v>
      </c>
      <c r="O1850" s="8" t="s">
        <v>59</v>
      </c>
      <c r="P1850" s="8" t="s">
        <v>59</v>
      </c>
      <c r="R1850" s="8">
        <v>0</v>
      </c>
      <c r="S1850" s="8">
        <v>0</v>
      </c>
      <c r="T1850" s="8">
        <v>1</v>
      </c>
      <c r="U1850" s="8">
        <v>2</v>
      </c>
      <c r="X1850" s="8">
        <v>5</v>
      </c>
      <c r="AG1850" s="8" t="str">
        <f t="shared" si="113"/>
        <v/>
      </c>
      <c r="AI1850" s="8" t="str">
        <f t="shared" si="114"/>
        <v/>
      </c>
      <c r="AJ1850" s="8" t="str">
        <f t="shared" si="115"/>
        <v/>
      </c>
      <c r="AL1850" s="8" t="str">
        <f t="shared" si="116"/>
        <v/>
      </c>
    </row>
    <row r="1851" spans="1:38" x14ac:dyDescent="0.25">
      <c r="A1851" s="8" t="s">
        <v>1218</v>
      </c>
      <c r="B1851" s="8" t="s">
        <v>1219</v>
      </c>
      <c r="C1851" s="8">
        <v>30839189</v>
      </c>
      <c r="D1851" s="8">
        <v>5</v>
      </c>
      <c r="E1851" s="11">
        <v>43109</v>
      </c>
      <c r="F1851" s="8" t="s">
        <v>58</v>
      </c>
      <c r="G1851" s="11">
        <v>43109</v>
      </c>
      <c r="H1851" s="8" t="s">
        <v>25</v>
      </c>
      <c r="I1851" s="11">
        <v>43109</v>
      </c>
      <c r="J1851" s="8" t="s">
        <v>25</v>
      </c>
      <c r="N1851" s="8" t="s">
        <v>58</v>
      </c>
      <c r="O1851" s="8" t="s">
        <v>59</v>
      </c>
      <c r="P1851" s="8" t="s">
        <v>59</v>
      </c>
      <c r="R1851" s="8">
        <v>0</v>
      </c>
      <c r="S1851" s="8">
        <v>0</v>
      </c>
      <c r="T1851" s="8">
        <v>1</v>
      </c>
      <c r="U1851" s="8">
        <v>2</v>
      </c>
      <c r="X1851" s="8">
        <v>5</v>
      </c>
      <c r="AG1851" s="8" t="str">
        <f t="shared" si="113"/>
        <v/>
      </c>
      <c r="AI1851" s="8" t="str">
        <f t="shared" si="114"/>
        <v/>
      </c>
      <c r="AJ1851" s="8" t="str">
        <f t="shared" si="115"/>
        <v/>
      </c>
      <c r="AL1851" s="8" t="str">
        <f t="shared" si="116"/>
        <v/>
      </c>
    </row>
    <row r="1852" spans="1:38" x14ac:dyDescent="0.25">
      <c r="A1852" s="8" t="s">
        <v>5466</v>
      </c>
      <c r="B1852" s="8" t="s">
        <v>5467</v>
      </c>
      <c r="C1852" s="8">
        <v>30915215</v>
      </c>
      <c r="D1852" s="8">
        <v>5</v>
      </c>
      <c r="E1852" s="11">
        <v>43112</v>
      </c>
      <c r="F1852" s="8" t="s">
        <v>57</v>
      </c>
      <c r="G1852" s="11">
        <v>43112</v>
      </c>
      <c r="H1852" s="8" t="s">
        <v>25</v>
      </c>
      <c r="J1852" s="8" t="s">
        <v>25</v>
      </c>
      <c r="N1852" s="8" t="s">
        <v>58</v>
      </c>
      <c r="O1852" s="8" t="s">
        <v>59</v>
      </c>
      <c r="P1852" s="8" t="s">
        <v>59</v>
      </c>
      <c r="R1852" s="8">
        <v>0</v>
      </c>
      <c r="S1852" s="8">
        <v>0</v>
      </c>
      <c r="T1852" s="8">
        <v>1</v>
      </c>
      <c r="U1852" s="8">
        <v>2</v>
      </c>
      <c r="AG1852" s="8" t="str">
        <f t="shared" si="113"/>
        <v/>
      </c>
      <c r="AI1852" s="8" t="str">
        <f t="shared" si="114"/>
        <v/>
      </c>
      <c r="AJ1852" s="8" t="str">
        <f t="shared" si="115"/>
        <v/>
      </c>
      <c r="AL1852" s="8" t="str">
        <f t="shared" si="116"/>
        <v/>
      </c>
    </row>
    <row r="1853" spans="1:38" x14ac:dyDescent="0.25">
      <c r="A1853" s="8" t="s">
        <v>2390</v>
      </c>
      <c r="B1853" s="8" t="s">
        <v>2391</v>
      </c>
      <c r="C1853" s="8">
        <v>30858383</v>
      </c>
      <c r="D1853" s="8">
        <v>5</v>
      </c>
      <c r="E1853" s="11">
        <v>43110</v>
      </c>
      <c r="F1853" s="8" t="s">
        <v>58</v>
      </c>
      <c r="G1853" s="11">
        <v>43110</v>
      </c>
      <c r="H1853" s="8" t="s">
        <v>25</v>
      </c>
      <c r="I1853" s="11">
        <v>43111</v>
      </c>
      <c r="J1853" s="8" t="s">
        <v>25</v>
      </c>
      <c r="N1853" s="8" t="s">
        <v>58</v>
      </c>
      <c r="O1853" s="8" t="s">
        <v>59</v>
      </c>
      <c r="P1853" s="8" t="s">
        <v>59</v>
      </c>
      <c r="R1853" s="8">
        <v>0</v>
      </c>
      <c r="S1853" s="8">
        <v>0</v>
      </c>
      <c r="T1853" s="8">
        <v>1</v>
      </c>
      <c r="U1853" s="8">
        <v>2</v>
      </c>
      <c r="X1853" s="8">
        <v>5</v>
      </c>
      <c r="AG1853" s="8" t="str">
        <f t="shared" si="113"/>
        <v/>
      </c>
      <c r="AI1853" s="8" t="str">
        <f t="shared" si="114"/>
        <v/>
      </c>
      <c r="AJ1853" s="8" t="str">
        <f t="shared" si="115"/>
        <v/>
      </c>
      <c r="AL1853" s="8" t="str">
        <f t="shared" si="116"/>
        <v/>
      </c>
    </row>
    <row r="1854" spans="1:38" x14ac:dyDescent="0.25">
      <c r="A1854" s="8" t="s">
        <v>5468</v>
      </c>
      <c r="B1854" s="8" t="s">
        <v>5469</v>
      </c>
      <c r="C1854" s="8">
        <v>30830617</v>
      </c>
      <c r="D1854" s="8">
        <v>5</v>
      </c>
      <c r="E1854" s="11">
        <v>43108</v>
      </c>
      <c r="F1854" s="8" t="s">
        <v>57</v>
      </c>
      <c r="G1854" s="11">
        <v>43114</v>
      </c>
      <c r="H1854" s="8" t="s">
        <v>145</v>
      </c>
      <c r="J1854" s="8" t="s">
        <v>25</v>
      </c>
      <c r="N1854" s="8" t="s">
        <v>58</v>
      </c>
      <c r="O1854" s="8" t="s">
        <v>59</v>
      </c>
      <c r="P1854" s="8" t="s">
        <v>59</v>
      </c>
      <c r="R1854" s="8">
        <v>0</v>
      </c>
      <c r="S1854" s="8">
        <v>0</v>
      </c>
      <c r="T1854" s="8">
        <v>1</v>
      </c>
      <c r="U1854" s="8">
        <v>2</v>
      </c>
      <c r="AG1854" s="8" t="str">
        <f t="shared" si="113"/>
        <v/>
      </c>
      <c r="AI1854" s="8" t="str">
        <f t="shared" si="114"/>
        <v/>
      </c>
      <c r="AJ1854" s="8" t="str">
        <f t="shared" si="115"/>
        <v/>
      </c>
      <c r="AL1854" s="8" t="str">
        <f t="shared" si="116"/>
        <v/>
      </c>
    </row>
    <row r="1855" spans="1:38" x14ac:dyDescent="0.25">
      <c r="A1855" s="8" t="s">
        <v>5470</v>
      </c>
      <c r="B1855" s="8" t="s">
        <v>5471</v>
      </c>
      <c r="C1855" s="8">
        <v>30814753</v>
      </c>
      <c r="D1855" s="8">
        <v>5</v>
      </c>
      <c r="E1855" s="11">
        <v>43108</v>
      </c>
      <c r="F1855" s="8" t="s">
        <v>57</v>
      </c>
      <c r="G1855" s="11">
        <v>43114</v>
      </c>
      <c r="H1855" s="8" t="s">
        <v>856</v>
      </c>
      <c r="J1855" s="8" t="s">
        <v>25</v>
      </c>
      <c r="N1855" s="8" t="s">
        <v>58</v>
      </c>
      <c r="O1855" s="8" t="s">
        <v>59</v>
      </c>
      <c r="P1855" s="8" t="s">
        <v>59</v>
      </c>
      <c r="R1855" s="8">
        <v>0</v>
      </c>
      <c r="S1855" s="8">
        <v>0</v>
      </c>
      <c r="T1855" s="8">
        <v>1</v>
      </c>
      <c r="U1855" s="8">
        <v>2</v>
      </c>
      <c r="AG1855" s="8" t="str">
        <f t="shared" si="113"/>
        <v/>
      </c>
      <c r="AI1855" s="8" t="str">
        <f t="shared" si="114"/>
        <v/>
      </c>
      <c r="AJ1855" s="8" t="str">
        <f t="shared" si="115"/>
        <v/>
      </c>
      <c r="AL1855" s="8" t="str">
        <f t="shared" si="116"/>
        <v/>
      </c>
    </row>
    <row r="1856" spans="1:38" x14ac:dyDescent="0.25">
      <c r="A1856" s="8" t="s">
        <v>5472</v>
      </c>
      <c r="B1856" s="8" t="s">
        <v>5473</v>
      </c>
      <c r="C1856" s="8">
        <v>30861124</v>
      </c>
      <c r="D1856" s="8">
        <v>5</v>
      </c>
      <c r="E1856" s="11">
        <v>43110</v>
      </c>
      <c r="F1856" s="8" t="s">
        <v>57</v>
      </c>
      <c r="G1856" s="11">
        <v>43114</v>
      </c>
      <c r="H1856" s="8" t="s">
        <v>25</v>
      </c>
      <c r="J1856" s="8" t="s">
        <v>25</v>
      </c>
      <c r="N1856" s="8" t="s">
        <v>58</v>
      </c>
      <c r="O1856" s="8" t="s">
        <v>59</v>
      </c>
      <c r="P1856" s="8" t="s">
        <v>59</v>
      </c>
      <c r="R1856" s="8">
        <v>0</v>
      </c>
      <c r="S1856" s="8">
        <v>0</v>
      </c>
      <c r="T1856" s="8">
        <v>1</v>
      </c>
      <c r="U1856" s="8">
        <v>2</v>
      </c>
      <c r="AG1856" s="8" t="str">
        <f t="shared" si="113"/>
        <v/>
      </c>
      <c r="AI1856" s="8" t="str">
        <f t="shared" si="114"/>
        <v/>
      </c>
      <c r="AJ1856" s="8" t="str">
        <f t="shared" si="115"/>
        <v/>
      </c>
      <c r="AL1856" s="8" t="str">
        <f t="shared" si="116"/>
        <v/>
      </c>
    </row>
    <row r="1857" spans="1:38" x14ac:dyDescent="0.25">
      <c r="A1857" s="8" t="s">
        <v>2392</v>
      </c>
      <c r="B1857" s="8" t="s">
        <v>2393</v>
      </c>
      <c r="C1857" s="8">
        <v>30876232</v>
      </c>
      <c r="D1857" s="8">
        <v>5</v>
      </c>
      <c r="E1857" s="11">
        <v>43110</v>
      </c>
      <c r="F1857" s="8" t="s">
        <v>58</v>
      </c>
      <c r="G1857" s="11">
        <v>43110</v>
      </c>
      <c r="H1857" s="8" t="s">
        <v>25</v>
      </c>
      <c r="I1857" s="11">
        <v>43110</v>
      </c>
      <c r="J1857" s="8" t="s">
        <v>25</v>
      </c>
      <c r="N1857" s="8" t="s">
        <v>58</v>
      </c>
      <c r="O1857" s="8" t="s">
        <v>59</v>
      </c>
      <c r="P1857" s="8" t="s">
        <v>59</v>
      </c>
      <c r="R1857" s="8">
        <v>0</v>
      </c>
      <c r="S1857" s="8">
        <v>0</v>
      </c>
      <c r="T1857" s="8">
        <v>1</v>
      </c>
      <c r="U1857" s="8">
        <v>2</v>
      </c>
      <c r="X1857" s="8">
        <v>5</v>
      </c>
      <c r="AG1857" s="8" t="str">
        <f t="shared" si="113"/>
        <v/>
      </c>
      <c r="AI1857" s="8" t="str">
        <f t="shared" si="114"/>
        <v/>
      </c>
      <c r="AJ1857" s="8" t="str">
        <f t="shared" si="115"/>
        <v/>
      </c>
      <c r="AL1857" s="8" t="str">
        <f t="shared" si="116"/>
        <v/>
      </c>
    </row>
    <row r="1858" spans="1:38" x14ac:dyDescent="0.25">
      <c r="A1858" s="8" t="s">
        <v>1220</v>
      </c>
      <c r="B1858" s="8" t="s">
        <v>1221</v>
      </c>
      <c r="C1858" s="8">
        <v>30841484</v>
      </c>
      <c r="D1858" s="8">
        <v>4</v>
      </c>
      <c r="E1858" s="11">
        <v>43109</v>
      </c>
      <c r="F1858" s="8" t="s">
        <v>58</v>
      </c>
      <c r="G1858" s="11">
        <v>43109</v>
      </c>
      <c r="H1858" s="8" t="s">
        <v>25</v>
      </c>
      <c r="I1858" s="11">
        <v>43115</v>
      </c>
      <c r="J1858" s="8" t="s">
        <v>145</v>
      </c>
      <c r="N1858" s="8" t="s">
        <v>58</v>
      </c>
      <c r="O1858" s="8" t="s">
        <v>59</v>
      </c>
      <c r="P1858" s="8" t="s">
        <v>59</v>
      </c>
      <c r="R1858" s="8">
        <v>0</v>
      </c>
      <c r="S1858" s="8">
        <v>0</v>
      </c>
      <c r="T1858" s="8">
        <v>1</v>
      </c>
      <c r="U1858" s="8">
        <v>2</v>
      </c>
      <c r="X1858" s="8">
        <v>5</v>
      </c>
      <c r="AG1858" s="8" t="str">
        <f t="shared" si="113"/>
        <v/>
      </c>
      <c r="AI1858" s="8" t="str">
        <f t="shared" si="114"/>
        <v/>
      </c>
      <c r="AJ1858" s="8" t="str">
        <f t="shared" si="115"/>
        <v/>
      </c>
      <c r="AL1858" s="8" t="str">
        <f t="shared" si="116"/>
        <v/>
      </c>
    </row>
    <row r="1859" spans="1:38" x14ac:dyDescent="0.25">
      <c r="A1859" s="8" t="s">
        <v>1222</v>
      </c>
      <c r="B1859" s="8" t="s">
        <v>1223</v>
      </c>
      <c r="C1859" s="8">
        <v>30838644</v>
      </c>
      <c r="D1859" s="8">
        <v>5</v>
      </c>
      <c r="E1859" s="11">
        <v>43109</v>
      </c>
      <c r="F1859" s="8" t="s">
        <v>57</v>
      </c>
      <c r="G1859" s="11">
        <v>43109</v>
      </c>
      <c r="H1859" s="8" t="s">
        <v>25</v>
      </c>
      <c r="J1859" s="8" t="s">
        <v>25</v>
      </c>
      <c r="N1859" s="8" t="s">
        <v>58</v>
      </c>
      <c r="O1859" s="8" t="s">
        <v>59</v>
      </c>
      <c r="P1859" s="8" t="s">
        <v>59</v>
      </c>
      <c r="R1859" s="8">
        <v>0</v>
      </c>
      <c r="S1859" s="8">
        <v>0</v>
      </c>
      <c r="T1859" s="8">
        <v>1</v>
      </c>
      <c r="U1859" s="8">
        <v>2</v>
      </c>
      <c r="AG1859" s="8" t="str">
        <f t="shared" ref="AG1859:AG1922" si="117">IF(AND(U1859="",G1859&lt;&gt;"",NOT(OR(R1859,S1859))),IF(NETWORKDAYS.INTL(G1859,TODAY(),11)&lt;5,"En Plazo",IF(NETWORKDAYS.INTL(G1859,TODAY(),11)=5,"Riesgo Incumplimiento","FALTA_02")),"")</f>
        <v/>
      </c>
      <c r="AI1859" s="8" t="str">
        <f t="shared" ref="AI1859:AI1922" si="118">IF(AND(O1859&lt;&gt;"B1",F1859="Rejected"),IF(W1859="","FALTA_04",""),"")</f>
        <v/>
      </c>
      <c r="AJ1859" s="8" t="str">
        <f t="shared" ref="AJ1859:AJ1922" si="119">IF(AND(X1859="",I1859&lt;&gt;"",NOT(OR(R1859,S1859))),IF(NETWORKDAYS.INTL(G1859,TODAY(),11)&lt;=1,"En Plazo",IF(OR(AND(X1859="",O1859&lt;&gt;"M1"),AND(O1859="M1",(OR(Q1859="S - S",Q1859="S - T",)))),"FALTA_05","")),"")</f>
        <v/>
      </c>
      <c r="AL1859" s="8" t="str">
        <f t="shared" ref="AL1859:AL1922" si="120">IF(AND(O1859="B1",F1859="Rejected"),IF(Z1859="","FALTA_07",""),"")</f>
        <v/>
      </c>
    </row>
    <row r="1860" spans="1:38" x14ac:dyDescent="0.25">
      <c r="A1860" s="8" t="s">
        <v>2394</v>
      </c>
      <c r="B1860" s="8" t="s">
        <v>2395</v>
      </c>
      <c r="C1860" s="8">
        <v>30861643</v>
      </c>
      <c r="D1860" s="8">
        <v>5</v>
      </c>
      <c r="E1860" s="11">
        <v>43110</v>
      </c>
      <c r="F1860" s="8" t="s">
        <v>57</v>
      </c>
      <c r="G1860" s="11">
        <v>43110</v>
      </c>
      <c r="H1860" s="8" t="s">
        <v>25</v>
      </c>
      <c r="J1860" s="8" t="s">
        <v>25</v>
      </c>
      <c r="N1860" s="8" t="s">
        <v>58</v>
      </c>
      <c r="O1860" s="8" t="s">
        <v>59</v>
      </c>
      <c r="P1860" s="8" t="s">
        <v>59</v>
      </c>
      <c r="R1860" s="8">
        <v>0</v>
      </c>
      <c r="S1860" s="8">
        <v>0</v>
      </c>
      <c r="T1860" s="8">
        <v>1</v>
      </c>
      <c r="U1860" s="8">
        <v>2</v>
      </c>
      <c r="AG1860" s="8" t="str">
        <f t="shared" si="117"/>
        <v/>
      </c>
      <c r="AI1860" s="8" t="str">
        <f t="shared" si="118"/>
        <v/>
      </c>
      <c r="AJ1860" s="8" t="str">
        <f t="shared" si="119"/>
        <v/>
      </c>
      <c r="AL1860" s="8" t="str">
        <f t="shared" si="120"/>
        <v/>
      </c>
    </row>
    <row r="1861" spans="1:38" x14ac:dyDescent="0.25">
      <c r="A1861" s="8" t="s">
        <v>2396</v>
      </c>
      <c r="B1861" s="8" t="s">
        <v>2397</v>
      </c>
      <c r="C1861" s="8">
        <v>30858422</v>
      </c>
      <c r="D1861" s="8">
        <v>5</v>
      </c>
      <c r="E1861" s="11">
        <v>43110</v>
      </c>
      <c r="F1861" s="8" t="s">
        <v>58</v>
      </c>
      <c r="G1861" s="11">
        <v>43110</v>
      </c>
      <c r="H1861" s="8" t="s">
        <v>25</v>
      </c>
      <c r="I1861" s="11">
        <v>43115</v>
      </c>
      <c r="J1861" s="8" t="s">
        <v>145</v>
      </c>
      <c r="N1861" s="8" t="s">
        <v>58</v>
      </c>
      <c r="O1861" s="8" t="s">
        <v>59</v>
      </c>
      <c r="P1861" s="8" t="s">
        <v>59</v>
      </c>
      <c r="R1861" s="8">
        <v>0</v>
      </c>
      <c r="S1861" s="8">
        <v>0</v>
      </c>
      <c r="T1861" s="8">
        <v>1</v>
      </c>
      <c r="U1861" s="8">
        <v>2</v>
      </c>
      <c r="X1861" s="8">
        <v>5</v>
      </c>
      <c r="AG1861" s="8" t="str">
        <f t="shared" si="117"/>
        <v/>
      </c>
      <c r="AI1861" s="8" t="str">
        <f t="shared" si="118"/>
        <v/>
      </c>
      <c r="AJ1861" s="8" t="str">
        <f t="shared" si="119"/>
        <v/>
      </c>
      <c r="AL1861" s="8" t="str">
        <f t="shared" si="120"/>
        <v/>
      </c>
    </row>
    <row r="1862" spans="1:38" x14ac:dyDescent="0.25">
      <c r="A1862" s="8" t="s">
        <v>443</v>
      </c>
      <c r="B1862" s="8" t="s">
        <v>444</v>
      </c>
      <c r="C1862" s="8">
        <v>30828403</v>
      </c>
      <c r="D1862" s="8">
        <v>5</v>
      </c>
      <c r="E1862" s="11">
        <v>43108</v>
      </c>
      <c r="F1862" s="8" t="s">
        <v>58</v>
      </c>
      <c r="G1862" s="11">
        <v>43108</v>
      </c>
      <c r="H1862" s="8" t="s">
        <v>25</v>
      </c>
      <c r="I1862" s="11">
        <v>43108</v>
      </c>
      <c r="J1862" s="8" t="s">
        <v>25</v>
      </c>
      <c r="N1862" s="8" t="s">
        <v>58</v>
      </c>
      <c r="O1862" s="8" t="s">
        <v>59</v>
      </c>
      <c r="P1862" s="8" t="s">
        <v>59</v>
      </c>
      <c r="R1862" s="8">
        <v>0</v>
      </c>
      <c r="S1862" s="8">
        <v>0</v>
      </c>
      <c r="T1862" s="8">
        <v>1</v>
      </c>
      <c r="U1862" s="8">
        <v>2</v>
      </c>
      <c r="X1862" s="8">
        <v>5</v>
      </c>
      <c r="AG1862" s="8" t="str">
        <f t="shared" si="117"/>
        <v/>
      </c>
      <c r="AI1862" s="8" t="str">
        <f t="shared" si="118"/>
        <v/>
      </c>
      <c r="AJ1862" s="8" t="str">
        <f t="shared" si="119"/>
        <v/>
      </c>
      <c r="AL1862" s="8" t="str">
        <f t="shared" si="120"/>
        <v/>
      </c>
    </row>
    <row r="1863" spans="1:38" x14ac:dyDescent="0.25">
      <c r="A1863" s="8" t="s">
        <v>1224</v>
      </c>
      <c r="B1863" s="8" t="s">
        <v>1225</v>
      </c>
      <c r="C1863" s="8">
        <v>30839849</v>
      </c>
      <c r="D1863" s="8">
        <v>5</v>
      </c>
      <c r="E1863" s="11">
        <v>43109</v>
      </c>
      <c r="F1863" s="8" t="s">
        <v>58</v>
      </c>
      <c r="G1863" s="11">
        <v>43109</v>
      </c>
      <c r="H1863" s="8" t="s">
        <v>25</v>
      </c>
      <c r="I1863" s="11">
        <v>43109</v>
      </c>
      <c r="J1863" s="8" t="s">
        <v>25</v>
      </c>
      <c r="N1863" s="8" t="s">
        <v>58</v>
      </c>
      <c r="O1863" s="8" t="s">
        <v>59</v>
      </c>
      <c r="P1863" s="8" t="s">
        <v>59</v>
      </c>
      <c r="R1863" s="8">
        <v>0</v>
      </c>
      <c r="S1863" s="8">
        <v>0</v>
      </c>
      <c r="T1863" s="8">
        <v>1</v>
      </c>
      <c r="U1863" s="8">
        <v>2</v>
      </c>
      <c r="X1863" s="8">
        <v>5</v>
      </c>
      <c r="AG1863" s="8" t="str">
        <f t="shared" si="117"/>
        <v/>
      </c>
      <c r="AI1863" s="8" t="str">
        <f t="shared" si="118"/>
        <v/>
      </c>
      <c r="AJ1863" s="8" t="str">
        <f t="shared" si="119"/>
        <v/>
      </c>
      <c r="AL1863" s="8" t="str">
        <f t="shared" si="120"/>
        <v/>
      </c>
    </row>
    <row r="1864" spans="1:38" x14ac:dyDescent="0.25">
      <c r="A1864" s="8" t="s">
        <v>5474</v>
      </c>
      <c r="B1864" s="8" t="s">
        <v>5475</v>
      </c>
      <c r="C1864" s="8">
        <v>30911317</v>
      </c>
      <c r="D1864" s="8">
        <v>5</v>
      </c>
      <c r="E1864" s="11">
        <v>43112</v>
      </c>
      <c r="F1864" s="8" t="s">
        <v>58</v>
      </c>
      <c r="G1864" s="11">
        <v>43112</v>
      </c>
      <c r="H1864" s="8" t="s">
        <v>25</v>
      </c>
      <c r="I1864" s="11">
        <v>43112</v>
      </c>
      <c r="J1864" s="8" t="s">
        <v>25</v>
      </c>
      <c r="N1864" s="8" t="s">
        <v>58</v>
      </c>
      <c r="O1864" s="8" t="s">
        <v>59</v>
      </c>
      <c r="P1864" s="8" t="s">
        <v>59</v>
      </c>
      <c r="R1864" s="8">
        <v>0</v>
      </c>
      <c r="S1864" s="8">
        <v>0</v>
      </c>
      <c r="T1864" s="8">
        <v>1</v>
      </c>
      <c r="U1864" s="8">
        <v>2</v>
      </c>
      <c r="X1864" s="8">
        <v>5</v>
      </c>
      <c r="AG1864" s="8" t="str">
        <f t="shared" si="117"/>
        <v/>
      </c>
      <c r="AI1864" s="8" t="str">
        <f t="shared" si="118"/>
        <v/>
      </c>
      <c r="AJ1864" s="8" t="str">
        <f t="shared" si="119"/>
        <v/>
      </c>
      <c r="AL1864" s="8" t="str">
        <f t="shared" si="120"/>
        <v/>
      </c>
    </row>
    <row r="1865" spans="1:38" x14ac:dyDescent="0.25">
      <c r="A1865" s="8" t="s">
        <v>3916</v>
      </c>
      <c r="B1865" s="8" t="s">
        <v>3917</v>
      </c>
      <c r="C1865" s="8">
        <v>30901161</v>
      </c>
      <c r="D1865" s="8">
        <v>5</v>
      </c>
      <c r="E1865" s="11">
        <v>43111</v>
      </c>
      <c r="F1865" s="8" t="s">
        <v>58</v>
      </c>
      <c r="G1865" s="11">
        <v>43111</v>
      </c>
      <c r="H1865" s="8" t="s">
        <v>25</v>
      </c>
      <c r="I1865" s="11">
        <v>43111</v>
      </c>
      <c r="J1865" s="8" t="s">
        <v>25</v>
      </c>
      <c r="N1865" s="8" t="s">
        <v>58</v>
      </c>
      <c r="O1865" s="8" t="s">
        <v>59</v>
      </c>
      <c r="P1865" s="8" t="s">
        <v>59</v>
      </c>
      <c r="R1865" s="8">
        <v>0</v>
      </c>
      <c r="S1865" s="8">
        <v>0</v>
      </c>
      <c r="T1865" s="8">
        <v>1</v>
      </c>
      <c r="U1865" s="8">
        <v>2</v>
      </c>
      <c r="X1865" s="8">
        <v>5</v>
      </c>
      <c r="AG1865" s="8" t="str">
        <f t="shared" si="117"/>
        <v/>
      </c>
      <c r="AI1865" s="8" t="str">
        <f t="shared" si="118"/>
        <v/>
      </c>
      <c r="AJ1865" s="8" t="str">
        <f t="shared" si="119"/>
        <v/>
      </c>
      <c r="AL1865" s="8" t="str">
        <f t="shared" si="120"/>
        <v/>
      </c>
    </row>
    <row r="1866" spans="1:38" x14ac:dyDescent="0.25">
      <c r="A1866" s="8" t="s">
        <v>3918</v>
      </c>
      <c r="B1866" s="8" t="s">
        <v>3919</v>
      </c>
      <c r="C1866" s="8">
        <v>30889200</v>
      </c>
      <c r="D1866" s="8">
        <v>5</v>
      </c>
      <c r="E1866" s="11">
        <v>43111</v>
      </c>
      <c r="F1866" s="8" t="s">
        <v>58</v>
      </c>
      <c r="G1866" s="11">
        <v>43111</v>
      </c>
      <c r="H1866" s="8" t="s">
        <v>25</v>
      </c>
      <c r="I1866" s="11">
        <v>43111</v>
      </c>
      <c r="J1866" s="8" t="s">
        <v>25</v>
      </c>
      <c r="N1866" s="8" t="s">
        <v>58</v>
      </c>
      <c r="O1866" s="8" t="s">
        <v>59</v>
      </c>
      <c r="P1866" s="8" t="s">
        <v>59</v>
      </c>
      <c r="R1866" s="8">
        <v>0</v>
      </c>
      <c r="S1866" s="8">
        <v>0</v>
      </c>
      <c r="T1866" s="8">
        <v>1</v>
      </c>
      <c r="U1866" s="8">
        <v>2</v>
      </c>
      <c r="X1866" s="8">
        <v>5</v>
      </c>
      <c r="AG1866" s="8" t="str">
        <f t="shared" si="117"/>
        <v/>
      </c>
      <c r="AI1866" s="8" t="str">
        <f t="shared" si="118"/>
        <v/>
      </c>
      <c r="AJ1866" s="8" t="str">
        <f t="shared" si="119"/>
        <v/>
      </c>
      <c r="AL1866" s="8" t="str">
        <f t="shared" si="120"/>
        <v/>
      </c>
    </row>
    <row r="1867" spans="1:38" x14ac:dyDescent="0.25">
      <c r="A1867" s="8" t="s">
        <v>1226</v>
      </c>
      <c r="B1867" s="8" t="s">
        <v>1227</v>
      </c>
      <c r="C1867" s="8">
        <v>30839300</v>
      </c>
      <c r="D1867" s="8">
        <v>5</v>
      </c>
      <c r="E1867" s="11">
        <v>43109</v>
      </c>
      <c r="F1867" s="8" t="s">
        <v>58</v>
      </c>
      <c r="G1867" s="11">
        <v>43109</v>
      </c>
      <c r="H1867" s="8" t="s">
        <v>25</v>
      </c>
      <c r="I1867" s="11">
        <v>43111</v>
      </c>
      <c r="J1867" s="8" t="s">
        <v>25</v>
      </c>
      <c r="N1867" s="8" t="s">
        <v>58</v>
      </c>
      <c r="O1867" s="8" t="s">
        <v>59</v>
      </c>
      <c r="P1867" s="8" t="s">
        <v>59</v>
      </c>
      <c r="R1867" s="8">
        <v>0</v>
      </c>
      <c r="S1867" s="8">
        <v>0</v>
      </c>
      <c r="T1867" s="8">
        <v>1</v>
      </c>
      <c r="U1867" s="8">
        <v>2</v>
      </c>
      <c r="X1867" s="8">
        <v>5</v>
      </c>
      <c r="AG1867" s="8" t="str">
        <f t="shared" si="117"/>
        <v/>
      </c>
      <c r="AI1867" s="8" t="str">
        <f t="shared" si="118"/>
        <v/>
      </c>
      <c r="AJ1867" s="8" t="str">
        <f t="shared" si="119"/>
        <v/>
      </c>
      <c r="AL1867" s="8" t="str">
        <f t="shared" si="120"/>
        <v/>
      </c>
    </row>
    <row r="1868" spans="1:38" x14ac:dyDescent="0.25">
      <c r="A1868" s="8" t="s">
        <v>1228</v>
      </c>
      <c r="B1868" s="8" t="s">
        <v>1229</v>
      </c>
      <c r="C1868" s="8">
        <v>30808099</v>
      </c>
      <c r="D1868" s="8">
        <v>5</v>
      </c>
      <c r="E1868" s="11">
        <v>43108</v>
      </c>
      <c r="F1868" s="8" t="s">
        <v>58</v>
      </c>
      <c r="G1868" s="11">
        <v>43109</v>
      </c>
      <c r="H1868" s="8" t="s">
        <v>25</v>
      </c>
      <c r="I1868" s="11">
        <v>43112</v>
      </c>
      <c r="J1868" s="8" t="s">
        <v>25</v>
      </c>
      <c r="N1868" s="8" t="s">
        <v>58</v>
      </c>
      <c r="O1868" s="8" t="s">
        <v>59</v>
      </c>
      <c r="P1868" s="8" t="s">
        <v>59</v>
      </c>
      <c r="R1868" s="8">
        <v>0</v>
      </c>
      <c r="S1868" s="8">
        <v>0</v>
      </c>
      <c r="T1868" s="8">
        <v>1</v>
      </c>
      <c r="U1868" s="8">
        <v>2</v>
      </c>
      <c r="X1868" s="8">
        <v>5</v>
      </c>
      <c r="AG1868" s="8" t="str">
        <f t="shared" si="117"/>
        <v/>
      </c>
      <c r="AI1868" s="8" t="str">
        <f t="shared" si="118"/>
        <v/>
      </c>
      <c r="AJ1868" s="8" t="str">
        <f t="shared" si="119"/>
        <v/>
      </c>
      <c r="AL1868" s="8" t="str">
        <f t="shared" si="120"/>
        <v/>
      </c>
    </row>
    <row r="1869" spans="1:38" x14ac:dyDescent="0.25">
      <c r="A1869" s="8" t="s">
        <v>5476</v>
      </c>
      <c r="B1869" s="8" t="s">
        <v>5477</v>
      </c>
      <c r="C1869" s="8">
        <v>30842460</v>
      </c>
      <c r="D1869" s="8">
        <v>5</v>
      </c>
      <c r="E1869" s="11">
        <v>43109</v>
      </c>
      <c r="F1869" s="8" t="s">
        <v>57</v>
      </c>
      <c r="G1869" s="11">
        <v>43114</v>
      </c>
      <c r="H1869" s="8" t="s">
        <v>145</v>
      </c>
      <c r="J1869" s="8" t="s">
        <v>25</v>
      </c>
      <c r="N1869" s="8" t="s">
        <v>58</v>
      </c>
      <c r="O1869" s="8" t="s">
        <v>59</v>
      </c>
      <c r="P1869" s="8" t="s">
        <v>59</v>
      </c>
      <c r="R1869" s="8">
        <v>0</v>
      </c>
      <c r="S1869" s="8">
        <v>0</v>
      </c>
      <c r="T1869" s="8">
        <v>1</v>
      </c>
      <c r="U1869" s="8">
        <v>2</v>
      </c>
      <c r="AG1869" s="8" t="str">
        <f t="shared" si="117"/>
        <v/>
      </c>
      <c r="AI1869" s="8" t="str">
        <f t="shared" si="118"/>
        <v/>
      </c>
      <c r="AJ1869" s="8" t="str">
        <f t="shared" si="119"/>
        <v/>
      </c>
      <c r="AL1869" s="8" t="str">
        <f t="shared" si="120"/>
        <v/>
      </c>
    </row>
    <row r="1870" spans="1:38" x14ac:dyDescent="0.25">
      <c r="A1870" s="8" t="s">
        <v>2398</v>
      </c>
      <c r="B1870" s="8" t="s">
        <v>2399</v>
      </c>
      <c r="C1870" s="8">
        <v>30862774</v>
      </c>
      <c r="D1870" s="8">
        <v>5</v>
      </c>
      <c r="E1870" s="11">
        <v>43110</v>
      </c>
      <c r="F1870" s="8" t="s">
        <v>58</v>
      </c>
      <c r="G1870" s="11">
        <v>43110</v>
      </c>
      <c r="H1870" s="8" t="s">
        <v>25</v>
      </c>
      <c r="I1870" s="11">
        <v>43115</v>
      </c>
      <c r="J1870" s="8" t="s">
        <v>145</v>
      </c>
      <c r="N1870" s="8" t="s">
        <v>58</v>
      </c>
      <c r="O1870" s="8" t="s">
        <v>59</v>
      </c>
      <c r="P1870" s="8" t="s">
        <v>59</v>
      </c>
      <c r="R1870" s="8">
        <v>0</v>
      </c>
      <c r="S1870" s="8">
        <v>0</v>
      </c>
      <c r="T1870" s="8">
        <v>1</v>
      </c>
      <c r="U1870" s="8">
        <v>2</v>
      </c>
      <c r="X1870" s="8">
        <v>5</v>
      </c>
      <c r="AG1870" s="8" t="str">
        <f t="shared" si="117"/>
        <v/>
      </c>
      <c r="AI1870" s="8" t="str">
        <f t="shared" si="118"/>
        <v/>
      </c>
      <c r="AJ1870" s="8" t="str">
        <f t="shared" si="119"/>
        <v/>
      </c>
      <c r="AL1870" s="8" t="str">
        <f t="shared" si="120"/>
        <v/>
      </c>
    </row>
    <row r="1871" spans="1:38" x14ac:dyDescent="0.25">
      <c r="A1871" s="8" t="s">
        <v>2400</v>
      </c>
      <c r="B1871" s="8" t="s">
        <v>2401</v>
      </c>
      <c r="C1871" s="8">
        <v>30863997</v>
      </c>
      <c r="D1871" s="8">
        <v>5</v>
      </c>
      <c r="E1871" s="11">
        <v>43110</v>
      </c>
      <c r="F1871" s="8" t="s">
        <v>58</v>
      </c>
      <c r="G1871" s="11">
        <v>43110</v>
      </c>
      <c r="H1871" s="8" t="s">
        <v>25</v>
      </c>
      <c r="I1871" s="11">
        <v>43110</v>
      </c>
      <c r="J1871" s="8" t="s">
        <v>25</v>
      </c>
      <c r="N1871" s="8" t="s">
        <v>58</v>
      </c>
      <c r="O1871" s="8" t="s">
        <v>59</v>
      </c>
      <c r="P1871" s="8" t="s">
        <v>59</v>
      </c>
      <c r="R1871" s="8">
        <v>0</v>
      </c>
      <c r="S1871" s="8">
        <v>0</v>
      </c>
      <c r="T1871" s="8">
        <v>1</v>
      </c>
      <c r="U1871" s="8">
        <v>2</v>
      </c>
      <c r="X1871" s="8">
        <v>5</v>
      </c>
      <c r="AG1871" s="8" t="str">
        <f t="shared" si="117"/>
        <v/>
      </c>
      <c r="AI1871" s="8" t="str">
        <f t="shared" si="118"/>
        <v/>
      </c>
      <c r="AJ1871" s="8" t="str">
        <f t="shared" si="119"/>
        <v/>
      </c>
      <c r="AL1871" s="8" t="str">
        <f t="shared" si="120"/>
        <v/>
      </c>
    </row>
    <row r="1872" spans="1:38" x14ac:dyDescent="0.25">
      <c r="A1872" s="8" t="s">
        <v>7279</v>
      </c>
      <c r="B1872" s="8" t="s">
        <v>7280</v>
      </c>
      <c r="C1872" s="8">
        <v>30935614</v>
      </c>
      <c r="D1872" s="8">
        <v>5</v>
      </c>
      <c r="E1872" s="11">
        <v>43115</v>
      </c>
      <c r="F1872" s="8" t="s">
        <v>57</v>
      </c>
      <c r="G1872" s="11">
        <v>43115</v>
      </c>
      <c r="H1872" s="8" t="s">
        <v>25</v>
      </c>
      <c r="J1872" s="8" t="s">
        <v>25</v>
      </c>
      <c r="N1872" s="8" t="s">
        <v>58</v>
      </c>
      <c r="O1872" s="8" t="s">
        <v>59</v>
      </c>
      <c r="P1872" s="8" t="s">
        <v>59</v>
      </c>
      <c r="R1872" s="8">
        <v>0</v>
      </c>
      <c r="S1872" s="8">
        <v>0</v>
      </c>
      <c r="T1872" s="8">
        <v>1</v>
      </c>
      <c r="U1872" s="8">
        <v>2</v>
      </c>
      <c r="AG1872" s="8" t="str">
        <f t="shared" si="117"/>
        <v/>
      </c>
      <c r="AI1872" s="8" t="str">
        <f t="shared" si="118"/>
        <v/>
      </c>
      <c r="AJ1872" s="8" t="str">
        <f t="shared" si="119"/>
        <v/>
      </c>
      <c r="AL1872" s="8" t="str">
        <f t="shared" si="120"/>
        <v/>
      </c>
    </row>
    <row r="1873" spans="1:38" x14ac:dyDescent="0.25">
      <c r="A1873" s="8" t="s">
        <v>3920</v>
      </c>
      <c r="B1873" s="8" t="s">
        <v>3921</v>
      </c>
      <c r="C1873" s="8">
        <v>30898690</v>
      </c>
      <c r="D1873" s="8">
        <v>5</v>
      </c>
      <c r="E1873" s="11">
        <v>43111</v>
      </c>
      <c r="F1873" s="8" t="s">
        <v>58</v>
      </c>
      <c r="G1873" s="11">
        <v>43111</v>
      </c>
      <c r="H1873" s="8" t="s">
        <v>25</v>
      </c>
      <c r="I1873" s="11">
        <v>43112</v>
      </c>
      <c r="J1873" s="8" t="s">
        <v>25</v>
      </c>
      <c r="N1873" s="8" t="s">
        <v>58</v>
      </c>
      <c r="O1873" s="8" t="s">
        <v>59</v>
      </c>
      <c r="P1873" s="8" t="s">
        <v>59</v>
      </c>
      <c r="R1873" s="8">
        <v>0</v>
      </c>
      <c r="S1873" s="8">
        <v>0</v>
      </c>
      <c r="T1873" s="8">
        <v>1</v>
      </c>
      <c r="U1873" s="8">
        <v>2</v>
      </c>
      <c r="X1873" s="8">
        <v>5</v>
      </c>
      <c r="AG1873" s="8" t="str">
        <f t="shared" si="117"/>
        <v/>
      </c>
      <c r="AI1873" s="8" t="str">
        <f t="shared" si="118"/>
        <v/>
      </c>
      <c r="AJ1873" s="8" t="str">
        <f t="shared" si="119"/>
        <v/>
      </c>
      <c r="AL1873" s="8" t="str">
        <f t="shared" si="120"/>
        <v/>
      </c>
    </row>
    <row r="1874" spans="1:38" x14ac:dyDescent="0.25">
      <c r="A1874" s="8" t="s">
        <v>1230</v>
      </c>
      <c r="B1874" s="8" t="s">
        <v>1231</v>
      </c>
      <c r="C1874" s="8">
        <v>30839377</v>
      </c>
      <c r="D1874" s="8">
        <v>5</v>
      </c>
      <c r="E1874" s="11">
        <v>43109</v>
      </c>
      <c r="F1874" s="8" t="s">
        <v>58</v>
      </c>
      <c r="G1874" s="11">
        <v>43109</v>
      </c>
      <c r="H1874" s="8" t="s">
        <v>25</v>
      </c>
      <c r="I1874" s="11">
        <v>43109</v>
      </c>
      <c r="J1874" s="8" t="s">
        <v>25</v>
      </c>
      <c r="N1874" s="8" t="s">
        <v>58</v>
      </c>
      <c r="O1874" s="8" t="s">
        <v>59</v>
      </c>
      <c r="P1874" s="8" t="s">
        <v>59</v>
      </c>
      <c r="R1874" s="8">
        <v>0</v>
      </c>
      <c r="S1874" s="8">
        <v>0</v>
      </c>
      <c r="T1874" s="8">
        <v>1</v>
      </c>
      <c r="U1874" s="8">
        <v>2</v>
      </c>
      <c r="X1874" s="8">
        <v>5</v>
      </c>
      <c r="AG1874" s="8" t="str">
        <f t="shared" si="117"/>
        <v/>
      </c>
      <c r="AI1874" s="8" t="str">
        <f t="shared" si="118"/>
        <v/>
      </c>
      <c r="AJ1874" s="8" t="str">
        <f t="shared" si="119"/>
        <v/>
      </c>
      <c r="AL1874" s="8" t="str">
        <f t="shared" si="120"/>
        <v/>
      </c>
    </row>
    <row r="1875" spans="1:38" x14ac:dyDescent="0.25">
      <c r="A1875" s="8" t="s">
        <v>1232</v>
      </c>
      <c r="B1875" s="8" t="s">
        <v>1233</v>
      </c>
      <c r="C1875" s="8">
        <v>30839505</v>
      </c>
      <c r="D1875" s="8">
        <v>5</v>
      </c>
      <c r="E1875" s="11">
        <v>43109</v>
      </c>
      <c r="F1875" s="8" t="s">
        <v>58</v>
      </c>
      <c r="G1875" s="11">
        <v>43109</v>
      </c>
      <c r="H1875" s="8" t="s">
        <v>25</v>
      </c>
      <c r="I1875" s="11">
        <v>43109</v>
      </c>
      <c r="J1875" s="8" t="s">
        <v>25</v>
      </c>
      <c r="N1875" s="8" t="s">
        <v>58</v>
      </c>
      <c r="O1875" s="8" t="s">
        <v>59</v>
      </c>
      <c r="P1875" s="8" t="s">
        <v>59</v>
      </c>
      <c r="R1875" s="8">
        <v>0</v>
      </c>
      <c r="S1875" s="8">
        <v>0</v>
      </c>
      <c r="T1875" s="8">
        <v>1</v>
      </c>
      <c r="U1875" s="8">
        <v>2</v>
      </c>
      <c r="X1875" s="8">
        <v>5</v>
      </c>
      <c r="AG1875" s="8" t="str">
        <f t="shared" si="117"/>
        <v/>
      </c>
      <c r="AI1875" s="8" t="str">
        <f t="shared" si="118"/>
        <v/>
      </c>
      <c r="AJ1875" s="8" t="str">
        <f t="shared" si="119"/>
        <v/>
      </c>
      <c r="AL1875" s="8" t="str">
        <f t="shared" si="120"/>
        <v/>
      </c>
    </row>
    <row r="1876" spans="1:38" x14ac:dyDescent="0.25">
      <c r="A1876" s="8" t="s">
        <v>445</v>
      </c>
      <c r="B1876" s="8" t="s">
        <v>446</v>
      </c>
      <c r="C1876" s="8">
        <v>30817630</v>
      </c>
      <c r="D1876" s="8">
        <v>5</v>
      </c>
      <c r="E1876" s="11">
        <v>43108</v>
      </c>
      <c r="F1876" s="8" t="s">
        <v>58</v>
      </c>
      <c r="G1876" s="11">
        <v>43108</v>
      </c>
      <c r="H1876" s="8" t="s">
        <v>25</v>
      </c>
      <c r="I1876" s="11">
        <v>43112</v>
      </c>
      <c r="J1876" s="8" t="s">
        <v>145</v>
      </c>
      <c r="N1876" s="8" t="s">
        <v>58</v>
      </c>
      <c r="O1876" s="8" t="s">
        <v>59</v>
      </c>
      <c r="P1876" s="8" t="s">
        <v>59</v>
      </c>
      <c r="R1876" s="8">
        <v>0</v>
      </c>
      <c r="S1876" s="8">
        <v>0</v>
      </c>
      <c r="T1876" s="8">
        <v>1</v>
      </c>
      <c r="U1876" s="8">
        <v>2</v>
      </c>
      <c r="X1876" s="8">
        <v>5</v>
      </c>
      <c r="AG1876" s="8" t="str">
        <f t="shared" si="117"/>
        <v/>
      </c>
      <c r="AI1876" s="8" t="str">
        <f t="shared" si="118"/>
        <v/>
      </c>
      <c r="AJ1876" s="8" t="str">
        <f t="shared" si="119"/>
        <v/>
      </c>
      <c r="AL1876" s="8" t="str">
        <f t="shared" si="120"/>
        <v/>
      </c>
    </row>
    <row r="1877" spans="1:38" x14ac:dyDescent="0.25">
      <c r="A1877" s="8" t="s">
        <v>3922</v>
      </c>
      <c r="B1877" s="8" t="s">
        <v>3923</v>
      </c>
      <c r="C1877" s="8">
        <v>30898775</v>
      </c>
      <c r="D1877" s="8">
        <v>5</v>
      </c>
      <c r="E1877" s="11">
        <v>43111</v>
      </c>
      <c r="F1877" s="8" t="s">
        <v>58</v>
      </c>
      <c r="G1877" s="11">
        <v>43111</v>
      </c>
      <c r="H1877" s="8" t="s">
        <v>25</v>
      </c>
      <c r="I1877" s="11">
        <v>43111</v>
      </c>
      <c r="J1877" s="8" t="s">
        <v>25</v>
      </c>
      <c r="N1877" s="8" t="s">
        <v>58</v>
      </c>
      <c r="O1877" s="8" t="s">
        <v>59</v>
      </c>
      <c r="P1877" s="8" t="s">
        <v>59</v>
      </c>
      <c r="R1877" s="8">
        <v>0</v>
      </c>
      <c r="S1877" s="8">
        <v>0</v>
      </c>
      <c r="T1877" s="8">
        <v>1</v>
      </c>
      <c r="U1877" s="8">
        <v>2</v>
      </c>
      <c r="X1877" s="8">
        <v>5</v>
      </c>
      <c r="AG1877" s="8" t="str">
        <f t="shared" si="117"/>
        <v/>
      </c>
      <c r="AI1877" s="8" t="str">
        <f t="shared" si="118"/>
        <v/>
      </c>
      <c r="AJ1877" s="8" t="str">
        <f t="shared" si="119"/>
        <v/>
      </c>
      <c r="AL1877" s="8" t="str">
        <f t="shared" si="120"/>
        <v/>
      </c>
    </row>
    <row r="1878" spans="1:38" x14ac:dyDescent="0.25">
      <c r="A1878" s="8" t="s">
        <v>5478</v>
      </c>
      <c r="B1878" s="8" t="s">
        <v>5479</v>
      </c>
      <c r="C1878" s="8">
        <v>30817830</v>
      </c>
      <c r="D1878" s="8">
        <v>5</v>
      </c>
      <c r="E1878" s="11">
        <v>43108</v>
      </c>
      <c r="F1878" s="8" t="s">
        <v>57</v>
      </c>
      <c r="G1878" s="11">
        <v>43114</v>
      </c>
      <c r="H1878" s="8" t="s">
        <v>856</v>
      </c>
      <c r="J1878" s="8" t="s">
        <v>25</v>
      </c>
      <c r="N1878" s="8" t="s">
        <v>58</v>
      </c>
      <c r="O1878" s="8" t="s">
        <v>59</v>
      </c>
      <c r="P1878" s="8" t="s">
        <v>59</v>
      </c>
      <c r="R1878" s="8">
        <v>0</v>
      </c>
      <c r="S1878" s="8">
        <v>0</v>
      </c>
      <c r="T1878" s="8">
        <v>1</v>
      </c>
      <c r="U1878" s="8">
        <v>2</v>
      </c>
      <c r="AG1878" s="8" t="str">
        <f t="shared" si="117"/>
        <v/>
      </c>
      <c r="AI1878" s="8" t="str">
        <f t="shared" si="118"/>
        <v/>
      </c>
      <c r="AJ1878" s="8" t="str">
        <f t="shared" si="119"/>
        <v/>
      </c>
      <c r="AL1878" s="8" t="str">
        <f t="shared" si="120"/>
        <v/>
      </c>
    </row>
    <row r="1879" spans="1:38" x14ac:dyDescent="0.25">
      <c r="A1879" s="8" t="s">
        <v>2402</v>
      </c>
      <c r="B1879" s="8" t="s">
        <v>2403</v>
      </c>
      <c r="C1879" s="8">
        <v>30877145</v>
      </c>
      <c r="D1879" s="8">
        <v>5</v>
      </c>
      <c r="E1879" s="11">
        <v>43110</v>
      </c>
      <c r="F1879" s="8" t="s">
        <v>58</v>
      </c>
      <c r="G1879" s="11">
        <v>43110</v>
      </c>
      <c r="H1879" s="8" t="s">
        <v>25</v>
      </c>
      <c r="I1879" s="11">
        <v>43111</v>
      </c>
      <c r="J1879" s="8" t="s">
        <v>25</v>
      </c>
      <c r="N1879" s="8" t="s">
        <v>58</v>
      </c>
      <c r="O1879" s="8" t="s">
        <v>59</v>
      </c>
      <c r="P1879" s="8" t="s">
        <v>59</v>
      </c>
      <c r="R1879" s="8">
        <v>0</v>
      </c>
      <c r="S1879" s="8">
        <v>0</v>
      </c>
      <c r="T1879" s="8">
        <v>1</v>
      </c>
      <c r="U1879" s="8">
        <v>2</v>
      </c>
      <c r="X1879" s="8">
        <v>5</v>
      </c>
      <c r="AG1879" s="8" t="str">
        <f t="shared" si="117"/>
        <v/>
      </c>
      <c r="AI1879" s="8" t="str">
        <f t="shared" si="118"/>
        <v/>
      </c>
      <c r="AJ1879" s="8" t="str">
        <f t="shared" si="119"/>
        <v/>
      </c>
      <c r="AL1879" s="8" t="str">
        <f t="shared" si="120"/>
        <v/>
      </c>
    </row>
    <row r="1880" spans="1:38" x14ac:dyDescent="0.25">
      <c r="A1880" s="8" t="s">
        <v>5480</v>
      </c>
      <c r="B1880" s="8" t="s">
        <v>5481</v>
      </c>
      <c r="C1880" s="8">
        <v>30912002</v>
      </c>
      <c r="D1880" s="8">
        <v>5</v>
      </c>
      <c r="E1880" s="11">
        <v>43112</v>
      </c>
      <c r="F1880" s="8" t="s">
        <v>58</v>
      </c>
      <c r="G1880" s="11">
        <v>43112</v>
      </c>
      <c r="H1880" s="8" t="s">
        <v>25</v>
      </c>
      <c r="I1880" s="11">
        <v>43112</v>
      </c>
      <c r="J1880" s="8" t="s">
        <v>25</v>
      </c>
      <c r="N1880" s="8" t="s">
        <v>58</v>
      </c>
      <c r="O1880" s="8" t="s">
        <v>59</v>
      </c>
      <c r="P1880" s="8" t="s">
        <v>59</v>
      </c>
      <c r="R1880" s="8">
        <v>0</v>
      </c>
      <c r="S1880" s="8">
        <v>0</v>
      </c>
      <c r="T1880" s="8">
        <v>1</v>
      </c>
      <c r="U1880" s="8">
        <v>2</v>
      </c>
      <c r="X1880" s="8">
        <v>5</v>
      </c>
      <c r="AG1880" s="8" t="str">
        <f t="shared" si="117"/>
        <v/>
      </c>
      <c r="AI1880" s="8" t="str">
        <f t="shared" si="118"/>
        <v/>
      </c>
      <c r="AJ1880" s="8" t="str">
        <f t="shared" si="119"/>
        <v/>
      </c>
      <c r="AL1880" s="8" t="str">
        <f t="shared" si="120"/>
        <v/>
      </c>
    </row>
    <row r="1881" spans="1:38" x14ac:dyDescent="0.25">
      <c r="A1881" s="8" t="s">
        <v>447</v>
      </c>
      <c r="B1881" s="8" t="s">
        <v>448</v>
      </c>
      <c r="C1881" s="8">
        <v>30827262</v>
      </c>
      <c r="D1881" s="8">
        <v>5</v>
      </c>
      <c r="E1881" s="11">
        <v>43108</v>
      </c>
      <c r="F1881" s="8" t="s">
        <v>58</v>
      </c>
      <c r="G1881" s="11">
        <v>43108</v>
      </c>
      <c r="H1881" s="8" t="s">
        <v>25</v>
      </c>
      <c r="I1881" s="11">
        <v>43108</v>
      </c>
      <c r="J1881" s="8" t="s">
        <v>25</v>
      </c>
      <c r="N1881" s="8" t="s">
        <v>58</v>
      </c>
      <c r="O1881" s="8" t="s">
        <v>59</v>
      </c>
      <c r="P1881" s="8" t="s">
        <v>59</v>
      </c>
      <c r="R1881" s="8">
        <v>0</v>
      </c>
      <c r="S1881" s="8">
        <v>0</v>
      </c>
      <c r="T1881" s="8">
        <v>1</v>
      </c>
      <c r="U1881" s="8">
        <v>2</v>
      </c>
      <c r="X1881" s="8">
        <v>5</v>
      </c>
      <c r="AG1881" s="8" t="str">
        <f t="shared" si="117"/>
        <v/>
      </c>
      <c r="AI1881" s="8" t="str">
        <f t="shared" si="118"/>
        <v/>
      </c>
      <c r="AJ1881" s="8" t="str">
        <f t="shared" si="119"/>
        <v/>
      </c>
      <c r="AL1881" s="8" t="str">
        <f t="shared" si="120"/>
        <v/>
      </c>
    </row>
    <row r="1882" spans="1:38" x14ac:dyDescent="0.25">
      <c r="A1882" s="8" t="s">
        <v>1234</v>
      </c>
      <c r="B1882" s="8" t="s">
        <v>1235</v>
      </c>
      <c r="C1882" s="8">
        <v>30838618</v>
      </c>
      <c r="D1882" s="8">
        <v>5</v>
      </c>
      <c r="E1882" s="11">
        <v>43109</v>
      </c>
      <c r="F1882" s="8" t="s">
        <v>58</v>
      </c>
      <c r="G1882" s="11">
        <v>43109</v>
      </c>
      <c r="H1882" s="8" t="s">
        <v>25</v>
      </c>
      <c r="I1882" s="11">
        <v>43112</v>
      </c>
      <c r="J1882" s="8" t="s">
        <v>25</v>
      </c>
      <c r="N1882" s="8" t="s">
        <v>58</v>
      </c>
      <c r="O1882" s="8" t="s">
        <v>59</v>
      </c>
      <c r="P1882" s="8" t="s">
        <v>59</v>
      </c>
      <c r="R1882" s="8">
        <v>0</v>
      </c>
      <c r="S1882" s="8">
        <v>0</v>
      </c>
      <c r="T1882" s="8">
        <v>1</v>
      </c>
      <c r="U1882" s="8">
        <v>2</v>
      </c>
      <c r="X1882" s="8">
        <v>5</v>
      </c>
      <c r="AG1882" s="8" t="str">
        <f t="shared" si="117"/>
        <v/>
      </c>
      <c r="AI1882" s="8" t="str">
        <f t="shared" si="118"/>
        <v/>
      </c>
      <c r="AJ1882" s="8" t="str">
        <f t="shared" si="119"/>
        <v/>
      </c>
      <c r="AL1882" s="8" t="str">
        <f t="shared" si="120"/>
        <v/>
      </c>
    </row>
    <row r="1883" spans="1:38" x14ac:dyDescent="0.25">
      <c r="A1883" s="8" t="s">
        <v>5482</v>
      </c>
      <c r="B1883" s="8" t="s">
        <v>5483</v>
      </c>
      <c r="C1883" s="8">
        <v>30917017</v>
      </c>
      <c r="D1883" s="8">
        <v>5</v>
      </c>
      <c r="E1883" s="11">
        <v>43112</v>
      </c>
      <c r="F1883" s="8" t="s">
        <v>57</v>
      </c>
      <c r="G1883" s="11">
        <v>43115</v>
      </c>
      <c r="H1883" s="8" t="s">
        <v>25</v>
      </c>
      <c r="J1883" s="8" t="s">
        <v>25</v>
      </c>
      <c r="M1883" s="8" t="s">
        <v>66</v>
      </c>
      <c r="N1883" s="8" t="s">
        <v>58</v>
      </c>
      <c r="O1883" s="8" t="s">
        <v>59</v>
      </c>
      <c r="P1883" s="8" t="s">
        <v>59</v>
      </c>
      <c r="R1883" s="8">
        <v>0</v>
      </c>
      <c r="S1883" s="8">
        <v>0</v>
      </c>
      <c r="T1883" s="8">
        <v>1</v>
      </c>
      <c r="U1883" s="8">
        <v>2</v>
      </c>
      <c r="AG1883" s="8" t="str">
        <f t="shared" si="117"/>
        <v/>
      </c>
      <c r="AI1883" s="8" t="str">
        <f t="shared" si="118"/>
        <v/>
      </c>
      <c r="AJ1883" s="8" t="str">
        <f t="shared" si="119"/>
        <v/>
      </c>
      <c r="AL1883" s="8" t="str">
        <f t="shared" si="120"/>
        <v/>
      </c>
    </row>
    <row r="1884" spans="1:38" x14ac:dyDescent="0.25">
      <c r="A1884" s="8" t="s">
        <v>7281</v>
      </c>
      <c r="B1884" s="8" t="s">
        <v>7282</v>
      </c>
      <c r="C1884" s="8">
        <v>30941323</v>
      </c>
      <c r="D1884" s="8">
        <v>5</v>
      </c>
      <c r="E1884" s="11">
        <v>43115</v>
      </c>
      <c r="F1884" s="8" t="s">
        <v>57</v>
      </c>
      <c r="G1884" s="11">
        <v>43115</v>
      </c>
      <c r="H1884" s="8" t="s">
        <v>25</v>
      </c>
      <c r="J1884" s="8" t="s">
        <v>25</v>
      </c>
      <c r="N1884" s="8" t="s">
        <v>58</v>
      </c>
      <c r="O1884" s="8" t="s">
        <v>59</v>
      </c>
      <c r="P1884" s="8" t="s">
        <v>59</v>
      </c>
      <c r="R1884" s="8">
        <v>0</v>
      </c>
      <c r="S1884" s="8">
        <v>0</v>
      </c>
      <c r="T1884" s="8">
        <v>1</v>
      </c>
      <c r="U1884" s="8">
        <v>2</v>
      </c>
      <c r="AG1884" s="8" t="str">
        <f t="shared" si="117"/>
        <v/>
      </c>
      <c r="AI1884" s="8" t="str">
        <f t="shared" si="118"/>
        <v/>
      </c>
      <c r="AJ1884" s="8" t="str">
        <f t="shared" si="119"/>
        <v/>
      </c>
      <c r="AL1884" s="8" t="str">
        <f t="shared" si="120"/>
        <v/>
      </c>
    </row>
    <row r="1885" spans="1:38" x14ac:dyDescent="0.25">
      <c r="A1885" s="8" t="s">
        <v>1236</v>
      </c>
      <c r="B1885" s="8" t="s">
        <v>1237</v>
      </c>
      <c r="C1885" s="8">
        <v>30836816</v>
      </c>
      <c r="D1885" s="8">
        <v>5</v>
      </c>
      <c r="E1885" s="11">
        <v>43109</v>
      </c>
      <c r="F1885" s="8" t="s">
        <v>58</v>
      </c>
      <c r="G1885" s="11">
        <v>43109</v>
      </c>
      <c r="H1885" s="8" t="s">
        <v>25</v>
      </c>
      <c r="I1885" s="11">
        <v>43109</v>
      </c>
      <c r="J1885" s="8" t="s">
        <v>25</v>
      </c>
      <c r="N1885" s="8" t="s">
        <v>58</v>
      </c>
      <c r="O1885" s="8" t="s">
        <v>59</v>
      </c>
      <c r="P1885" s="8" t="s">
        <v>59</v>
      </c>
      <c r="R1885" s="8">
        <v>0</v>
      </c>
      <c r="S1885" s="8">
        <v>0</v>
      </c>
      <c r="T1885" s="8">
        <v>1</v>
      </c>
      <c r="U1885" s="8">
        <v>2</v>
      </c>
      <c r="X1885" s="8">
        <v>5</v>
      </c>
      <c r="AG1885" s="8" t="str">
        <f t="shared" si="117"/>
        <v/>
      </c>
      <c r="AI1885" s="8" t="str">
        <f t="shared" si="118"/>
        <v/>
      </c>
      <c r="AJ1885" s="8" t="str">
        <f t="shared" si="119"/>
        <v/>
      </c>
      <c r="AL1885" s="8" t="str">
        <f t="shared" si="120"/>
        <v/>
      </c>
    </row>
    <row r="1886" spans="1:38" x14ac:dyDescent="0.25">
      <c r="A1886" s="8" t="s">
        <v>7283</v>
      </c>
      <c r="B1886" s="8" t="s">
        <v>7284</v>
      </c>
      <c r="C1886" s="8">
        <v>30937921</v>
      </c>
      <c r="D1886" s="8">
        <v>5</v>
      </c>
      <c r="E1886" s="11">
        <v>43115</v>
      </c>
      <c r="F1886" s="8" t="s">
        <v>58</v>
      </c>
      <c r="G1886" s="11">
        <v>43115</v>
      </c>
      <c r="H1886" s="8" t="s">
        <v>25</v>
      </c>
      <c r="I1886" s="11">
        <v>43115</v>
      </c>
      <c r="J1886" s="8" t="s">
        <v>25</v>
      </c>
      <c r="N1886" s="8" t="s">
        <v>58</v>
      </c>
      <c r="O1886" s="8" t="s">
        <v>59</v>
      </c>
      <c r="P1886" s="8" t="s">
        <v>59</v>
      </c>
      <c r="R1886" s="8">
        <v>0</v>
      </c>
      <c r="S1886" s="8">
        <v>0</v>
      </c>
      <c r="T1886" s="8">
        <v>1</v>
      </c>
      <c r="U1886" s="8">
        <v>2</v>
      </c>
      <c r="X1886" s="8">
        <v>5</v>
      </c>
      <c r="AG1886" s="8" t="str">
        <f t="shared" si="117"/>
        <v/>
      </c>
      <c r="AI1886" s="8" t="str">
        <f t="shared" si="118"/>
        <v/>
      </c>
      <c r="AJ1886" s="8" t="str">
        <f t="shared" si="119"/>
        <v/>
      </c>
      <c r="AL1886" s="8" t="str">
        <f t="shared" si="120"/>
        <v/>
      </c>
    </row>
    <row r="1887" spans="1:38" x14ac:dyDescent="0.25">
      <c r="A1887" s="8" t="s">
        <v>7285</v>
      </c>
      <c r="B1887" s="8" t="s">
        <v>7286</v>
      </c>
      <c r="C1887" s="8">
        <v>30936994</v>
      </c>
      <c r="D1887" s="8">
        <v>5</v>
      </c>
      <c r="E1887" s="11">
        <v>43115</v>
      </c>
      <c r="F1887" s="8" t="s">
        <v>58</v>
      </c>
      <c r="G1887" s="11">
        <v>43115</v>
      </c>
      <c r="H1887" s="8" t="s">
        <v>25</v>
      </c>
      <c r="I1887" s="11">
        <v>43115</v>
      </c>
      <c r="J1887" s="8" t="s">
        <v>25</v>
      </c>
      <c r="N1887" s="8" t="s">
        <v>58</v>
      </c>
      <c r="O1887" s="8" t="s">
        <v>59</v>
      </c>
      <c r="P1887" s="8" t="s">
        <v>59</v>
      </c>
      <c r="R1887" s="8">
        <v>0</v>
      </c>
      <c r="S1887" s="8">
        <v>0</v>
      </c>
      <c r="T1887" s="8">
        <v>1</v>
      </c>
      <c r="U1887" s="8">
        <v>2</v>
      </c>
      <c r="X1887" s="8">
        <v>5</v>
      </c>
      <c r="AG1887" s="8" t="str">
        <f t="shared" si="117"/>
        <v/>
      </c>
      <c r="AI1887" s="8" t="str">
        <f t="shared" si="118"/>
        <v/>
      </c>
      <c r="AJ1887" s="8" t="str">
        <f t="shared" si="119"/>
        <v/>
      </c>
      <c r="AL1887" s="8" t="str">
        <f t="shared" si="120"/>
        <v/>
      </c>
    </row>
    <row r="1888" spans="1:38" x14ac:dyDescent="0.25">
      <c r="A1888" s="8" t="s">
        <v>449</v>
      </c>
      <c r="B1888" s="8" t="s">
        <v>450</v>
      </c>
      <c r="C1888" s="8">
        <v>30813066</v>
      </c>
      <c r="D1888" s="8">
        <v>5</v>
      </c>
      <c r="E1888" s="11">
        <v>43108</v>
      </c>
      <c r="F1888" s="8" t="s">
        <v>58</v>
      </c>
      <c r="G1888" s="11">
        <v>43108</v>
      </c>
      <c r="H1888" s="8" t="s">
        <v>25</v>
      </c>
      <c r="I1888" s="11">
        <v>43109</v>
      </c>
      <c r="J1888" s="8" t="s">
        <v>25</v>
      </c>
      <c r="N1888" s="8" t="s">
        <v>58</v>
      </c>
      <c r="O1888" s="8" t="s">
        <v>59</v>
      </c>
      <c r="P1888" s="8" t="s">
        <v>59</v>
      </c>
      <c r="R1888" s="8">
        <v>0</v>
      </c>
      <c r="S1888" s="8">
        <v>0</v>
      </c>
      <c r="T1888" s="8">
        <v>1</v>
      </c>
      <c r="U1888" s="8">
        <v>2</v>
      </c>
      <c r="X1888" s="8">
        <v>5</v>
      </c>
      <c r="AG1888" s="8" t="str">
        <f t="shared" si="117"/>
        <v/>
      </c>
      <c r="AI1888" s="8" t="str">
        <f t="shared" si="118"/>
        <v/>
      </c>
      <c r="AJ1888" s="8" t="str">
        <f t="shared" si="119"/>
        <v/>
      </c>
      <c r="AL1888" s="8" t="str">
        <f t="shared" si="120"/>
        <v/>
      </c>
    </row>
    <row r="1889" spans="1:38" x14ac:dyDescent="0.25">
      <c r="A1889" s="8" t="s">
        <v>451</v>
      </c>
      <c r="B1889" s="8" t="s">
        <v>452</v>
      </c>
      <c r="C1889" s="8">
        <v>30818122</v>
      </c>
      <c r="D1889" s="8">
        <v>5</v>
      </c>
      <c r="E1889" s="11">
        <v>43108</v>
      </c>
      <c r="F1889" s="8" t="s">
        <v>58</v>
      </c>
      <c r="G1889" s="11">
        <v>43108</v>
      </c>
      <c r="H1889" s="8" t="s">
        <v>25</v>
      </c>
      <c r="I1889" s="11">
        <v>43108</v>
      </c>
      <c r="J1889" s="8" t="s">
        <v>25</v>
      </c>
      <c r="N1889" s="8" t="s">
        <v>58</v>
      </c>
      <c r="O1889" s="8" t="s">
        <v>59</v>
      </c>
      <c r="P1889" s="8" t="s">
        <v>59</v>
      </c>
      <c r="R1889" s="8">
        <v>0</v>
      </c>
      <c r="S1889" s="8">
        <v>0</v>
      </c>
      <c r="T1889" s="8">
        <v>1</v>
      </c>
      <c r="U1889" s="8">
        <v>2</v>
      </c>
      <c r="X1889" s="8">
        <v>5</v>
      </c>
      <c r="AG1889" s="8" t="str">
        <f t="shared" si="117"/>
        <v/>
      </c>
      <c r="AI1889" s="8" t="str">
        <f t="shared" si="118"/>
        <v/>
      </c>
      <c r="AJ1889" s="8" t="str">
        <f t="shared" si="119"/>
        <v/>
      </c>
      <c r="AL1889" s="8" t="str">
        <f t="shared" si="120"/>
        <v/>
      </c>
    </row>
    <row r="1890" spans="1:38" x14ac:dyDescent="0.25">
      <c r="A1890" s="8" t="s">
        <v>3924</v>
      </c>
      <c r="B1890" s="8" t="s">
        <v>3925</v>
      </c>
      <c r="C1890" s="8">
        <v>30879784</v>
      </c>
      <c r="D1890" s="8">
        <v>5</v>
      </c>
      <c r="E1890" s="11">
        <v>43111</v>
      </c>
      <c r="F1890" s="8" t="s">
        <v>58</v>
      </c>
      <c r="G1890" s="11">
        <v>43111</v>
      </c>
      <c r="H1890" s="8" t="s">
        <v>25</v>
      </c>
      <c r="I1890" s="11">
        <v>43111</v>
      </c>
      <c r="J1890" s="8" t="s">
        <v>25</v>
      </c>
      <c r="N1890" s="8" t="s">
        <v>58</v>
      </c>
      <c r="O1890" s="8" t="s">
        <v>59</v>
      </c>
      <c r="P1890" s="8" t="s">
        <v>59</v>
      </c>
      <c r="R1890" s="8">
        <v>0</v>
      </c>
      <c r="S1890" s="8">
        <v>0</v>
      </c>
      <c r="T1890" s="8">
        <v>1</v>
      </c>
      <c r="U1890" s="8">
        <v>2</v>
      </c>
      <c r="X1890" s="8">
        <v>5</v>
      </c>
      <c r="AG1890" s="8" t="str">
        <f t="shared" si="117"/>
        <v/>
      </c>
      <c r="AI1890" s="8" t="str">
        <f t="shared" si="118"/>
        <v/>
      </c>
      <c r="AJ1890" s="8" t="str">
        <f t="shared" si="119"/>
        <v/>
      </c>
      <c r="AL1890" s="8" t="str">
        <f t="shared" si="120"/>
        <v/>
      </c>
    </row>
    <row r="1891" spans="1:38" x14ac:dyDescent="0.25">
      <c r="A1891" s="8" t="s">
        <v>7287</v>
      </c>
      <c r="B1891" s="8" t="s">
        <v>7288</v>
      </c>
      <c r="C1891" s="8">
        <v>30933684</v>
      </c>
      <c r="D1891" s="8">
        <v>5</v>
      </c>
      <c r="E1891" s="11">
        <v>43115</v>
      </c>
      <c r="F1891" s="8" t="s">
        <v>57</v>
      </c>
      <c r="G1891" s="11">
        <v>43115</v>
      </c>
      <c r="H1891" s="8" t="s">
        <v>25</v>
      </c>
      <c r="J1891" s="8" t="s">
        <v>25</v>
      </c>
      <c r="N1891" s="8" t="s">
        <v>58</v>
      </c>
      <c r="O1891" s="8" t="s">
        <v>59</v>
      </c>
      <c r="P1891" s="8" t="s">
        <v>59</v>
      </c>
      <c r="R1891" s="8">
        <v>0</v>
      </c>
      <c r="S1891" s="8">
        <v>0</v>
      </c>
      <c r="T1891" s="8">
        <v>1</v>
      </c>
      <c r="U1891" s="8">
        <v>2</v>
      </c>
      <c r="AG1891" s="8" t="str">
        <f t="shared" si="117"/>
        <v/>
      </c>
      <c r="AI1891" s="8" t="str">
        <f t="shared" si="118"/>
        <v/>
      </c>
      <c r="AJ1891" s="8" t="str">
        <f t="shared" si="119"/>
        <v/>
      </c>
      <c r="AL1891" s="8" t="str">
        <f t="shared" si="120"/>
        <v/>
      </c>
    </row>
    <row r="1892" spans="1:38" x14ac:dyDescent="0.25">
      <c r="A1892" s="8" t="s">
        <v>5484</v>
      </c>
      <c r="B1892" s="8" t="s">
        <v>5485</v>
      </c>
      <c r="C1892" s="8">
        <v>30920735</v>
      </c>
      <c r="D1892" s="8">
        <v>5</v>
      </c>
      <c r="E1892" s="11">
        <v>43112</v>
      </c>
      <c r="F1892" s="8" t="s">
        <v>58</v>
      </c>
      <c r="G1892" s="11">
        <v>43112</v>
      </c>
      <c r="H1892" s="8" t="s">
        <v>25</v>
      </c>
      <c r="I1892" s="11">
        <v>43112</v>
      </c>
      <c r="J1892" s="8" t="s">
        <v>25</v>
      </c>
      <c r="N1892" s="8" t="s">
        <v>58</v>
      </c>
      <c r="O1892" s="8" t="s">
        <v>59</v>
      </c>
      <c r="P1892" s="8" t="s">
        <v>59</v>
      </c>
      <c r="R1892" s="8">
        <v>0</v>
      </c>
      <c r="S1892" s="8">
        <v>0</v>
      </c>
      <c r="T1892" s="8">
        <v>1</v>
      </c>
      <c r="U1892" s="8">
        <v>2</v>
      </c>
      <c r="X1892" s="8">
        <v>5</v>
      </c>
      <c r="AG1892" s="8" t="str">
        <f t="shared" si="117"/>
        <v/>
      </c>
      <c r="AI1892" s="8" t="str">
        <f t="shared" si="118"/>
        <v/>
      </c>
      <c r="AJ1892" s="8" t="str">
        <f t="shared" si="119"/>
        <v/>
      </c>
      <c r="AL1892" s="8" t="str">
        <f t="shared" si="120"/>
        <v/>
      </c>
    </row>
    <row r="1893" spans="1:38" x14ac:dyDescent="0.25">
      <c r="A1893" s="8" t="s">
        <v>1238</v>
      </c>
      <c r="B1893" s="8" t="s">
        <v>1239</v>
      </c>
      <c r="C1893" s="8">
        <v>30839476</v>
      </c>
      <c r="D1893" s="8">
        <v>5</v>
      </c>
      <c r="E1893" s="11">
        <v>43109</v>
      </c>
      <c r="F1893" s="8" t="s">
        <v>58</v>
      </c>
      <c r="G1893" s="11">
        <v>43109</v>
      </c>
      <c r="H1893" s="8" t="s">
        <v>25</v>
      </c>
      <c r="I1893" s="11">
        <v>43109</v>
      </c>
      <c r="J1893" s="8" t="s">
        <v>25</v>
      </c>
      <c r="N1893" s="8" t="s">
        <v>58</v>
      </c>
      <c r="O1893" s="8" t="s">
        <v>59</v>
      </c>
      <c r="P1893" s="8" t="s">
        <v>59</v>
      </c>
      <c r="R1893" s="8">
        <v>0</v>
      </c>
      <c r="S1893" s="8">
        <v>0</v>
      </c>
      <c r="T1893" s="8">
        <v>1</v>
      </c>
      <c r="U1893" s="8">
        <v>2</v>
      </c>
      <c r="X1893" s="8">
        <v>5</v>
      </c>
      <c r="AG1893" s="8" t="str">
        <f t="shared" si="117"/>
        <v/>
      </c>
      <c r="AI1893" s="8" t="str">
        <f t="shared" si="118"/>
        <v/>
      </c>
      <c r="AJ1893" s="8" t="str">
        <f t="shared" si="119"/>
        <v/>
      </c>
      <c r="AL1893" s="8" t="str">
        <f t="shared" si="120"/>
        <v/>
      </c>
    </row>
    <row r="1894" spans="1:38" x14ac:dyDescent="0.25">
      <c r="A1894" s="8" t="s">
        <v>3926</v>
      </c>
      <c r="B1894" s="8" t="s">
        <v>3927</v>
      </c>
      <c r="C1894" s="8">
        <v>30895257</v>
      </c>
      <c r="D1894" s="8">
        <v>5</v>
      </c>
      <c r="E1894" s="11">
        <v>43111</v>
      </c>
      <c r="F1894" s="8" t="s">
        <v>57</v>
      </c>
      <c r="G1894" s="11">
        <v>43111</v>
      </c>
      <c r="H1894" s="8" t="s">
        <v>25</v>
      </c>
      <c r="J1894" s="8" t="s">
        <v>25</v>
      </c>
      <c r="N1894" s="8" t="s">
        <v>58</v>
      </c>
      <c r="O1894" s="8" t="s">
        <v>59</v>
      </c>
      <c r="P1894" s="8" t="s">
        <v>59</v>
      </c>
      <c r="R1894" s="8">
        <v>0</v>
      </c>
      <c r="S1894" s="8">
        <v>0</v>
      </c>
      <c r="T1894" s="8">
        <v>1</v>
      </c>
      <c r="U1894" s="8">
        <v>2</v>
      </c>
      <c r="AG1894" s="8" t="str">
        <f t="shared" si="117"/>
        <v/>
      </c>
      <c r="AI1894" s="8" t="str">
        <f t="shared" si="118"/>
        <v/>
      </c>
      <c r="AJ1894" s="8" t="str">
        <f t="shared" si="119"/>
        <v/>
      </c>
      <c r="AL1894" s="8" t="str">
        <f t="shared" si="120"/>
        <v/>
      </c>
    </row>
    <row r="1895" spans="1:38" x14ac:dyDescent="0.25">
      <c r="A1895" s="8" t="s">
        <v>5486</v>
      </c>
      <c r="B1895" s="8" t="s">
        <v>5487</v>
      </c>
      <c r="C1895" s="8">
        <v>30910711</v>
      </c>
      <c r="D1895" s="8">
        <v>5</v>
      </c>
      <c r="E1895" s="11">
        <v>43112</v>
      </c>
      <c r="F1895" s="8" t="s">
        <v>58</v>
      </c>
      <c r="G1895" s="11">
        <v>43112</v>
      </c>
      <c r="H1895" s="8" t="s">
        <v>25</v>
      </c>
      <c r="I1895" s="11">
        <v>43112</v>
      </c>
      <c r="J1895" s="8" t="s">
        <v>25</v>
      </c>
      <c r="N1895" s="8" t="s">
        <v>58</v>
      </c>
      <c r="O1895" s="8" t="s">
        <v>59</v>
      </c>
      <c r="P1895" s="8" t="s">
        <v>59</v>
      </c>
      <c r="R1895" s="8">
        <v>0</v>
      </c>
      <c r="S1895" s="8">
        <v>0</v>
      </c>
      <c r="T1895" s="8">
        <v>1</v>
      </c>
      <c r="U1895" s="8">
        <v>2</v>
      </c>
      <c r="X1895" s="8">
        <v>5</v>
      </c>
      <c r="AG1895" s="8" t="str">
        <f t="shared" si="117"/>
        <v/>
      </c>
      <c r="AI1895" s="8" t="str">
        <f t="shared" si="118"/>
        <v/>
      </c>
      <c r="AJ1895" s="8" t="str">
        <f t="shared" si="119"/>
        <v/>
      </c>
      <c r="AL1895" s="8" t="str">
        <f t="shared" si="120"/>
        <v/>
      </c>
    </row>
    <row r="1896" spans="1:38" x14ac:dyDescent="0.25">
      <c r="A1896" s="8" t="s">
        <v>1240</v>
      </c>
      <c r="B1896" s="8" t="s">
        <v>1241</v>
      </c>
      <c r="C1896" s="8">
        <v>30851231</v>
      </c>
      <c r="D1896" s="8">
        <v>5</v>
      </c>
      <c r="E1896" s="11">
        <v>43109</v>
      </c>
      <c r="F1896" s="8" t="s">
        <v>58</v>
      </c>
      <c r="G1896" s="11">
        <v>43109</v>
      </c>
      <c r="H1896" s="8" t="s">
        <v>25</v>
      </c>
      <c r="I1896" s="11">
        <v>43109</v>
      </c>
      <c r="J1896" s="8" t="s">
        <v>25</v>
      </c>
      <c r="N1896" s="8" t="s">
        <v>58</v>
      </c>
      <c r="O1896" s="8" t="s">
        <v>59</v>
      </c>
      <c r="P1896" s="8" t="s">
        <v>59</v>
      </c>
      <c r="R1896" s="8">
        <v>0</v>
      </c>
      <c r="S1896" s="8">
        <v>0</v>
      </c>
      <c r="T1896" s="8">
        <v>1</v>
      </c>
      <c r="U1896" s="8">
        <v>2</v>
      </c>
      <c r="X1896" s="8">
        <v>5</v>
      </c>
      <c r="AG1896" s="8" t="str">
        <f t="shared" si="117"/>
        <v/>
      </c>
      <c r="AI1896" s="8" t="str">
        <f t="shared" si="118"/>
        <v/>
      </c>
      <c r="AJ1896" s="8" t="str">
        <f t="shared" si="119"/>
        <v/>
      </c>
      <c r="AL1896" s="8" t="str">
        <f t="shared" si="120"/>
        <v/>
      </c>
    </row>
    <row r="1897" spans="1:38" x14ac:dyDescent="0.25">
      <c r="A1897" s="8" t="s">
        <v>7289</v>
      </c>
      <c r="B1897" s="8" t="s">
        <v>7290</v>
      </c>
      <c r="C1897" s="8">
        <v>30934264</v>
      </c>
      <c r="D1897" s="8">
        <v>5</v>
      </c>
      <c r="E1897" s="11">
        <v>43115</v>
      </c>
      <c r="F1897" s="8" t="s">
        <v>58</v>
      </c>
      <c r="G1897" s="11">
        <v>43115</v>
      </c>
      <c r="H1897" s="8" t="s">
        <v>25</v>
      </c>
      <c r="I1897" s="11">
        <v>43115</v>
      </c>
      <c r="J1897" s="8" t="s">
        <v>25</v>
      </c>
      <c r="N1897" s="8" t="s">
        <v>58</v>
      </c>
      <c r="O1897" s="8" t="s">
        <v>59</v>
      </c>
      <c r="P1897" s="8" t="s">
        <v>59</v>
      </c>
      <c r="R1897" s="8">
        <v>0</v>
      </c>
      <c r="S1897" s="8">
        <v>0</v>
      </c>
      <c r="T1897" s="8">
        <v>1</v>
      </c>
      <c r="U1897" s="8">
        <v>2</v>
      </c>
      <c r="X1897" s="8">
        <v>5</v>
      </c>
      <c r="AG1897" s="8" t="str">
        <f t="shared" si="117"/>
        <v/>
      </c>
      <c r="AI1897" s="8" t="str">
        <f t="shared" si="118"/>
        <v/>
      </c>
      <c r="AJ1897" s="8" t="str">
        <f t="shared" si="119"/>
        <v/>
      </c>
      <c r="AL1897" s="8" t="str">
        <f t="shared" si="120"/>
        <v/>
      </c>
    </row>
    <row r="1898" spans="1:38" x14ac:dyDescent="0.25">
      <c r="A1898" s="8" t="s">
        <v>5488</v>
      </c>
      <c r="B1898" s="8" t="s">
        <v>5489</v>
      </c>
      <c r="C1898" s="8">
        <v>30843014</v>
      </c>
      <c r="D1898" s="8">
        <v>5</v>
      </c>
      <c r="E1898" s="11">
        <v>43109</v>
      </c>
      <c r="F1898" s="8" t="s">
        <v>57</v>
      </c>
      <c r="G1898" s="11">
        <v>43114</v>
      </c>
      <c r="H1898" s="8" t="s">
        <v>145</v>
      </c>
      <c r="J1898" s="8" t="s">
        <v>25</v>
      </c>
      <c r="N1898" s="8" t="s">
        <v>58</v>
      </c>
      <c r="O1898" s="8" t="s">
        <v>59</v>
      </c>
      <c r="P1898" s="8" t="s">
        <v>59</v>
      </c>
      <c r="R1898" s="8">
        <v>0</v>
      </c>
      <c r="S1898" s="8">
        <v>0</v>
      </c>
      <c r="T1898" s="8">
        <v>1</v>
      </c>
      <c r="U1898" s="8">
        <v>2</v>
      </c>
      <c r="AG1898" s="8" t="str">
        <f t="shared" si="117"/>
        <v/>
      </c>
      <c r="AI1898" s="8" t="str">
        <f t="shared" si="118"/>
        <v/>
      </c>
      <c r="AJ1898" s="8" t="str">
        <f t="shared" si="119"/>
        <v/>
      </c>
      <c r="AL1898" s="8" t="str">
        <f t="shared" si="120"/>
        <v/>
      </c>
    </row>
    <row r="1899" spans="1:38" x14ac:dyDescent="0.25">
      <c r="A1899" s="8" t="s">
        <v>5490</v>
      </c>
      <c r="B1899" s="8" t="s">
        <v>5491</v>
      </c>
      <c r="C1899" s="8">
        <v>30816212</v>
      </c>
      <c r="D1899" s="8">
        <v>5</v>
      </c>
      <c r="E1899" s="11">
        <v>43108</v>
      </c>
      <c r="F1899" s="8" t="s">
        <v>57</v>
      </c>
      <c r="G1899" s="11">
        <v>43114</v>
      </c>
      <c r="H1899" s="8" t="s">
        <v>856</v>
      </c>
      <c r="J1899" s="8" t="s">
        <v>25</v>
      </c>
      <c r="N1899" s="8" t="s">
        <v>58</v>
      </c>
      <c r="O1899" s="8" t="s">
        <v>59</v>
      </c>
      <c r="P1899" s="8" t="s">
        <v>59</v>
      </c>
      <c r="R1899" s="8">
        <v>0</v>
      </c>
      <c r="S1899" s="8">
        <v>0</v>
      </c>
      <c r="T1899" s="8">
        <v>1</v>
      </c>
      <c r="U1899" s="8">
        <v>2</v>
      </c>
      <c r="AG1899" s="8" t="str">
        <f t="shared" si="117"/>
        <v/>
      </c>
      <c r="AI1899" s="8" t="str">
        <f t="shared" si="118"/>
        <v/>
      </c>
      <c r="AJ1899" s="8" t="str">
        <f t="shared" si="119"/>
        <v/>
      </c>
      <c r="AL1899" s="8" t="str">
        <f t="shared" si="120"/>
        <v/>
      </c>
    </row>
    <row r="1900" spans="1:38" x14ac:dyDescent="0.25">
      <c r="A1900" s="8" t="s">
        <v>3928</v>
      </c>
      <c r="B1900" s="8" t="s">
        <v>3929</v>
      </c>
      <c r="C1900" s="8">
        <v>30889038</v>
      </c>
      <c r="D1900" s="8">
        <v>5</v>
      </c>
      <c r="E1900" s="11">
        <v>43111</v>
      </c>
      <c r="F1900" s="8" t="s">
        <v>58</v>
      </c>
      <c r="G1900" s="11">
        <v>43111</v>
      </c>
      <c r="H1900" s="8" t="s">
        <v>25</v>
      </c>
      <c r="I1900" s="11">
        <v>43111</v>
      </c>
      <c r="J1900" s="8" t="s">
        <v>25</v>
      </c>
      <c r="N1900" s="8" t="s">
        <v>58</v>
      </c>
      <c r="O1900" s="8" t="s">
        <v>59</v>
      </c>
      <c r="P1900" s="8" t="s">
        <v>59</v>
      </c>
      <c r="R1900" s="8">
        <v>0</v>
      </c>
      <c r="S1900" s="8">
        <v>0</v>
      </c>
      <c r="T1900" s="8">
        <v>1</v>
      </c>
      <c r="U1900" s="8">
        <v>2</v>
      </c>
      <c r="X1900" s="8">
        <v>5</v>
      </c>
      <c r="AG1900" s="8" t="str">
        <f t="shared" si="117"/>
        <v/>
      </c>
      <c r="AI1900" s="8" t="str">
        <f t="shared" si="118"/>
        <v/>
      </c>
      <c r="AJ1900" s="8" t="str">
        <f t="shared" si="119"/>
        <v/>
      </c>
      <c r="AL1900" s="8" t="str">
        <f t="shared" si="120"/>
        <v/>
      </c>
    </row>
    <row r="1901" spans="1:38" x14ac:dyDescent="0.25">
      <c r="A1901" s="8" t="s">
        <v>2404</v>
      </c>
      <c r="B1901" s="8" t="s">
        <v>2405</v>
      </c>
      <c r="C1901" s="8">
        <v>30869022</v>
      </c>
      <c r="D1901" s="8">
        <v>5</v>
      </c>
      <c r="E1901" s="11">
        <v>43110</v>
      </c>
      <c r="F1901" s="8" t="s">
        <v>58</v>
      </c>
      <c r="G1901" s="11">
        <v>43110</v>
      </c>
      <c r="H1901" s="8" t="s">
        <v>25</v>
      </c>
      <c r="I1901" s="11">
        <v>43110</v>
      </c>
      <c r="J1901" s="8" t="s">
        <v>25</v>
      </c>
      <c r="N1901" s="8" t="s">
        <v>58</v>
      </c>
      <c r="O1901" s="8" t="s">
        <v>59</v>
      </c>
      <c r="P1901" s="8" t="s">
        <v>59</v>
      </c>
      <c r="R1901" s="8">
        <v>0</v>
      </c>
      <c r="S1901" s="8">
        <v>0</v>
      </c>
      <c r="T1901" s="8">
        <v>1</v>
      </c>
      <c r="U1901" s="8">
        <v>2</v>
      </c>
      <c r="X1901" s="8">
        <v>5</v>
      </c>
      <c r="AG1901" s="8" t="str">
        <f t="shared" si="117"/>
        <v/>
      </c>
      <c r="AI1901" s="8" t="str">
        <f t="shared" si="118"/>
        <v/>
      </c>
      <c r="AJ1901" s="8" t="str">
        <f t="shared" si="119"/>
        <v/>
      </c>
      <c r="AL1901" s="8" t="str">
        <f t="shared" si="120"/>
        <v/>
      </c>
    </row>
    <row r="1902" spans="1:38" x14ac:dyDescent="0.25">
      <c r="A1902" s="8" t="s">
        <v>7291</v>
      </c>
      <c r="B1902" s="8" t="s">
        <v>7292</v>
      </c>
      <c r="C1902" s="8">
        <v>30942443</v>
      </c>
      <c r="D1902" s="8">
        <v>5</v>
      </c>
      <c r="E1902" s="11">
        <v>43115</v>
      </c>
      <c r="F1902" s="8" t="s">
        <v>58</v>
      </c>
      <c r="G1902" s="11">
        <v>43115</v>
      </c>
      <c r="H1902" s="8" t="s">
        <v>25</v>
      </c>
      <c r="I1902" s="11">
        <v>43115</v>
      </c>
      <c r="J1902" s="8" t="s">
        <v>25</v>
      </c>
      <c r="N1902" s="8" t="s">
        <v>58</v>
      </c>
      <c r="O1902" s="8" t="s">
        <v>59</v>
      </c>
      <c r="P1902" s="8" t="s">
        <v>59</v>
      </c>
      <c r="R1902" s="8">
        <v>0</v>
      </c>
      <c r="S1902" s="8">
        <v>0</v>
      </c>
      <c r="T1902" s="8">
        <v>1</v>
      </c>
      <c r="U1902" s="8">
        <v>2</v>
      </c>
      <c r="X1902" s="8">
        <v>5</v>
      </c>
      <c r="AG1902" s="8" t="str">
        <f t="shared" si="117"/>
        <v/>
      </c>
      <c r="AI1902" s="8" t="str">
        <f t="shared" si="118"/>
        <v/>
      </c>
      <c r="AJ1902" s="8" t="str">
        <f t="shared" si="119"/>
        <v/>
      </c>
      <c r="AL1902" s="8" t="str">
        <f t="shared" si="120"/>
        <v/>
      </c>
    </row>
    <row r="1903" spans="1:38" x14ac:dyDescent="0.25">
      <c r="A1903" s="8" t="s">
        <v>2406</v>
      </c>
      <c r="B1903" s="8" t="s">
        <v>2407</v>
      </c>
      <c r="C1903" s="8">
        <v>30848418</v>
      </c>
      <c r="D1903" s="8">
        <v>5</v>
      </c>
      <c r="E1903" s="11">
        <v>43109</v>
      </c>
      <c r="F1903" s="8" t="s">
        <v>58</v>
      </c>
      <c r="G1903" s="11">
        <v>43110</v>
      </c>
      <c r="H1903" s="8" t="s">
        <v>25</v>
      </c>
      <c r="I1903" s="11">
        <v>43112</v>
      </c>
      <c r="J1903" s="8" t="s">
        <v>25</v>
      </c>
      <c r="N1903" s="8" t="s">
        <v>58</v>
      </c>
      <c r="O1903" s="8" t="s">
        <v>59</v>
      </c>
      <c r="P1903" s="8" t="s">
        <v>59</v>
      </c>
      <c r="R1903" s="8">
        <v>0</v>
      </c>
      <c r="S1903" s="8">
        <v>0</v>
      </c>
      <c r="T1903" s="8">
        <v>1</v>
      </c>
      <c r="U1903" s="8">
        <v>2</v>
      </c>
      <c r="X1903" s="8">
        <v>5</v>
      </c>
      <c r="AG1903" s="8" t="str">
        <f t="shared" si="117"/>
        <v/>
      </c>
      <c r="AI1903" s="8" t="str">
        <f t="shared" si="118"/>
        <v/>
      </c>
      <c r="AJ1903" s="8" t="str">
        <f t="shared" si="119"/>
        <v/>
      </c>
      <c r="AL1903" s="8" t="str">
        <f t="shared" si="120"/>
        <v/>
      </c>
    </row>
    <row r="1904" spans="1:38" x14ac:dyDescent="0.25">
      <c r="A1904" s="8" t="s">
        <v>3930</v>
      </c>
      <c r="B1904" s="8" t="s">
        <v>101</v>
      </c>
      <c r="C1904" s="8">
        <v>30892188</v>
      </c>
      <c r="D1904" s="8">
        <v>5</v>
      </c>
      <c r="E1904" s="11">
        <v>43111</v>
      </c>
      <c r="F1904" s="8" t="s">
        <v>57</v>
      </c>
      <c r="G1904" s="11">
        <v>43111</v>
      </c>
      <c r="H1904" s="8" t="s">
        <v>25</v>
      </c>
      <c r="J1904" s="8" t="s">
        <v>25</v>
      </c>
      <c r="N1904" s="8" t="s">
        <v>58</v>
      </c>
      <c r="O1904" s="8" t="s">
        <v>59</v>
      </c>
      <c r="P1904" s="8" t="s">
        <v>59</v>
      </c>
      <c r="R1904" s="8">
        <v>0</v>
      </c>
      <c r="S1904" s="8">
        <v>0</v>
      </c>
      <c r="T1904" s="8">
        <v>1</v>
      </c>
      <c r="U1904" s="8">
        <v>2</v>
      </c>
      <c r="AG1904" s="8" t="str">
        <f t="shared" si="117"/>
        <v/>
      </c>
      <c r="AI1904" s="8" t="str">
        <f t="shared" si="118"/>
        <v/>
      </c>
      <c r="AJ1904" s="8" t="str">
        <f t="shared" si="119"/>
        <v/>
      </c>
      <c r="AL1904" s="8" t="str">
        <f t="shared" si="120"/>
        <v/>
      </c>
    </row>
    <row r="1905" spans="1:38" x14ac:dyDescent="0.25">
      <c r="A1905" s="8" t="s">
        <v>2408</v>
      </c>
      <c r="B1905" s="8" t="s">
        <v>2409</v>
      </c>
      <c r="C1905" s="8">
        <v>30844319</v>
      </c>
      <c r="D1905" s="8">
        <v>5</v>
      </c>
      <c r="E1905" s="11">
        <v>43109</v>
      </c>
      <c r="F1905" s="8" t="s">
        <v>57</v>
      </c>
      <c r="G1905" s="11">
        <v>43110</v>
      </c>
      <c r="H1905" s="8" t="s">
        <v>25</v>
      </c>
      <c r="J1905" s="8" t="s">
        <v>25</v>
      </c>
      <c r="N1905" s="8" t="s">
        <v>58</v>
      </c>
      <c r="O1905" s="8" t="s">
        <v>59</v>
      </c>
      <c r="P1905" s="8" t="s">
        <v>59</v>
      </c>
      <c r="R1905" s="8">
        <v>0</v>
      </c>
      <c r="S1905" s="8">
        <v>0</v>
      </c>
      <c r="T1905" s="8">
        <v>1</v>
      </c>
      <c r="U1905" s="8">
        <v>2</v>
      </c>
      <c r="AG1905" s="8" t="str">
        <f t="shared" si="117"/>
        <v/>
      </c>
      <c r="AI1905" s="8" t="str">
        <f t="shared" si="118"/>
        <v/>
      </c>
      <c r="AJ1905" s="8" t="str">
        <f t="shared" si="119"/>
        <v/>
      </c>
      <c r="AL1905" s="8" t="str">
        <f t="shared" si="120"/>
        <v/>
      </c>
    </row>
    <row r="1906" spans="1:38" x14ac:dyDescent="0.25">
      <c r="A1906" s="8" t="s">
        <v>5492</v>
      </c>
      <c r="B1906" s="8" t="s">
        <v>5493</v>
      </c>
      <c r="C1906" s="8">
        <v>30919142</v>
      </c>
      <c r="D1906" s="8">
        <v>5</v>
      </c>
      <c r="E1906" s="11">
        <v>43112</v>
      </c>
      <c r="F1906" s="8" t="s">
        <v>58</v>
      </c>
      <c r="G1906" s="11">
        <v>43112</v>
      </c>
      <c r="H1906" s="8" t="s">
        <v>25</v>
      </c>
      <c r="I1906" s="11">
        <v>43112</v>
      </c>
      <c r="J1906" s="8" t="s">
        <v>25</v>
      </c>
      <c r="N1906" s="8" t="s">
        <v>58</v>
      </c>
      <c r="O1906" s="8" t="s">
        <v>59</v>
      </c>
      <c r="P1906" s="8" t="s">
        <v>59</v>
      </c>
      <c r="R1906" s="8">
        <v>0</v>
      </c>
      <c r="S1906" s="8">
        <v>0</v>
      </c>
      <c r="T1906" s="8">
        <v>1</v>
      </c>
      <c r="U1906" s="8">
        <v>2</v>
      </c>
      <c r="X1906" s="8">
        <v>5</v>
      </c>
      <c r="AG1906" s="8" t="str">
        <f t="shared" si="117"/>
        <v/>
      </c>
      <c r="AI1906" s="8" t="str">
        <f t="shared" si="118"/>
        <v/>
      </c>
      <c r="AJ1906" s="8" t="str">
        <f t="shared" si="119"/>
        <v/>
      </c>
      <c r="AL1906" s="8" t="str">
        <f t="shared" si="120"/>
        <v/>
      </c>
    </row>
    <row r="1907" spans="1:38" x14ac:dyDescent="0.25">
      <c r="A1907" s="8" t="s">
        <v>7293</v>
      </c>
      <c r="B1907" s="8" t="s">
        <v>7294</v>
      </c>
      <c r="C1907" s="8">
        <v>30947778</v>
      </c>
      <c r="D1907" s="8">
        <v>5</v>
      </c>
      <c r="E1907" s="11">
        <v>43115</v>
      </c>
      <c r="F1907" s="8" t="s">
        <v>57</v>
      </c>
      <c r="G1907" s="11">
        <v>43115</v>
      </c>
      <c r="H1907" s="8" t="s">
        <v>25</v>
      </c>
      <c r="J1907" s="8" t="s">
        <v>25</v>
      </c>
      <c r="N1907" s="8" t="s">
        <v>58</v>
      </c>
      <c r="O1907" s="8" t="s">
        <v>59</v>
      </c>
      <c r="P1907" s="8" t="s">
        <v>59</v>
      </c>
      <c r="R1907" s="8">
        <v>0</v>
      </c>
      <c r="S1907" s="8">
        <v>0</v>
      </c>
      <c r="T1907" s="8">
        <v>1</v>
      </c>
      <c r="U1907" s="8">
        <v>2</v>
      </c>
      <c r="Y1907" s="8">
        <v>6</v>
      </c>
      <c r="Z1907" s="8">
        <v>7</v>
      </c>
      <c r="AG1907" s="8" t="str">
        <f t="shared" si="117"/>
        <v/>
      </c>
      <c r="AI1907" s="8" t="str">
        <f t="shared" si="118"/>
        <v/>
      </c>
      <c r="AJ1907" s="8" t="str">
        <f t="shared" si="119"/>
        <v/>
      </c>
      <c r="AL1907" s="8" t="str">
        <f t="shared" si="120"/>
        <v/>
      </c>
    </row>
    <row r="1908" spans="1:38" x14ac:dyDescent="0.25">
      <c r="A1908" s="8" t="s">
        <v>5494</v>
      </c>
      <c r="B1908" s="8" t="s">
        <v>5495</v>
      </c>
      <c r="C1908" s="8">
        <v>30858858</v>
      </c>
      <c r="D1908" s="8">
        <v>5</v>
      </c>
      <c r="E1908" s="11">
        <v>43110</v>
      </c>
      <c r="F1908" s="8" t="s">
        <v>57</v>
      </c>
      <c r="G1908" s="11">
        <v>43114</v>
      </c>
      <c r="H1908" s="8" t="s">
        <v>25</v>
      </c>
      <c r="J1908" s="8" t="s">
        <v>25</v>
      </c>
      <c r="N1908" s="8" t="s">
        <v>58</v>
      </c>
      <c r="O1908" s="8" t="s">
        <v>59</v>
      </c>
      <c r="P1908" s="8" t="s">
        <v>59</v>
      </c>
      <c r="R1908" s="8">
        <v>0</v>
      </c>
      <c r="S1908" s="8">
        <v>0</v>
      </c>
      <c r="T1908" s="8">
        <v>1</v>
      </c>
      <c r="U1908" s="8">
        <v>2</v>
      </c>
      <c r="AG1908" s="8" t="str">
        <f t="shared" si="117"/>
        <v/>
      </c>
      <c r="AI1908" s="8" t="str">
        <f t="shared" si="118"/>
        <v/>
      </c>
      <c r="AJ1908" s="8" t="str">
        <f t="shared" si="119"/>
        <v/>
      </c>
      <c r="AL1908" s="8" t="str">
        <f t="shared" si="120"/>
        <v/>
      </c>
    </row>
    <row r="1909" spans="1:38" x14ac:dyDescent="0.25">
      <c r="A1909" s="8" t="s">
        <v>2410</v>
      </c>
      <c r="B1909" s="8" t="s">
        <v>2411</v>
      </c>
      <c r="C1909" s="8">
        <v>30863113</v>
      </c>
      <c r="D1909" s="8">
        <v>5</v>
      </c>
      <c r="E1909" s="11">
        <v>43110</v>
      </c>
      <c r="F1909" s="8" t="s">
        <v>58</v>
      </c>
      <c r="G1909" s="11">
        <v>43110</v>
      </c>
      <c r="H1909" s="8" t="s">
        <v>25</v>
      </c>
      <c r="I1909" s="11">
        <v>43112</v>
      </c>
      <c r="J1909" s="8" t="s">
        <v>25</v>
      </c>
      <c r="N1909" s="8" t="s">
        <v>58</v>
      </c>
      <c r="O1909" s="8" t="s">
        <v>59</v>
      </c>
      <c r="P1909" s="8" t="s">
        <v>59</v>
      </c>
      <c r="R1909" s="8">
        <v>0</v>
      </c>
      <c r="S1909" s="8">
        <v>0</v>
      </c>
      <c r="T1909" s="8">
        <v>1</v>
      </c>
      <c r="U1909" s="8">
        <v>2</v>
      </c>
      <c r="X1909" s="8">
        <v>5</v>
      </c>
      <c r="AG1909" s="8" t="str">
        <f t="shared" si="117"/>
        <v/>
      </c>
      <c r="AI1909" s="8" t="str">
        <f t="shared" si="118"/>
        <v/>
      </c>
      <c r="AJ1909" s="8" t="str">
        <f t="shared" si="119"/>
        <v/>
      </c>
      <c r="AL1909" s="8" t="str">
        <f t="shared" si="120"/>
        <v/>
      </c>
    </row>
    <row r="1910" spans="1:38" x14ac:dyDescent="0.25">
      <c r="A1910" s="8" t="s">
        <v>1242</v>
      </c>
      <c r="B1910" s="8" t="s">
        <v>1243</v>
      </c>
      <c r="C1910" s="8">
        <v>30846927</v>
      </c>
      <c r="D1910" s="8">
        <v>5</v>
      </c>
      <c r="E1910" s="11">
        <v>43109</v>
      </c>
      <c r="F1910" s="8" t="s">
        <v>58</v>
      </c>
      <c r="G1910" s="11">
        <v>43109</v>
      </c>
      <c r="H1910" s="8" t="s">
        <v>25</v>
      </c>
      <c r="I1910" s="11">
        <v>43109</v>
      </c>
      <c r="J1910" s="8" t="s">
        <v>25</v>
      </c>
      <c r="N1910" s="8" t="s">
        <v>58</v>
      </c>
      <c r="O1910" s="8" t="s">
        <v>59</v>
      </c>
      <c r="P1910" s="8" t="s">
        <v>59</v>
      </c>
      <c r="R1910" s="8">
        <v>0</v>
      </c>
      <c r="S1910" s="8">
        <v>0</v>
      </c>
      <c r="T1910" s="8">
        <v>1</v>
      </c>
      <c r="U1910" s="8">
        <v>2</v>
      </c>
      <c r="X1910" s="8">
        <v>5</v>
      </c>
      <c r="AG1910" s="8" t="str">
        <f t="shared" si="117"/>
        <v/>
      </c>
      <c r="AI1910" s="8" t="str">
        <f t="shared" si="118"/>
        <v/>
      </c>
      <c r="AJ1910" s="8" t="str">
        <f t="shared" si="119"/>
        <v/>
      </c>
      <c r="AL1910" s="8" t="str">
        <f t="shared" si="120"/>
        <v/>
      </c>
    </row>
    <row r="1911" spans="1:38" x14ac:dyDescent="0.25">
      <c r="A1911" s="8" t="s">
        <v>7295</v>
      </c>
      <c r="B1911" s="8" t="s">
        <v>7296</v>
      </c>
      <c r="C1911" s="8">
        <v>30942862</v>
      </c>
      <c r="D1911" s="8">
        <v>5</v>
      </c>
      <c r="E1911" s="11">
        <v>43115</v>
      </c>
      <c r="F1911" s="8" t="s">
        <v>57</v>
      </c>
      <c r="G1911" s="11">
        <v>43115</v>
      </c>
      <c r="H1911" s="8" t="s">
        <v>25</v>
      </c>
      <c r="J1911" s="8" t="s">
        <v>25</v>
      </c>
      <c r="N1911" s="8" t="s">
        <v>58</v>
      </c>
      <c r="O1911" s="8" t="s">
        <v>59</v>
      </c>
      <c r="P1911" s="8" t="s">
        <v>59</v>
      </c>
      <c r="R1911" s="8">
        <v>0</v>
      </c>
      <c r="S1911" s="8">
        <v>0</v>
      </c>
      <c r="T1911" s="8">
        <v>1</v>
      </c>
      <c r="U1911" s="8">
        <v>2</v>
      </c>
      <c r="AG1911" s="8" t="str">
        <f t="shared" si="117"/>
        <v/>
      </c>
      <c r="AI1911" s="8" t="str">
        <f t="shared" si="118"/>
        <v/>
      </c>
      <c r="AJ1911" s="8" t="str">
        <f t="shared" si="119"/>
        <v/>
      </c>
      <c r="AL1911" s="8" t="str">
        <f t="shared" si="120"/>
        <v/>
      </c>
    </row>
    <row r="1912" spans="1:38" x14ac:dyDescent="0.25">
      <c r="A1912" s="8" t="s">
        <v>453</v>
      </c>
      <c r="B1912" s="8" t="s">
        <v>454</v>
      </c>
      <c r="C1912" s="8">
        <v>30812928</v>
      </c>
      <c r="D1912" s="8">
        <v>5</v>
      </c>
      <c r="E1912" s="11">
        <v>43108</v>
      </c>
      <c r="F1912" s="8" t="s">
        <v>58</v>
      </c>
      <c r="G1912" s="11">
        <v>43108</v>
      </c>
      <c r="H1912" s="8" t="s">
        <v>25</v>
      </c>
      <c r="I1912" s="11">
        <v>43108</v>
      </c>
      <c r="J1912" s="8" t="s">
        <v>25</v>
      </c>
      <c r="N1912" s="8" t="s">
        <v>58</v>
      </c>
      <c r="O1912" s="8" t="s">
        <v>59</v>
      </c>
      <c r="P1912" s="8" t="s">
        <v>59</v>
      </c>
      <c r="R1912" s="8">
        <v>0</v>
      </c>
      <c r="S1912" s="8">
        <v>0</v>
      </c>
      <c r="T1912" s="8">
        <v>1</v>
      </c>
      <c r="U1912" s="8">
        <v>2</v>
      </c>
      <c r="X1912" s="8">
        <v>5</v>
      </c>
      <c r="AG1912" s="8" t="str">
        <f t="shared" si="117"/>
        <v/>
      </c>
      <c r="AI1912" s="8" t="str">
        <f t="shared" si="118"/>
        <v/>
      </c>
      <c r="AJ1912" s="8" t="str">
        <f t="shared" si="119"/>
        <v/>
      </c>
      <c r="AL1912" s="8" t="str">
        <f t="shared" si="120"/>
        <v/>
      </c>
    </row>
    <row r="1913" spans="1:38" x14ac:dyDescent="0.25">
      <c r="A1913" s="8" t="s">
        <v>455</v>
      </c>
      <c r="B1913" s="8" t="s">
        <v>456</v>
      </c>
      <c r="C1913" s="8">
        <v>30818459</v>
      </c>
      <c r="D1913" s="8">
        <v>5</v>
      </c>
      <c r="E1913" s="11">
        <v>43108</v>
      </c>
      <c r="F1913" s="8" t="s">
        <v>58</v>
      </c>
      <c r="G1913" s="11">
        <v>43108</v>
      </c>
      <c r="H1913" s="8" t="s">
        <v>25</v>
      </c>
      <c r="I1913" s="11">
        <v>43115</v>
      </c>
      <c r="J1913" s="8" t="s">
        <v>856</v>
      </c>
      <c r="N1913" s="8" t="s">
        <v>58</v>
      </c>
      <c r="O1913" s="8" t="s">
        <v>59</v>
      </c>
      <c r="P1913" s="8" t="s">
        <v>59</v>
      </c>
      <c r="R1913" s="8">
        <v>0</v>
      </c>
      <c r="S1913" s="8">
        <v>0</v>
      </c>
      <c r="T1913" s="8">
        <v>1</v>
      </c>
      <c r="U1913" s="8">
        <v>2</v>
      </c>
      <c r="X1913" s="8">
        <v>5</v>
      </c>
      <c r="AG1913" s="8" t="str">
        <f t="shared" si="117"/>
        <v/>
      </c>
      <c r="AI1913" s="8" t="str">
        <f t="shared" si="118"/>
        <v/>
      </c>
      <c r="AJ1913" s="8" t="str">
        <f t="shared" si="119"/>
        <v/>
      </c>
      <c r="AL1913" s="8" t="str">
        <f t="shared" si="120"/>
        <v/>
      </c>
    </row>
    <row r="1914" spans="1:38" x14ac:dyDescent="0.25">
      <c r="A1914" s="8" t="s">
        <v>1244</v>
      </c>
      <c r="B1914" s="8" t="s">
        <v>1245</v>
      </c>
      <c r="C1914" s="8">
        <v>30833117</v>
      </c>
      <c r="D1914" s="8">
        <v>4</v>
      </c>
      <c r="E1914" s="11">
        <v>43109</v>
      </c>
      <c r="F1914" s="8" t="s">
        <v>57</v>
      </c>
      <c r="G1914" s="11">
        <v>43109</v>
      </c>
      <c r="H1914" s="8" t="s">
        <v>25</v>
      </c>
      <c r="J1914" s="8" t="s">
        <v>25</v>
      </c>
      <c r="N1914" s="8" t="s">
        <v>58</v>
      </c>
      <c r="O1914" s="8" t="s">
        <v>59</v>
      </c>
      <c r="P1914" s="8" t="s">
        <v>59</v>
      </c>
      <c r="R1914" s="8">
        <v>0</v>
      </c>
      <c r="S1914" s="8">
        <v>0</v>
      </c>
      <c r="T1914" s="8">
        <v>1</v>
      </c>
      <c r="U1914" s="8">
        <v>2</v>
      </c>
      <c r="AG1914" s="8" t="str">
        <f t="shared" si="117"/>
        <v/>
      </c>
      <c r="AI1914" s="8" t="str">
        <f t="shared" si="118"/>
        <v/>
      </c>
      <c r="AJ1914" s="8" t="str">
        <f t="shared" si="119"/>
        <v/>
      </c>
      <c r="AL1914" s="8" t="str">
        <f t="shared" si="120"/>
        <v/>
      </c>
    </row>
    <row r="1915" spans="1:38" x14ac:dyDescent="0.25">
      <c r="A1915" s="8" t="s">
        <v>5496</v>
      </c>
      <c r="B1915" s="8" t="s">
        <v>5497</v>
      </c>
      <c r="C1915" s="8">
        <v>30815598</v>
      </c>
      <c r="D1915" s="8">
        <v>5</v>
      </c>
      <c r="E1915" s="11">
        <v>43108</v>
      </c>
      <c r="F1915" s="8" t="s">
        <v>57</v>
      </c>
      <c r="G1915" s="11">
        <v>43112</v>
      </c>
      <c r="H1915" s="8" t="s">
        <v>145</v>
      </c>
      <c r="J1915" s="8" t="s">
        <v>25</v>
      </c>
      <c r="N1915" s="8" t="s">
        <v>58</v>
      </c>
      <c r="O1915" s="8" t="s">
        <v>59</v>
      </c>
      <c r="P1915" s="8" t="s">
        <v>59</v>
      </c>
      <c r="R1915" s="8">
        <v>0</v>
      </c>
      <c r="S1915" s="8">
        <v>0</v>
      </c>
      <c r="T1915" s="8">
        <v>1</v>
      </c>
      <c r="U1915" s="8">
        <v>2</v>
      </c>
      <c r="AG1915" s="8" t="str">
        <f t="shared" si="117"/>
        <v/>
      </c>
      <c r="AI1915" s="8" t="str">
        <f t="shared" si="118"/>
        <v/>
      </c>
      <c r="AJ1915" s="8" t="str">
        <f t="shared" si="119"/>
        <v/>
      </c>
      <c r="AL1915" s="8" t="str">
        <f t="shared" si="120"/>
        <v/>
      </c>
    </row>
    <row r="1916" spans="1:38" x14ac:dyDescent="0.25">
      <c r="A1916" s="8" t="s">
        <v>2412</v>
      </c>
      <c r="B1916" s="8" t="s">
        <v>2413</v>
      </c>
      <c r="C1916" s="8">
        <v>30862393</v>
      </c>
      <c r="D1916" s="8">
        <v>5</v>
      </c>
      <c r="E1916" s="11">
        <v>43110</v>
      </c>
      <c r="F1916" s="8" t="s">
        <v>58</v>
      </c>
      <c r="G1916" s="11">
        <v>43110</v>
      </c>
      <c r="H1916" s="8" t="s">
        <v>25</v>
      </c>
      <c r="I1916" s="11">
        <v>43110</v>
      </c>
      <c r="J1916" s="8" t="s">
        <v>25</v>
      </c>
      <c r="N1916" s="8" t="s">
        <v>58</v>
      </c>
      <c r="O1916" s="8" t="s">
        <v>59</v>
      </c>
      <c r="P1916" s="8" t="s">
        <v>59</v>
      </c>
      <c r="R1916" s="8">
        <v>0</v>
      </c>
      <c r="S1916" s="8">
        <v>0</v>
      </c>
      <c r="T1916" s="8">
        <v>1</v>
      </c>
      <c r="U1916" s="8">
        <v>2</v>
      </c>
      <c r="X1916" s="8">
        <v>5</v>
      </c>
      <c r="AG1916" s="8" t="str">
        <f t="shared" si="117"/>
        <v/>
      </c>
      <c r="AI1916" s="8" t="str">
        <f t="shared" si="118"/>
        <v/>
      </c>
      <c r="AJ1916" s="8" t="str">
        <f t="shared" si="119"/>
        <v/>
      </c>
      <c r="AL1916" s="8" t="str">
        <f t="shared" si="120"/>
        <v/>
      </c>
    </row>
    <row r="1917" spans="1:38" x14ac:dyDescent="0.25">
      <c r="A1917" s="8" t="s">
        <v>2414</v>
      </c>
      <c r="B1917" s="8" t="s">
        <v>2415</v>
      </c>
      <c r="C1917" s="8">
        <v>30845362</v>
      </c>
      <c r="D1917" s="8">
        <v>5</v>
      </c>
      <c r="E1917" s="11">
        <v>43109</v>
      </c>
      <c r="F1917" s="8" t="s">
        <v>58</v>
      </c>
      <c r="G1917" s="11">
        <v>43110</v>
      </c>
      <c r="H1917" s="8" t="s">
        <v>25</v>
      </c>
      <c r="I1917" s="11">
        <v>43112</v>
      </c>
      <c r="J1917" s="8" t="s">
        <v>25</v>
      </c>
      <c r="N1917" s="8" t="s">
        <v>58</v>
      </c>
      <c r="O1917" s="8" t="s">
        <v>59</v>
      </c>
      <c r="P1917" s="8" t="s">
        <v>59</v>
      </c>
      <c r="R1917" s="8">
        <v>0</v>
      </c>
      <c r="S1917" s="8">
        <v>0</v>
      </c>
      <c r="T1917" s="8">
        <v>1</v>
      </c>
      <c r="U1917" s="8">
        <v>2</v>
      </c>
      <c r="X1917" s="8">
        <v>5</v>
      </c>
      <c r="AG1917" s="8" t="str">
        <f t="shared" si="117"/>
        <v/>
      </c>
      <c r="AI1917" s="8" t="str">
        <f t="shared" si="118"/>
        <v/>
      </c>
      <c r="AJ1917" s="8" t="str">
        <f t="shared" si="119"/>
        <v/>
      </c>
      <c r="AL1917" s="8" t="str">
        <f t="shared" si="120"/>
        <v/>
      </c>
    </row>
    <row r="1918" spans="1:38" x14ac:dyDescent="0.25">
      <c r="A1918" s="8" t="s">
        <v>3931</v>
      </c>
      <c r="B1918" s="8" t="s">
        <v>3932</v>
      </c>
      <c r="C1918" s="8">
        <v>30889031</v>
      </c>
      <c r="D1918" s="8">
        <v>4</v>
      </c>
      <c r="E1918" s="11">
        <v>43111</v>
      </c>
      <c r="F1918" s="8" t="s">
        <v>57</v>
      </c>
      <c r="G1918" s="11">
        <v>43111</v>
      </c>
      <c r="H1918" s="8" t="s">
        <v>25</v>
      </c>
      <c r="J1918" s="8" t="s">
        <v>25</v>
      </c>
      <c r="N1918" s="8" t="s">
        <v>58</v>
      </c>
      <c r="O1918" s="8" t="s">
        <v>59</v>
      </c>
      <c r="P1918" s="8" t="s">
        <v>59</v>
      </c>
      <c r="R1918" s="8">
        <v>0</v>
      </c>
      <c r="S1918" s="8">
        <v>0</v>
      </c>
      <c r="T1918" s="8">
        <v>1</v>
      </c>
      <c r="U1918" s="8">
        <v>2</v>
      </c>
      <c r="AG1918" s="8" t="str">
        <f t="shared" si="117"/>
        <v/>
      </c>
      <c r="AI1918" s="8" t="str">
        <f t="shared" si="118"/>
        <v/>
      </c>
      <c r="AJ1918" s="8" t="str">
        <f t="shared" si="119"/>
        <v/>
      </c>
      <c r="AL1918" s="8" t="str">
        <f t="shared" si="120"/>
        <v/>
      </c>
    </row>
    <row r="1919" spans="1:38" x14ac:dyDescent="0.25">
      <c r="A1919" s="8" t="s">
        <v>457</v>
      </c>
      <c r="B1919" s="8" t="s">
        <v>458</v>
      </c>
      <c r="C1919" s="8">
        <v>30822713</v>
      </c>
      <c r="D1919" s="8">
        <v>5</v>
      </c>
      <c r="E1919" s="11">
        <v>43108</v>
      </c>
      <c r="F1919" s="8" t="s">
        <v>58</v>
      </c>
      <c r="G1919" s="11">
        <v>43108</v>
      </c>
      <c r="H1919" s="8" t="s">
        <v>25</v>
      </c>
      <c r="I1919" s="11">
        <v>43108</v>
      </c>
      <c r="J1919" s="8" t="s">
        <v>25</v>
      </c>
      <c r="N1919" s="8" t="s">
        <v>58</v>
      </c>
      <c r="O1919" s="8" t="s">
        <v>59</v>
      </c>
      <c r="P1919" s="8" t="s">
        <v>59</v>
      </c>
      <c r="R1919" s="8">
        <v>0</v>
      </c>
      <c r="S1919" s="8">
        <v>0</v>
      </c>
      <c r="T1919" s="8">
        <v>1</v>
      </c>
      <c r="U1919" s="8">
        <v>2</v>
      </c>
      <c r="X1919" s="8">
        <v>5</v>
      </c>
      <c r="AG1919" s="8" t="str">
        <f t="shared" si="117"/>
        <v/>
      </c>
      <c r="AI1919" s="8" t="str">
        <f t="shared" si="118"/>
        <v/>
      </c>
      <c r="AJ1919" s="8" t="str">
        <f t="shared" si="119"/>
        <v/>
      </c>
      <c r="AL1919" s="8" t="str">
        <f t="shared" si="120"/>
        <v/>
      </c>
    </row>
    <row r="1920" spans="1:38" x14ac:dyDescent="0.25">
      <c r="A1920" s="8" t="s">
        <v>2416</v>
      </c>
      <c r="B1920" s="8" t="s">
        <v>2417</v>
      </c>
      <c r="C1920" s="8">
        <v>30867244</v>
      </c>
      <c r="D1920" s="8">
        <v>5</v>
      </c>
      <c r="E1920" s="11">
        <v>43110</v>
      </c>
      <c r="F1920" s="8" t="s">
        <v>57</v>
      </c>
      <c r="G1920" s="11">
        <v>43110</v>
      </c>
      <c r="H1920" s="8" t="s">
        <v>25</v>
      </c>
      <c r="J1920" s="8" t="s">
        <v>25</v>
      </c>
      <c r="N1920" s="8" t="s">
        <v>58</v>
      </c>
      <c r="O1920" s="8" t="s">
        <v>59</v>
      </c>
      <c r="P1920" s="8" t="s">
        <v>59</v>
      </c>
      <c r="R1920" s="8">
        <v>0</v>
      </c>
      <c r="S1920" s="8">
        <v>0</v>
      </c>
      <c r="T1920" s="8">
        <v>1</v>
      </c>
      <c r="U1920" s="8">
        <v>2</v>
      </c>
      <c r="AG1920" s="8" t="str">
        <f t="shared" si="117"/>
        <v/>
      </c>
      <c r="AI1920" s="8" t="str">
        <f t="shared" si="118"/>
        <v/>
      </c>
      <c r="AJ1920" s="8" t="str">
        <f t="shared" si="119"/>
        <v/>
      </c>
      <c r="AL1920" s="8" t="str">
        <f t="shared" si="120"/>
        <v/>
      </c>
    </row>
    <row r="1921" spans="1:38" x14ac:dyDescent="0.25">
      <c r="A1921" s="8" t="s">
        <v>2418</v>
      </c>
      <c r="B1921" s="8" t="s">
        <v>2419</v>
      </c>
      <c r="C1921" s="8">
        <v>30872614</v>
      </c>
      <c r="D1921" s="8">
        <v>5</v>
      </c>
      <c r="E1921" s="11">
        <v>43110</v>
      </c>
      <c r="F1921" s="8" t="s">
        <v>58</v>
      </c>
      <c r="G1921" s="11">
        <v>43110</v>
      </c>
      <c r="H1921" s="8" t="s">
        <v>25</v>
      </c>
      <c r="I1921" s="11">
        <v>43110</v>
      </c>
      <c r="J1921" s="8" t="s">
        <v>25</v>
      </c>
      <c r="N1921" s="8" t="s">
        <v>58</v>
      </c>
      <c r="O1921" s="8" t="s">
        <v>59</v>
      </c>
      <c r="P1921" s="8" t="s">
        <v>59</v>
      </c>
      <c r="R1921" s="8">
        <v>0</v>
      </c>
      <c r="S1921" s="8">
        <v>0</v>
      </c>
      <c r="T1921" s="8">
        <v>1</v>
      </c>
      <c r="U1921" s="8">
        <v>2</v>
      </c>
      <c r="X1921" s="8">
        <v>5</v>
      </c>
      <c r="AG1921" s="8" t="str">
        <f t="shared" si="117"/>
        <v/>
      </c>
      <c r="AI1921" s="8" t="str">
        <f t="shared" si="118"/>
        <v/>
      </c>
      <c r="AJ1921" s="8" t="str">
        <f t="shared" si="119"/>
        <v/>
      </c>
      <c r="AL1921" s="8" t="str">
        <f t="shared" si="120"/>
        <v/>
      </c>
    </row>
    <row r="1922" spans="1:38" x14ac:dyDescent="0.25">
      <c r="A1922" s="8" t="s">
        <v>7297</v>
      </c>
      <c r="B1922" s="8" t="s">
        <v>7298</v>
      </c>
      <c r="C1922" s="8">
        <v>30937102</v>
      </c>
      <c r="D1922" s="8">
        <v>5</v>
      </c>
      <c r="E1922" s="11">
        <v>43115</v>
      </c>
      <c r="F1922" s="8" t="s">
        <v>58</v>
      </c>
      <c r="G1922" s="11">
        <v>43115</v>
      </c>
      <c r="H1922" s="8" t="s">
        <v>25</v>
      </c>
      <c r="I1922" s="11">
        <v>43115</v>
      </c>
      <c r="J1922" s="8" t="s">
        <v>25</v>
      </c>
      <c r="N1922" s="8" t="s">
        <v>58</v>
      </c>
      <c r="O1922" s="8" t="s">
        <v>59</v>
      </c>
      <c r="P1922" s="8" t="s">
        <v>59</v>
      </c>
      <c r="R1922" s="8">
        <v>0</v>
      </c>
      <c r="S1922" s="8">
        <v>0</v>
      </c>
      <c r="T1922" s="8">
        <v>1</v>
      </c>
      <c r="U1922" s="8">
        <v>2</v>
      </c>
      <c r="X1922" s="8">
        <v>5</v>
      </c>
      <c r="AG1922" s="8" t="str">
        <f t="shared" si="117"/>
        <v/>
      </c>
      <c r="AI1922" s="8" t="str">
        <f t="shared" si="118"/>
        <v/>
      </c>
      <c r="AJ1922" s="8" t="str">
        <f t="shared" si="119"/>
        <v/>
      </c>
      <c r="AL1922" s="8" t="str">
        <f t="shared" si="120"/>
        <v/>
      </c>
    </row>
    <row r="1923" spans="1:38" x14ac:dyDescent="0.25">
      <c r="A1923" s="8" t="s">
        <v>2420</v>
      </c>
      <c r="B1923" s="8" t="s">
        <v>2421</v>
      </c>
      <c r="C1923" s="8">
        <v>30861501</v>
      </c>
      <c r="D1923" s="8">
        <v>5</v>
      </c>
      <c r="E1923" s="11">
        <v>43110</v>
      </c>
      <c r="F1923" s="8" t="s">
        <v>58</v>
      </c>
      <c r="G1923" s="11">
        <v>43110</v>
      </c>
      <c r="H1923" s="8" t="s">
        <v>25</v>
      </c>
      <c r="I1923" s="11">
        <v>43110</v>
      </c>
      <c r="J1923" s="8" t="s">
        <v>25</v>
      </c>
      <c r="N1923" s="8" t="s">
        <v>58</v>
      </c>
      <c r="O1923" s="8" t="s">
        <v>59</v>
      </c>
      <c r="P1923" s="8" t="s">
        <v>59</v>
      </c>
      <c r="R1923" s="8">
        <v>0</v>
      </c>
      <c r="S1923" s="8">
        <v>0</v>
      </c>
      <c r="T1923" s="8">
        <v>1</v>
      </c>
      <c r="U1923" s="8">
        <v>2</v>
      </c>
      <c r="X1923" s="8">
        <v>5</v>
      </c>
      <c r="AG1923" s="8" t="str">
        <f t="shared" ref="AG1923:AG1986" si="121">IF(AND(U1923="",G1923&lt;&gt;"",NOT(OR(R1923,S1923))),IF(NETWORKDAYS.INTL(G1923,TODAY(),11)&lt;5,"En Plazo",IF(NETWORKDAYS.INTL(G1923,TODAY(),11)=5,"Riesgo Incumplimiento","FALTA_02")),"")</f>
        <v/>
      </c>
      <c r="AI1923" s="8" t="str">
        <f t="shared" ref="AI1923:AI1986" si="122">IF(AND(O1923&lt;&gt;"B1",F1923="Rejected"),IF(W1923="","FALTA_04",""),"")</f>
        <v/>
      </c>
      <c r="AJ1923" s="8" t="str">
        <f t="shared" ref="AJ1923:AJ1986" si="123">IF(AND(X1923="",I1923&lt;&gt;"",NOT(OR(R1923,S1923))),IF(NETWORKDAYS.INTL(G1923,TODAY(),11)&lt;=1,"En Plazo",IF(OR(AND(X1923="",O1923&lt;&gt;"M1"),AND(O1923="M1",(OR(Q1923="S - S",Q1923="S - T",)))),"FALTA_05","")),"")</f>
        <v/>
      </c>
      <c r="AL1923" s="8" t="str">
        <f t="shared" ref="AL1923:AL1986" si="124">IF(AND(O1923="B1",F1923="Rejected"),IF(Z1923="","FALTA_07",""),"")</f>
        <v/>
      </c>
    </row>
    <row r="1924" spans="1:38" x14ac:dyDescent="0.25">
      <c r="A1924" s="8" t="s">
        <v>459</v>
      </c>
      <c r="B1924" s="8" t="s">
        <v>460</v>
      </c>
      <c r="C1924" s="8">
        <v>30818401</v>
      </c>
      <c r="D1924" s="8">
        <v>5</v>
      </c>
      <c r="E1924" s="11">
        <v>43108</v>
      </c>
      <c r="F1924" s="8" t="s">
        <v>58</v>
      </c>
      <c r="G1924" s="11">
        <v>43108</v>
      </c>
      <c r="H1924" s="8" t="s">
        <v>25</v>
      </c>
      <c r="I1924" s="11">
        <v>43108</v>
      </c>
      <c r="J1924" s="8" t="s">
        <v>25</v>
      </c>
      <c r="N1924" s="8" t="s">
        <v>58</v>
      </c>
      <c r="O1924" s="8" t="s">
        <v>59</v>
      </c>
      <c r="P1924" s="8" t="s">
        <v>59</v>
      </c>
      <c r="R1924" s="8">
        <v>0</v>
      </c>
      <c r="S1924" s="8">
        <v>0</v>
      </c>
      <c r="T1924" s="8">
        <v>1</v>
      </c>
      <c r="U1924" s="8">
        <v>2</v>
      </c>
      <c r="X1924" s="8">
        <v>5</v>
      </c>
      <c r="AG1924" s="8" t="str">
        <f t="shared" si="121"/>
        <v/>
      </c>
      <c r="AI1924" s="8" t="str">
        <f t="shared" si="122"/>
        <v/>
      </c>
      <c r="AJ1924" s="8" t="str">
        <f t="shared" si="123"/>
        <v/>
      </c>
      <c r="AL1924" s="8" t="str">
        <f t="shared" si="124"/>
        <v/>
      </c>
    </row>
    <row r="1925" spans="1:38" x14ac:dyDescent="0.25">
      <c r="A1925" s="8" t="s">
        <v>7299</v>
      </c>
      <c r="B1925" s="8" t="s">
        <v>7300</v>
      </c>
      <c r="C1925" s="8">
        <v>30943595</v>
      </c>
      <c r="D1925" s="8">
        <v>5</v>
      </c>
      <c r="E1925" s="11">
        <v>43115</v>
      </c>
      <c r="F1925" s="8" t="s">
        <v>58</v>
      </c>
      <c r="G1925" s="11">
        <v>43115</v>
      </c>
      <c r="H1925" s="8" t="s">
        <v>25</v>
      </c>
      <c r="I1925" s="11">
        <v>43115</v>
      </c>
      <c r="J1925" s="8" t="s">
        <v>25</v>
      </c>
      <c r="N1925" s="8" t="s">
        <v>58</v>
      </c>
      <c r="O1925" s="8" t="s">
        <v>59</v>
      </c>
      <c r="P1925" s="8" t="s">
        <v>59</v>
      </c>
      <c r="R1925" s="8">
        <v>0</v>
      </c>
      <c r="S1925" s="8">
        <v>0</v>
      </c>
      <c r="T1925" s="8">
        <v>1</v>
      </c>
      <c r="U1925" s="8">
        <v>2</v>
      </c>
      <c r="X1925" s="8">
        <v>5</v>
      </c>
      <c r="AG1925" s="8" t="str">
        <f t="shared" si="121"/>
        <v/>
      </c>
      <c r="AI1925" s="8" t="str">
        <f t="shared" si="122"/>
        <v/>
      </c>
      <c r="AJ1925" s="8" t="str">
        <f t="shared" si="123"/>
        <v/>
      </c>
      <c r="AL1925" s="8" t="str">
        <f t="shared" si="124"/>
        <v/>
      </c>
    </row>
    <row r="1926" spans="1:38" x14ac:dyDescent="0.25">
      <c r="A1926" s="8" t="s">
        <v>3933</v>
      </c>
      <c r="B1926" s="8" t="s">
        <v>3934</v>
      </c>
      <c r="C1926" s="8">
        <v>30893704</v>
      </c>
      <c r="D1926" s="8">
        <v>5</v>
      </c>
      <c r="E1926" s="11">
        <v>43111</v>
      </c>
      <c r="F1926" s="8" t="s">
        <v>58</v>
      </c>
      <c r="G1926" s="11">
        <v>43111</v>
      </c>
      <c r="H1926" s="8" t="s">
        <v>25</v>
      </c>
      <c r="I1926" s="11">
        <v>43111</v>
      </c>
      <c r="J1926" s="8" t="s">
        <v>25</v>
      </c>
      <c r="N1926" s="8" t="s">
        <v>58</v>
      </c>
      <c r="O1926" s="8" t="s">
        <v>59</v>
      </c>
      <c r="P1926" s="8" t="s">
        <v>59</v>
      </c>
      <c r="R1926" s="8">
        <v>0</v>
      </c>
      <c r="S1926" s="8">
        <v>0</v>
      </c>
      <c r="T1926" s="8">
        <v>1</v>
      </c>
      <c r="U1926" s="8">
        <v>2</v>
      </c>
      <c r="X1926" s="8">
        <v>5</v>
      </c>
      <c r="AG1926" s="8" t="str">
        <f t="shared" si="121"/>
        <v/>
      </c>
      <c r="AI1926" s="8" t="str">
        <f t="shared" si="122"/>
        <v/>
      </c>
      <c r="AJ1926" s="8" t="str">
        <f t="shared" si="123"/>
        <v/>
      </c>
      <c r="AL1926" s="8" t="str">
        <f t="shared" si="124"/>
        <v/>
      </c>
    </row>
    <row r="1927" spans="1:38" x14ac:dyDescent="0.25">
      <c r="A1927" s="8" t="s">
        <v>5498</v>
      </c>
      <c r="B1927" s="8" t="s">
        <v>5499</v>
      </c>
      <c r="C1927" s="8">
        <v>30915237</v>
      </c>
      <c r="D1927" s="8">
        <v>5</v>
      </c>
      <c r="E1927" s="11">
        <v>43112</v>
      </c>
      <c r="F1927" s="8" t="s">
        <v>57</v>
      </c>
      <c r="G1927" s="11">
        <v>43112</v>
      </c>
      <c r="H1927" s="8" t="s">
        <v>25</v>
      </c>
      <c r="J1927" s="8" t="s">
        <v>25</v>
      </c>
      <c r="N1927" s="8" t="s">
        <v>58</v>
      </c>
      <c r="O1927" s="8" t="s">
        <v>59</v>
      </c>
      <c r="P1927" s="8" t="s">
        <v>59</v>
      </c>
      <c r="R1927" s="8">
        <v>0</v>
      </c>
      <c r="S1927" s="8">
        <v>0</v>
      </c>
      <c r="T1927" s="8">
        <v>1</v>
      </c>
      <c r="U1927" s="8">
        <v>2</v>
      </c>
      <c r="AG1927" s="8" t="str">
        <f t="shared" si="121"/>
        <v/>
      </c>
      <c r="AI1927" s="8" t="str">
        <f t="shared" si="122"/>
        <v/>
      </c>
      <c r="AJ1927" s="8" t="str">
        <f t="shared" si="123"/>
        <v/>
      </c>
      <c r="AL1927" s="8" t="str">
        <f t="shared" si="124"/>
        <v/>
      </c>
    </row>
    <row r="1928" spans="1:38" x14ac:dyDescent="0.25">
      <c r="A1928" s="8" t="s">
        <v>1246</v>
      </c>
      <c r="B1928" s="8" t="s">
        <v>1247</v>
      </c>
      <c r="C1928" s="8">
        <v>30839573</v>
      </c>
      <c r="D1928" s="8">
        <v>5</v>
      </c>
      <c r="E1928" s="11">
        <v>43109</v>
      </c>
      <c r="F1928" s="8" t="s">
        <v>58</v>
      </c>
      <c r="G1928" s="11">
        <v>43109</v>
      </c>
      <c r="H1928" s="8" t="s">
        <v>25</v>
      </c>
      <c r="I1928" s="11">
        <v>43109</v>
      </c>
      <c r="J1928" s="8" t="s">
        <v>25</v>
      </c>
      <c r="N1928" s="8" t="s">
        <v>58</v>
      </c>
      <c r="O1928" s="8" t="s">
        <v>59</v>
      </c>
      <c r="P1928" s="8" t="s">
        <v>59</v>
      </c>
      <c r="R1928" s="8">
        <v>0</v>
      </c>
      <c r="S1928" s="8">
        <v>0</v>
      </c>
      <c r="T1928" s="8">
        <v>1</v>
      </c>
      <c r="U1928" s="8">
        <v>2</v>
      </c>
      <c r="X1928" s="8">
        <v>5</v>
      </c>
      <c r="AG1928" s="8" t="str">
        <f t="shared" si="121"/>
        <v/>
      </c>
      <c r="AI1928" s="8" t="str">
        <f t="shared" si="122"/>
        <v/>
      </c>
      <c r="AJ1928" s="8" t="str">
        <f t="shared" si="123"/>
        <v/>
      </c>
      <c r="AL1928" s="8" t="str">
        <f t="shared" si="124"/>
        <v/>
      </c>
    </row>
    <row r="1929" spans="1:38" x14ac:dyDescent="0.25">
      <c r="A1929" s="8" t="s">
        <v>5500</v>
      </c>
      <c r="B1929" s="8" t="s">
        <v>5501</v>
      </c>
      <c r="C1929" s="8">
        <v>30867035</v>
      </c>
      <c r="D1929" s="8">
        <v>5</v>
      </c>
      <c r="E1929" s="11">
        <v>43110</v>
      </c>
      <c r="F1929" s="8" t="s">
        <v>57</v>
      </c>
      <c r="G1929" s="11">
        <v>43114</v>
      </c>
      <c r="H1929" s="8" t="s">
        <v>25</v>
      </c>
      <c r="J1929" s="8" t="s">
        <v>25</v>
      </c>
      <c r="N1929" s="8" t="s">
        <v>58</v>
      </c>
      <c r="O1929" s="8" t="s">
        <v>59</v>
      </c>
      <c r="P1929" s="8" t="s">
        <v>59</v>
      </c>
      <c r="R1929" s="8">
        <v>0</v>
      </c>
      <c r="S1929" s="8">
        <v>0</v>
      </c>
      <c r="T1929" s="8">
        <v>1</v>
      </c>
      <c r="U1929" s="8">
        <v>2</v>
      </c>
      <c r="AG1929" s="8" t="str">
        <f t="shared" si="121"/>
        <v/>
      </c>
      <c r="AI1929" s="8" t="str">
        <f t="shared" si="122"/>
        <v/>
      </c>
      <c r="AJ1929" s="8" t="str">
        <f t="shared" si="123"/>
        <v/>
      </c>
      <c r="AL1929" s="8" t="str">
        <f t="shared" si="124"/>
        <v/>
      </c>
    </row>
    <row r="1930" spans="1:38" x14ac:dyDescent="0.25">
      <c r="A1930" s="8" t="s">
        <v>5502</v>
      </c>
      <c r="B1930" s="8" t="s">
        <v>5503</v>
      </c>
      <c r="C1930" s="8">
        <v>30903971</v>
      </c>
      <c r="D1930" s="8">
        <v>4</v>
      </c>
      <c r="E1930" s="11">
        <v>43111</v>
      </c>
      <c r="F1930" s="8" t="s">
        <v>58</v>
      </c>
      <c r="G1930" s="11">
        <v>43112</v>
      </c>
      <c r="H1930" s="8" t="s">
        <v>25</v>
      </c>
      <c r="I1930" s="11">
        <v>43115</v>
      </c>
      <c r="J1930" s="8" t="s">
        <v>25</v>
      </c>
      <c r="N1930" s="8" t="s">
        <v>58</v>
      </c>
      <c r="O1930" s="8" t="s">
        <v>59</v>
      </c>
      <c r="P1930" s="8" t="s">
        <v>59</v>
      </c>
      <c r="R1930" s="8">
        <v>0</v>
      </c>
      <c r="S1930" s="8">
        <v>0</v>
      </c>
      <c r="T1930" s="8">
        <v>1</v>
      </c>
      <c r="U1930" s="8">
        <v>2</v>
      </c>
      <c r="X1930" s="8">
        <v>5</v>
      </c>
      <c r="AG1930" s="8" t="str">
        <f t="shared" si="121"/>
        <v/>
      </c>
      <c r="AI1930" s="8" t="str">
        <f t="shared" si="122"/>
        <v/>
      </c>
      <c r="AJ1930" s="8" t="str">
        <f t="shared" si="123"/>
        <v/>
      </c>
      <c r="AL1930" s="8" t="str">
        <f t="shared" si="124"/>
        <v/>
      </c>
    </row>
    <row r="1931" spans="1:38" x14ac:dyDescent="0.25">
      <c r="A1931" s="8" t="s">
        <v>3935</v>
      </c>
      <c r="B1931" s="8" t="s">
        <v>3936</v>
      </c>
      <c r="C1931" s="8">
        <v>30870840</v>
      </c>
      <c r="D1931" s="8">
        <v>5</v>
      </c>
      <c r="E1931" s="11">
        <v>43110</v>
      </c>
      <c r="F1931" s="8" t="s">
        <v>58</v>
      </c>
      <c r="G1931" s="11">
        <v>43111</v>
      </c>
      <c r="H1931" s="8" t="s">
        <v>25</v>
      </c>
      <c r="I1931" s="11">
        <v>43111</v>
      </c>
      <c r="J1931" s="8" t="s">
        <v>25</v>
      </c>
      <c r="N1931" s="8" t="s">
        <v>58</v>
      </c>
      <c r="O1931" s="8" t="s">
        <v>59</v>
      </c>
      <c r="P1931" s="8" t="s">
        <v>59</v>
      </c>
      <c r="R1931" s="8">
        <v>0</v>
      </c>
      <c r="S1931" s="8">
        <v>0</v>
      </c>
      <c r="T1931" s="8">
        <v>1</v>
      </c>
      <c r="U1931" s="8">
        <v>2</v>
      </c>
      <c r="X1931" s="8">
        <v>5</v>
      </c>
      <c r="AG1931" s="8" t="str">
        <f t="shared" si="121"/>
        <v/>
      </c>
      <c r="AI1931" s="8" t="str">
        <f t="shared" si="122"/>
        <v/>
      </c>
      <c r="AJ1931" s="8" t="str">
        <f t="shared" si="123"/>
        <v/>
      </c>
      <c r="AL1931" s="8" t="str">
        <f t="shared" si="124"/>
        <v/>
      </c>
    </row>
    <row r="1932" spans="1:38" x14ac:dyDescent="0.25">
      <c r="A1932" s="8" t="s">
        <v>2422</v>
      </c>
      <c r="B1932" s="8" t="s">
        <v>2423</v>
      </c>
      <c r="C1932" s="8">
        <v>30863785</v>
      </c>
      <c r="D1932" s="8">
        <v>5</v>
      </c>
      <c r="E1932" s="11">
        <v>43110</v>
      </c>
      <c r="F1932" s="8" t="s">
        <v>58</v>
      </c>
      <c r="G1932" s="11">
        <v>43110</v>
      </c>
      <c r="H1932" s="8" t="s">
        <v>25</v>
      </c>
      <c r="I1932" s="11">
        <v>43111</v>
      </c>
      <c r="J1932" s="8" t="s">
        <v>25</v>
      </c>
      <c r="N1932" s="8" t="s">
        <v>58</v>
      </c>
      <c r="O1932" s="8" t="s">
        <v>59</v>
      </c>
      <c r="P1932" s="8" t="s">
        <v>59</v>
      </c>
      <c r="R1932" s="8">
        <v>0</v>
      </c>
      <c r="S1932" s="8">
        <v>0</v>
      </c>
      <c r="T1932" s="8">
        <v>1</v>
      </c>
      <c r="U1932" s="8">
        <v>2</v>
      </c>
      <c r="X1932" s="8">
        <v>5</v>
      </c>
      <c r="AG1932" s="8" t="str">
        <f t="shared" si="121"/>
        <v/>
      </c>
      <c r="AI1932" s="8" t="str">
        <f t="shared" si="122"/>
        <v/>
      </c>
      <c r="AJ1932" s="8" t="str">
        <f t="shared" si="123"/>
        <v/>
      </c>
      <c r="AL1932" s="8" t="str">
        <f t="shared" si="124"/>
        <v/>
      </c>
    </row>
    <row r="1933" spans="1:38" x14ac:dyDescent="0.25">
      <c r="A1933" s="8" t="s">
        <v>5504</v>
      </c>
      <c r="B1933" s="8" t="s">
        <v>5505</v>
      </c>
      <c r="C1933" s="8">
        <v>30918087</v>
      </c>
      <c r="D1933" s="8">
        <v>5</v>
      </c>
      <c r="E1933" s="11">
        <v>43112</v>
      </c>
      <c r="F1933" s="8" t="s">
        <v>57</v>
      </c>
      <c r="G1933" s="11">
        <v>43114</v>
      </c>
      <c r="H1933" s="8" t="s">
        <v>25</v>
      </c>
      <c r="J1933" s="8" t="s">
        <v>25</v>
      </c>
      <c r="N1933" s="8" t="s">
        <v>58</v>
      </c>
      <c r="O1933" s="8" t="s">
        <v>59</v>
      </c>
      <c r="P1933" s="8" t="s">
        <v>59</v>
      </c>
      <c r="R1933" s="8">
        <v>0</v>
      </c>
      <c r="S1933" s="8">
        <v>0</v>
      </c>
      <c r="T1933" s="8">
        <v>1</v>
      </c>
      <c r="U1933" s="8">
        <v>2</v>
      </c>
      <c r="AG1933" s="8" t="str">
        <f t="shared" si="121"/>
        <v/>
      </c>
      <c r="AI1933" s="8" t="str">
        <f t="shared" si="122"/>
        <v/>
      </c>
      <c r="AJ1933" s="8" t="str">
        <f t="shared" si="123"/>
        <v/>
      </c>
      <c r="AL1933" s="8" t="str">
        <f t="shared" si="124"/>
        <v/>
      </c>
    </row>
    <row r="1934" spans="1:38" x14ac:dyDescent="0.25">
      <c r="A1934" s="8" t="s">
        <v>5506</v>
      </c>
      <c r="B1934" s="8" t="s">
        <v>5507</v>
      </c>
      <c r="C1934" s="8">
        <v>30904207</v>
      </c>
      <c r="D1934" s="8">
        <v>5</v>
      </c>
      <c r="E1934" s="11">
        <v>43111</v>
      </c>
      <c r="F1934" s="8" t="s">
        <v>58</v>
      </c>
      <c r="G1934" s="11">
        <v>43112</v>
      </c>
      <c r="H1934" s="8" t="s">
        <v>25</v>
      </c>
      <c r="I1934" s="11">
        <v>43112</v>
      </c>
      <c r="J1934" s="8" t="s">
        <v>25</v>
      </c>
      <c r="N1934" s="8" t="s">
        <v>58</v>
      </c>
      <c r="O1934" s="8" t="s">
        <v>59</v>
      </c>
      <c r="P1934" s="8" t="s">
        <v>59</v>
      </c>
      <c r="R1934" s="8">
        <v>0</v>
      </c>
      <c r="S1934" s="8">
        <v>0</v>
      </c>
      <c r="T1934" s="8">
        <v>1</v>
      </c>
      <c r="U1934" s="8">
        <v>2</v>
      </c>
      <c r="X1934" s="8">
        <v>5</v>
      </c>
      <c r="AG1934" s="8" t="str">
        <f t="shared" si="121"/>
        <v/>
      </c>
      <c r="AI1934" s="8" t="str">
        <f t="shared" si="122"/>
        <v/>
      </c>
      <c r="AJ1934" s="8" t="str">
        <f t="shared" si="123"/>
        <v/>
      </c>
      <c r="AL1934" s="8" t="str">
        <f t="shared" si="124"/>
        <v/>
      </c>
    </row>
    <row r="1935" spans="1:38" x14ac:dyDescent="0.25">
      <c r="A1935" s="8" t="s">
        <v>2424</v>
      </c>
      <c r="B1935" s="8" t="s">
        <v>2425</v>
      </c>
      <c r="C1935" s="8">
        <v>30853114</v>
      </c>
      <c r="D1935" s="8">
        <v>3</v>
      </c>
      <c r="E1935" s="11">
        <v>43109</v>
      </c>
      <c r="F1935" s="8" t="s">
        <v>57</v>
      </c>
      <c r="G1935" s="11">
        <v>43110</v>
      </c>
      <c r="H1935" s="8" t="s">
        <v>25</v>
      </c>
      <c r="J1935" s="8" t="s">
        <v>25</v>
      </c>
      <c r="N1935" s="8" t="s">
        <v>58</v>
      </c>
      <c r="O1935" s="8" t="s">
        <v>59</v>
      </c>
      <c r="P1935" s="8" t="s">
        <v>59</v>
      </c>
      <c r="R1935" s="8">
        <v>0</v>
      </c>
      <c r="S1935" s="8">
        <v>0</v>
      </c>
      <c r="T1935" s="8">
        <v>1</v>
      </c>
      <c r="U1935" s="8">
        <v>2</v>
      </c>
      <c r="AG1935" s="8" t="str">
        <f t="shared" si="121"/>
        <v/>
      </c>
      <c r="AI1935" s="8" t="str">
        <f t="shared" si="122"/>
        <v/>
      </c>
      <c r="AJ1935" s="8" t="str">
        <f t="shared" si="123"/>
        <v/>
      </c>
      <c r="AL1935" s="8" t="str">
        <f t="shared" si="124"/>
        <v/>
      </c>
    </row>
    <row r="1936" spans="1:38" x14ac:dyDescent="0.25">
      <c r="A1936" s="8" t="s">
        <v>7301</v>
      </c>
      <c r="B1936" s="8" t="s">
        <v>7302</v>
      </c>
      <c r="C1936" s="8">
        <v>30934338</v>
      </c>
      <c r="D1936" s="8">
        <v>5</v>
      </c>
      <c r="E1936" s="11">
        <v>43115</v>
      </c>
      <c r="F1936" s="8" t="s">
        <v>58</v>
      </c>
      <c r="G1936" s="11">
        <v>43115</v>
      </c>
      <c r="H1936" s="8" t="s">
        <v>25</v>
      </c>
      <c r="I1936" s="11">
        <v>43115</v>
      </c>
      <c r="J1936" s="8" t="s">
        <v>25</v>
      </c>
      <c r="N1936" s="8" t="s">
        <v>58</v>
      </c>
      <c r="O1936" s="8" t="s">
        <v>59</v>
      </c>
      <c r="P1936" s="8" t="s">
        <v>59</v>
      </c>
      <c r="R1936" s="8">
        <v>0</v>
      </c>
      <c r="S1936" s="8">
        <v>0</v>
      </c>
      <c r="T1936" s="8">
        <v>1</v>
      </c>
      <c r="U1936" s="8">
        <v>2</v>
      </c>
      <c r="X1936" s="8">
        <v>5</v>
      </c>
      <c r="AG1936" s="8" t="str">
        <f t="shared" si="121"/>
        <v/>
      </c>
      <c r="AI1936" s="8" t="str">
        <f t="shared" si="122"/>
        <v/>
      </c>
      <c r="AJ1936" s="8" t="str">
        <f t="shared" si="123"/>
        <v/>
      </c>
      <c r="AL1936" s="8" t="str">
        <f t="shared" si="124"/>
        <v/>
      </c>
    </row>
    <row r="1937" spans="1:38" x14ac:dyDescent="0.25">
      <c r="A1937" s="8" t="s">
        <v>5508</v>
      </c>
      <c r="B1937" s="8" t="s">
        <v>5509</v>
      </c>
      <c r="C1937" s="8">
        <v>30806727</v>
      </c>
      <c r="D1937" s="8">
        <v>5</v>
      </c>
      <c r="E1937" s="11">
        <v>43108</v>
      </c>
      <c r="F1937" s="8" t="s">
        <v>58</v>
      </c>
      <c r="G1937" s="11">
        <v>43112</v>
      </c>
      <c r="H1937" s="8" t="s">
        <v>145</v>
      </c>
      <c r="I1937" s="11">
        <v>43115</v>
      </c>
      <c r="J1937" s="8" t="s">
        <v>25</v>
      </c>
      <c r="N1937" s="8" t="s">
        <v>58</v>
      </c>
      <c r="O1937" s="8" t="s">
        <v>59</v>
      </c>
      <c r="P1937" s="8" t="s">
        <v>59</v>
      </c>
      <c r="R1937" s="8">
        <v>0</v>
      </c>
      <c r="S1937" s="8">
        <v>0</v>
      </c>
      <c r="T1937" s="8">
        <v>1</v>
      </c>
      <c r="U1937" s="8">
        <v>2</v>
      </c>
      <c r="X1937" s="8">
        <v>5</v>
      </c>
      <c r="AG1937" s="8" t="str">
        <f t="shared" si="121"/>
        <v/>
      </c>
      <c r="AI1937" s="8" t="str">
        <f t="shared" si="122"/>
        <v/>
      </c>
      <c r="AJ1937" s="8" t="str">
        <f t="shared" si="123"/>
        <v/>
      </c>
      <c r="AL1937" s="8" t="str">
        <f t="shared" si="124"/>
        <v/>
      </c>
    </row>
    <row r="1938" spans="1:38" x14ac:dyDescent="0.25">
      <c r="A1938" s="8" t="s">
        <v>461</v>
      </c>
      <c r="B1938" s="8" t="s">
        <v>462</v>
      </c>
      <c r="C1938" s="8">
        <v>30818048</v>
      </c>
      <c r="D1938" s="8">
        <v>5</v>
      </c>
      <c r="E1938" s="11">
        <v>43108</v>
      </c>
      <c r="F1938" s="8" t="s">
        <v>58</v>
      </c>
      <c r="G1938" s="11">
        <v>43108</v>
      </c>
      <c r="H1938" s="8" t="s">
        <v>25</v>
      </c>
      <c r="I1938" s="11">
        <v>43108</v>
      </c>
      <c r="J1938" s="8" t="s">
        <v>25</v>
      </c>
      <c r="N1938" s="8" t="s">
        <v>58</v>
      </c>
      <c r="O1938" s="8" t="s">
        <v>59</v>
      </c>
      <c r="P1938" s="8" t="s">
        <v>59</v>
      </c>
      <c r="R1938" s="8">
        <v>0</v>
      </c>
      <c r="S1938" s="8">
        <v>0</v>
      </c>
      <c r="T1938" s="8">
        <v>1</v>
      </c>
      <c r="U1938" s="8">
        <v>2</v>
      </c>
      <c r="X1938" s="8">
        <v>5</v>
      </c>
      <c r="AG1938" s="8" t="str">
        <f t="shared" si="121"/>
        <v/>
      </c>
      <c r="AI1938" s="8" t="str">
        <f t="shared" si="122"/>
        <v/>
      </c>
      <c r="AJ1938" s="8" t="str">
        <f t="shared" si="123"/>
        <v/>
      </c>
      <c r="AL1938" s="8" t="str">
        <f t="shared" si="124"/>
        <v/>
      </c>
    </row>
    <row r="1939" spans="1:38" x14ac:dyDescent="0.25">
      <c r="A1939" s="8" t="s">
        <v>1248</v>
      </c>
      <c r="B1939" s="8" t="s">
        <v>1249</v>
      </c>
      <c r="C1939" s="8">
        <v>30821114</v>
      </c>
      <c r="D1939" s="8">
        <v>5</v>
      </c>
      <c r="E1939" s="11">
        <v>43108</v>
      </c>
      <c r="F1939" s="8" t="s">
        <v>57</v>
      </c>
      <c r="G1939" s="11">
        <v>43109</v>
      </c>
      <c r="H1939" s="8" t="s">
        <v>25</v>
      </c>
      <c r="J1939" s="8" t="s">
        <v>25</v>
      </c>
      <c r="N1939" s="8" t="s">
        <v>58</v>
      </c>
      <c r="O1939" s="8" t="s">
        <v>59</v>
      </c>
      <c r="P1939" s="8" t="s">
        <v>59</v>
      </c>
      <c r="R1939" s="8">
        <v>0</v>
      </c>
      <c r="S1939" s="8">
        <v>0</v>
      </c>
      <c r="T1939" s="8">
        <v>1</v>
      </c>
      <c r="U1939" s="8">
        <v>2</v>
      </c>
      <c r="AG1939" s="8" t="str">
        <f t="shared" si="121"/>
        <v/>
      </c>
      <c r="AI1939" s="8" t="str">
        <f t="shared" si="122"/>
        <v/>
      </c>
      <c r="AJ1939" s="8" t="str">
        <f t="shared" si="123"/>
        <v/>
      </c>
      <c r="AL1939" s="8" t="str">
        <f t="shared" si="124"/>
        <v/>
      </c>
    </row>
    <row r="1940" spans="1:38" x14ac:dyDescent="0.25">
      <c r="A1940" s="8" t="s">
        <v>5510</v>
      </c>
      <c r="B1940" s="8" t="s">
        <v>5511</v>
      </c>
      <c r="C1940" s="8">
        <v>30824084</v>
      </c>
      <c r="D1940" s="8">
        <v>5</v>
      </c>
      <c r="E1940" s="11">
        <v>43108</v>
      </c>
      <c r="F1940" s="8" t="s">
        <v>57</v>
      </c>
      <c r="G1940" s="11">
        <v>43114</v>
      </c>
      <c r="H1940" s="8" t="s">
        <v>856</v>
      </c>
      <c r="J1940" s="8" t="s">
        <v>25</v>
      </c>
      <c r="N1940" s="8" t="s">
        <v>58</v>
      </c>
      <c r="O1940" s="8" t="s">
        <v>59</v>
      </c>
      <c r="P1940" s="8" t="s">
        <v>59</v>
      </c>
      <c r="R1940" s="8">
        <v>0</v>
      </c>
      <c r="S1940" s="8">
        <v>0</v>
      </c>
      <c r="T1940" s="8">
        <v>1</v>
      </c>
      <c r="U1940" s="8">
        <v>2</v>
      </c>
      <c r="AG1940" s="8" t="str">
        <f t="shared" si="121"/>
        <v/>
      </c>
      <c r="AI1940" s="8" t="str">
        <f t="shared" si="122"/>
        <v/>
      </c>
      <c r="AJ1940" s="8" t="str">
        <f t="shared" si="123"/>
        <v/>
      </c>
      <c r="AL1940" s="8" t="str">
        <f t="shared" si="124"/>
        <v/>
      </c>
    </row>
    <row r="1941" spans="1:38" x14ac:dyDescent="0.25">
      <c r="A1941" s="8" t="s">
        <v>7303</v>
      </c>
      <c r="B1941" s="8" t="s">
        <v>7304</v>
      </c>
      <c r="C1941" s="8">
        <v>30937726</v>
      </c>
      <c r="D1941" s="8">
        <v>5</v>
      </c>
      <c r="E1941" s="11">
        <v>43115</v>
      </c>
      <c r="F1941" s="8" t="s">
        <v>58</v>
      </c>
      <c r="G1941" s="11">
        <v>43115</v>
      </c>
      <c r="H1941" s="8" t="s">
        <v>25</v>
      </c>
      <c r="I1941" s="11">
        <v>43115</v>
      </c>
      <c r="J1941" s="8" t="s">
        <v>25</v>
      </c>
      <c r="N1941" s="8" t="s">
        <v>58</v>
      </c>
      <c r="O1941" s="8" t="s">
        <v>59</v>
      </c>
      <c r="P1941" s="8" t="s">
        <v>59</v>
      </c>
      <c r="R1941" s="8">
        <v>0</v>
      </c>
      <c r="S1941" s="8">
        <v>0</v>
      </c>
      <c r="T1941" s="8">
        <v>1</v>
      </c>
      <c r="U1941" s="8">
        <v>2</v>
      </c>
      <c r="X1941" s="8">
        <v>5</v>
      </c>
      <c r="AG1941" s="8" t="str">
        <f t="shared" si="121"/>
        <v/>
      </c>
      <c r="AI1941" s="8" t="str">
        <f t="shared" si="122"/>
        <v/>
      </c>
      <c r="AJ1941" s="8" t="str">
        <f t="shared" si="123"/>
        <v/>
      </c>
      <c r="AL1941" s="8" t="str">
        <f t="shared" si="124"/>
        <v/>
      </c>
    </row>
    <row r="1942" spans="1:38" x14ac:dyDescent="0.25">
      <c r="A1942" s="8" t="s">
        <v>1250</v>
      </c>
      <c r="B1942" s="8" t="s">
        <v>1251</v>
      </c>
      <c r="C1942" s="8">
        <v>30844802</v>
      </c>
      <c r="D1942" s="8">
        <v>5</v>
      </c>
      <c r="E1942" s="11">
        <v>43109</v>
      </c>
      <c r="F1942" s="8" t="s">
        <v>58</v>
      </c>
      <c r="G1942" s="11">
        <v>43109</v>
      </c>
      <c r="H1942" s="8" t="s">
        <v>25</v>
      </c>
      <c r="I1942" s="11">
        <v>43112</v>
      </c>
      <c r="J1942" s="8" t="s">
        <v>25</v>
      </c>
      <c r="N1942" s="8" t="s">
        <v>58</v>
      </c>
      <c r="O1942" s="8" t="s">
        <v>59</v>
      </c>
      <c r="P1942" s="8" t="s">
        <v>59</v>
      </c>
      <c r="R1942" s="8">
        <v>0</v>
      </c>
      <c r="S1942" s="8">
        <v>0</v>
      </c>
      <c r="T1942" s="8">
        <v>1</v>
      </c>
      <c r="U1942" s="8">
        <v>2</v>
      </c>
      <c r="X1942" s="8">
        <v>5</v>
      </c>
      <c r="AG1942" s="8" t="str">
        <f t="shared" si="121"/>
        <v/>
      </c>
      <c r="AI1942" s="8" t="str">
        <f t="shared" si="122"/>
        <v/>
      </c>
      <c r="AJ1942" s="8" t="str">
        <f t="shared" si="123"/>
        <v/>
      </c>
      <c r="AL1942" s="8" t="str">
        <f t="shared" si="124"/>
        <v/>
      </c>
    </row>
    <row r="1943" spans="1:38" x14ac:dyDescent="0.25">
      <c r="A1943" s="8" t="s">
        <v>2426</v>
      </c>
      <c r="B1943" s="8" t="s">
        <v>2427</v>
      </c>
      <c r="C1943" s="8">
        <v>30869919</v>
      </c>
      <c r="D1943" s="8">
        <v>5</v>
      </c>
      <c r="E1943" s="11">
        <v>43110</v>
      </c>
      <c r="F1943" s="8" t="s">
        <v>58</v>
      </c>
      <c r="G1943" s="11">
        <v>43110</v>
      </c>
      <c r="H1943" s="8" t="s">
        <v>25</v>
      </c>
      <c r="I1943" s="11">
        <v>43110</v>
      </c>
      <c r="J1943" s="8" t="s">
        <v>25</v>
      </c>
      <c r="N1943" s="8" t="s">
        <v>58</v>
      </c>
      <c r="O1943" s="8" t="s">
        <v>59</v>
      </c>
      <c r="P1943" s="8" t="s">
        <v>59</v>
      </c>
      <c r="R1943" s="8">
        <v>0</v>
      </c>
      <c r="S1943" s="8">
        <v>0</v>
      </c>
      <c r="T1943" s="8">
        <v>1</v>
      </c>
      <c r="U1943" s="8">
        <v>2</v>
      </c>
      <c r="X1943" s="8">
        <v>5</v>
      </c>
      <c r="AG1943" s="8" t="str">
        <f t="shared" si="121"/>
        <v/>
      </c>
      <c r="AI1943" s="8" t="str">
        <f t="shared" si="122"/>
        <v/>
      </c>
      <c r="AJ1943" s="8" t="str">
        <f t="shared" si="123"/>
        <v/>
      </c>
      <c r="AL1943" s="8" t="str">
        <f t="shared" si="124"/>
        <v/>
      </c>
    </row>
    <row r="1944" spans="1:38" x14ac:dyDescent="0.25">
      <c r="A1944" s="8" t="s">
        <v>5512</v>
      </c>
      <c r="B1944" s="8" t="s">
        <v>5513</v>
      </c>
      <c r="C1944" s="8">
        <v>30915138</v>
      </c>
      <c r="D1944" s="8">
        <v>5</v>
      </c>
      <c r="E1944" s="11">
        <v>43112</v>
      </c>
      <c r="F1944" s="8" t="s">
        <v>58</v>
      </c>
      <c r="G1944" s="11">
        <v>43112</v>
      </c>
      <c r="H1944" s="8" t="s">
        <v>25</v>
      </c>
      <c r="I1944" s="11">
        <v>43112</v>
      </c>
      <c r="J1944" s="8" t="s">
        <v>25</v>
      </c>
      <c r="N1944" s="8" t="s">
        <v>58</v>
      </c>
      <c r="O1944" s="8" t="s">
        <v>59</v>
      </c>
      <c r="P1944" s="8" t="s">
        <v>59</v>
      </c>
      <c r="R1944" s="8">
        <v>0</v>
      </c>
      <c r="S1944" s="8">
        <v>0</v>
      </c>
      <c r="T1944" s="8">
        <v>1</v>
      </c>
      <c r="U1944" s="8">
        <v>2</v>
      </c>
      <c r="X1944" s="8">
        <v>5</v>
      </c>
      <c r="AG1944" s="8" t="str">
        <f t="shared" si="121"/>
        <v/>
      </c>
      <c r="AI1944" s="8" t="str">
        <f t="shared" si="122"/>
        <v/>
      </c>
      <c r="AJ1944" s="8" t="str">
        <f t="shared" si="123"/>
        <v/>
      </c>
      <c r="AL1944" s="8" t="str">
        <f t="shared" si="124"/>
        <v/>
      </c>
    </row>
    <row r="1945" spans="1:38" x14ac:dyDescent="0.25">
      <c r="A1945" s="8" t="s">
        <v>5514</v>
      </c>
      <c r="B1945" s="8" t="s">
        <v>5515</v>
      </c>
      <c r="C1945" s="8">
        <v>30862522</v>
      </c>
      <c r="D1945" s="8">
        <v>5</v>
      </c>
      <c r="E1945" s="11">
        <v>43110</v>
      </c>
      <c r="F1945" s="8" t="s">
        <v>57</v>
      </c>
      <c r="G1945" s="11">
        <v>43114</v>
      </c>
      <c r="H1945" s="8" t="s">
        <v>25</v>
      </c>
      <c r="J1945" s="8" t="s">
        <v>25</v>
      </c>
      <c r="N1945" s="8" t="s">
        <v>58</v>
      </c>
      <c r="O1945" s="8" t="s">
        <v>59</v>
      </c>
      <c r="P1945" s="8" t="s">
        <v>59</v>
      </c>
      <c r="R1945" s="8">
        <v>0</v>
      </c>
      <c r="S1945" s="8">
        <v>0</v>
      </c>
      <c r="T1945" s="8">
        <v>1</v>
      </c>
      <c r="U1945" s="8">
        <v>2</v>
      </c>
      <c r="AG1945" s="8" t="str">
        <f t="shared" si="121"/>
        <v/>
      </c>
      <c r="AI1945" s="8" t="str">
        <f t="shared" si="122"/>
        <v/>
      </c>
      <c r="AJ1945" s="8" t="str">
        <f t="shared" si="123"/>
        <v/>
      </c>
      <c r="AL1945" s="8" t="str">
        <f t="shared" si="124"/>
        <v/>
      </c>
    </row>
    <row r="1946" spans="1:38" x14ac:dyDescent="0.25">
      <c r="A1946" s="8" t="s">
        <v>2428</v>
      </c>
      <c r="B1946" s="8" t="s">
        <v>2429</v>
      </c>
      <c r="C1946" s="8">
        <v>30874128</v>
      </c>
      <c r="D1946" s="8">
        <v>5</v>
      </c>
      <c r="E1946" s="11">
        <v>43110</v>
      </c>
      <c r="F1946" s="8" t="s">
        <v>58</v>
      </c>
      <c r="G1946" s="11">
        <v>43110</v>
      </c>
      <c r="H1946" s="8" t="s">
        <v>25</v>
      </c>
      <c r="I1946" s="11">
        <v>43110</v>
      </c>
      <c r="J1946" s="8" t="s">
        <v>25</v>
      </c>
      <c r="N1946" s="8" t="s">
        <v>58</v>
      </c>
      <c r="O1946" s="8" t="s">
        <v>59</v>
      </c>
      <c r="P1946" s="8" t="s">
        <v>59</v>
      </c>
      <c r="R1946" s="8">
        <v>0</v>
      </c>
      <c r="S1946" s="8">
        <v>0</v>
      </c>
      <c r="T1946" s="8">
        <v>1</v>
      </c>
      <c r="U1946" s="8">
        <v>2</v>
      </c>
      <c r="X1946" s="8">
        <v>5</v>
      </c>
      <c r="AG1946" s="8" t="str">
        <f t="shared" si="121"/>
        <v/>
      </c>
      <c r="AI1946" s="8" t="str">
        <f t="shared" si="122"/>
        <v/>
      </c>
      <c r="AJ1946" s="8" t="str">
        <f t="shared" si="123"/>
        <v/>
      </c>
      <c r="AL1946" s="8" t="str">
        <f t="shared" si="124"/>
        <v/>
      </c>
    </row>
    <row r="1947" spans="1:38" x14ac:dyDescent="0.25">
      <c r="A1947" s="8" t="s">
        <v>7305</v>
      </c>
      <c r="B1947" s="8" t="s">
        <v>7306</v>
      </c>
      <c r="C1947" s="8">
        <v>30946949</v>
      </c>
      <c r="D1947" s="8">
        <v>5</v>
      </c>
      <c r="E1947" s="11">
        <v>43115</v>
      </c>
      <c r="F1947" s="8" t="s">
        <v>57</v>
      </c>
      <c r="G1947" s="11">
        <v>43115</v>
      </c>
      <c r="H1947" s="8" t="s">
        <v>25</v>
      </c>
      <c r="J1947" s="8" t="s">
        <v>25</v>
      </c>
      <c r="N1947" s="8" t="s">
        <v>58</v>
      </c>
      <c r="O1947" s="8" t="s">
        <v>59</v>
      </c>
      <c r="P1947" s="8" t="s">
        <v>59</v>
      </c>
      <c r="R1947" s="8">
        <v>0</v>
      </c>
      <c r="S1947" s="8">
        <v>0</v>
      </c>
      <c r="T1947" s="8">
        <v>1</v>
      </c>
      <c r="U1947" s="8">
        <v>2</v>
      </c>
      <c r="AG1947" s="8" t="str">
        <f t="shared" si="121"/>
        <v/>
      </c>
      <c r="AI1947" s="8" t="str">
        <f t="shared" si="122"/>
        <v/>
      </c>
      <c r="AJ1947" s="8" t="str">
        <f t="shared" si="123"/>
        <v/>
      </c>
      <c r="AL1947" s="8" t="str">
        <f t="shared" si="124"/>
        <v/>
      </c>
    </row>
    <row r="1948" spans="1:38" x14ac:dyDescent="0.25">
      <c r="A1948" s="8" t="s">
        <v>3937</v>
      </c>
      <c r="B1948" s="8" t="s">
        <v>3938</v>
      </c>
      <c r="C1948" s="8">
        <v>30894510</v>
      </c>
      <c r="D1948" s="8">
        <v>4</v>
      </c>
      <c r="E1948" s="11">
        <v>43111</v>
      </c>
      <c r="F1948" s="8" t="s">
        <v>57</v>
      </c>
      <c r="G1948" s="11">
        <v>43111</v>
      </c>
      <c r="H1948" s="8" t="s">
        <v>25</v>
      </c>
      <c r="J1948" s="8" t="s">
        <v>25</v>
      </c>
      <c r="N1948" s="8" t="s">
        <v>58</v>
      </c>
      <c r="O1948" s="8" t="s">
        <v>59</v>
      </c>
      <c r="P1948" s="8" t="s">
        <v>59</v>
      </c>
      <c r="R1948" s="8">
        <v>0</v>
      </c>
      <c r="S1948" s="8">
        <v>0</v>
      </c>
      <c r="T1948" s="8">
        <v>1</v>
      </c>
      <c r="U1948" s="8">
        <v>2</v>
      </c>
      <c r="AG1948" s="8" t="str">
        <f t="shared" si="121"/>
        <v/>
      </c>
      <c r="AI1948" s="8" t="str">
        <f t="shared" si="122"/>
        <v/>
      </c>
      <c r="AJ1948" s="8" t="str">
        <f t="shared" si="123"/>
        <v/>
      </c>
      <c r="AL1948" s="8" t="str">
        <f t="shared" si="124"/>
        <v/>
      </c>
    </row>
    <row r="1949" spans="1:38" x14ac:dyDescent="0.25">
      <c r="A1949" s="8" t="s">
        <v>2430</v>
      </c>
      <c r="B1949" s="8" t="s">
        <v>2431</v>
      </c>
      <c r="C1949" s="8">
        <v>30864178</v>
      </c>
      <c r="D1949" s="8">
        <v>5</v>
      </c>
      <c r="E1949" s="11">
        <v>43110</v>
      </c>
      <c r="F1949" s="8" t="s">
        <v>57</v>
      </c>
      <c r="G1949" s="11">
        <v>43110</v>
      </c>
      <c r="H1949" s="8" t="s">
        <v>25</v>
      </c>
      <c r="J1949" s="8" t="s">
        <v>25</v>
      </c>
      <c r="N1949" s="8" t="s">
        <v>58</v>
      </c>
      <c r="O1949" s="8" t="s">
        <v>59</v>
      </c>
      <c r="P1949" s="8" t="s">
        <v>59</v>
      </c>
      <c r="R1949" s="8">
        <v>0</v>
      </c>
      <c r="S1949" s="8">
        <v>0</v>
      </c>
      <c r="T1949" s="8">
        <v>1</v>
      </c>
      <c r="U1949" s="8">
        <v>2</v>
      </c>
      <c r="AG1949" s="8" t="str">
        <f t="shared" si="121"/>
        <v/>
      </c>
      <c r="AI1949" s="8" t="str">
        <f t="shared" si="122"/>
        <v/>
      </c>
      <c r="AJ1949" s="8" t="str">
        <f t="shared" si="123"/>
        <v/>
      </c>
      <c r="AL1949" s="8" t="str">
        <f t="shared" si="124"/>
        <v/>
      </c>
    </row>
    <row r="1950" spans="1:38" x14ac:dyDescent="0.25">
      <c r="A1950" s="8" t="s">
        <v>7307</v>
      </c>
      <c r="B1950" s="8" t="s">
        <v>7308</v>
      </c>
      <c r="C1950" s="8">
        <v>30935773</v>
      </c>
      <c r="D1950" s="8">
        <v>4</v>
      </c>
      <c r="E1950" s="11">
        <v>43115</v>
      </c>
      <c r="F1950" s="8" t="s">
        <v>57</v>
      </c>
      <c r="G1950" s="11">
        <v>43115</v>
      </c>
      <c r="H1950" s="8" t="s">
        <v>25</v>
      </c>
      <c r="J1950" s="8" t="s">
        <v>25</v>
      </c>
      <c r="N1950" s="8" t="s">
        <v>58</v>
      </c>
      <c r="O1950" s="8" t="s">
        <v>59</v>
      </c>
      <c r="P1950" s="8" t="s">
        <v>59</v>
      </c>
      <c r="R1950" s="8">
        <v>0</v>
      </c>
      <c r="S1950" s="8">
        <v>0</v>
      </c>
      <c r="T1950" s="8">
        <v>1</v>
      </c>
      <c r="U1950" s="8">
        <v>2</v>
      </c>
      <c r="AG1950" s="8" t="str">
        <f t="shared" si="121"/>
        <v/>
      </c>
      <c r="AI1950" s="8" t="str">
        <f t="shared" si="122"/>
        <v/>
      </c>
      <c r="AJ1950" s="8" t="str">
        <f t="shared" si="123"/>
        <v/>
      </c>
      <c r="AL1950" s="8" t="str">
        <f t="shared" si="124"/>
        <v/>
      </c>
    </row>
    <row r="1951" spans="1:38" x14ac:dyDescent="0.25">
      <c r="A1951" s="8" t="s">
        <v>463</v>
      </c>
      <c r="B1951" s="8" t="s">
        <v>464</v>
      </c>
      <c r="C1951" s="8">
        <v>30814553</v>
      </c>
      <c r="D1951" s="8">
        <v>3</v>
      </c>
      <c r="E1951" s="11">
        <v>43108</v>
      </c>
      <c r="F1951" s="8" t="s">
        <v>57</v>
      </c>
      <c r="G1951" s="11">
        <v>43108</v>
      </c>
      <c r="H1951" s="8" t="s">
        <v>25</v>
      </c>
      <c r="J1951" s="8" t="s">
        <v>25</v>
      </c>
      <c r="N1951" s="8" t="s">
        <v>58</v>
      </c>
      <c r="O1951" s="8" t="s">
        <v>59</v>
      </c>
      <c r="P1951" s="8" t="s">
        <v>59</v>
      </c>
      <c r="R1951" s="8">
        <v>0</v>
      </c>
      <c r="S1951" s="8">
        <v>0</v>
      </c>
      <c r="T1951" s="8">
        <v>1</v>
      </c>
      <c r="U1951" s="8">
        <v>2</v>
      </c>
      <c r="AG1951" s="8" t="str">
        <f t="shared" si="121"/>
        <v/>
      </c>
      <c r="AI1951" s="8" t="str">
        <f t="shared" si="122"/>
        <v/>
      </c>
      <c r="AJ1951" s="8" t="str">
        <f t="shared" si="123"/>
        <v/>
      </c>
      <c r="AL1951" s="8" t="str">
        <f t="shared" si="124"/>
        <v/>
      </c>
    </row>
    <row r="1952" spans="1:38" x14ac:dyDescent="0.25">
      <c r="A1952" s="8" t="s">
        <v>5516</v>
      </c>
      <c r="B1952" s="8" t="s">
        <v>5517</v>
      </c>
      <c r="C1952" s="8">
        <v>30915216</v>
      </c>
      <c r="D1952" s="8">
        <v>4</v>
      </c>
      <c r="E1952" s="11">
        <v>43112</v>
      </c>
      <c r="F1952" s="8" t="s">
        <v>57</v>
      </c>
      <c r="G1952" s="11">
        <v>43112</v>
      </c>
      <c r="H1952" s="8" t="s">
        <v>25</v>
      </c>
      <c r="J1952" s="8" t="s">
        <v>25</v>
      </c>
      <c r="N1952" s="8" t="s">
        <v>58</v>
      </c>
      <c r="O1952" s="8" t="s">
        <v>59</v>
      </c>
      <c r="P1952" s="8" t="s">
        <v>59</v>
      </c>
      <c r="R1952" s="8">
        <v>0</v>
      </c>
      <c r="S1952" s="8">
        <v>0</v>
      </c>
      <c r="T1952" s="8">
        <v>1</v>
      </c>
      <c r="U1952" s="8">
        <v>2</v>
      </c>
      <c r="AG1952" s="8" t="str">
        <f t="shared" si="121"/>
        <v/>
      </c>
      <c r="AI1952" s="8" t="str">
        <f t="shared" si="122"/>
        <v/>
      </c>
      <c r="AJ1952" s="8" t="str">
        <f t="shared" si="123"/>
        <v/>
      </c>
      <c r="AL1952" s="8" t="str">
        <f t="shared" si="124"/>
        <v/>
      </c>
    </row>
    <row r="1953" spans="1:38" x14ac:dyDescent="0.25">
      <c r="A1953" s="8" t="s">
        <v>7309</v>
      </c>
      <c r="B1953" s="8" t="s">
        <v>7310</v>
      </c>
      <c r="C1953" s="8">
        <v>30933092</v>
      </c>
      <c r="D1953" s="8">
        <v>4</v>
      </c>
      <c r="E1953" s="11">
        <v>43115</v>
      </c>
      <c r="F1953" s="8" t="s">
        <v>57</v>
      </c>
      <c r="G1953" s="11">
        <v>43115</v>
      </c>
      <c r="H1953" s="8" t="s">
        <v>25</v>
      </c>
      <c r="J1953" s="8" t="s">
        <v>25</v>
      </c>
      <c r="N1953" s="8" t="s">
        <v>58</v>
      </c>
      <c r="O1953" s="8" t="s">
        <v>59</v>
      </c>
      <c r="P1953" s="8" t="s">
        <v>59</v>
      </c>
      <c r="R1953" s="8">
        <v>0</v>
      </c>
      <c r="S1953" s="8">
        <v>0</v>
      </c>
      <c r="T1953" s="8">
        <v>1</v>
      </c>
      <c r="U1953" s="8">
        <v>2</v>
      </c>
      <c r="AG1953" s="8" t="str">
        <f t="shared" si="121"/>
        <v/>
      </c>
      <c r="AI1953" s="8" t="str">
        <f t="shared" si="122"/>
        <v/>
      </c>
      <c r="AJ1953" s="8" t="str">
        <f t="shared" si="123"/>
        <v/>
      </c>
      <c r="AL1953" s="8" t="str">
        <f t="shared" si="124"/>
        <v/>
      </c>
    </row>
    <row r="1954" spans="1:38" x14ac:dyDescent="0.25">
      <c r="A1954" s="8" t="s">
        <v>7311</v>
      </c>
      <c r="B1954" s="8" t="s">
        <v>7312</v>
      </c>
      <c r="C1954" s="8">
        <v>30936467</v>
      </c>
      <c r="D1954" s="8">
        <v>5</v>
      </c>
      <c r="E1954" s="11">
        <v>43115</v>
      </c>
      <c r="F1954" s="8" t="s">
        <v>57</v>
      </c>
      <c r="G1954" s="11">
        <v>43115</v>
      </c>
      <c r="H1954" s="8" t="s">
        <v>25</v>
      </c>
      <c r="J1954" s="8" t="s">
        <v>25</v>
      </c>
      <c r="N1954" s="8" t="s">
        <v>58</v>
      </c>
      <c r="O1954" s="8" t="s">
        <v>59</v>
      </c>
      <c r="P1954" s="8" t="s">
        <v>59</v>
      </c>
      <c r="R1954" s="8">
        <v>0</v>
      </c>
      <c r="S1954" s="8">
        <v>0</v>
      </c>
      <c r="T1954" s="8">
        <v>1</v>
      </c>
      <c r="U1954" s="8">
        <v>2</v>
      </c>
      <c r="AG1954" s="8" t="str">
        <f t="shared" si="121"/>
        <v/>
      </c>
      <c r="AI1954" s="8" t="str">
        <f t="shared" si="122"/>
        <v/>
      </c>
      <c r="AJ1954" s="8" t="str">
        <f t="shared" si="123"/>
        <v/>
      </c>
      <c r="AL1954" s="8" t="str">
        <f t="shared" si="124"/>
        <v/>
      </c>
    </row>
    <row r="1955" spans="1:38" x14ac:dyDescent="0.25">
      <c r="A1955" s="8" t="s">
        <v>5518</v>
      </c>
      <c r="B1955" s="8" t="s">
        <v>5519</v>
      </c>
      <c r="C1955" s="8">
        <v>30925801</v>
      </c>
      <c r="D1955" s="8">
        <v>4</v>
      </c>
      <c r="E1955" s="11">
        <v>43113</v>
      </c>
      <c r="F1955" s="8" t="s">
        <v>57</v>
      </c>
      <c r="G1955" s="11">
        <v>43114</v>
      </c>
      <c r="H1955" s="8" t="s">
        <v>25</v>
      </c>
      <c r="J1955" s="8" t="s">
        <v>25</v>
      </c>
      <c r="N1955" s="8" t="s">
        <v>58</v>
      </c>
      <c r="O1955" s="8" t="s">
        <v>59</v>
      </c>
      <c r="P1955" s="8" t="s">
        <v>59</v>
      </c>
      <c r="R1955" s="8">
        <v>0</v>
      </c>
      <c r="S1955" s="8">
        <v>0</v>
      </c>
      <c r="T1955" s="8">
        <v>1</v>
      </c>
      <c r="U1955" s="8">
        <v>2</v>
      </c>
      <c r="AG1955" s="8" t="str">
        <f t="shared" si="121"/>
        <v/>
      </c>
      <c r="AI1955" s="8" t="str">
        <f t="shared" si="122"/>
        <v/>
      </c>
      <c r="AJ1955" s="8" t="str">
        <f t="shared" si="123"/>
        <v/>
      </c>
      <c r="AL1955" s="8" t="str">
        <f t="shared" si="124"/>
        <v/>
      </c>
    </row>
    <row r="1956" spans="1:38" x14ac:dyDescent="0.25">
      <c r="A1956" s="8" t="s">
        <v>465</v>
      </c>
      <c r="B1956" s="8" t="s">
        <v>466</v>
      </c>
      <c r="C1956" s="8">
        <v>30818404</v>
      </c>
      <c r="D1956" s="8">
        <v>4</v>
      </c>
      <c r="E1956" s="11">
        <v>43108</v>
      </c>
      <c r="F1956" s="8" t="s">
        <v>58</v>
      </c>
      <c r="G1956" s="11">
        <v>43108</v>
      </c>
      <c r="H1956" s="8" t="s">
        <v>25</v>
      </c>
      <c r="I1956" s="11">
        <v>43110</v>
      </c>
      <c r="J1956" s="8" t="s">
        <v>25</v>
      </c>
      <c r="N1956" s="8" t="s">
        <v>58</v>
      </c>
      <c r="O1956" s="8" t="s">
        <v>59</v>
      </c>
      <c r="P1956" s="8" t="s">
        <v>59</v>
      </c>
      <c r="R1956" s="8">
        <v>0</v>
      </c>
      <c r="S1956" s="8">
        <v>0</v>
      </c>
      <c r="T1956" s="8">
        <v>1</v>
      </c>
      <c r="U1956" s="8">
        <v>2</v>
      </c>
      <c r="X1956" s="8">
        <v>5</v>
      </c>
      <c r="AG1956" s="8" t="str">
        <f t="shared" si="121"/>
        <v/>
      </c>
      <c r="AI1956" s="8" t="str">
        <f t="shared" si="122"/>
        <v/>
      </c>
      <c r="AJ1956" s="8" t="str">
        <f t="shared" si="123"/>
        <v/>
      </c>
      <c r="AL1956" s="8" t="str">
        <f t="shared" si="124"/>
        <v/>
      </c>
    </row>
    <row r="1957" spans="1:38" x14ac:dyDescent="0.25">
      <c r="A1957" s="8" t="s">
        <v>1252</v>
      </c>
      <c r="B1957" s="8" t="s">
        <v>1253</v>
      </c>
      <c r="C1957" s="8">
        <v>30810137</v>
      </c>
      <c r="D1957" s="8">
        <v>5</v>
      </c>
      <c r="E1957" s="11">
        <v>43108</v>
      </c>
      <c r="F1957" s="8" t="s">
        <v>58</v>
      </c>
      <c r="G1957" s="11">
        <v>43109</v>
      </c>
      <c r="H1957" s="8" t="s">
        <v>25</v>
      </c>
      <c r="I1957" s="11">
        <v>43110</v>
      </c>
      <c r="J1957" s="8" t="s">
        <v>25</v>
      </c>
      <c r="N1957" s="8" t="s">
        <v>58</v>
      </c>
      <c r="O1957" s="8" t="s">
        <v>59</v>
      </c>
      <c r="P1957" s="8" t="s">
        <v>59</v>
      </c>
      <c r="R1957" s="8">
        <v>0</v>
      </c>
      <c r="S1957" s="8">
        <v>0</v>
      </c>
      <c r="T1957" s="8">
        <v>1</v>
      </c>
      <c r="U1957" s="8">
        <v>2</v>
      </c>
      <c r="X1957" s="8">
        <v>5</v>
      </c>
      <c r="AG1957" s="8" t="str">
        <f t="shared" si="121"/>
        <v/>
      </c>
      <c r="AI1957" s="8" t="str">
        <f t="shared" si="122"/>
        <v/>
      </c>
      <c r="AJ1957" s="8" t="str">
        <f t="shared" si="123"/>
        <v/>
      </c>
      <c r="AL1957" s="8" t="str">
        <f t="shared" si="124"/>
        <v/>
      </c>
    </row>
    <row r="1958" spans="1:38" x14ac:dyDescent="0.25">
      <c r="A1958" s="8" t="s">
        <v>3939</v>
      </c>
      <c r="B1958" s="8" t="s">
        <v>3940</v>
      </c>
      <c r="C1958" s="8">
        <v>30893483</v>
      </c>
      <c r="D1958" s="8">
        <v>5</v>
      </c>
      <c r="E1958" s="11">
        <v>43111</v>
      </c>
      <c r="F1958" s="8" t="s">
        <v>58</v>
      </c>
      <c r="G1958" s="11">
        <v>43111</v>
      </c>
      <c r="H1958" s="8" t="s">
        <v>25</v>
      </c>
      <c r="I1958" s="11">
        <v>43115</v>
      </c>
      <c r="J1958" s="8" t="s">
        <v>25</v>
      </c>
      <c r="N1958" s="8" t="s">
        <v>58</v>
      </c>
      <c r="O1958" s="8" t="s">
        <v>59</v>
      </c>
      <c r="P1958" s="8" t="s">
        <v>59</v>
      </c>
      <c r="R1958" s="8">
        <v>0</v>
      </c>
      <c r="S1958" s="8">
        <v>0</v>
      </c>
      <c r="T1958" s="8">
        <v>1</v>
      </c>
      <c r="U1958" s="8">
        <v>2</v>
      </c>
      <c r="X1958" s="8">
        <v>5</v>
      </c>
      <c r="AG1958" s="8" t="str">
        <f t="shared" si="121"/>
        <v/>
      </c>
      <c r="AI1958" s="8" t="str">
        <f t="shared" si="122"/>
        <v/>
      </c>
      <c r="AJ1958" s="8" t="str">
        <f t="shared" si="123"/>
        <v/>
      </c>
      <c r="AL1958" s="8" t="str">
        <f t="shared" si="124"/>
        <v/>
      </c>
    </row>
    <row r="1959" spans="1:38" x14ac:dyDescent="0.25">
      <c r="A1959" s="8" t="s">
        <v>7313</v>
      </c>
      <c r="B1959" s="8" t="s">
        <v>7314</v>
      </c>
      <c r="C1959" s="8">
        <v>30890781</v>
      </c>
      <c r="D1959" s="8">
        <v>3</v>
      </c>
      <c r="E1959" s="11">
        <v>43111</v>
      </c>
      <c r="F1959" s="8" t="s">
        <v>57</v>
      </c>
      <c r="G1959" s="11">
        <v>43115</v>
      </c>
      <c r="H1959" s="8" t="s">
        <v>25</v>
      </c>
      <c r="J1959" s="8" t="s">
        <v>25</v>
      </c>
      <c r="N1959" s="8" t="s">
        <v>58</v>
      </c>
      <c r="O1959" s="8" t="s">
        <v>59</v>
      </c>
      <c r="P1959" s="8" t="s">
        <v>59</v>
      </c>
      <c r="R1959" s="8">
        <v>0</v>
      </c>
      <c r="S1959" s="8">
        <v>0</v>
      </c>
      <c r="T1959" s="8">
        <v>1</v>
      </c>
      <c r="U1959" s="8">
        <v>2</v>
      </c>
      <c r="AG1959" s="8" t="str">
        <f t="shared" si="121"/>
        <v/>
      </c>
      <c r="AI1959" s="8" t="str">
        <f t="shared" si="122"/>
        <v/>
      </c>
      <c r="AJ1959" s="8" t="str">
        <f t="shared" si="123"/>
        <v/>
      </c>
      <c r="AL1959" s="8" t="str">
        <f t="shared" si="124"/>
        <v/>
      </c>
    </row>
    <row r="1960" spans="1:38" x14ac:dyDescent="0.25">
      <c r="A1960" s="8" t="s">
        <v>5520</v>
      </c>
      <c r="B1960" s="8" t="s">
        <v>5521</v>
      </c>
      <c r="C1960" s="8">
        <v>30920826</v>
      </c>
      <c r="D1960" s="8">
        <v>5</v>
      </c>
      <c r="E1960" s="11">
        <v>43112</v>
      </c>
      <c r="F1960" s="8" t="s">
        <v>57</v>
      </c>
      <c r="G1960" s="11">
        <v>43112</v>
      </c>
      <c r="H1960" s="8" t="s">
        <v>25</v>
      </c>
      <c r="J1960" s="8" t="s">
        <v>25</v>
      </c>
      <c r="N1960" s="8" t="s">
        <v>58</v>
      </c>
      <c r="O1960" s="8" t="s">
        <v>59</v>
      </c>
      <c r="P1960" s="8" t="s">
        <v>59</v>
      </c>
      <c r="R1960" s="8">
        <v>0</v>
      </c>
      <c r="S1960" s="8">
        <v>0</v>
      </c>
      <c r="T1960" s="8">
        <v>1</v>
      </c>
      <c r="U1960" s="8">
        <v>2</v>
      </c>
      <c r="AG1960" s="8" t="str">
        <f t="shared" si="121"/>
        <v/>
      </c>
      <c r="AI1960" s="8" t="str">
        <f t="shared" si="122"/>
        <v/>
      </c>
      <c r="AJ1960" s="8" t="str">
        <f t="shared" si="123"/>
        <v/>
      </c>
      <c r="AL1960" s="8" t="str">
        <f t="shared" si="124"/>
        <v/>
      </c>
    </row>
    <row r="1961" spans="1:38" x14ac:dyDescent="0.25">
      <c r="A1961" s="8" t="s">
        <v>1254</v>
      </c>
      <c r="B1961" s="8" t="s">
        <v>1255</v>
      </c>
      <c r="C1961" s="8">
        <v>30841355</v>
      </c>
      <c r="D1961" s="8">
        <v>5</v>
      </c>
      <c r="E1961" s="11">
        <v>43109</v>
      </c>
      <c r="F1961" s="8" t="s">
        <v>58</v>
      </c>
      <c r="G1961" s="11">
        <v>43109</v>
      </c>
      <c r="H1961" s="8" t="s">
        <v>25</v>
      </c>
      <c r="I1961" s="11">
        <v>43109</v>
      </c>
      <c r="J1961" s="8" t="s">
        <v>25</v>
      </c>
      <c r="N1961" s="8" t="s">
        <v>58</v>
      </c>
      <c r="O1961" s="8" t="s">
        <v>59</v>
      </c>
      <c r="P1961" s="8" t="s">
        <v>59</v>
      </c>
      <c r="R1961" s="8">
        <v>0</v>
      </c>
      <c r="S1961" s="8">
        <v>0</v>
      </c>
      <c r="T1961" s="8">
        <v>1</v>
      </c>
      <c r="U1961" s="8">
        <v>2</v>
      </c>
      <c r="X1961" s="8">
        <v>5</v>
      </c>
      <c r="AG1961" s="8" t="str">
        <f t="shared" si="121"/>
        <v/>
      </c>
      <c r="AI1961" s="8" t="str">
        <f t="shared" si="122"/>
        <v/>
      </c>
      <c r="AJ1961" s="8" t="str">
        <f t="shared" si="123"/>
        <v/>
      </c>
      <c r="AL1961" s="8" t="str">
        <f t="shared" si="124"/>
        <v/>
      </c>
    </row>
    <row r="1962" spans="1:38" x14ac:dyDescent="0.25">
      <c r="A1962" s="8" t="s">
        <v>7315</v>
      </c>
      <c r="B1962" s="8" t="s">
        <v>7316</v>
      </c>
      <c r="C1962" s="8">
        <v>30944787</v>
      </c>
      <c r="D1962" s="8">
        <v>5</v>
      </c>
      <c r="E1962" s="11">
        <v>43115</v>
      </c>
      <c r="F1962" s="8" t="s">
        <v>57</v>
      </c>
      <c r="G1962" s="11">
        <v>43115</v>
      </c>
      <c r="H1962" s="8" t="s">
        <v>25</v>
      </c>
      <c r="J1962" s="8" t="s">
        <v>25</v>
      </c>
      <c r="N1962" s="8" t="s">
        <v>58</v>
      </c>
      <c r="O1962" s="8" t="s">
        <v>59</v>
      </c>
      <c r="P1962" s="8" t="s">
        <v>59</v>
      </c>
      <c r="R1962" s="8">
        <v>0</v>
      </c>
      <c r="S1962" s="8">
        <v>0</v>
      </c>
      <c r="T1962" s="8">
        <v>1</v>
      </c>
      <c r="U1962" s="8">
        <v>2</v>
      </c>
      <c r="AG1962" s="8" t="str">
        <f t="shared" si="121"/>
        <v/>
      </c>
      <c r="AI1962" s="8" t="str">
        <f t="shared" si="122"/>
        <v/>
      </c>
      <c r="AJ1962" s="8" t="str">
        <f t="shared" si="123"/>
        <v/>
      </c>
      <c r="AL1962" s="8" t="str">
        <f t="shared" si="124"/>
        <v/>
      </c>
    </row>
    <row r="1963" spans="1:38" x14ac:dyDescent="0.25">
      <c r="A1963" s="8" t="s">
        <v>7317</v>
      </c>
      <c r="B1963" s="8" t="s">
        <v>7318</v>
      </c>
      <c r="C1963" s="8">
        <v>30945724</v>
      </c>
      <c r="D1963" s="8">
        <v>5</v>
      </c>
      <c r="E1963" s="11">
        <v>43115</v>
      </c>
      <c r="F1963" s="8" t="s">
        <v>57</v>
      </c>
      <c r="G1963" s="11">
        <v>43115</v>
      </c>
      <c r="H1963" s="8" t="s">
        <v>25</v>
      </c>
      <c r="J1963" s="8" t="s">
        <v>25</v>
      </c>
      <c r="N1963" s="8" t="s">
        <v>58</v>
      </c>
      <c r="O1963" s="8" t="s">
        <v>59</v>
      </c>
      <c r="P1963" s="8" t="s">
        <v>59</v>
      </c>
      <c r="R1963" s="8">
        <v>0</v>
      </c>
      <c r="S1963" s="8">
        <v>0</v>
      </c>
      <c r="T1963" s="8">
        <v>1</v>
      </c>
      <c r="U1963" s="8">
        <v>2</v>
      </c>
      <c r="AG1963" s="8" t="str">
        <f t="shared" si="121"/>
        <v/>
      </c>
      <c r="AI1963" s="8" t="str">
        <f t="shared" si="122"/>
        <v/>
      </c>
      <c r="AJ1963" s="8" t="str">
        <f t="shared" si="123"/>
        <v/>
      </c>
      <c r="AL1963" s="8" t="str">
        <f t="shared" si="124"/>
        <v/>
      </c>
    </row>
    <row r="1964" spans="1:38" x14ac:dyDescent="0.25">
      <c r="A1964" s="8" t="s">
        <v>467</v>
      </c>
      <c r="B1964" s="8" t="s">
        <v>468</v>
      </c>
      <c r="C1964" s="8">
        <v>30818509</v>
      </c>
      <c r="D1964" s="8">
        <v>5</v>
      </c>
      <c r="E1964" s="11">
        <v>43108</v>
      </c>
      <c r="F1964" s="8" t="s">
        <v>58</v>
      </c>
      <c r="G1964" s="11">
        <v>43108</v>
      </c>
      <c r="H1964" s="8" t="s">
        <v>25</v>
      </c>
      <c r="I1964" s="11">
        <v>43108</v>
      </c>
      <c r="J1964" s="8" t="s">
        <v>25</v>
      </c>
      <c r="N1964" s="8" t="s">
        <v>58</v>
      </c>
      <c r="O1964" s="8" t="s">
        <v>59</v>
      </c>
      <c r="P1964" s="8" t="s">
        <v>59</v>
      </c>
      <c r="R1964" s="8">
        <v>0</v>
      </c>
      <c r="S1964" s="8">
        <v>0</v>
      </c>
      <c r="T1964" s="8">
        <v>1</v>
      </c>
      <c r="U1964" s="8">
        <v>2</v>
      </c>
      <c r="X1964" s="8">
        <v>5</v>
      </c>
      <c r="AG1964" s="8" t="str">
        <f t="shared" si="121"/>
        <v/>
      </c>
      <c r="AI1964" s="8" t="str">
        <f t="shared" si="122"/>
        <v/>
      </c>
      <c r="AJ1964" s="8" t="str">
        <f t="shared" si="123"/>
        <v/>
      </c>
      <c r="AL1964" s="8" t="str">
        <f t="shared" si="124"/>
        <v/>
      </c>
    </row>
    <row r="1965" spans="1:38" x14ac:dyDescent="0.25">
      <c r="A1965" s="8" t="s">
        <v>5522</v>
      </c>
      <c r="B1965" s="8" t="s">
        <v>5523</v>
      </c>
      <c r="C1965" s="8">
        <v>30913220</v>
      </c>
      <c r="D1965" s="8">
        <v>5</v>
      </c>
      <c r="E1965" s="11">
        <v>43112</v>
      </c>
      <c r="F1965" s="8" t="s">
        <v>58</v>
      </c>
      <c r="G1965" s="11">
        <v>43112</v>
      </c>
      <c r="H1965" s="8" t="s">
        <v>25</v>
      </c>
      <c r="I1965" s="11">
        <v>43115</v>
      </c>
      <c r="J1965" s="8" t="s">
        <v>25</v>
      </c>
      <c r="N1965" s="8" t="s">
        <v>58</v>
      </c>
      <c r="O1965" s="8" t="s">
        <v>59</v>
      </c>
      <c r="P1965" s="8" t="s">
        <v>59</v>
      </c>
      <c r="R1965" s="8">
        <v>0</v>
      </c>
      <c r="S1965" s="8">
        <v>0</v>
      </c>
      <c r="T1965" s="8">
        <v>1</v>
      </c>
      <c r="U1965" s="8">
        <v>2</v>
      </c>
      <c r="X1965" s="8">
        <v>5</v>
      </c>
      <c r="AG1965" s="8" t="str">
        <f t="shared" si="121"/>
        <v/>
      </c>
      <c r="AI1965" s="8" t="str">
        <f t="shared" si="122"/>
        <v/>
      </c>
      <c r="AJ1965" s="8" t="str">
        <f t="shared" si="123"/>
        <v/>
      </c>
      <c r="AL1965" s="8" t="str">
        <f t="shared" si="124"/>
        <v/>
      </c>
    </row>
    <row r="1966" spans="1:38" x14ac:dyDescent="0.25">
      <c r="A1966" s="8" t="s">
        <v>469</v>
      </c>
      <c r="B1966" s="8" t="s">
        <v>470</v>
      </c>
      <c r="C1966" s="8">
        <v>30810101</v>
      </c>
      <c r="D1966" s="8">
        <v>5</v>
      </c>
      <c r="E1966" s="11">
        <v>43108</v>
      </c>
      <c r="F1966" s="8" t="s">
        <v>58</v>
      </c>
      <c r="G1966" s="11">
        <v>43108</v>
      </c>
      <c r="H1966" s="8" t="s">
        <v>25</v>
      </c>
      <c r="I1966" s="11">
        <v>43110</v>
      </c>
      <c r="J1966" s="8" t="s">
        <v>25</v>
      </c>
      <c r="N1966" s="8" t="s">
        <v>58</v>
      </c>
      <c r="O1966" s="8" t="s">
        <v>59</v>
      </c>
      <c r="P1966" s="8" t="s">
        <v>59</v>
      </c>
      <c r="R1966" s="8">
        <v>0</v>
      </c>
      <c r="S1966" s="8">
        <v>0</v>
      </c>
      <c r="T1966" s="8">
        <v>1</v>
      </c>
      <c r="U1966" s="8">
        <v>2</v>
      </c>
      <c r="X1966" s="8">
        <v>5</v>
      </c>
      <c r="AG1966" s="8" t="str">
        <f t="shared" si="121"/>
        <v/>
      </c>
      <c r="AI1966" s="8" t="str">
        <f t="shared" si="122"/>
        <v/>
      </c>
      <c r="AJ1966" s="8" t="str">
        <f t="shared" si="123"/>
        <v/>
      </c>
      <c r="AL1966" s="8" t="str">
        <f t="shared" si="124"/>
        <v/>
      </c>
    </row>
    <row r="1967" spans="1:38" x14ac:dyDescent="0.25">
      <c r="A1967" s="8" t="s">
        <v>1256</v>
      </c>
      <c r="B1967" s="8" t="s">
        <v>1257</v>
      </c>
      <c r="C1967" s="8">
        <v>30843566</v>
      </c>
      <c r="D1967" s="8">
        <v>5</v>
      </c>
      <c r="E1967" s="11">
        <v>43109</v>
      </c>
      <c r="F1967" s="8" t="s">
        <v>58</v>
      </c>
      <c r="G1967" s="11">
        <v>43109</v>
      </c>
      <c r="H1967" s="8" t="s">
        <v>25</v>
      </c>
      <c r="I1967" s="11">
        <v>43115</v>
      </c>
      <c r="J1967" s="8" t="s">
        <v>145</v>
      </c>
      <c r="N1967" s="8" t="s">
        <v>58</v>
      </c>
      <c r="O1967" s="8" t="s">
        <v>59</v>
      </c>
      <c r="P1967" s="8" t="s">
        <v>59</v>
      </c>
      <c r="R1967" s="8">
        <v>0</v>
      </c>
      <c r="S1967" s="8">
        <v>0</v>
      </c>
      <c r="T1967" s="8">
        <v>1</v>
      </c>
      <c r="U1967" s="8">
        <v>2</v>
      </c>
      <c r="X1967" s="8">
        <v>5</v>
      </c>
      <c r="AG1967" s="8" t="str">
        <f t="shared" si="121"/>
        <v/>
      </c>
      <c r="AI1967" s="8" t="str">
        <f t="shared" si="122"/>
        <v/>
      </c>
      <c r="AJ1967" s="8" t="str">
        <f t="shared" si="123"/>
        <v/>
      </c>
      <c r="AL1967" s="8" t="str">
        <f t="shared" si="124"/>
        <v/>
      </c>
    </row>
    <row r="1968" spans="1:38" x14ac:dyDescent="0.25">
      <c r="A1968" s="8" t="s">
        <v>1258</v>
      </c>
      <c r="B1968" s="8" t="s">
        <v>1259</v>
      </c>
      <c r="C1968" s="8">
        <v>30829563</v>
      </c>
      <c r="D1968" s="8">
        <v>5</v>
      </c>
      <c r="E1968" s="11">
        <v>43108</v>
      </c>
      <c r="F1968" s="8" t="s">
        <v>58</v>
      </c>
      <c r="G1968" s="11">
        <v>43109</v>
      </c>
      <c r="H1968" s="8" t="s">
        <v>25</v>
      </c>
      <c r="I1968" s="11">
        <v>43109</v>
      </c>
      <c r="J1968" s="8" t="s">
        <v>25</v>
      </c>
      <c r="N1968" s="8" t="s">
        <v>58</v>
      </c>
      <c r="O1968" s="8" t="s">
        <v>59</v>
      </c>
      <c r="P1968" s="8" t="s">
        <v>59</v>
      </c>
      <c r="R1968" s="8">
        <v>0</v>
      </c>
      <c r="S1968" s="8">
        <v>0</v>
      </c>
      <c r="T1968" s="8">
        <v>1</v>
      </c>
      <c r="U1968" s="8">
        <v>2</v>
      </c>
      <c r="X1968" s="8">
        <v>5</v>
      </c>
      <c r="AG1968" s="8" t="str">
        <f t="shared" si="121"/>
        <v/>
      </c>
      <c r="AI1968" s="8" t="str">
        <f t="shared" si="122"/>
        <v/>
      </c>
      <c r="AJ1968" s="8" t="str">
        <f t="shared" si="123"/>
        <v/>
      </c>
      <c r="AL1968" s="8" t="str">
        <f t="shared" si="124"/>
        <v/>
      </c>
    </row>
    <row r="1969" spans="1:38" x14ac:dyDescent="0.25">
      <c r="A1969" s="8" t="s">
        <v>3941</v>
      </c>
      <c r="B1969" s="8" t="s">
        <v>3942</v>
      </c>
      <c r="C1969" s="8">
        <v>30893859</v>
      </c>
      <c r="D1969" s="8">
        <v>5</v>
      </c>
      <c r="E1969" s="11">
        <v>43111</v>
      </c>
      <c r="F1969" s="8" t="s">
        <v>58</v>
      </c>
      <c r="G1969" s="11">
        <v>43111</v>
      </c>
      <c r="H1969" s="8" t="s">
        <v>25</v>
      </c>
      <c r="I1969" s="11">
        <v>43115</v>
      </c>
      <c r="J1969" s="8" t="s">
        <v>25</v>
      </c>
      <c r="N1969" s="8" t="s">
        <v>58</v>
      </c>
      <c r="O1969" s="8" t="s">
        <v>59</v>
      </c>
      <c r="P1969" s="8" t="s">
        <v>59</v>
      </c>
      <c r="R1969" s="8">
        <v>0</v>
      </c>
      <c r="S1969" s="8">
        <v>0</v>
      </c>
      <c r="T1969" s="8">
        <v>1</v>
      </c>
      <c r="U1969" s="8">
        <v>2</v>
      </c>
      <c r="X1969" s="8">
        <v>5</v>
      </c>
      <c r="AG1969" s="8" t="str">
        <f t="shared" si="121"/>
        <v/>
      </c>
      <c r="AI1969" s="8" t="str">
        <f t="shared" si="122"/>
        <v/>
      </c>
      <c r="AJ1969" s="8" t="str">
        <f t="shared" si="123"/>
        <v/>
      </c>
      <c r="AL1969" s="8" t="str">
        <f t="shared" si="124"/>
        <v/>
      </c>
    </row>
    <row r="1970" spans="1:38" x14ac:dyDescent="0.25">
      <c r="A1970" s="8" t="s">
        <v>2432</v>
      </c>
      <c r="B1970" s="8" t="s">
        <v>2433</v>
      </c>
      <c r="C1970" s="8">
        <v>30868487</v>
      </c>
      <c r="D1970" s="8">
        <v>5</v>
      </c>
      <c r="E1970" s="11">
        <v>43110</v>
      </c>
      <c r="F1970" s="8" t="s">
        <v>57</v>
      </c>
      <c r="G1970" s="11">
        <v>43110</v>
      </c>
      <c r="H1970" s="8" t="s">
        <v>25</v>
      </c>
      <c r="J1970" s="8" t="s">
        <v>25</v>
      </c>
      <c r="N1970" s="8" t="s">
        <v>58</v>
      </c>
      <c r="O1970" s="8" t="s">
        <v>59</v>
      </c>
      <c r="P1970" s="8" t="s">
        <v>59</v>
      </c>
      <c r="R1970" s="8">
        <v>0</v>
      </c>
      <c r="S1970" s="8">
        <v>0</v>
      </c>
      <c r="T1970" s="8">
        <v>1</v>
      </c>
      <c r="U1970" s="8">
        <v>2</v>
      </c>
      <c r="AG1970" s="8" t="str">
        <f t="shared" si="121"/>
        <v/>
      </c>
      <c r="AI1970" s="8" t="str">
        <f t="shared" si="122"/>
        <v/>
      </c>
      <c r="AJ1970" s="8" t="str">
        <f t="shared" si="123"/>
        <v/>
      </c>
      <c r="AL1970" s="8" t="str">
        <f t="shared" si="124"/>
        <v/>
      </c>
    </row>
    <row r="1971" spans="1:38" x14ac:dyDescent="0.25">
      <c r="A1971" s="8" t="s">
        <v>7319</v>
      </c>
      <c r="B1971" s="8" t="s">
        <v>7320</v>
      </c>
      <c r="C1971" s="8">
        <v>30942155</v>
      </c>
      <c r="D1971" s="8">
        <v>4</v>
      </c>
      <c r="E1971" s="11">
        <v>43115</v>
      </c>
      <c r="F1971" s="8" t="s">
        <v>57</v>
      </c>
      <c r="G1971" s="11">
        <v>43115</v>
      </c>
      <c r="H1971" s="8" t="s">
        <v>25</v>
      </c>
      <c r="J1971" s="8" t="s">
        <v>25</v>
      </c>
      <c r="N1971" s="8" t="s">
        <v>58</v>
      </c>
      <c r="O1971" s="8" t="s">
        <v>59</v>
      </c>
      <c r="P1971" s="8" t="s">
        <v>59</v>
      </c>
      <c r="R1971" s="8">
        <v>0</v>
      </c>
      <c r="S1971" s="8">
        <v>0</v>
      </c>
      <c r="T1971" s="8">
        <v>1</v>
      </c>
      <c r="U1971" s="8">
        <v>2</v>
      </c>
      <c r="AG1971" s="8" t="str">
        <f t="shared" si="121"/>
        <v/>
      </c>
      <c r="AI1971" s="8" t="str">
        <f t="shared" si="122"/>
        <v/>
      </c>
      <c r="AJ1971" s="8" t="str">
        <f t="shared" si="123"/>
        <v/>
      </c>
      <c r="AL1971" s="8" t="str">
        <f t="shared" si="124"/>
        <v/>
      </c>
    </row>
    <row r="1972" spans="1:38" x14ac:dyDescent="0.25">
      <c r="A1972" s="8" t="s">
        <v>7321</v>
      </c>
      <c r="B1972" s="8" t="s">
        <v>7322</v>
      </c>
      <c r="C1972" s="8">
        <v>30942273</v>
      </c>
      <c r="D1972" s="8">
        <v>4</v>
      </c>
      <c r="E1972" s="11">
        <v>43115</v>
      </c>
      <c r="F1972" s="8" t="s">
        <v>57</v>
      </c>
      <c r="G1972" s="11">
        <v>43115</v>
      </c>
      <c r="H1972" s="8" t="s">
        <v>25</v>
      </c>
      <c r="J1972" s="8" t="s">
        <v>25</v>
      </c>
      <c r="N1972" s="8" t="s">
        <v>58</v>
      </c>
      <c r="O1972" s="8" t="s">
        <v>59</v>
      </c>
      <c r="P1972" s="8" t="s">
        <v>59</v>
      </c>
      <c r="R1972" s="8">
        <v>0</v>
      </c>
      <c r="S1972" s="8">
        <v>0</v>
      </c>
      <c r="T1972" s="8">
        <v>1</v>
      </c>
      <c r="U1972" s="8">
        <v>2</v>
      </c>
      <c r="AG1972" s="8" t="str">
        <f t="shared" si="121"/>
        <v/>
      </c>
      <c r="AI1972" s="8" t="str">
        <f t="shared" si="122"/>
        <v/>
      </c>
      <c r="AJ1972" s="8" t="str">
        <f t="shared" si="123"/>
        <v/>
      </c>
      <c r="AL1972" s="8" t="str">
        <f t="shared" si="124"/>
        <v/>
      </c>
    </row>
    <row r="1973" spans="1:38" x14ac:dyDescent="0.25">
      <c r="A1973" s="8" t="s">
        <v>3943</v>
      </c>
      <c r="B1973" s="8" t="s">
        <v>3944</v>
      </c>
      <c r="C1973" s="8">
        <v>30893265</v>
      </c>
      <c r="D1973" s="8">
        <v>5</v>
      </c>
      <c r="E1973" s="11">
        <v>43111</v>
      </c>
      <c r="F1973" s="8" t="s">
        <v>58</v>
      </c>
      <c r="G1973" s="11">
        <v>43111</v>
      </c>
      <c r="H1973" s="8" t="s">
        <v>25</v>
      </c>
      <c r="I1973" s="11">
        <v>43112</v>
      </c>
      <c r="J1973" s="8" t="s">
        <v>25</v>
      </c>
      <c r="N1973" s="8" t="s">
        <v>58</v>
      </c>
      <c r="O1973" s="8" t="s">
        <v>59</v>
      </c>
      <c r="P1973" s="8" t="s">
        <v>59</v>
      </c>
      <c r="R1973" s="8">
        <v>0</v>
      </c>
      <c r="S1973" s="8">
        <v>0</v>
      </c>
      <c r="T1973" s="8">
        <v>1</v>
      </c>
      <c r="U1973" s="8">
        <v>2</v>
      </c>
      <c r="X1973" s="8">
        <v>5</v>
      </c>
      <c r="AG1973" s="8" t="str">
        <f t="shared" si="121"/>
        <v/>
      </c>
      <c r="AI1973" s="8" t="str">
        <f t="shared" si="122"/>
        <v/>
      </c>
      <c r="AJ1973" s="8" t="str">
        <f t="shared" si="123"/>
        <v/>
      </c>
      <c r="AL1973" s="8" t="str">
        <f t="shared" si="124"/>
        <v/>
      </c>
    </row>
    <row r="1974" spans="1:38" x14ac:dyDescent="0.25">
      <c r="A1974" s="8" t="s">
        <v>7323</v>
      </c>
      <c r="B1974" s="8" t="s">
        <v>7324</v>
      </c>
      <c r="C1974" s="8">
        <v>30940898</v>
      </c>
      <c r="D1974" s="8">
        <v>5</v>
      </c>
      <c r="E1974" s="11">
        <v>43115</v>
      </c>
      <c r="F1974" s="8" t="s">
        <v>58</v>
      </c>
      <c r="G1974" s="11">
        <v>43115</v>
      </c>
      <c r="H1974" s="8" t="s">
        <v>25</v>
      </c>
      <c r="I1974" s="11">
        <v>43115</v>
      </c>
      <c r="J1974" s="8" t="s">
        <v>25</v>
      </c>
      <c r="N1974" s="8" t="s">
        <v>58</v>
      </c>
      <c r="O1974" s="8" t="s">
        <v>59</v>
      </c>
      <c r="P1974" s="8" t="s">
        <v>59</v>
      </c>
      <c r="R1974" s="8">
        <v>0</v>
      </c>
      <c r="S1974" s="8">
        <v>0</v>
      </c>
      <c r="T1974" s="8">
        <v>1</v>
      </c>
      <c r="U1974" s="8">
        <v>2</v>
      </c>
      <c r="X1974" s="8">
        <v>5</v>
      </c>
      <c r="AG1974" s="8" t="str">
        <f t="shared" si="121"/>
        <v/>
      </c>
      <c r="AI1974" s="8" t="str">
        <f t="shared" si="122"/>
        <v/>
      </c>
      <c r="AJ1974" s="8" t="str">
        <f t="shared" si="123"/>
        <v/>
      </c>
      <c r="AL1974" s="8" t="str">
        <f t="shared" si="124"/>
        <v/>
      </c>
    </row>
    <row r="1975" spans="1:38" x14ac:dyDescent="0.25">
      <c r="A1975" s="8" t="s">
        <v>2434</v>
      </c>
      <c r="B1975" s="8" t="s">
        <v>2435</v>
      </c>
      <c r="C1975" s="8">
        <v>30860387</v>
      </c>
      <c r="D1975" s="8">
        <v>5</v>
      </c>
      <c r="E1975" s="11">
        <v>43110</v>
      </c>
      <c r="F1975" s="8" t="s">
        <v>58</v>
      </c>
      <c r="G1975" s="11">
        <v>43110</v>
      </c>
      <c r="H1975" s="8" t="s">
        <v>25</v>
      </c>
      <c r="I1975" s="11">
        <v>43110</v>
      </c>
      <c r="J1975" s="8" t="s">
        <v>25</v>
      </c>
      <c r="N1975" s="8" t="s">
        <v>58</v>
      </c>
      <c r="O1975" s="8" t="s">
        <v>59</v>
      </c>
      <c r="P1975" s="8" t="s">
        <v>59</v>
      </c>
      <c r="R1975" s="8">
        <v>0</v>
      </c>
      <c r="S1975" s="8">
        <v>0</v>
      </c>
      <c r="T1975" s="8">
        <v>1</v>
      </c>
      <c r="U1975" s="8">
        <v>2</v>
      </c>
      <c r="X1975" s="8">
        <v>5</v>
      </c>
      <c r="AG1975" s="8" t="str">
        <f t="shared" si="121"/>
        <v/>
      </c>
      <c r="AI1975" s="8" t="str">
        <f t="shared" si="122"/>
        <v/>
      </c>
      <c r="AJ1975" s="8" t="str">
        <f t="shared" si="123"/>
        <v/>
      </c>
      <c r="AL1975" s="8" t="str">
        <f t="shared" si="124"/>
        <v/>
      </c>
    </row>
    <row r="1976" spans="1:38" x14ac:dyDescent="0.25">
      <c r="A1976" s="8" t="s">
        <v>7325</v>
      </c>
      <c r="B1976" s="8" t="s">
        <v>7326</v>
      </c>
      <c r="C1976" s="8">
        <v>30934894</v>
      </c>
      <c r="D1976" s="8">
        <v>5</v>
      </c>
      <c r="E1976" s="11">
        <v>43115</v>
      </c>
      <c r="F1976" s="8" t="s">
        <v>58</v>
      </c>
      <c r="G1976" s="11">
        <v>43115</v>
      </c>
      <c r="H1976" s="8" t="s">
        <v>25</v>
      </c>
      <c r="I1976" s="11">
        <v>43115</v>
      </c>
      <c r="J1976" s="8" t="s">
        <v>25</v>
      </c>
      <c r="N1976" s="8" t="s">
        <v>58</v>
      </c>
      <c r="O1976" s="8" t="s">
        <v>59</v>
      </c>
      <c r="P1976" s="8" t="s">
        <v>59</v>
      </c>
      <c r="R1976" s="8">
        <v>0</v>
      </c>
      <c r="S1976" s="8">
        <v>0</v>
      </c>
      <c r="T1976" s="8">
        <v>1</v>
      </c>
      <c r="U1976" s="8">
        <v>2</v>
      </c>
      <c r="X1976" s="8">
        <v>5</v>
      </c>
      <c r="AG1976" s="8" t="str">
        <f t="shared" si="121"/>
        <v/>
      </c>
      <c r="AI1976" s="8" t="str">
        <f t="shared" si="122"/>
        <v/>
      </c>
      <c r="AJ1976" s="8" t="str">
        <f t="shared" si="123"/>
        <v/>
      </c>
      <c r="AL1976" s="8" t="str">
        <f t="shared" si="124"/>
        <v/>
      </c>
    </row>
    <row r="1977" spans="1:38" x14ac:dyDescent="0.25">
      <c r="A1977" s="8" t="s">
        <v>471</v>
      </c>
      <c r="B1977" s="8" t="s">
        <v>472</v>
      </c>
      <c r="C1977" s="8">
        <v>30818665</v>
      </c>
      <c r="D1977" s="8">
        <v>5</v>
      </c>
      <c r="E1977" s="11">
        <v>43108</v>
      </c>
      <c r="F1977" s="8" t="s">
        <v>58</v>
      </c>
      <c r="G1977" s="11">
        <v>43108</v>
      </c>
      <c r="H1977" s="8" t="s">
        <v>25</v>
      </c>
      <c r="I1977" s="11">
        <v>43111</v>
      </c>
      <c r="J1977" s="8" t="s">
        <v>25</v>
      </c>
      <c r="N1977" s="8" t="s">
        <v>58</v>
      </c>
      <c r="O1977" s="8" t="s">
        <v>59</v>
      </c>
      <c r="P1977" s="8" t="s">
        <v>59</v>
      </c>
      <c r="R1977" s="8">
        <v>0</v>
      </c>
      <c r="S1977" s="8">
        <v>0</v>
      </c>
      <c r="T1977" s="8">
        <v>1</v>
      </c>
      <c r="U1977" s="8">
        <v>2</v>
      </c>
      <c r="X1977" s="8">
        <v>5</v>
      </c>
      <c r="AG1977" s="8" t="str">
        <f t="shared" si="121"/>
        <v/>
      </c>
      <c r="AI1977" s="8" t="str">
        <f t="shared" si="122"/>
        <v/>
      </c>
      <c r="AJ1977" s="8" t="str">
        <f t="shared" si="123"/>
        <v/>
      </c>
      <c r="AL1977" s="8" t="str">
        <f t="shared" si="124"/>
        <v/>
      </c>
    </row>
    <row r="1978" spans="1:38" x14ac:dyDescent="0.25">
      <c r="A1978" s="8" t="s">
        <v>5524</v>
      </c>
      <c r="B1978" s="8" t="s">
        <v>5525</v>
      </c>
      <c r="C1978" s="8">
        <v>30919969</v>
      </c>
      <c r="D1978" s="8">
        <v>5</v>
      </c>
      <c r="E1978" s="11">
        <v>43112</v>
      </c>
      <c r="F1978" s="8" t="s">
        <v>57</v>
      </c>
      <c r="G1978" s="11">
        <v>43112</v>
      </c>
      <c r="H1978" s="8" t="s">
        <v>25</v>
      </c>
      <c r="J1978" s="8" t="s">
        <v>25</v>
      </c>
      <c r="N1978" s="8" t="s">
        <v>58</v>
      </c>
      <c r="O1978" s="8" t="s">
        <v>59</v>
      </c>
      <c r="P1978" s="8" t="s">
        <v>59</v>
      </c>
      <c r="R1978" s="8">
        <v>0</v>
      </c>
      <c r="S1978" s="8">
        <v>0</v>
      </c>
      <c r="T1978" s="8">
        <v>1</v>
      </c>
      <c r="U1978" s="8">
        <v>2</v>
      </c>
      <c r="AG1978" s="8" t="str">
        <f t="shared" si="121"/>
        <v/>
      </c>
      <c r="AI1978" s="8" t="str">
        <f t="shared" si="122"/>
        <v/>
      </c>
      <c r="AJ1978" s="8" t="str">
        <f t="shared" si="123"/>
        <v/>
      </c>
      <c r="AL1978" s="8" t="str">
        <f t="shared" si="124"/>
        <v/>
      </c>
    </row>
    <row r="1979" spans="1:38" x14ac:dyDescent="0.25">
      <c r="A1979" s="8" t="s">
        <v>3945</v>
      </c>
      <c r="B1979" s="8" t="s">
        <v>3946</v>
      </c>
      <c r="C1979" s="8">
        <v>30887191</v>
      </c>
      <c r="D1979" s="8">
        <v>4</v>
      </c>
      <c r="E1979" s="11">
        <v>43111</v>
      </c>
      <c r="F1979" s="8" t="s">
        <v>57</v>
      </c>
      <c r="G1979" s="11">
        <v>43111</v>
      </c>
      <c r="H1979" s="8" t="s">
        <v>25</v>
      </c>
      <c r="J1979" s="8" t="s">
        <v>25</v>
      </c>
      <c r="N1979" s="8" t="s">
        <v>58</v>
      </c>
      <c r="O1979" s="8" t="s">
        <v>59</v>
      </c>
      <c r="P1979" s="8" t="s">
        <v>59</v>
      </c>
      <c r="R1979" s="8">
        <v>0</v>
      </c>
      <c r="S1979" s="8">
        <v>0</v>
      </c>
      <c r="T1979" s="8">
        <v>1</v>
      </c>
      <c r="U1979" s="8">
        <v>2</v>
      </c>
      <c r="AG1979" s="8" t="str">
        <f t="shared" si="121"/>
        <v/>
      </c>
      <c r="AI1979" s="8" t="str">
        <f t="shared" si="122"/>
        <v/>
      </c>
      <c r="AJ1979" s="8" t="str">
        <f t="shared" si="123"/>
        <v/>
      </c>
      <c r="AL1979" s="8" t="str">
        <f t="shared" si="124"/>
        <v/>
      </c>
    </row>
    <row r="1980" spans="1:38" x14ac:dyDescent="0.25">
      <c r="A1980" s="8" t="s">
        <v>2436</v>
      </c>
      <c r="B1980" s="8" t="s">
        <v>2437</v>
      </c>
      <c r="C1980" s="8">
        <v>30865212</v>
      </c>
      <c r="D1980" s="8">
        <v>5</v>
      </c>
      <c r="E1980" s="11">
        <v>43110</v>
      </c>
      <c r="F1980" s="8" t="s">
        <v>57</v>
      </c>
      <c r="G1980" s="11">
        <v>43110</v>
      </c>
      <c r="H1980" s="8" t="s">
        <v>25</v>
      </c>
      <c r="J1980" s="8" t="s">
        <v>25</v>
      </c>
      <c r="N1980" s="8" t="s">
        <v>58</v>
      </c>
      <c r="O1980" s="8" t="s">
        <v>59</v>
      </c>
      <c r="P1980" s="8" t="s">
        <v>59</v>
      </c>
      <c r="R1980" s="8">
        <v>0</v>
      </c>
      <c r="S1980" s="8">
        <v>0</v>
      </c>
      <c r="T1980" s="8">
        <v>1</v>
      </c>
      <c r="U1980" s="8">
        <v>2</v>
      </c>
      <c r="AG1980" s="8" t="str">
        <f t="shared" si="121"/>
        <v/>
      </c>
      <c r="AI1980" s="8" t="str">
        <f t="shared" si="122"/>
        <v/>
      </c>
      <c r="AJ1980" s="8" t="str">
        <f t="shared" si="123"/>
        <v/>
      </c>
      <c r="AL1980" s="8" t="str">
        <f t="shared" si="124"/>
        <v/>
      </c>
    </row>
    <row r="1981" spans="1:38" x14ac:dyDescent="0.25">
      <c r="A1981" s="8" t="s">
        <v>5526</v>
      </c>
      <c r="B1981" s="8" t="s">
        <v>5527</v>
      </c>
      <c r="C1981" s="8">
        <v>30914719</v>
      </c>
      <c r="D1981" s="8">
        <v>5</v>
      </c>
      <c r="E1981" s="11">
        <v>43112</v>
      </c>
      <c r="F1981" s="8" t="s">
        <v>58</v>
      </c>
      <c r="G1981" s="11">
        <v>43112</v>
      </c>
      <c r="H1981" s="8" t="s">
        <v>25</v>
      </c>
      <c r="I1981" s="11">
        <v>43112</v>
      </c>
      <c r="J1981" s="8" t="s">
        <v>25</v>
      </c>
      <c r="N1981" s="8" t="s">
        <v>58</v>
      </c>
      <c r="O1981" s="8" t="s">
        <v>59</v>
      </c>
      <c r="P1981" s="8" t="s">
        <v>59</v>
      </c>
      <c r="R1981" s="8">
        <v>0</v>
      </c>
      <c r="S1981" s="8">
        <v>0</v>
      </c>
      <c r="T1981" s="8">
        <v>1</v>
      </c>
      <c r="U1981" s="8">
        <v>2</v>
      </c>
      <c r="X1981" s="8">
        <v>5</v>
      </c>
      <c r="AG1981" s="8" t="str">
        <f t="shared" si="121"/>
        <v/>
      </c>
      <c r="AI1981" s="8" t="str">
        <f t="shared" si="122"/>
        <v/>
      </c>
      <c r="AJ1981" s="8" t="str">
        <f t="shared" si="123"/>
        <v/>
      </c>
      <c r="AL1981" s="8" t="str">
        <f t="shared" si="124"/>
        <v/>
      </c>
    </row>
    <row r="1982" spans="1:38" x14ac:dyDescent="0.25">
      <c r="A1982" s="8" t="s">
        <v>3947</v>
      </c>
      <c r="B1982" s="8" t="s">
        <v>3948</v>
      </c>
      <c r="C1982" s="8">
        <v>30900663</v>
      </c>
      <c r="D1982" s="8">
        <v>5</v>
      </c>
      <c r="E1982" s="11">
        <v>43111</v>
      </c>
      <c r="F1982" s="8" t="s">
        <v>57</v>
      </c>
      <c r="G1982" s="11">
        <v>43111</v>
      </c>
      <c r="H1982" s="8" t="s">
        <v>25</v>
      </c>
      <c r="J1982" s="8" t="s">
        <v>25</v>
      </c>
      <c r="N1982" s="8" t="s">
        <v>58</v>
      </c>
      <c r="O1982" s="8" t="s">
        <v>59</v>
      </c>
      <c r="P1982" s="8" t="s">
        <v>59</v>
      </c>
      <c r="R1982" s="8">
        <v>0</v>
      </c>
      <c r="S1982" s="8">
        <v>0</v>
      </c>
      <c r="T1982" s="8">
        <v>1</v>
      </c>
      <c r="U1982" s="8">
        <v>2</v>
      </c>
      <c r="AG1982" s="8" t="str">
        <f t="shared" si="121"/>
        <v/>
      </c>
      <c r="AI1982" s="8" t="str">
        <f t="shared" si="122"/>
        <v/>
      </c>
      <c r="AJ1982" s="8" t="str">
        <f t="shared" si="123"/>
        <v/>
      </c>
      <c r="AL1982" s="8" t="str">
        <f t="shared" si="124"/>
        <v/>
      </c>
    </row>
    <row r="1983" spans="1:38" x14ac:dyDescent="0.25">
      <c r="A1983" s="8" t="s">
        <v>1260</v>
      </c>
      <c r="B1983" s="8" t="s">
        <v>1261</v>
      </c>
      <c r="C1983" s="8">
        <v>30811848</v>
      </c>
      <c r="D1983" s="8">
        <v>5</v>
      </c>
      <c r="E1983" s="11">
        <v>43108</v>
      </c>
      <c r="F1983" s="8" t="s">
        <v>58</v>
      </c>
      <c r="G1983" s="11">
        <v>43109</v>
      </c>
      <c r="H1983" s="8" t="s">
        <v>25</v>
      </c>
      <c r="I1983" s="11">
        <v>43109</v>
      </c>
      <c r="J1983" s="8" t="s">
        <v>25</v>
      </c>
      <c r="N1983" s="8" t="s">
        <v>58</v>
      </c>
      <c r="O1983" s="8" t="s">
        <v>59</v>
      </c>
      <c r="P1983" s="8" t="s">
        <v>59</v>
      </c>
      <c r="R1983" s="8">
        <v>0</v>
      </c>
      <c r="S1983" s="8">
        <v>0</v>
      </c>
      <c r="T1983" s="8">
        <v>1</v>
      </c>
      <c r="U1983" s="8">
        <v>2</v>
      </c>
      <c r="X1983" s="8">
        <v>5</v>
      </c>
      <c r="AG1983" s="8" t="str">
        <f t="shared" si="121"/>
        <v/>
      </c>
      <c r="AI1983" s="8" t="str">
        <f t="shared" si="122"/>
        <v/>
      </c>
      <c r="AJ1983" s="8" t="str">
        <f t="shared" si="123"/>
        <v/>
      </c>
      <c r="AL1983" s="8" t="str">
        <f t="shared" si="124"/>
        <v/>
      </c>
    </row>
    <row r="1984" spans="1:38" x14ac:dyDescent="0.25">
      <c r="A1984" s="8" t="s">
        <v>3949</v>
      </c>
      <c r="B1984" s="8" t="s">
        <v>3950</v>
      </c>
      <c r="C1984" s="8">
        <v>30883040</v>
      </c>
      <c r="D1984" s="8">
        <v>5</v>
      </c>
      <c r="E1984" s="11">
        <v>43111</v>
      </c>
      <c r="F1984" s="8" t="s">
        <v>58</v>
      </c>
      <c r="G1984" s="11">
        <v>43111</v>
      </c>
      <c r="H1984" s="8" t="s">
        <v>25</v>
      </c>
      <c r="I1984" s="11">
        <v>43111</v>
      </c>
      <c r="J1984" s="8" t="s">
        <v>25</v>
      </c>
      <c r="N1984" s="8" t="s">
        <v>58</v>
      </c>
      <c r="O1984" s="8" t="s">
        <v>59</v>
      </c>
      <c r="P1984" s="8" t="s">
        <v>59</v>
      </c>
      <c r="R1984" s="8">
        <v>0</v>
      </c>
      <c r="S1984" s="8">
        <v>0</v>
      </c>
      <c r="T1984" s="8">
        <v>1</v>
      </c>
      <c r="U1984" s="8">
        <v>2</v>
      </c>
      <c r="X1984" s="8">
        <v>5</v>
      </c>
      <c r="AG1984" s="8" t="str">
        <f t="shared" si="121"/>
        <v/>
      </c>
      <c r="AI1984" s="8" t="str">
        <f t="shared" si="122"/>
        <v/>
      </c>
      <c r="AJ1984" s="8" t="str">
        <f t="shared" si="123"/>
        <v/>
      </c>
      <c r="AL1984" s="8" t="str">
        <f t="shared" si="124"/>
        <v/>
      </c>
    </row>
    <row r="1985" spans="1:38" x14ac:dyDescent="0.25">
      <c r="A1985" s="8" t="s">
        <v>7327</v>
      </c>
      <c r="B1985" s="8" t="s">
        <v>7328</v>
      </c>
      <c r="C1985" s="8">
        <v>30946033</v>
      </c>
      <c r="D1985" s="8">
        <v>5</v>
      </c>
      <c r="E1985" s="11">
        <v>43115</v>
      </c>
      <c r="F1985" s="8" t="s">
        <v>57</v>
      </c>
      <c r="G1985" s="11">
        <v>43115</v>
      </c>
      <c r="H1985" s="8" t="s">
        <v>25</v>
      </c>
      <c r="J1985" s="8" t="s">
        <v>25</v>
      </c>
      <c r="N1985" s="8" t="s">
        <v>58</v>
      </c>
      <c r="O1985" s="8" t="s">
        <v>59</v>
      </c>
      <c r="P1985" s="8" t="s">
        <v>59</v>
      </c>
      <c r="R1985" s="8">
        <v>0</v>
      </c>
      <c r="S1985" s="8">
        <v>0</v>
      </c>
      <c r="T1985" s="8">
        <v>1</v>
      </c>
      <c r="U1985" s="8">
        <v>2</v>
      </c>
      <c r="AG1985" s="8" t="str">
        <f t="shared" si="121"/>
        <v/>
      </c>
      <c r="AI1985" s="8" t="str">
        <f t="shared" si="122"/>
        <v/>
      </c>
      <c r="AJ1985" s="8" t="str">
        <f t="shared" si="123"/>
        <v/>
      </c>
      <c r="AL1985" s="8" t="str">
        <f t="shared" si="124"/>
        <v/>
      </c>
    </row>
    <row r="1986" spans="1:38" x14ac:dyDescent="0.25">
      <c r="A1986" s="8" t="s">
        <v>1262</v>
      </c>
      <c r="B1986" s="8" t="s">
        <v>1263</v>
      </c>
      <c r="C1986" s="8">
        <v>30852974</v>
      </c>
      <c r="D1986" s="8">
        <v>5</v>
      </c>
      <c r="E1986" s="11">
        <v>43109</v>
      </c>
      <c r="F1986" s="8" t="s">
        <v>57</v>
      </c>
      <c r="G1986" s="11">
        <v>43109</v>
      </c>
      <c r="H1986" s="8" t="s">
        <v>25</v>
      </c>
      <c r="J1986" s="8" t="s">
        <v>25</v>
      </c>
      <c r="N1986" s="8" t="s">
        <v>58</v>
      </c>
      <c r="O1986" s="8" t="s">
        <v>59</v>
      </c>
      <c r="P1986" s="8" t="s">
        <v>59</v>
      </c>
      <c r="R1986" s="8">
        <v>0</v>
      </c>
      <c r="S1986" s="8">
        <v>0</v>
      </c>
      <c r="T1986" s="8">
        <v>1</v>
      </c>
      <c r="U1986" s="8">
        <v>2</v>
      </c>
      <c r="AG1986" s="8" t="str">
        <f t="shared" si="121"/>
        <v/>
      </c>
      <c r="AI1986" s="8" t="str">
        <f t="shared" si="122"/>
        <v/>
      </c>
      <c r="AJ1986" s="8" t="str">
        <f t="shared" si="123"/>
        <v/>
      </c>
      <c r="AL1986" s="8" t="str">
        <f t="shared" si="124"/>
        <v/>
      </c>
    </row>
    <row r="1987" spans="1:38" x14ac:dyDescent="0.25">
      <c r="A1987" s="8" t="s">
        <v>7329</v>
      </c>
      <c r="B1987" s="8" t="s">
        <v>7330</v>
      </c>
      <c r="C1987" s="8">
        <v>30931787</v>
      </c>
      <c r="D1987" s="8">
        <v>5</v>
      </c>
      <c r="E1987" s="11">
        <v>43115</v>
      </c>
      <c r="F1987" s="8" t="s">
        <v>58</v>
      </c>
      <c r="G1987" s="11">
        <v>43115</v>
      </c>
      <c r="H1987" s="8" t="s">
        <v>25</v>
      </c>
      <c r="I1987" s="11">
        <v>43115</v>
      </c>
      <c r="J1987" s="8" t="s">
        <v>25</v>
      </c>
      <c r="N1987" s="8" t="s">
        <v>58</v>
      </c>
      <c r="O1987" s="8" t="s">
        <v>59</v>
      </c>
      <c r="P1987" s="8" t="s">
        <v>59</v>
      </c>
      <c r="R1987" s="8">
        <v>0</v>
      </c>
      <c r="S1987" s="8">
        <v>0</v>
      </c>
      <c r="T1987" s="8">
        <v>1</v>
      </c>
      <c r="U1987" s="8">
        <v>2</v>
      </c>
      <c r="X1987" s="8">
        <v>5</v>
      </c>
      <c r="AG1987" s="8" t="str">
        <f t="shared" ref="AG1987:AG2050" si="125">IF(AND(U1987="",G1987&lt;&gt;"",NOT(OR(R1987,S1987))),IF(NETWORKDAYS.INTL(G1987,TODAY(),11)&lt;5,"En Plazo",IF(NETWORKDAYS.INTL(G1987,TODAY(),11)=5,"Riesgo Incumplimiento","FALTA_02")),"")</f>
        <v/>
      </c>
      <c r="AI1987" s="8" t="str">
        <f t="shared" ref="AI1987:AI2050" si="126">IF(AND(O1987&lt;&gt;"B1",F1987="Rejected"),IF(W1987="","FALTA_04",""),"")</f>
        <v/>
      </c>
      <c r="AJ1987" s="8" t="str">
        <f t="shared" ref="AJ1987:AJ2050" si="127">IF(AND(X1987="",I1987&lt;&gt;"",NOT(OR(R1987,S1987))),IF(NETWORKDAYS.INTL(G1987,TODAY(),11)&lt;=1,"En Plazo",IF(OR(AND(X1987="",O1987&lt;&gt;"M1"),AND(O1987="M1",(OR(Q1987="S - S",Q1987="S - T",)))),"FALTA_05","")),"")</f>
        <v/>
      </c>
      <c r="AL1987" s="8" t="str">
        <f t="shared" ref="AL1987:AL2050" si="128">IF(AND(O1987="B1",F1987="Rejected"),IF(Z1987="","FALTA_07",""),"")</f>
        <v/>
      </c>
    </row>
    <row r="1988" spans="1:38" x14ac:dyDescent="0.25">
      <c r="A1988" s="8" t="s">
        <v>5528</v>
      </c>
      <c r="B1988" s="8" t="s">
        <v>5529</v>
      </c>
      <c r="C1988" s="8">
        <v>30905177</v>
      </c>
      <c r="D1988" s="8">
        <v>5</v>
      </c>
      <c r="E1988" s="11">
        <v>43112</v>
      </c>
      <c r="F1988" s="8" t="s">
        <v>58</v>
      </c>
      <c r="G1988" s="11">
        <v>43112</v>
      </c>
      <c r="H1988" s="8" t="s">
        <v>25</v>
      </c>
      <c r="I1988" s="11">
        <v>43112</v>
      </c>
      <c r="J1988" s="8" t="s">
        <v>25</v>
      </c>
      <c r="N1988" s="8" t="s">
        <v>58</v>
      </c>
      <c r="O1988" s="8" t="s">
        <v>59</v>
      </c>
      <c r="P1988" s="8" t="s">
        <v>59</v>
      </c>
      <c r="R1988" s="8">
        <v>0</v>
      </c>
      <c r="S1988" s="8">
        <v>0</v>
      </c>
      <c r="T1988" s="8">
        <v>1</v>
      </c>
      <c r="U1988" s="8">
        <v>2</v>
      </c>
      <c r="X1988" s="8">
        <v>5</v>
      </c>
      <c r="AG1988" s="8" t="str">
        <f t="shared" si="125"/>
        <v/>
      </c>
      <c r="AI1988" s="8" t="str">
        <f t="shared" si="126"/>
        <v/>
      </c>
      <c r="AJ1988" s="8" t="str">
        <f t="shared" si="127"/>
        <v/>
      </c>
      <c r="AL1988" s="8" t="str">
        <f t="shared" si="128"/>
        <v/>
      </c>
    </row>
    <row r="1989" spans="1:38" x14ac:dyDescent="0.25">
      <c r="A1989" s="8" t="s">
        <v>473</v>
      </c>
      <c r="B1989" s="8" t="s">
        <v>474</v>
      </c>
      <c r="C1989" s="8">
        <v>30822406</v>
      </c>
      <c r="D1989" s="8">
        <v>5</v>
      </c>
      <c r="E1989" s="11">
        <v>43108</v>
      </c>
      <c r="F1989" s="8" t="s">
        <v>58</v>
      </c>
      <c r="G1989" s="11">
        <v>43108</v>
      </c>
      <c r="H1989" s="8" t="s">
        <v>25</v>
      </c>
      <c r="I1989" s="11">
        <v>43112</v>
      </c>
      <c r="J1989" s="8" t="s">
        <v>145</v>
      </c>
      <c r="N1989" s="8" t="s">
        <v>58</v>
      </c>
      <c r="O1989" s="8" t="s">
        <v>59</v>
      </c>
      <c r="P1989" s="8" t="s">
        <v>59</v>
      </c>
      <c r="R1989" s="8">
        <v>0</v>
      </c>
      <c r="S1989" s="8">
        <v>0</v>
      </c>
      <c r="T1989" s="8">
        <v>1</v>
      </c>
      <c r="U1989" s="8">
        <v>2</v>
      </c>
      <c r="X1989" s="8">
        <v>5</v>
      </c>
      <c r="AG1989" s="8" t="str">
        <f t="shared" si="125"/>
        <v/>
      </c>
      <c r="AI1989" s="8" t="str">
        <f t="shared" si="126"/>
        <v/>
      </c>
      <c r="AJ1989" s="8" t="str">
        <f t="shared" si="127"/>
        <v/>
      </c>
      <c r="AL1989" s="8" t="str">
        <f t="shared" si="128"/>
        <v/>
      </c>
    </row>
    <row r="1990" spans="1:38" x14ac:dyDescent="0.25">
      <c r="A1990" s="8" t="s">
        <v>7331</v>
      </c>
      <c r="B1990" s="8" t="s">
        <v>7332</v>
      </c>
      <c r="C1990" s="8">
        <v>30940086</v>
      </c>
      <c r="D1990" s="8">
        <v>5</v>
      </c>
      <c r="E1990" s="11">
        <v>43115</v>
      </c>
      <c r="F1990" s="8" t="s">
        <v>58</v>
      </c>
      <c r="G1990" s="11">
        <v>43115</v>
      </c>
      <c r="H1990" s="8" t="s">
        <v>25</v>
      </c>
      <c r="I1990" s="11">
        <v>43115</v>
      </c>
      <c r="J1990" s="8" t="s">
        <v>25</v>
      </c>
      <c r="N1990" s="8" t="s">
        <v>58</v>
      </c>
      <c r="O1990" s="8" t="s">
        <v>59</v>
      </c>
      <c r="P1990" s="8" t="s">
        <v>59</v>
      </c>
      <c r="R1990" s="8">
        <v>0</v>
      </c>
      <c r="S1990" s="8">
        <v>0</v>
      </c>
      <c r="T1990" s="8">
        <v>1</v>
      </c>
      <c r="U1990" s="8">
        <v>2</v>
      </c>
      <c r="X1990" s="8">
        <v>5</v>
      </c>
      <c r="AG1990" s="8" t="str">
        <f t="shared" si="125"/>
        <v/>
      </c>
      <c r="AI1990" s="8" t="str">
        <f t="shared" si="126"/>
        <v/>
      </c>
      <c r="AJ1990" s="8" t="str">
        <f t="shared" si="127"/>
        <v/>
      </c>
      <c r="AL1990" s="8" t="str">
        <f t="shared" si="128"/>
        <v/>
      </c>
    </row>
    <row r="1991" spans="1:38" x14ac:dyDescent="0.25">
      <c r="A1991" s="8" t="s">
        <v>2438</v>
      </c>
      <c r="B1991" s="8" t="s">
        <v>2439</v>
      </c>
      <c r="C1991" s="8">
        <v>30860939</v>
      </c>
      <c r="D1991" s="8">
        <v>5</v>
      </c>
      <c r="E1991" s="11">
        <v>43110</v>
      </c>
      <c r="F1991" s="8" t="s">
        <v>58</v>
      </c>
      <c r="G1991" s="11">
        <v>43110</v>
      </c>
      <c r="H1991" s="8" t="s">
        <v>25</v>
      </c>
      <c r="I1991" s="11">
        <v>43110</v>
      </c>
      <c r="J1991" s="8" t="s">
        <v>25</v>
      </c>
      <c r="N1991" s="8" t="s">
        <v>58</v>
      </c>
      <c r="O1991" s="8" t="s">
        <v>59</v>
      </c>
      <c r="P1991" s="8" t="s">
        <v>59</v>
      </c>
      <c r="R1991" s="8">
        <v>0</v>
      </c>
      <c r="S1991" s="8">
        <v>0</v>
      </c>
      <c r="T1991" s="8">
        <v>1</v>
      </c>
      <c r="U1991" s="8">
        <v>2</v>
      </c>
      <c r="X1991" s="8">
        <v>5</v>
      </c>
      <c r="AG1991" s="8" t="str">
        <f t="shared" si="125"/>
        <v/>
      </c>
      <c r="AI1991" s="8" t="str">
        <f t="shared" si="126"/>
        <v/>
      </c>
      <c r="AJ1991" s="8" t="str">
        <f t="shared" si="127"/>
        <v/>
      </c>
      <c r="AL1991" s="8" t="str">
        <f t="shared" si="128"/>
        <v/>
      </c>
    </row>
    <row r="1992" spans="1:38" x14ac:dyDescent="0.25">
      <c r="A1992" s="8" t="s">
        <v>2440</v>
      </c>
      <c r="B1992" s="8" t="s">
        <v>2441</v>
      </c>
      <c r="C1992" s="8">
        <v>30866272</v>
      </c>
      <c r="D1992" s="8">
        <v>5</v>
      </c>
      <c r="E1992" s="11">
        <v>43110</v>
      </c>
      <c r="F1992" s="8" t="s">
        <v>58</v>
      </c>
      <c r="G1992" s="11">
        <v>43110</v>
      </c>
      <c r="H1992" s="8" t="s">
        <v>25</v>
      </c>
      <c r="I1992" s="11">
        <v>43112</v>
      </c>
      <c r="J1992" s="8" t="s">
        <v>25</v>
      </c>
      <c r="N1992" s="8" t="s">
        <v>58</v>
      </c>
      <c r="O1992" s="8" t="s">
        <v>59</v>
      </c>
      <c r="P1992" s="8" t="s">
        <v>59</v>
      </c>
      <c r="R1992" s="8">
        <v>0</v>
      </c>
      <c r="S1992" s="8">
        <v>0</v>
      </c>
      <c r="T1992" s="8">
        <v>1</v>
      </c>
      <c r="U1992" s="8">
        <v>2</v>
      </c>
      <c r="X1992" s="8">
        <v>5</v>
      </c>
      <c r="AG1992" s="8" t="str">
        <f t="shared" si="125"/>
        <v/>
      </c>
      <c r="AI1992" s="8" t="str">
        <f t="shared" si="126"/>
        <v/>
      </c>
      <c r="AJ1992" s="8" t="str">
        <f t="shared" si="127"/>
        <v/>
      </c>
      <c r="AL1992" s="8" t="str">
        <f t="shared" si="128"/>
        <v/>
      </c>
    </row>
    <row r="1993" spans="1:38" x14ac:dyDescent="0.25">
      <c r="A1993" s="8" t="s">
        <v>3951</v>
      </c>
      <c r="B1993" s="8" t="s">
        <v>3952</v>
      </c>
      <c r="C1993" s="8">
        <v>30887218</v>
      </c>
      <c r="D1993" s="8">
        <v>5</v>
      </c>
      <c r="E1993" s="11">
        <v>43111</v>
      </c>
      <c r="F1993" s="8" t="s">
        <v>58</v>
      </c>
      <c r="G1993" s="11">
        <v>43111</v>
      </c>
      <c r="H1993" s="8" t="s">
        <v>25</v>
      </c>
      <c r="I1993" s="11">
        <v>43111</v>
      </c>
      <c r="J1993" s="8" t="s">
        <v>25</v>
      </c>
      <c r="N1993" s="8" t="s">
        <v>58</v>
      </c>
      <c r="O1993" s="8" t="s">
        <v>59</v>
      </c>
      <c r="P1993" s="8" t="s">
        <v>59</v>
      </c>
      <c r="R1993" s="8">
        <v>0</v>
      </c>
      <c r="S1993" s="8">
        <v>0</v>
      </c>
      <c r="T1993" s="8">
        <v>1</v>
      </c>
      <c r="U1993" s="8">
        <v>2</v>
      </c>
      <c r="X1993" s="8">
        <v>5</v>
      </c>
      <c r="AG1993" s="8" t="str">
        <f t="shared" si="125"/>
        <v/>
      </c>
      <c r="AI1993" s="8" t="str">
        <f t="shared" si="126"/>
        <v/>
      </c>
      <c r="AJ1993" s="8" t="str">
        <f t="shared" si="127"/>
        <v/>
      </c>
      <c r="AL1993" s="8" t="str">
        <f t="shared" si="128"/>
        <v/>
      </c>
    </row>
    <row r="1994" spans="1:38" x14ac:dyDescent="0.25">
      <c r="A1994" s="8" t="s">
        <v>5530</v>
      </c>
      <c r="B1994" s="8" t="s">
        <v>5531</v>
      </c>
      <c r="C1994" s="8">
        <v>30919606</v>
      </c>
      <c r="D1994" s="8">
        <v>5</v>
      </c>
      <c r="E1994" s="11">
        <v>43112</v>
      </c>
      <c r="F1994" s="8" t="s">
        <v>58</v>
      </c>
      <c r="G1994" s="11">
        <v>43112</v>
      </c>
      <c r="H1994" s="8" t="s">
        <v>25</v>
      </c>
      <c r="I1994" s="11">
        <v>43112</v>
      </c>
      <c r="J1994" s="8" t="s">
        <v>25</v>
      </c>
      <c r="N1994" s="8" t="s">
        <v>58</v>
      </c>
      <c r="O1994" s="8" t="s">
        <v>59</v>
      </c>
      <c r="P1994" s="8" t="s">
        <v>59</v>
      </c>
      <c r="R1994" s="8">
        <v>0</v>
      </c>
      <c r="S1994" s="8">
        <v>0</v>
      </c>
      <c r="T1994" s="8">
        <v>1</v>
      </c>
      <c r="U1994" s="8">
        <v>2</v>
      </c>
      <c r="X1994" s="8">
        <v>5</v>
      </c>
      <c r="AG1994" s="8" t="str">
        <f t="shared" si="125"/>
        <v/>
      </c>
      <c r="AI1994" s="8" t="str">
        <f t="shared" si="126"/>
        <v/>
      </c>
      <c r="AJ1994" s="8" t="str">
        <f t="shared" si="127"/>
        <v/>
      </c>
      <c r="AL1994" s="8" t="str">
        <f t="shared" si="128"/>
        <v/>
      </c>
    </row>
    <row r="1995" spans="1:38" x14ac:dyDescent="0.25">
      <c r="A1995" s="8" t="s">
        <v>1264</v>
      </c>
      <c r="B1995" s="8" t="s">
        <v>1265</v>
      </c>
      <c r="C1995" s="8">
        <v>30843109</v>
      </c>
      <c r="D1995" s="8">
        <v>5</v>
      </c>
      <c r="E1995" s="11">
        <v>43109</v>
      </c>
      <c r="F1995" s="8" t="s">
        <v>58</v>
      </c>
      <c r="G1995" s="11">
        <v>43109</v>
      </c>
      <c r="H1995" s="8" t="s">
        <v>25</v>
      </c>
      <c r="I1995" s="11">
        <v>43109</v>
      </c>
      <c r="J1995" s="8" t="s">
        <v>25</v>
      </c>
      <c r="N1995" s="8" t="s">
        <v>58</v>
      </c>
      <c r="O1995" s="8" t="s">
        <v>59</v>
      </c>
      <c r="P1995" s="8" t="s">
        <v>59</v>
      </c>
      <c r="R1995" s="8">
        <v>0</v>
      </c>
      <c r="S1995" s="8">
        <v>0</v>
      </c>
      <c r="T1995" s="8">
        <v>1</v>
      </c>
      <c r="U1995" s="8">
        <v>2</v>
      </c>
      <c r="X1995" s="8">
        <v>5</v>
      </c>
      <c r="AG1995" s="8" t="str">
        <f t="shared" si="125"/>
        <v/>
      </c>
      <c r="AI1995" s="8" t="str">
        <f t="shared" si="126"/>
        <v/>
      </c>
      <c r="AJ1995" s="8" t="str">
        <f t="shared" si="127"/>
        <v/>
      </c>
      <c r="AL1995" s="8" t="str">
        <f t="shared" si="128"/>
        <v/>
      </c>
    </row>
    <row r="1996" spans="1:38" x14ac:dyDescent="0.25">
      <c r="A1996" s="8" t="s">
        <v>5532</v>
      </c>
      <c r="B1996" s="8" t="s">
        <v>5533</v>
      </c>
      <c r="C1996" s="8">
        <v>30850300</v>
      </c>
      <c r="D1996" s="8">
        <v>5</v>
      </c>
      <c r="E1996" s="11">
        <v>43109</v>
      </c>
      <c r="F1996" s="8" t="s">
        <v>57</v>
      </c>
      <c r="G1996" s="11">
        <v>43114</v>
      </c>
      <c r="H1996" s="8" t="s">
        <v>145</v>
      </c>
      <c r="J1996" s="8" t="s">
        <v>25</v>
      </c>
      <c r="N1996" s="8" t="s">
        <v>58</v>
      </c>
      <c r="O1996" s="8" t="s">
        <v>59</v>
      </c>
      <c r="P1996" s="8" t="s">
        <v>59</v>
      </c>
      <c r="R1996" s="8">
        <v>0</v>
      </c>
      <c r="S1996" s="8">
        <v>0</v>
      </c>
      <c r="T1996" s="8">
        <v>1</v>
      </c>
      <c r="U1996" s="8">
        <v>2</v>
      </c>
      <c r="AG1996" s="8" t="str">
        <f t="shared" si="125"/>
        <v/>
      </c>
      <c r="AI1996" s="8" t="str">
        <f t="shared" si="126"/>
        <v/>
      </c>
      <c r="AJ1996" s="8" t="str">
        <f t="shared" si="127"/>
        <v/>
      </c>
      <c r="AL1996" s="8" t="str">
        <f t="shared" si="128"/>
        <v/>
      </c>
    </row>
    <row r="1997" spans="1:38" x14ac:dyDescent="0.25">
      <c r="A1997" s="8" t="s">
        <v>1266</v>
      </c>
      <c r="B1997" s="8" t="s">
        <v>1267</v>
      </c>
      <c r="C1997" s="8">
        <v>30850801</v>
      </c>
      <c r="D1997" s="8">
        <v>5</v>
      </c>
      <c r="E1997" s="11">
        <v>43109</v>
      </c>
      <c r="F1997" s="8" t="s">
        <v>58</v>
      </c>
      <c r="G1997" s="11">
        <v>43109</v>
      </c>
      <c r="H1997" s="8" t="s">
        <v>25</v>
      </c>
      <c r="I1997" s="11">
        <v>43109</v>
      </c>
      <c r="J1997" s="8" t="s">
        <v>25</v>
      </c>
      <c r="N1997" s="8" t="s">
        <v>58</v>
      </c>
      <c r="O1997" s="8" t="s">
        <v>59</v>
      </c>
      <c r="P1997" s="8" t="s">
        <v>59</v>
      </c>
      <c r="R1997" s="8">
        <v>0</v>
      </c>
      <c r="S1997" s="8">
        <v>0</v>
      </c>
      <c r="T1997" s="8">
        <v>1</v>
      </c>
      <c r="U1997" s="8">
        <v>2</v>
      </c>
      <c r="X1997" s="8">
        <v>5</v>
      </c>
      <c r="AG1997" s="8" t="str">
        <f t="shared" si="125"/>
        <v/>
      </c>
      <c r="AI1997" s="8" t="str">
        <f t="shared" si="126"/>
        <v/>
      </c>
      <c r="AJ1997" s="8" t="str">
        <f t="shared" si="127"/>
        <v/>
      </c>
      <c r="AL1997" s="8" t="str">
        <f t="shared" si="128"/>
        <v/>
      </c>
    </row>
    <row r="1998" spans="1:38" x14ac:dyDescent="0.25">
      <c r="A1998" s="8" t="s">
        <v>7333</v>
      </c>
      <c r="B1998" s="8" t="s">
        <v>7334</v>
      </c>
      <c r="C1998" s="8">
        <v>30921556</v>
      </c>
      <c r="D1998" s="8">
        <v>5</v>
      </c>
      <c r="E1998" s="11">
        <v>43112</v>
      </c>
      <c r="F1998" s="8" t="s">
        <v>57</v>
      </c>
      <c r="G1998" s="11">
        <v>43115</v>
      </c>
      <c r="H1998" s="8" t="s">
        <v>25</v>
      </c>
      <c r="J1998" s="8" t="s">
        <v>25</v>
      </c>
      <c r="N1998" s="8" t="s">
        <v>58</v>
      </c>
      <c r="O1998" s="8" t="s">
        <v>59</v>
      </c>
      <c r="P1998" s="8" t="s">
        <v>59</v>
      </c>
      <c r="R1998" s="8">
        <v>0</v>
      </c>
      <c r="S1998" s="8">
        <v>0</v>
      </c>
      <c r="T1998" s="8">
        <v>1</v>
      </c>
      <c r="U1998" s="8">
        <v>2</v>
      </c>
      <c r="AG1998" s="8" t="str">
        <f t="shared" si="125"/>
        <v/>
      </c>
      <c r="AI1998" s="8" t="str">
        <f t="shared" si="126"/>
        <v/>
      </c>
      <c r="AJ1998" s="8" t="str">
        <f t="shared" si="127"/>
        <v/>
      </c>
      <c r="AL1998" s="8" t="str">
        <f t="shared" si="128"/>
        <v/>
      </c>
    </row>
    <row r="1999" spans="1:38" x14ac:dyDescent="0.25">
      <c r="A1999" s="8" t="s">
        <v>3953</v>
      </c>
      <c r="B1999" s="8" t="s">
        <v>3954</v>
      </c>
      <c r="C1999" s="8">
        <v>30892233</v>
      </c>
      <c r="D1999" s="8">
        <v>5</v>
      </c>
      <c r="E1999" s="11">
        <v>43111</v>
      </c>
      <c r="F1999" s="8" t="s">
        <v>58</v>
      </c>
      <c r="G1999" s="11">
        <v>43111</v>
      </c>
      <c r="H1999" s="8" t="s">
        <v>25</v>
      </c>
      <c r="I1999" s="11">
        <v>43112</v>
      </c>
      <c r="J1999" s="8" t="s">
        <v>25</v>
      </c>
      <c r="N1999" s="8" t="s">
        <v>58</v>
      </c>
      <c r="O1999" s="8" t="s">
        <v>59</v>
      </c>
      <c r="P1999" s="8" t="s">
        <v>59</v>
      </c>
      <c r="R1999" s="8">
        <v>0</v>
      </c>
      <c r="S1999" s="8">
        <v>0</v>
      </c>
      <c r="T1999" s="8">
        <v>1</v>
      </c>
      <c r="U1999" s="8">
        <v>2</v>
      </c>
      <c r="X1999" s="8">
        <v>5</v>
      </c>
      <c r="AG1999" s="8" t="str">
        <f t="shared" si="125"/>
        <v/>
      </c>
      <c r="AI1999" s="8" t="str">
        <f t="shared" si="126"/>
        <v/>
      </c>
      <c r="AJ1999" s="8" t="str">
        <f t="shared" si="127"/>
        <v/>
      </c>
      <c r="AL1999" s="8" t="str">
        <f t="shared" si="128"/>
        <v/>
      </c>
    </row>
    <row r="2000" spans="1:38" x14ac:dyDescent="0.25">
      <c r="A2000" s="8" t="s">
        <v>5534</v>
      </c>
      <c r="B2000" s="8" t="s">
        <v>5535</v>
      </c>
      <c r="C2000" s="8">
        <v>30914421</v>
      </c>
      <c r="D2000" s="8">
        <v>5</v>
      </c>
      <c r="E2000" s="11">
        <v>43112</v>
      </c>
      <c r="F2000" s="8" t="s">
        <v>58</v>
      </c>
      <c r="G2000" s="11">
        <v>43112</v>
      </c>
      <c r="H2000" s="8" t="s">
        <v>25</v>
      </c>
      <c r="I2000" s="11">
        <v>43112</v>
      </c>
      <c r="J2000" s="8" t="s">
        <v>25</v>
      </c>
      <c r="N2000" s="8" t="s">
        <v>58</v>
      </c>
      <c r="O2000" s="8" t="s">
        <v>59</v>
      </c>
      <c r="P2000" s="8" t="s">
        <v>59</v>
      </c>
      <c r="R2000" s="8">
        <v>0</v>
      </c>
      <c r="S2000" s="8">
        <v>0</v>
      </c>
      <c r="T2000" s="8">
        <v>1</v>
      </c>
      <c r="U2000" s="8">
        <v>2</v>
      </c>
      <c r="X2000" s="8">
        <v>5</v>
      </c>
      <c r="AG2000" s="8" t="str">
        <f t="shared" si="125"/>
        <v/>
      </c>
      <c r="AI2000" s="8" t="str">
        <f t="shared" si="126"/>
        <v/>
      </c>
      <c r="AJ2000" s="8" t="str">
        <f t="shared" si="127"/>
        <v/>
      </c>
      <c r="AL2000" s="8" t="str">
        <f t="shared" si="128"/>
        <v/>
      </c>
    </row>
    <row r="2001" spans="1:38" x14ac:dyDescent="0.25">
      <c r="A2001" s="8" t="s">
        <v>2442</v>
      </c>
      <c r="B2001" s="8" t="s">
        <v>2443</v>
      </c>
      <c r="C2001" s="8">
        <v>30862421</v>
      </c>
      <c r="D2001" s="8">
        <v>5</v>
      </c>
      <c r="E2001" s="11">
        <v>43110</v>
      </c>
      <c r="F2001" s="8" t="s">
        <v>58</v>
      </c>
      <c r="G2001" s="11">
        <v>43110</v>
      </c>
      <c r="H2001" s="8" t="s">
        <v>25</v>
      </c>
      <c r="I2001" s="11">
        <v>43110</v>
      </c>
      <c r="J2001" s="8" t="s">
        <v>25</v>
      </c>
      <c r="N2001" s="8" t="s">
        <v>58</v>
      </c>
      <c r="O2001" s="8" t="s">
        <v>59</v>
      </c>
      <c r="P2001" s="8" t="s">
        <v>59</v>
      </c>
      <c r="R2001" s="8">
        <v>0</v>
      </c>
      <c r="S2001" s="8">
        <v>0</v>
      </c>
      <c r="T2001" s="8">
        <v>1</v>
      </c>
      <c r="U2001" s="8">
        <v>2</v>
      </c>
      <c r="X2001" s="8">
        <v>5</v>
      </c>
      <c r="AG2001" s="8" t="str">
        <f t="shared" si="125"/>
        <v/>
      </c>
      <c r="AI2001" s="8" t="str">
        <f t="shared" si="126"/>
        <v/>
      </c>
      <c r="AJ2001" s="8" t="str">
        <f t="shared" si="127"/>
        <v/>
      </c>
      <c r="AL2001" s="8" t="str">
        <f t="shared" si="128"/>
        <v/>
      </c>
    </row>
    <row r="2002" spans="1:38" x14ac:dyDescent="0.25">
      <c r="A2002" s="8" t="s">
        <v>5536</v>
      </c>
      <c r="B2002" s="8" t="s">
        <v>5537</v>
      </c>
      <c r="C2002" s="8">
        <v>30905073</v>
      </c>
      <c r="D2002" s="8">
        <v>5</v>
      </c>
      <c r="E2002" s="11">
        <v>43112</v>
      </c>
      <c r="F2002" s="8" t="s">
        <v>57</v>
      </c>
      <c r="G2002" s="11">
        <v>43112</v>
      </c>
      <c r="H2002" s="8" t="s">
        <v>25</v>
      </c>
      <c r="J2002" s="8" t="s">
        <v>25</v>
      </c>
      <c r="N2002" s="8" t="s">
        <v>58</v>
      </c>
      <c r="O2002" s="8" t="s">
        <v>59</v>
      </c>
      <c r="P2002" s="8" t="s">
        <v>59</v>
      </c>
      <c r="R2002" s="8">
        <v>0</v>
      </c>
      <c r="S2002" s="8">
        <v>0</v>
      </c>
      <c r="T2002" s="8">
        <v>1</v>
      </c>
      <c r="U2002" s="8">
        <v>2</v>
      </c>
      <c r="AG2002" s="8" t="str">
        <f t="shared" si="125"/>
        <v/>
      </c>
      <c r="AI2002" s="8" t="str">
        <f t="shared" si="126"/>
        <v/>
      </c>
      <c r="AJ2002" s="8" t="str">
        <f t="shared" si="127"/>
        <v/>
      </c>
      <c r="AL2002" s="8" t="str">
        <f t="shared" si="128"/>
        <v/>
      </c>
    </row>
    <row r="2003" spans="1:38" x14ac:dyDescent="0.25">
      <c r="A2003" s="8" t="s">
        <v>2444</v>
      </c>
      <c r="B2003" s="8" t="s">
        <v>2445</v>
      </c>
      <c r="C2003" s="8">
        <v>30868564</v>
      </c>
      <c r="D2003" s="8">
        <v>5</v>
      </c>
      <c r="E2003" s="11">
        <v>43110</v>
      </c>
      <c r="F2003" s="8" t="s">
        <v>58</v>
      </c>
      <c r="G2003" s="11">
        <v>43110</v>
      </c>
      <c r="H2003" s="8" t="s">
        <v>25</v>
      </c>
      <c r="I2003" s="11">
        <v>43110</v>
      </c>
      <c r="J2003" s="8" t="s">
        <v>25</v>
      </c>
      <c r="N2003" s="8" t="s">
        <v>58</v>
      </c>
      <c r="O2003" s="8" t="s">
        <v>59</v>
      </c>
      <c r="P2003" s="8" t="s">
        <v>59</v>
      </c>
      <c r="R2003" s="8">
        <v>0</v>
      </c>
      <c r="S2003" s="8">
        <v>0</v>
      </c>
      <c r="T2003" s="8">
        <v>1</v>
      </c>
      <c r="U2003" s="8">
        <v>2</v>
      </c>
      <c r="X2003" s="8">
        <v>5</v>
      </c>
      <c r="AG2003" s="8" t="str">
        <f t="shared" si="125"/>
        <v/>
      </c>
      <c r="AI2003" s="8" t="str">
        <f t="shared" si="126"/>
        <v/>
      </c>
      <c r="AJ2003" s="8" t="str">
        <f t="shared" si="127"/>
        <v/>
      </c>
      <c r="AL2003" s="8" t="str">
        <f t="shared" si="128"/>
        <v/>
      </c>
    </row>
    <row r="2004" spans="1:38" x14ac:dyDescent="0.25">
      <c r="A2004" s="8" t="s">
        <v>7335</v>
      </c>
      <c r="B2004" s="8" t="s">
        <v>7336</v>
      </c>
      <c r="C2004" s="8">
        <v>30937829</v>
      </c>
      <c r="D2004" s="8">
        <v>5</v>
      </c>
      <c r="E2004" s="11">
        <v>43115</v>
      </c>
      <c r="F2004" s="8" t="s">
        <v>58</v>
      </c>
      <c r="G2004" s="11">
        <v>43115</v>
      </c>
      <c r="H2004" s="8" t="s">
        <v>25</v>
      </c>
      <c r="I2004" s="11">
        <v>43115</v>
      </c>
      <c r="J2004" s="8" t="s">
        <v>25</v>
      </c>
      <c r="N2004" s="8" t="s">
        <v>58</v>
      </c>
      <c r="O2004" s="8" t="s">
        <v>59</v>
      </c>
      <c r="P2004" s="8" t="s">
        <v>59</v>
      </c>
      <c r="R2004" s="8">
        <v>0</v>
      </c>
      <c r="S2004" s="8">
        <v>0</v>
      </c>
      <c r="T2004" s="8">
        <v>1</v>
      </c>
      <c r="U2004" s="8">
        <v>2</v>
      </c>
      <c r="X2004" s="8">
        <v>5</v>
      </c>
      <c r="AG2004" s="8" t="str">
        <f t="shared" si="125"/>
        <v/>
      </c>
      <c r="AI2004" s="8" t="str">
        <f t="shared" si="126"/>
        <v/>
      </c>
      <c r="AJ2004" s="8" t="str">
        <f t="shared" si="127"/>
        <v/>
      </c>
      <c r="AL2004" s="8" t="str">
        <f t="shared" si="128"/>
        <v/>
      </c>
    </row>
    <row r="2005" spans="1:38" x14ac:dyDescent="0.25">
      <c r="A2005" s="8" t="s">
        <v>2446</v>
      </c>
      <c r="B2005" s="8" t="s">
        <v>2447</v>
      </c>
      <c r="C2005" s="8">
        <v>30858460</v>
      </c>
      <c r="D2005" s="8">
        <v>5</v>
      </c>
      <c r="E2005" s="11">
        <v>43110</v>
      </c>
      <c r="F2005" s="8" t="s">
        <v>57</v>
      </c>
      <c r="G2005" s="11">
        <v>43110</v>
      </c>
      <c r="H2005" s="8" t="s">
        <v>25</v>
      </c>
      <c r="J2005" s="8" t="s">
        <v>25</v>
      </c>
      <c r="N2005" s="8" t="s">
        <v>58</v>
      </c>
      <c r="O2005" s="8" t="s">
        <v>59</v>
      </c>
      <c r="P2005" s="8" t="s">
        <v>59</v>
      </c>
      <c r="R2005" s="8">
        <v>0</v>
      </c>
      <c r="S2005" s="8">
        <v>0</v>
      </c>
      <c r="T2005" s="8">
        <v>1</v>
      </c>
      <c r="U2005" s="8">
        <v>2</v>
      </c>
      <c r="AG2005" s="8" t="str">
        <f t="shared" si="125"/>
        <v/>
      </c>
      <c r="AI2005" s="8" t="str">
        <f t="shared" si="126"/>
        <v/>
      </c>
      <c r="AJ2005" s="8" t="str">
        <f t="shared" si="127"/>
        <v/>
      </c>
      <c r="AL2005" s="8" t="str">
        <f t="shared" si="128"/>
        <v/>
      </c>
    </row>
    <row r="2006" spans="1:38" x14ac:dyDescent="0.25">
      <c r="A2006" s="8" t="s">
        <v>7337</v>
      </c>
      <c r="B2006" s="8" t="s">
        <v>7338</v>
      </c>
      <c r="C2006" s="8">
        <v>30932728</v>
      </c>
      <c r="D2006" s="8">
        <v>5</v>
      </c>
      <c r="E2006" s="11">
        <v>43115</v>
      </c>
      <c r="F2006" s="8" t="s">
        <v>57</v>
      </c>
      <c r="G2006" s="11">
        <v>43115</v>
      </c>
      <c r="H2006" s="8" t="s">
        <v>25</v>
      </c>
      <c r="J2006" s="8" t="s">
        <v>25</v>
      </c>
      <c r="N2006" s="8" t="s">
        <v>58</v>
      </c>
      <c r="O2006" s="8" t="s">
        <v>59</v>
      </c>
      <c r="P2006" s="8" t="s">
        <v>59</v>
      </c>
      <c r="R2006" s="8">
        <v>0</v>
      </c>
      <c r="S2006" s="8">
        <v>0</v>
      </c>
      <c r="T2006" s="8">
        <v>1</v>
      </c>
      <c r="U2006" s="8">
        <v>2</v>
      </c>
      <c r="AG2006" s="8" t="str">
        <f t="shared" si="125"/>
        <v/>
      </c>
      <c r="AI2006" s="8" t="str">
        <f t="shared" si="126"/>
        <v/>
      </c>
      <c r="AJ2006" s="8" t="str">
        <f t="shared" si="127"/>
        <v/>
      </c>
      <c r="AL2006" s="8" t="str">
        <f t="shared" si="128"/>
        <v/>
      </c>
    </row>
    <row r="2007" spans="1:38" x14ac:dyDescent="0.25">
      <c r="A2007" s="8" t="s">
        <v>5538</v>
      </c>
      <c r="B2007" s="8" t="s">
        <v>5539</v>
      </c>
      <c r="C2007" s="8">
        <v>30922910</v>
      </c>
      <c r="D2007" s="8">
        <v>5</v>
      </c>
      <c r="E2007" s="11">
        <v>43112</v>
      </c>
      <c r="F2007" s="8" t="s">
        <v>58</v>
      </c>
      <c r="G2007" s="11">
        <v>43112</v>
      </c>
      <c r="H2007" s="8" t="s">
        <v>25</v>
      </c>
      <c r="I2007" s="11">
        <v>43112</v>
      </c>
      <c r="J2007" s="8" t="s">
        <v>25</v>
      </c>
      <c r="N2007" s="8" t="s">
        <v>58</v>
      </c>
      <c r="O2007" s="8" t="s">
        <v>59</v>
      </c>
      <c r="P2007" s="8" t="s">
        <v>59</v>
      </c>
      <c r="R2007" s="8">
        <v>0</v>
      </c>
      <c r="S2007" s="8">
        <v>0</v>
      </c>
      <c r="T2007" s="8">
        <v>1</v>
      </c>
      <c r="U2007" s="8">
        <v>2</v>
      </c>
      <c r="X2007" s="8">
        <v>5</v>
      </c>
      <c r="AG2007" s="8" t="str">
        <f t="shared" si="125"/>
        <v/>
      </c>
      <c r="AI2007" s="8" t="str">
        <f t="shared" si="126"/>
        <v/>
      </c>
      <c r="AJ2007" s="8" t="str">
        <f t="shared" si="127"/>
        <v/>
      </c>
      <c r="AL2007" s="8" t="str">
        <f t="shared" si="128"/>
        <v/>
      </c>
    </row>
    <row r="2008" spans="1:38" x14ac:dyDescent="0.25">
      <c r="A2008" s="8" t="s">
        <v>5540</v>
      </c>
      <c r="B2008" s="8" t="s">
        <v>5541</v>
      </c>
      <c r="C2008" s="8">
        <v>30923124</v>
      </c>
      <c r="D2008" s="8">
        <v>5</v>
      </c>
      <c r="E2008" s="11">
        <v>43112</v>
      </c>
      <c r="F2008" s="8" t="s">
        <v>58</v>
      </c>
      <c r="G2008" s="11">
        <v>43112</v>
      </c>
      <c r="H2008" s="8" t="s">
        <v>25</v>
      </c>
      <c r="I2008" s="11">
        <v>43112</v>
      </c>
      <c r="J2008" s="8" t="s">
        <v>25</v>
      </c>
      <c r="N2008" s="8" t="s">
        <v>58</v>
      </c>
      <c r="O2008" s="8" t="s">
        <v>59</v>
      </c>
      <c r="P2008" s="8" t="s">
        <v>59</v>
      </c>
      <c r="R2008" s="8">
        <v>0</v>
      </c>
      <c r="S2008" s="8">
        <v>0</v>
      </c>
      <c r="T2008" s="8">
        <v>1</v>
      </c>
      <c r="U2008" s="8">
        <v>2</v>
      </c>
      <c r="X2008" s="8">
        <v>5</v>
      </c>
      <c r="AG2008" s="8" t="str">
        <f t="shared" si="125"/>
        <v/>
      </c>
      <c r="AI2008" s="8" t="str">
        <f t="shared" si="126"/>
        <v/>
      </c>
      <c r="AJ2008" s="8" t="str">
        <f t="shared" si="127"/>
        <v/>
      </c>
      <c r="AL2008" s="8" t="str">
        <f t="shared" si="128"/>
        <v/>
      </c>
    </row>
    <row r="2009" spans="1:38" x14ac:dyDescent="0.25">
      <c r="A2009" s="8" t="s">
        <v>5542</v>
      </c>
      <c r="B2009" s="8" t="s">
        <v>5543</v>
      </c>
      <c r="C2009" s="8">
        <v>30915217</v>
      </c>
      <c r="D2009" s="8">
        <v>5</v>
      </c>
      <c r="E2009" s="11">
        <v>43112</v>
      </c>
      <c r="F2009" s="8" t="s">
        <v>57</v>
      </c>
      <c r="G2009" s="11">
        <v>43114</v>
      </c>
      <c r="H2009" s="8" t="s">
        <v>25</v>
      </c>
      <c r="J2009" s="8" t="s">
        <v>25</v>
      </c>
      <c r="N2009" s="8" t="s">
        <v>58</v>
      </c>
      <c r="O2009" s="8" t="s">
        <v>59</v>
      </c>
      <c r="P2009" s="8" t="s">
        <v>59</v>
      </c>
      <c r="R2009" s="8">
        <v>0</v>
      </c>
      <c r="S2009" s="8">
        <v>0</v>
      </c>
      <c r="T2009" s="8">
        <v>1</v>
      </c>
      <c r="U2009" s="8">
        <v>2</v>
      </c>
      <c r="AG2009" s="8" t="str">
        <f t="shared" si="125"/>
        <v/>
      </c>
      <c r="AI2009" s="8" t="str">
        <f t="shared" si="126"/>
        <v/>
      </c>
      <c r="AJ2009" s="8" t="str">
        <f t="shared" si="127"/>
        <v/>
      </c>
      <c r="AL2009" s="8" t="str">
        <f t="shared" si="128"/>
        <v/>
      </c>
    </row>
    <row r="2010" spans="1:38" x14ac:dyDescent="0.25">
      <c r="A2010" s="8" t="s">
        <v>5544</v>
      </c>
      <c r="B2010" s="8" t="s">
        <v>5545</v>
      </c>
      <c r="C2010" s="8">
        <v>30920024</v>
      </c>
      <c r="D2010" s="8">
        <v>5</v>
      </c>
      <c r="E2010" s="11">
        <v>43112</v>
      </c>
      <c r="F2010" s="8" t="s">
        <v>57</v>
      </c>
      <c r="G2010" s="11">
        <v>43112</v>
      </c>
      <c r="H2010" s="8" t="s">
        <v>25</v>
      </c>
      <c r="J2010" s="8" t="s">
        <v>25</v>
      </c>
      <c r="N2010" s="8" t="s">
        <v>58</v>
      </c>
      <c r="O2010" s="8" t="s">
        <v>59</v>
      </c>
      <c r="P2010" s="8" t="s">
        <v>59</v>
      </c>
      <c r="R2010" s="8">
        <v>0</v>
      </c>
      <c r="S2010" s="8">
        <v>0</v>
      </c>
      <c r="T2010" s="8">
        <v>1</v>
      </c>
      <c r="U2010" s="8">
        <v>2</v>
      </c>
      <c r="AG2010" s="8" t="str">
        <f t="shared" si="125"/>
        <v/>
      </c>
      <c r="AI2010" s="8" t="str">
        <f t="shared" si="126"/>
        <v/>
      </c>
      <c r="AJ2010" s="8" t="str">
        <f t="shared" si="127"/>
        <v/>
      </c>
      <c r="AL2010" s="8" t="str">
        <f t="shared" si="128"/>
        <v/>
      </c>
    </row>
    <row r="2011" spans="1:38" x14ac:dyDescent="0.25">
      <c r="A2011" s="8" t="s">
        <v>7339</v>
      </c>
      <c r="B2011" s="8" t="s">
        <v>7340</v>
      </c>
      <c r="C2011" s="8">
        <v>30945934</v>
      </c>
      <c r="D2011" s="8">
        <v>5</v>
      </c>
      <c r="E2011" s="11">
        <v>43115</v>
      </c>
      <c r="F2011" s="8" t="s">
        <v>57</v>
      </c>
      <c r="G2011" s="11">
        <v>43115</v>
      </c>
      <c r="H2011" s="8" t="s">
        <v>25</v>
      </c>
      <c r="J2011" s="8" t="s">
        <v>25</v>
      </c>
      <c r="N2011" s="8" t="s">
        <v>58</v>
      </c>
      <c r="O2011" s="8" t="s">
        <v>59</v>
      </c>
      <c r="P2011" s="8" t="s">
        <v>59</v>
      </c>
      <c r="R2011" s="8">
        <v>0</v>
      </c>
      <c r="S2011" s="8">
        <v>0</v>
      </c>
      <c r="T2011" s="8">
        <v>1</v>
      </c>
      <c r="U2011" s="8">
        <v>2</v>
      </c>
      <c r="AG2011" s="8" t="str">
        <f t="shared" si="125"/>
        <v/>
      </c>
      <c r="AI2011" s="8" t="str">
        <f t="shared" si="126"/>
        <v/>
      </c>
      <c r="AJ2011" s="8" t="str">
        <f t="shared" si="127"/>
        <v/>
      </c>
      <c r="AL2011" s="8" t="str">
        <f t="shared" si="128"/>
        <v/>
      </c>
    </row>
    <row r="2012" spans="1:38" x14ac:dyDescent="0.25">
      <c r="A2012" s="8" t="s">
        <v>2448</v>
      </c>
      <c r="B2012" s="8" t="s">
        <v>2449</v>
      </c>
      <c r="C2012" s="8">
        <v>30873953</v>
      </c>
      <c r="D2012" s="8">
        <v>5</v>
      </c>
      <c r="E2012" s="11">
        <v>43110</v>
      </c>
      <c r="F2012" s="8" t="s">
        <v>58</v>
      </c>
      <c r="G2012" s="11">
        <v>43110</v>
      </c>
      <c r="H2012" s="8" t="s">
        <v>25</v>
      </c>
      <c r="I2012" s="11">
        <v>43110</v>
      </c>
      <c r="J2012" s="8" t="s">
        <v>25</v>
      </c>
      <c r="N2012" s="8" t="s">
        <v>58</v>
      </c>
      <c r="O2012" s="8" t="s">
        <v>59</v>
      </c>
      <c r="P2012" s="8" t="s">
        <v>59</v>
      </c>
      <c r="R2012" s="8">
        <v>0</v>
      </c>
      <c r="S2012" s="8">
        <v>0</v>
      </c>
      <c r="T2012" s="8">
        <v>1</v>
      </c>
      <c r="U2012" s="8">
        <v>2</v>
      </c>
      <c r="X2012" s="8">
        <v>5</v>
      </c>
      <c r="AG2012" s="8" t="str">
        <f t="shared" si="125"/>
        <v/>
      </c>
      <c r="AI2012" s="8" t="str">
        <f t="shared" si="126"/>
        <v/>
      </c>
      <c r="AJ2012" s="8" t="str">
        <f t="shared" si="127"/>
        <v/>
      </c>
      <c r="AL2012" s="8" t="str">
        <f t="shared" si="128"/>
        <v/>
      </c>
    </row>
    <row r="2013" spans="1:38" x14ac:dyDescent="0.25">
      <c r="A2013" s="8" t="s">
        <v>3955</v>
      </c>
      <c r="B2013" s="8" t="s">
        <v>3956</v>
      </c>
      <c r="C2013" s="8">
        <v>30893666</v>
      </c>
      <c r="D2013" s="8">
        <v>5</v>
      </c>
      <c r="E2013" s="11">
        <v>43111</v>
      </c>
      <c r="F2013" s="8" t="s">
        <v>57</v>
      </c>
      <c r="G2013" s="11">
        <v>43111</v>
      </c>
      <c r="H2013" s="8" t="s">
        <v>25</v>
      </c>
      <c r="J2013" s="8" t="s">
        <v>25</v>
      </c>
      <c r="N2013" s="8" t="s">
        <v>58</v>
      </c>
      <c r="O2013" s="8" t="s">
        <v>59</v>
      </c>
      <c r="P2013" s="8" t="s">
        <v>59</v>
      </c>
      <c r="R2013" s="8">
        <v>0</v>
      </c>
      <c r="S2013" s="8">
        <v>0</v>
      </c>
      <c r="T2013" s="8">
        <v>1</v>
      </c>
      <c r="U2013" s="8">
        <v>2</v>
      </c>
      <c r="AG2013" s="8" t="str">
        <f t="shared" si="125"/>
        <v/>
      </c>
      <c r="AI2013" s="8" t="str">
        <f t="shared" si="126"/>
        <v/>
      </c>
      <c r="AJ2013" s="8" t="str">
        <f t="shared" si="127"/>
        <v/>
      </c>
      <c r="AL2013" s="8" t="str">
        <f t="shared" si="128"/>
        <v/>
      </c>
    </row>
    <row r="2014" spans="1:38" x14ac:dyDescent="0.25">
      <c r="A2014" s="8" t="s">
        <v>5546</v>
      </c>
      <c r="B2014" s="8" t="s">
        <v>5547</v>
      </c>
      <c r="C2014" s="8">
        <v>30920127</v>
      </c>
      <c r="D2014" s="8">
        <v>5</v>
      </c>
      <c r="E2014" s="11">
        <v>43112</v>
      </c>
      <c r="F2014" s="8" t="s">
        <v>58</v>
      </c>
      <c r="G2014" s="11">
        <v>43112</v>
      </c>
      <c r="H2014" s="8" t="s">
        <v>25</v>
      </c>
      <c r="I2014" s="11">
        <v>43112</v>
      </c>
      <c r="J2014" s="8" t="s">
        <v>25</v>
      </c>
      <c r="N2014" s="8" t="s">
        <v>58</v>
      </c>
      <c r="O2014" s="8" t="s">
        <v>59</v>
      </c>
      <c r="P2014" s="8" t="s">
        <v>59</v>
      </c>
      <c r="R2014" s="8">
        <v>0</v>
      </c>
      <c r="S2014" s="8">
        <v>0</v>
      </c>
      <c r="T2014" s="8">
        <v>1</v>
      </c>
      <c r="U2014" s="8">
        <v>2</v>
      </c>
      <c r="X2014" s="8">
        <v>5</v>
      </c>
      <c r="AG2014" s="8" t="str">
        <f t="shared" si="125"/>
        <v/>
      </c>
      <c r="AI2014" s="8" t="str">
        <f t="shared" si="126"/>
        <v/>
      </c>
      <c r="AJ2014" s="8" t="str">
        <f t="shared" si="127"/>
        <v/>
      </c>
      <c r="AL2014" s="8" t="str">
        <f t="shared" si="128"/>
        <v/>
      </c>
    </row>
    <row r="2015" spans="1:38" x14ac:dyDescent="0.25">
      <c r="A2015" s="8" t="s">
        <v>7341</v>
      </c>
      <c r="B2015" s="8" t="s">
        <v>7342</v>
      </c>
      <c r="C2015" s="8">
        <v>30919691</v>
      </c>
      <c r="D2015" s="8">
        <v>5</v>
      </c>
      <c r="E2015" s="11">
        <v>43112</v>
      </c>
      <c r="F2015" s="8" t="s">
        <v>58</v>
      </c>
      <c r="G2015" s="11">
        <v>43115</v>
      </c>
      <c r="H2015" s="8" t="s">
        <v>25</v>
      </c>
      <c r="I2015" s="11">
        <v>43115</v>
      </c>
      <c r="J2015" s="8" t="s">
        <v>25</v>
      </c>
      <c r="N2015" s="8" t="s">
        <v>58</v>
      </c>
      <c r="O2015" s="8" t="s">
        <v>59</v>
      </c>
      <c r="P2015" s="8" t="s">
        <v>59</v>
      </c>
      <c r="R2015" s="8">
        <v>0</v>
      </c>
      <c r="S2015" s="8">
        <v>0</v>
      </c>
      <c r="T2015" s="8">
        <v>1</v>
      </c>
      <c r="U2015" s="8">
        <v>2</v>
      </c>
      <c r="X2015" s="8">
        <v>5</v>
      </c>
      <c r="AG2015" s="8" t="str">
        <f t="shared" si="125"/>
        <v/>
      </c>
      <c r="AI2015" s="8" t="str">
        <f t="shared" si="126"/>
        <v/>
      </c>
      <c r="AJ2015" s="8" t="str">
        <f t="shared" si="127"/>
        <v/>
      </c>
      <c r="AL2015" s="8" t="str">
        <f t="shared" si="128"/>
        <v/>
      </c>
    </row>
    <row r="2016" spans="1:38" x14ac:dyDescent="0.25">
      <c r="A2016" s="8" t="s">
        <v>2450</v>
      </c>
      <c r="B2016" s="8" t="s">
        <v>2451</v>
      </c>
      <c r="C2016" s="8">
        <v>30863548</v>
      </c>
      <c r="D2016" s="8">
        <v>5</v>
      </c>
      <c r="E2016" s="11">
        <v>43110</v>
      </c>
      <c r="F2016" s="8" t="s">
        <v>58</v>
      </c>
      <c r="G2016" s="11">
        <v>43110</v>
      </c>
      <c r="H2016" s="8" t="s">
        <v>25</v>
      </c>
      <c r="I2016" s="11">
        <v>43110</v>
      </c>
      <c r="J2016" s="8" t="s">
        <v>25</v>
      </c>
      <c r="N2016" s="8" t="s">
        <v>58</v>
      </c>
      <c r="O2016" s="8" t="s">
        <v>59</v>
      </c>
      <c r="P2016" s="8" t="s">
        <v>59</v>
      </c>
      <c r="R2016" s="8">
        <v>0</v>
      </c>
      <c r="S2016" s="8">
        <v>0</v>
      </c>
      <c r="T2016" s="8">
        <v>1</v>
      </c>
      <c r="U2016" s="8">
        <v>2</v>
      </c>
      <c r="X2016" s="8">
        <v>5</v>
      </c>
      <c r="AG2016" s="8" t="str">
        <f t="shared" si="125"/>
        <v/>
      </c>
      <c r="AI2016" s="8" t="str">
        <f t="shared" si="126"/>
        <v/>
      </c>
      <c r="AJ2016" s="8" t="str">
        <f t="shared" si="127"/>
        <v/>
      </c>
      <c r="AL2016" s="8" t="str">
        <f t="shared" si="128"/>
        <v/>
      </c>
    </row>
    <row r="2017" spans="1:38" x14ac:dyDescent="0.25">
      <c r="A2017" s="8" t="s">
        <v>1268</v>
      </c>
      <c r="B2017" s="8" t="s">
        <v>1269</v>
      </c>
      <c r="C2017" s="8">
        <v>30836469</v>
      </c>
      <c r="D2017" s="8">
        <v>5</v>
      </c>
      <c r="E2017" s="11">
        <v>43109</v>
      </c>
      <c r="F2017" s="8" t="s">
        <v>58</v>
      </c>
      <c r="G2017" s="11">
        <v>43109</v>
      </c>
      <c r="H2017" s="8" t="s">
        <v>25</v>
      </c>
      <c r="I2017" s="11">
        <v>43111</v>
      </c>
      <c r="J2017" s="8" t="s">
        <v>25</v>
      </c>
      <c r="N2017" s="8" t="s">
        <v>58</v>
      </c>
      <c r="O2017" s="8" t="s">
        <v>59</v>
      </c>
      <c r="P2017" s="8" t="s">
        <v>59</v>
      </c>
      <c r="R2017" s="8">
        <v>0</v>
      </c>
      <c r="S2017" s="8">
        <v>0</v>
      </c>
      <c r="T2017" s="8">
        <v>1</v>
      </c>
      <c r="U2017" s="8">
        <v>2</v>
      </c>
      <c r="X2017" s="8">
        <v>5</v>
      </c>
      <c r="AG2017" s="8" t="str">
        <f t="shared" si="125"/>
        <v/>
      </c>
      <c r="AI2017" s="8" t="str">
        <f t="shared" si="126"/>
        <v/>
      </c>
      <c r="AJ2017" s="8" t="str">
        <f t="shared" si="127"/>
        <v/>
      </c>
      <c r="AL2017" s="8" t="str">
        <f t="shared" si="128"/>
        <v/>
      </c>
    </row>
    <row r="2018" spans="1:38" x14ac:dyDescent="0.25">
      <c r="A2018" s="8" t="s">
        <v>475</v>
      </c>
      <c r="B2018" s="8" t="s">
        <v>476</v>
      </c>
      <c r="C2018" s="8">
        <v>30826413</v>
      </c>
      <c r="D2018" s="8">
        <v>5</v>
      </c>
      <c r="E2018" s="11">
        <v>43108</v>
      </c>
      <c r="F2018" s="8" t="s">
        <v>58</v>
      </c>
      <c r="G2018" s="11">
        <v>43108</v>
      </c>
      <c r="H2018" s="8" t="s">
        <v>25</v>
      </c>
      <c r="I2018" s="11">
        <v>43108</v>
      </c>
      <c r="J2018" s="8" t="s">
        <v>25</v>
      </c>
      <c r="N2018" s="8" t="s">
        <v>58</v>
      </c>
      <c r="O2018" s="8" t="s">
        <v>59</v>
      </c>
      <c r="P2018" s="8" t="s">
        <v>59</v>
      </c>
      <c r="R2018" s="8">
        <v>0</v>
      </c>
      <c r="S2018" s="8">
        <v>0</v>
      </c>
      <c r="T2018" s="8">
        <v>1</v>
      </c>
      <c r="U2018" s="8">
        <v>2</v>
      </c>
      <c r="X2018" s="8">
        <v>5</v>
      </c>
      <c r="AG2018" s="8" t="str">
        <f t="shared" si="125"/>
        <v/>
      </c>
      <c r="AI2018" s="8" t="str">
        <f t="shared" si="126"/>
        <v/>
      </c>
      <c r="AJ2018" s="8" t="str">
        <f t="shared" si="127"/>
        <v/>
      </c>
      <c r="AL2018" s="8" t="str">
        <f t="shared" si="128"/>
        <v/>
      </c>
    </row>
    <row r="2019" spans="1:38" x14ac:dyDescent="0.25">
      <c r="A2019" s="8" t="s">
        <v>2452</v>
      </c>
      <c r="B2019" s="8" t="s">
        <v>2453</v>
      </c>
      <c r="C2019" s="8">
        <v>30873643</v>
      </c>
      <c r="D2019" s="8">
        <v>5</v>
      </c>
      <c r="E2019" s="11">
        <v>43110</v>
      </c>
      <c r="F2019" s="8" t="s">
        <v>58</v>
      </c>
      <c r="G2019" s="11">
        <v>43110</v>
      </c>
      <c r="H2019" s="8" t="s">
        <v>25</v>
      </c>
      <c r="I2019" s="11">
        <v>43110</v>
      </c>
      <c r="J2019" s="8" t="s">
        <v>25</v>
      </c>
      <c r="N2019" s="8" t="s">
        <v>58</v>
      </c>
      <c r="O2019" s="8" t="s">
        <v>59</v>
      </c>
      <c r="P2019" s="8" t="s">
        <v>59</v>
      </c>
      <c r="R2019" s="8">
        <v>0</v>
      </c>
      <c r="S2019" s="8">
        <v>0</v>
      </c>
      <c r="T2019" s="8">
        <v>1</v>
      </c>
      <c r="U2019" s="8">
        <v>2</v>
      </c>
      <c r="X2019" s="8">
        <v>5</v>
      </c>
      <c r="AG2019" s="8" t="str">
        <f t="shared" si="125"/>
        <v/>
      </c>
      <c r="AI2019" s="8" t="str">
        <f t="shared" si="126"/>
        <v/>
      </c>
      <c r="AJ2019" s="8" t="str">
        <f t="shared" si="127"/>
        <v/>
      </c>
      <c r="AL2019" s="8" t="str">
        <f t="shared" si="128"/>
        <v/>
      </c>
    </row>
    <row r="2020" spans="1:38" x14ac:dyDescent="0.25">
      <c r="A2020" s="8" t="s">
        <v>2454</v>
      </c>
      <c r="B2020" s="8" t="s">
        <v>2455</v>
      </c>
      <c r="C2020" s="8">
        <v>30876773</v>
      </c>
      <c r="D2020" s="8">
        <v>5</v>
      </c>
      <c r="E2020" s="11">
        <v>43110</v>
      </c>
      <c r="F2020" s="8" t="s">
        <v>58</v>
      </c>
      <c r="G2020" s="11">
        <v>43110</v>
      </c>
      <c r="H2020" s="8" t="s">
        <v>25</v>
      </c>
      <c r="I2020" s="11">
        <v>43110</v>
      </c>
      <c r="J2020" s="8" t="s">
        <v>25</v>
      </c>
      <c r="N2020" s="8" t="s">
        <v>58</v>
      </c>
      <c r="O2020" s="8" t="s">
        <v>59</v>
      </c>
      <c r="P2020" s="8" t="s">
        <v>59</v>
      </c>
      <c r="R2020" s="8">
        <v>0</v>
      </c>
      <c r="S2020" s="8">
        <v>0</v>
      </c>
      <c r="T2020" s="8">
        <v>1</v>
      </c>
      <c r="U2020" s="8">
        <v>2</v>
      </c>
      <c r="X2020" s="8">
        <v>5</v>
      </c>
      <c r="AG2020" s="8" t="str">
        <f t="shared" si="125"/>
        <v/>
      </c>
      <c r="AI2020" s="8" t="str">
        <f t="shared" si="126"/>
        <v/>
      </c>
      <c r="AJ2020" s="8" t="str">
        <f t="shared" si="127"/>
        <v/>
      </c>
      <c r="AL2020" s="8" t="str">
        <f t="shared" si="128"/>
        <v/>
      </c>
    </row>
    <row r="2021" spans="1:38" x14ac:dyDescent="0.25">
      <c r="A2021" s="8" t="s">
        <v>7343</v>
      </c>
      <c r="B2021" s="8" t="s">
        <v>7344</v>
      </c>
      <c r="C2021" s="8">
        <v>30932391</v>
      </c>
      <c r="D2021" s="8">
        <v>5</v>
      </c>
      <c r="E2021" s="11">
        <v>43115</v>
      </c>
      <c r="F2021" s="8" t="s">
        <v>58</v>
      </c>
      <c r="G2021" s="11">
        <v>43115</v>
      </c>
      <c r="H2021" s="8" t="s">
        <v>25</v>
      </c>
      <c r="I2021" s="11">
        <v>43115</v>
      </c>
      <c r="J2021" s="8" t="s">
        <v>25</v>
      </c>
      <c r="N2021" s="8" t="s">
        <v>58</v>
      </c>
      <c r="O2021" s="8" t="s">
        <v>59</v>
      </c>
      <c r="P2021" s="8" t="s">
        <v>59</v>
      </c>
      <c r="R2021" s="8">
        <v>0</v>
      </c>
      <c r="S2021" s="8">
        <v>0</v>
      </c>
      <c r="T2021" s="8">
        <v>1</v>
      </c>
      <c r="U2021" s="8">
        <v>2</v>
      </c>
      <c r="X2021" s="8">
        <v>5</v>
      </c>
      <c r="AG2021" s="8" t="str">
        <f t="shared" si="125"/>
        <v/>
      </c>
      <c r="AI2021" s="8" t="str">
        <f t="shared" si="126"/>
        <v/>
      </c>
      <c r="AJ2021" s="8" t="str">
        <f t="shared" si="127"/>
        <v/>
      </c>
      <c r="AL2021" s="8" t="str">
        <f t="shared" si="128"/>
        <v/>
      </c>
    </row>
    <row r="2022" spans="1:38" x14ac:dyDescent="0.25">
      <c r="A2022" s="8" t="s">
        <v>2456</v>
      </c>
      <c r="B2022" s="8" t="s">
        <v>2457</v>
      </c>
      <c r="C2022" s="8">
        <v>30868180</v>
      </c>
      <c r="D2022" s="8">
        <v>5</v>
      </c>
      <c r="E2022" s="11">
        <v>43110</v>
      </c>
      <c r="F2022" s="8" t="s">
        <v>58</v>
      </c>
      <c r="G2022" s="11">
        <v>43110</v>
      </c>
      <c r="H2022" s="8" t="s">
        <v>25</v>
      </c>
      <c r="I2022" s="11">
        <v>43110</v>
      </c>
      <c r="J2022" s="8" t="s">
        <v>25</v>
      </c>
      <c r="N2022" s="8" t="s">
        <v>58</v>
      </c>
      <c r="O2022" s="8" t="s">
        <v>59</v>
      </c>
      <c r="P2022" s="8" t="s">
        <v>59</v>
      </c>
      <c r="R2022" s="8">
        <v>0</v>
      </c>
      <c r="S2022" s="8">
        <v>0</v>
      </c>
      <c r="T2022" s="8">
        <v>1</v>
      </c>
      <c r="U2022" s="8">
        <v>2</v>
      </c>
      <c r="X2022" s="8">
        <v>5</v>
      </c>
      <c r="AG2022" s="8" t="str">
        <f t="shared" si="125"/>
        <v/>
      </c>
      <c r="AI2022" s="8" t="str">
        <f t="shared" si="126"/>
        <v/>
      </c>
      <c r="AJ2022" s="8" t="str">
        <f t="shared" si="127"/>
        <v/>
      </c>
      <c r="AL2022" s="8" t="str">
        <f t="shared" si="128"/>
        <v/>
      </c>
    </row>
    <row r="2023" spans="1:38" x14ac:dyDescent="0.25">
      <c r="A2023" s="8" t="s">
        <v>1270</v>
      </c>
      <c r="B2023" s="8" t="s">
        <v>1271</v>
      </c>
      <c r="C2023" s="8">
        <v>30852468</v>
      </c>
      <c r="D2023" s="8">
        <v>5</v>
      </c>
      <c r="E2023" s="11">
        <v>43109</v>
      </c>
      <c r="F2023" s="8" t="s">
        <v>58</v>
      </c>
      <c r="G2023" s="11">
        <v>43109</v>
      </c>
      <c r="H2023" s="8" t="s">
        <v>25</v>
      </c>
      <c r="I2023" s="11">
        <v>43109</v>
      </c>
      <c r="J2023" s="8" t="s">
        <v>25</v>
      </c>
      <c r="N2023" s="8" t="s">
        <v>58</v>
      </c>
      <c r="O2023" s="8" t="s">
        <v>59</v>
      </c>
      <c r="P2023" s="8" t="s">
        <v>59</v>
      </c>
      <c r="R2023" s="8">
        <v>0</v>
      </c>
      <c r="S2023" s="8">
        <v>0</v>
      </c>
      <c r="T2023" s="8">
        <v>1</v>
      </c>
      <c r="U2023" s="8">
        <v>2</v>
      </c>
      <c r="X2023" s="8">
        <v>5</v>
      </c>
      <c r="AG2023" s="8" t="str">
        <f t="shared" si="125"/>
        <v/>
      </c>
      <c r="AI2023" s="8" t="str">
        <f t="shared" si="126"/>
        <v/>
      </c>
      <c r="AJ2023" s="8" t="str">
        <f t="shared" si="127"/>
        <v/>
      </c>
      <c r="AL2023" s="8" t="str">
        <f t="shared" si="128"/>
        <v/>
      </c>
    </row>
    <row r="2024" spans="1:38" x14ac:dyDescent="0.25">
      <c r="A2024" s="8" t="s">
        <v>7345</v>
      </c>
      <c r="B2024" s="8" t="s">
        <v>7346</v>
      </c>
      <c r="C2024" s="8">
        <v>30945980</v>
      </c>
      <c r="D2024" s="8">
        <v>5</v>
      </c>
      <c r="E2024" s="11">
        <v>43115</v>
      </c>
      <c r="F2024" s="8" t="s">
        <v>57</v>
      </c>
      <c r="G2024" s="11">
        <v>43115</v>
      </c>
      <c r="H2024" s="8" t="s">
        <v>25</v>
      </c>
      <c r="J2024" s="8" t="s">
        <v>25</v>
      </c>
      <c r="N2024" s="8" t="s">
        <v>58</v>
      </c>
      <c r="O2024" s="8" t="s">
        <v>59</v>
      </c>
      <c r="P2024" s="8" t="s">
        <v>59</v>
      </c>
      <c r="R2024" s="8">
        <v>0</v>
      </c>
      <c r="S2024" s="8">
        <v>0</v>
      </c>
      <c r="T2024" s="8">
        <v>1</v>
      </c>
      <c r="U2024" s="8">
        <v>2</v>
      </c>
      <c r="AG2024" s="8" t="str">
        <f t="shared" si="125"/>
        <v/>
      </c>
      <c r="AI2024" s="8" t="str">
        <f t="shared" si="126"/>
        <v/>
      </c>
      <c r="AJ2024" s="8" t="str">
        <f t="shared" si="127"/>
        <v/>
      </c>
      <c r="AL2024" s="8" t="str">
        <f t="shared" si="128"/>
        <v/>
      </c>
    </row>
    <row r="2025" spans="1:38" x14ac:dyDescent="0.25">
      <c r="A2025" s="8" t="s">
        <v>7347</v>
      </c>
      <c r="B2025" s="8" t="s">
        <v>7348</v>
      </c>
      <c r="C2025" s="8">
        <v>30944800</v>
      </c>
      <c r="D2025" s="8">
        <v>5</v>
      </c>
      <c r="E2025" s="11">
        <v>43115</v>
      </c>
      <c r="F2025" s="8" t="s">
        <v>57</v>
      </c>
      <c r="G2025" s="11">
        <v>43115</v>
      </c>
      <c r="H2025" s="8" t="s">
        <v>25</v>
      </c>
      <c r="J2025" s="8" t="s">
        <v>25</v>
      </c>
      <c r="N2025" s="8" t="s">
        <v>58</v>
      </c>
      <c r="O2025" s="8" t="s">
        <v>59</v>
      </c>
      <c r="P2025" s="8" t="s">
        <v>59</v>
      </c>
      <c r="R2025" s="8">
        <v>0</v>
      </c>
      <c r="S2025" s="8">
        <v>0</v>
      </c>
      <c r="T2025" s="8">
        <v>1</v>
      </c>
      <c r="U2025" s="8">
        <v>2</v>
      </c>
      <c r="AG2025" s="8" t="str">
        <f t="shared" si="125"/>
        <v/>
      </c>
      <c r="AI2025" s="8" t="str">
        <f t="shared" si="126"/>
        <v/>
      </c>
      <c r="AJ2025" s="8" t="str">
        <f t="shared" si="127"/>
        <v/>
      </c>
      <c r="AL2025" s="8" t="str">
        <f t="shared" si="128"/>
        <v/>
      </c>
    </row>
    <row r="2026" spans="1:38" x14ac:dyDescent="0.25">
      <c r="A2026" s="8" t="s">
        <v>7349</v>
      </c>
      <c r="B2026" s="8" t="s">
        <v>7350</v>
      </c>
      <c r="C2026" s="8">
        <v>30940952</v>
      </c>
      <c r="D2026" s="8">
        <v>5</v>
      </c>
      <c r="E2026" s="11">
        <v>43115</v>
      </c>
      <c r="F2026" s="8" t="s">
        <v>58</v>
      </c>
      <c r="G2026" s="11">
        <v>43115</v>
      </c>
      <c r="H2026" s="8" t="s">
        <v>25</v>
      </c>
      <c r="I2026" s="11">
        <v>43115</v>
      </c>
      <c r="J2026" s="8" t="s">
        <v>25</v>
      </c>
      <c r="N2026" s="8" t="s">
        <v>58</v>
      </c>
      <c r="O2026" s="8" t="s">
        <v>59</v>
      </c>
      <c r="P2026" s="8" t="s">
        <v>59</v>
      </c>
      <c r="R2026" s="8">
        <v>0</v>
      </c>
      <c r="S2026" s="8">
        <v>0</v>
      </c>
      <c r="T2026" s="8">
        <v>1</v>
      </c>
      <c r="U2026" s="8">
        <v>2</v>
      </c>
      <c r="X2026" s="8">
        <v>5</v>
      </c>
      <c r="AG2026" s="8" t="str">
        <f t="shared" si="125"/>
        <v/>
      </c>
      <c r="AI2026" s="8" t="str">
        <f t="shared" si="126"/>
        <v/>
      </c>
      <c r="AJ2026" s="8" t="str">
        <f t="shared" si="127"/>
        <v/>
      </c>
      <c r="AL2026" s="8" t="str">
        <f t="shared" si="128"/>
        <v/>
      </c>
    </row>
    <row r="2027" spans="1:38" x14ac:dyDescent="0.25">
      <c r="A2027" s="8" t="s">
        <v>2458</v>
      </c>
      <c r="B2027" s="8" t="s">
        <v>2459</v>
      </c>
      <c r="C2027" s="8">
        <v>30848465</v>
      </c>
      <c r="D2027" s="8">
        <v>5</v>
      </c>
      <c r="E2027" s="11">
        <v>43109</v>
      </c>
      <c r="F2027" s="8" t="s">
        <v>60</v>
      </c>
      <c r="G2027" s="11">
        <v>43110</v>
      </c>
      <c r="H2027" s="8" t="s">
        <v>25</v>
      </c>
      <c r="J2027" s="8" t="s">
        <v>25</v>
      </c>
      <c r="L2027" s="8" t="s">
        <v>4797</v>
      </c>
      <c r="N2027" s="8" t="s">
        <v>58</v>
      </c>
      <c r="O2027" s="8" t="s">
        <v>59</v>
      </c>
      <c r="P2027" s="8" t="s">
        <v>59</v>
      </c>
      <c r="R2027" s="8">
        <v>0</v>
      </c>
      <c r="S2027" s="8">
        <v>0</v>
      </c>
      <c r="T2027" s="8">
        <v>1</v>
      </c>
      <c r="U2027" s="8">
        <v>2</v>
      </c>
      <c r="W2027" s="8">
        <v>4</v>
      </c>
      <c r="Y2027" s="8">
        <v>6</v>
      </c>
      <c r="Z2027" s="8">
        <v>7</v>
      </c>
      <c r="AG2027" s="8" t="str">
        <f t="shared" si="125"/>
        <v/>
      </c>
      <c r="AI2027" s="8" t="str">
        <f t="shared" si="126"/>
        <v/>
      </c>
      <c r="AJ2027" s="8" t="str">
        <f t="shared" si="127"/>
        <v/>
      </c>
      <c r="AL2027" s="8" t="str">
        <f t="shared" si="128"/>
        <v/>
      </c>
    </row>
    <row r="2028" spans="1:38" x14ac:dyDescent="0.25">
      <c r="A2028" s="8" t="s">
        <v>7351</v>
      </c>
      <c r="B2028" s="8" t="s">
        <v>2459</v>
      </c>
      <c r="C2028" s="8">
        <v>30945725</v>
      </c>
      <c r="D2028" s="8">
        <v>5</v>
      </c>
      <c r="E2028" s="11">
        <v>43115</v>
      </c>
      <c r="F2028" s="8" t="s">
        <v>57</v>
      </c>
      <c r="G2028" s="11">
        <v>43115</v>
      </c>
      <c r="H2028" s="8" t="s">
        <v>25</v>
      </c>
      <c r="J2028" s="8" t="s">
        <v>25</v>
      </c>
      <c r="N2028" s="8" t="s">
        <v>58</v>
      </c>
      <c r="O2028" s="8" t="s">
        <v>59</v>
      </c>
      <c r="P2028" s="8" t="s">
        <v>59</v>
      </c>
      <c r="R2028" s="8">
        <v>0</v>
      </c>
      <c r="S2028" s="8">
        <v>0</v>
      </c>
      <c r="T2028" s="8">
        <v>1</v>
      </c>
      <c r="U2028" s="8">
        <v>2</v>
      </c>
      <c r="AG2028" s="8" t="str">
        <f t="shared" si="125"/>
        <v/>
      </c>
      <c r="AI2028" s="8" t="str">
        <f t="shared" si="126"/>
        <v/>
      </c>
      <c r="AJ2028" s="8" t="str">
        <f t="shared" si="127"/>
        <v/>
      </c>
      <c r="AL2028" s="8" t="str">
        <f t="shared" si="128"/>
        <v/>
      </c>
    </row>
    <row r="2029" spans="1:38" x14ac:dyDescent="0.25">
      <c r="A2029" s="8" t="s">
        <v>1272</v>
      </c>
      <c r="B2029" s="8" t="s">
        <v>1273</v>
      </c>
      <c r="C2029" s="8">
        <v>30816248</v>
      </c>
      <c r="D2029" s="8">
        <v>5</v>
      </c>
      <c r="E2029" s="11">
        <v>43108</v>
      </c>
      <c r="F2029" s="8" t="s">
        <v>58</v>
      </c>
      <c r="G2029" s="11">
        <v>43109</v>
      </c>
      <c r="H2029" s="8" t="s">
        <v>25</v>
      </c>
      <c r="I2029" s="11">
        <v>43115</v>
      </c>
      <c r="J2029" s="8" t="s">
        <v>145</v>
      </c>
      <c r="N2029" s="8" t="s">
        <v>58</v>
      </c>
      <c r="O2029" s="8" t="s">
        <v>59</v>
      </c>
      <c r="P2029" s="8" t="s">
        <v>59</v>
      </c>
      <c r="R2029" s="8">
        <v>0</v>
      </c>
      <c r="S2029" s="8">
        <v>0</v>
      </c>
      <c r="T2029" s="8">
        <v>1</v>
      </c>
      <c r="U2029" s="8">
        <v>2</v>
      </c>
      <c r="X2029" s="8">
        <v>5</v>
      </c>
      <c r="AG2029" s="8" t="str">
        <f t="shared" si="125"/>
        <v/>
      </c>
      <c r="AI2029" s="8" t="str">
        <f t="shared" si="126"/>
        <v/>
      </c>
      <c r="AJ2029" s="8" t="str">
        <f t="shared" si="127"/>
        <v/>
      </c>
      <c r="AL2029" s="8" t="str">
        <f t="shared" si="128"/>
        <v/>
      </c>
    </row>
    <row r="2030" spans="1:38" x14ac:dyDescent="0.25">
      <c r="A2030" s="8" t="s">
        <v>2460</v>
      </c>
      <c r="B2030" s="8" t="s">
        <v>2461</v>
      </c>
      <c r="C2030" s="8">
        <v>30862324</v>
      </c>
      <c r="D2030" s="8">
        <v>5</v>
      </c>
      <c r="E2030" s="11">
        <v>43110</v>
      </c>
      <c r="F2030" s="8" t="s">
        <v>58</v>
      </c>
      <c r="G2030" s="11">
        <v>43110</v>
      </c>
      <c r="H2030" s="8" t="s">
        <v>25</v>
      </c>
      <c r="I2030" s="11">
        <v>43112</v>
      </c>
      <c r="J2030" s="8" t="s">
        <v>25</v>
      </c>
      <c r="N2030" s="8" t="s">
        <v>58</v>
      </c>
      <c r="O2030" s="8" t="s">
        <v>59</v>
      </c>
      <c r="P2030" s="8" t="s">
        <v>59</v>
      </c>
      <c r="R2030" s="8">
        <v>0</v>
      </c>
      <c r="S2030" s="8">
        <v>0</v>
      </c>
      <c r="T2030" s="8">
        <v>1</v>
      </c>
      <c r="U2030" s="8">
        <v>2</v>
      </c>
      <c r="X2030" s="8">
        <v>5</v>
      </c>
      <c r="AG2030" s="8" t="str">
        <f t="shared" si="125"/>
        <v/>
      </c>
      <c r="AI2030" s="8" t="str">
        <f t="shared" si="126"/>
        <v/>
      </c>
      <c r="AJ2030" s="8" t="str">
        <f t="shared" si="127"/>
        <v/>
      </c>
      <c r="AL2030" s="8" t="str">
        <f t="shared" si="128"/>
        <v/>
      </c>
    </row>
    <row r="2031" spans="1:38" x14ac:dyDescent="0.25">
      <c r="A2031" s="8" t="s">
        <v>5548</v>
      </c>
      <c r="B2031" s="8" t="s">
        <v>5549</v>
      </c>
      <c r="C2031" s="8">
        <v>30916895</v>
      </c>
      <c r="D2031" s="8">
        <v>5</v>
      </c>
      <c r="E2031" s="11">
        <v>43112</v>
      </c>
      <c r="F2031" s="8" t="s">
        <v>58</v>
      </c>
      <c r="G2031" s="11">
        <v>43112</v>
      </c>
      <c r="H2031" s="8" t="s">
        <v>25</v>
      </c>
      <c r="I2031" s="11">
        <v>43112</v>
      </c>
      <c r="J2031" s="8" t="s">
        <v>25</v>
      </c>
      <c r="N2031" s="8" t="s">
        <v>58</v>
      </c>
      <c r="O2031" s="8" t="s">
        <v>59</v>
      </c>
      <c r="P2031" s="8" t="s">
        <v>59</v>
      </c>
      <c r="R2031" s="8">
        <v>0</v>
      </c>
      <c r="S2031" s="8">
        <v>0</v>
      </c>
      <c r="T2031" s="8">
        <v>1</v>
      </c>
      <c r="U2031" s="8">
        <v>2</v>
      </c>
      <c r="X2031" s="8">
        <v>5</v>
      </c>
      <c r="AG2031" s="8" t="str">
        <f t="shared" si="125"/>
        <v/>
      </c>
      <c r="AI2031" s="8" t="str">
        <f t="shared" si="126"/>
        <v/>
      </c>
      <c r="AJ2031" s="8" t="str">
        <f t="shared" si="127"/>
        <v/>
      </c>
      <c r="AL2031" s="8" t="str">
        <f t="shared" si="128"/>
        <v/>
      </c>
    </row>
    <row r="2032" spans="1:38" x14ac:dyDescent="0.25">
      <c r="A2032" s="8" t="s">
        <v>5550</v>
      </c>
      <c r="B2032" s="8" t="s">
        <v>5551</v>
      </c>
      <c r="C2032" s="8">
        <v>30912030</v>
      </c>
      <c r="D2032" s="8">
        <v>5</v>
      </c>
      <c r="E2032" s="11">
        <v>43112</v>
      </c>
      <c r="F2032" s="8" t="s">
        <v>57</v>
      </c>
      <c r="G2032" s="11">
        <v>43114</v>
      </c>
      <c r="H2032" s="8" t="s">
        <v>25</v>
      </c>
      <c r="J2032" s="8" t="s">
        <v>25</v>
      </c>
      <c r="N2032" s="8" t="s">
        <v>58</v>
      </c>
      <c r="O2032" s="8" t="s">
        <v>59</v>
      </c>
      <c r="P2032" s="8" t="s">
        <v>59</v>
      </c>
      <c r="R2032" s="8">
        <v>0</v>
      </c>
      <c r="S2032" s="8">
        <v>0</v>
      </c>
      <c r="T2032" s="8">
        <v>1</v>
      </c>
      <c r="U2032" s="8">
        <v>2</v>
      </c>
      <c r="AG2032" s="8" t="str">
        <f t="shared" si="125"/>
        <v/>
      </c>
      <c r="AI2032" s="8" t="str">
        <f t="shared" si="126"/>
        <v/>
      </c>
      <c r="AJ2032" s="8" t="str">
        <f t="shared" si="127"/>
        <v/>
      </c>
      <c r="AL2032" s="8" t="str">
        <f t="shared" si="128"/>
        <v/>
      </c>
    </row>
    <row r="2033" spans="1:38" x14ac:dyDescent="0.25">
      <c r="A2033" s="8" t="s">
        <v>7352</v>
      </c>
      <c r="B2033" s="8" t="s">
        <v>7353</v>
      </c>
      <c r="C2033" s="8">
        <v>30934476</v>
      </c>
      <c r="D2033" s="8">
        <v>5</v>
      </c>
      <c r="E2033" s="11">
        <v>43115</v>
      </c>
      <c r="F2033" s="8" t="s">
        <v>58</v>
      </c>
      <c r="G2033" s="11">
        <v>43115</v>
      </c>
      <c r="H2033" s="8" t="s">
        <v>25</v>
      </c>
      <c r="I2033" s="11">
        <v>43115</v>
      </c>
      <c r="J2033" s="8" t="s">
        <v>25</v>
      </c>
      <c r="N2033" s="8" t="s">
        <v>58</v>
      </c>
      <c r="O2033" s="8" t="s">
        <v>59</v>
      </c>
      <c r="P2033" s="8" t="s">
        <v>59</v>
      </c>
      <c r="R2033" s="8">
        <v>0</v>
      </c>
      <c r="S2033" s="8">
        <v>0</v>
      </c>
      <c r="T2033" s="8">
        <v>1</v>
      </c>
      <c r="U2033" s="8">
        <v>2</v>
      </c>
      <c r="X2033" s="8">
        <v>5</v>
      </c>
      <c r="AG2033" s="8" t="str">
        <f t="shared" si="125"/>
        <v/>
      </c>
      <c r="AI2033" s="8" t="str">
        <f t="shared" si="126"/>
        <v/>
      </c>
      <c r="AJ2033" s="8" t="str">
        <f t="shared" si="127"/>
        <v/>
      </c>
      <c r="AL2033" s="8" t="str">
        <f t="shared" si="128"/>
        <v/>
      </c>
    </row>
    <row r="2034" spans="1:38" x14ac:dyDescent="0.25">
      <c r="A2034" s="8" t="s">
        <v>7354</v>
      </c>
      <c r="B2034" s="8" t="s">
        <v>7355</v>
      </c>
      <c r="C2034" s="8">
        <v>30930927</v>
      </c>
      <c r="D2034" s="8">
        <v>5</v>
      </c>
      <c r="E2034" s="11">
        <v>43115</v>
      </c>
      <c r="F2034" s="8" t="s">
        <v>57</v>
      </c>
      <c r="G2034" s="11">
        <v>43115</v>
      </c>
      <c r="H2034" s="8" t="s">
        <v>25</v>
      </c>
      <c r="J2034" s="8" t="s">
        <v>25</v>
      </c>
      <c r="N2034" s="8" t="s">
        <v>58</v>
      </c>
      <c r="O2034" s="8" t="s">
        <v>59</v>
      </c>
      <c r="P2034" s="8" t="s">
        <v>59</v>
      </c>
      <c r="R2034" s="8">
        <v>0</v>
      </c>
      <c r="S2034" s="8">
        <v>0</v>
      </c>
      <c r="T2034" s="8">
        <v>1</v>
      </c>
      <c r="U2034" s="8">
        <v>2</v>
      </c>
      <c r="AG2034" s="8" t="str">
        <f t="shared" si="125"/>
        <v/>
      </c>
      <c r="AI2034" s="8" t="str">
        <f t="shared" si="126"/>
        <v/>
      </c>
      <c r="AJ2034" s="8" t="str">
        <f t="shared" si="127"/>
        <v/>
      </c>
      <c r="AL2034" s="8" t="str">
        <f t="shared" si="128"/>
        <v/>
      </c>
    </row>
    <row r="2035" spans="1:38" x14ac:dyDescent="0.25">
      <c r="A2035" s="8" t="s">
        <v>2462</v>
      </c>
      <c r="B2035" s="8" t="s">
        <v>2463</v>
      </c>
      <c r="C2035" s="8">
        <v>30856250</v>
      </c>
      <c r="D2035" s="8">
        <v>5</v>
      </c>
      <c r="E2035" s="11">
        <v>43110</v>
      </c>
      <c r="F2035" s="8" t="s">
        <v>58</v>
      </c>
      <c r="G2035" s="11">
        <v>43110</v>
      </c>
      <c r="H2035" s="8" t="s">
        <v>25</v>
      </c>
      <c r="I2035" s="11">
        <v>43110</v>
      </c>
      <c r="J2035" s="8" t="s">
        <v>25</v>
      </c>
      <c r="N2035" s="8" t="s">
        <v>58</v>
      </c>
      <c r="O2035" s="8" t="s">
        <v>59</v>
      </c>
      <c r="P2035" s="8" t="s">
        <v>59</v>
      </c>
      <c r="R2035" s="8">
        <v>0</v>
      </c>
      <c r="S2035" s="8">
        <v>0</v>
      </c>
      <c r="T2035" s="8">
        <v>1</v>
      </c>
      <c r="U2035" s="8">
        <v>2</v>
      </c>
      <c r="X2035" s="8">
        <v>5</v>
      </c>
      <c r="AG2035" s="8" t="str">
        <f t="shared" si="125"/>
        <v/>
      </c>
      <c r="AI2035" s="8" t="str">
        <f t="shared" si="126"/>
        <v/>
      </c>
      <c r="AJ2035" s="8" t="str">
        <f t="shared" si="127"/>
        <v/>
      </c>
      <c r="AL2035" s="8" t="str">
        <f t="shared" si="128"/>
        <v/>
      </c>
    </row>
    <row r="2036" spans="1:38" x14ac:dyDescent="0.25">
      <c r="A2036" s="8" t="s">
        <v>5552</v>
      </c>
      <c r="B2036" s="8" t="s">
        <v>5553</v>
      </c>
      <c r="C2036" s="8">
        <v>30923810</v>
      </c>
      <c r="D2036" s="8">
        <v>3</v>
      </c>
      <c r="E2036" s="11">
        <v>43112</v>
      </c>
      <c r="F2036" s="8" t="s">
        <v>57</v>
      </c>
      <c r="G2036" s="11">
        <v>43112</v>
      </c>
      <c r="H2036" s="8" t="s">
        <v>25</v>
      </c>
      <c r="J2036" s="8" t="s">
        <v>25</v>
      </c>
      <c r="N2036" s="8" t="s">
        <v>58</v>
      </c>
      <c r="O2036" s="8" t="s">
        <v>59</v>
      </c>
      <c r="P2036" s="8" t="s">
        <v>59</v>
      </c>
      <c r="R2036" s="8">
        <v>0</v>
      </c>
      <c r="S2036" s="8">
        <v>0</v>
      </c>
      <c r="T2036" s="8">
        <v>1</v>
      </c>
      <c r="U2036" s="8">
        <v>2</v>
      </c>
      <c r="AG2036" s="8" t="str">
        <f t="shared" si="125"/>
        <v/>
      </c>
      <c r="AI2036" s="8" t="str">
        <f t="shared" si="126"/>
        <v/>
      </c>
      <c r="AJ2036" s="8" t="str">
        <f t="shared" si="127"/>
        <v/>
      </c>
      <c r="AL2036" s="8" t="str">
        <f t="shared" si="128"/>
        <v/>
      </c>
    </row>
    <row r="2037" spans="1:38" x14ac:dyDescent="0.25">
      <c r="A2037" s="8" t="s">
        <v>7356</v>
      </c>
      <c r="B2037" s="8" t="s">
        <v>7357</v>
      </c>
      <c r="C2037" s="8">
        <v>30921243</v>
      </c>
      <c r="D2037" s="8">
        <v>5</v>
      </c>
      <c r="E2037" s="11">
        <v>43112</v>
      </c>
      <c r="F2037" s="8" t="s">
        <v>57</v>
      </c>
      <c r="G2037" s="11">
        <v>43115</v>
      </c>
      <c r="H2037" s="8" t="s">
        <v>25</v>
      </c>
      <c r="J2037" s="8" t="s">
        <v>25</v>
      </c>
      <c r="N2037" s="8" t="s">
        <v>58</v>
      </c>
      <c r="O2037" s="8" t="s">
        <v>59</v>
      </c>
      <c r="P2037" s="8" t="s">
        <v>59</v>
      </c>
      <c r="R2037" s="8">
        <v>0</v>
      </c>
      <c r="S2037" s="8">
        <v>0</v>
      </c>
      <c r="T2037" s="8">
        <v>1</v>
      </c>
      <c r="U2037" s="8">
        <v>2</v>
      </c>
      <c r="AG2037" s="8" t="str">
        <f t="shared" si="125"/>
        <v/>
      </c>
      <c r="AI2037" s="8" t="str">
        <f t="shared" si="126"/>
        <v/>
      </c>
      <c r="AJ2037" s="8" t="str">
        <f t="shared" si="127"/>
        <v/>
      </c>
      <c r="AL2037" s="8" t="str">
        <f t="shared" si="128"/>
        <v/>
      </c>
    </row>
    <row r="2038" spans="1:38" x14ac:dyDescent="0.25">
      <c r="A2038" s="8" t="s">
        <v>1274</v>
      </c>
      <c r="B2038" s="8" t="s">
        <v>1275</v>
      </c>
      <c r="C2038" s="8">
        <v>30841486</v>
      </c>
      <c r="D2038" s="8">
        <v>5</v>
      </c>
      <c r="E2038" s="11">
        <v>43109</v>
      </c>
      <c r="F2038" s="8" t="s">
        <v>57</v>
      </c>
      <c r="G2038" s="11">
        <v>43109</v>
      </c>
      <c r="H2038" s="8" t="s">
        <v>25</v>
      </c>
      <c r="J2038" s="8" t="s">
        <v>25</v>
      </c>
      <c r="N2038" s="8" t="s">
        <v>58</v>
      </c>
      <c r="O2038" s="8" t="s">
        <v>59</v>
      </c>
      <c r="P2038" s="8" t="s">
        <v>59</v>
      </c>
      <c r="R2038" s="8">
        <v>0</v>
      </c>
      <c r="S2038" s="8">
        <v>0</v>
      </c>
      <c r="T2038" s="8">
        <v>1</v>
      </c>
      <c r="U2038" s="8">
        <v>2</v>
      </c>
      <c r="AG2038" s="8" t="str">
        <f t="shared" si="125"/>
        <v/>
      </c>
      <c r="AI2038" s="8" t="str">
        <f t="shared" si="126"/>
        <v/>
      </c>
      <c r="AJ2038" s="8" t="str">
        <f t="shared" si="127"/>
        <v/>
      </c>
      <c r="AL2038" s="8" t="str">
        <f t="shared" si="128"/>
        <v/>
      </c>
    </row>
    <row r="2039" spans="1:38" x14ac:dyDescent="0.25">
      <c r="A2039" s="8" t="s">
        <v>5554</v>
      </c>
      <c r="B2039" s="8" t="s">
        <v>5555</v>
      </c>
      <c r="C2039" s="8">
        <v>30902516</v>
      </c>
      <c r="D2039" s="8">
        <v>5</v>
      </c>
      <c r="E2039" s="11">
        <v>43111</v>
      </c>
      <c r="F2039" s="8" t="s">
        <v>57</v>
      </c>
      <c r="G2039" s="11">
        <v>43114</v>
      </c>
      <c r="H2039" s="8" t="s">
        <v>25</v>
      </c>
      <c r="J2039" s="8" t="s">
        <v>25</v>
      </c>
      <c r="N2039" s="8" t="s">
        <v>58</v>
      </c>
      <c r="O2039" s="8" t="s">
        <v>59</v>
      </c>
      <c r="P2039" s="8" t="s">
        <v>59</v>
      </c>
      <c r="R2039" s="8">
        <v>0</v>
      </c>
      <c r="S2039" s="8">
        <v>0</v>
      </c>
      <c r="T2039" s="8">
        <v>1</v>
      </c>
      <c r="U2039" s="8">
        <v>2</v>
      </c>
      <c r="AG2039" s="8" t="str">
        <f t="shared" si="125"/>
        <v/>
      </c>
      <c r="AI2039" s="8" t="str">
        <f t="shared" si="126"/>
        <v/>
      </c>
      <c r="AJ2039" s="8" t="str">
        <f t="shared" si="127"/>
        <v/>
      </c>
      <c r="AL2039" s="8" t="str">
        <f t="shared" si="128"/>
        <v/>
      </c>
    </row>
    <row r="2040" spans="1:38" x14ac:dyDescent="0.25">
      <c r="A2040" s="8" t="s">
        <v>477</v>
      </c>
      <c r="B2040" s="8" t="s">
        <v>478</v>
      </c>
      <c r="C2040" s="8">
        <v>30818406</v>
      </c>
      <c r="D2040" s="8">
        <v>5</v>
      </c>
      <c r="E2040" s="11">
        <v>43108</v>
      </c>
      <c r="F2040" s="8" t="s">
        <v>58</v>
      </c>
      <c r="G2040" s="11">
        <v>43108</v>
      </c>
      <c r="H2040" s="8" t="s">
        <v>25</v>
      </c>
      <c r="I2040" s="11">
        <v>43108</v>
      </c>
      <c r="J2040" s="8" t="s">
        <v>25</v>
      </c>
      <c r="N2040" s="8" t="s">
        <v>58</v>
      </c>
      <c r="O2040" s="8" t="s">
        <v>59</v>
      </c>
      <c r="P2040" s="8" t="s">
        <v>59</v>
      </c>
      <c r="R2040" s="8">
        <v>0</v>
      </c>
      <c r="S2040" s="8">
        <v>0</v>
      </c>
      <c r="T2040" s="8">
        <v>1</v>
      </c>
      <c r="U2040" s="8">
        <v>2</v>
      </c>
      <c r="X2040" s="8">
        <v>5</v>
      </c>
      <c r="AG2040" s="8" t="str">
        <f t="shared" si="125"/>
        <v/>
      </c>
      <c r="AI2040" s="8" t="str">
        <f t="shared" si="126"/>
        <v/>
      </c>
      <c r="AJ2040" s="8" t="str">
        <f t="shared" si="127"/>
        <v/>
      </c>
      <c r="AL2040" s="8" t="str">
        <f t="shared" si="128"/>
        <v/>
      </c>
    </row>
    <row r="2041" spans="1:38" x14ac:dyDescent="0.25">
      <c r="A2041" s="8" t="s">
        <v>7358</v>
      </c>
      <c r="B2041" s="8" t="s">
        <v>7359</v>
      </c>
      <c r="C2041" s="8">
        <v>30935157</v>
      </c>
      <c r="D2041" s="8">
        <v>5</v>
      </c>
      <c r="E2041" s="11">
        <v>43115</v>
      </c>
      <c r="F2041" s="8" t="s">
        <v>58</v>
      </c>
      <c r="G2041" s="11">
        <v>43115</v>
      </c>
      <c r="H2041" s="8" t="s">
        <v>25</v>
      </c>
      <c r="I2041" s="11">
        <v>43115</v>
      </c>
      <c r="J2041" s="8" t="s">
        <v>25</v>
      </c>
      <c r="N2041" s="8" t="s">
        <v>58</v>
      </c>
      <c r="O2041" s="8" t="s">
        <v>59</v>
      </c>
      <c r="P2041" s="8" t="s">
        <v>59</v>
      </c>
      <c r="R2041" s="8">
        <v>0</v>
      </c>
      <c r="S2041" s="8">
        <v>0</v>
      </c>
      <c r="T2041" s="8">
        <v>1</v>
      </c>
      <c r="U2041" s="8">
        <v>2</v>
      </c>
      <c r="X2041" s="8">
        <v>5</v>
      </c>
      <c r="AG2041" s="8" t="str">
        <f t="shared" si="125"/>
        <v/>
      </c>
      <c r="AI2041" s="8" t="str">
        <f t="shared" si="126"/>
        <v/>
      </c>
      <c r="AJ2041" s="8" t="str">
        <f t="shared" si="127"/>
        <v/>
      </c>
      <c r="AL2041" s="8" t="str">
        <f t="shared" si="128"/>
        <v/>
      </c>
    </row>
    <row r="2042" spans="1:38" x14ac:dyDescent="0.25">
      <c r="A2042" s="8" t="s">
        <v>1276</v>
      </c>
      <c r="B2042" s="8" t="s">
        <v>1277</v>
      </c>
      <c r="C2042" s="8">
        <v>30838907</v>
      </c>
      <c r="D2042" s="8">
        <v>5</v>
      </c>
      <c r="E2042" s="11">
        <v>43109</v>
      </c>
      <c r="F2042" s="8" t="s">
        <v>58</v>
      </c>
      <c r="G2042" s="11">
        <v>43109</v>
      </c>
      <c r="H2042" s="8" t="s">
        <v>25</v>
      </c>
      <c r="I2042" s="11">
        <v>43109</v>
      </c>
      <c r="J2042" s="8" t="s">
        <v>25</v>
      </c>
      <c r="N2042" s="8" t="s">
        <v>58</v>
      </c>
      <c r="O2042" s="8" t="s">
        <v>59</v>
      </c>
      <c r="P2042" s="8" t="s">
        <v>59</v>
      </c>
      <c r="R2042" s="8">
        <v>0</v>
      </c>
      <c r="S2042" s="8">
        <v>0</v>
      </c>
      <c r="T2042" s="8">
        <v>1</v>
      </c>
      <c r="U2042" s="8">
        <v>2</v>
      </c>
      <c r="X2042" s="8">
        <v>5</v>
      </c>
      <c r="AG2042" s="8" t="str">
        <f t="shared" si="125"/>
        <v/>
      </c>
      <c r="AI2042" s="8" t="str">
        <f t="shared" si="126"/>
        <v/>
      </c>
      <c r="AJ2042" s="8" t="str">
        <f t="shared" si="127"/>
        <v/>
      </c>
      <c r="AL2042" s="8" t="str">
        <f t="shared" si="128"/>
        <v/>
      </c>
    </row>
    <row r="2043" spans="1:38" x14ac:dyDescent="0.25">
      <c r="A2043" s="8" t="s">
        <v>2464</v>
      </c>
      <c r="B2043" s="8" t="s">
        <v>2465</v>
      </c>
      <c r="C2043" s="8">
        <v>30873316</v>
      </c>
      <c r="D2043" s="8">
        <v>5</v>
      </c>
      <c r="E2043" s="11">
        <v>43110</v>
      </c>
      <c r="F2043" s="8" t="s">
        <v>58</v>
      </c>
      <c r="G2043" s="11">
        <v>43110</v>
      </c>
      <c r="H2043" s="8" t="s">
        <v>25</v>
      </c>
      <c r="I2043" s="11">
        <v>43111</v>
      </c>
      <c r="J2043" s="8" t="s">
        <v>25</v>
      </c>
      <c r="N2043" s="8" t="s">
        <v>58</v>
      </c>
      <c r="O2043" s="8" t="s">
        <v>59</v>
      </c>
      <c r="P2043" s="8" t="s">
        <v>59</v>
      </c>
      <c r="R2043" s="8">
        <v>0</v>
      </c>
      <c r="S2043" s="8">
        <v>0</v>
      </c>
      <c r="T2043" s="8">
        <v>1</v>
      </c>
      <c r="U2043" s="8">
        <v>2</v>
      </c>
      <c r="X2043" s="8">
        <v>5</v>
      </c>
      <c r="AG2043" s="8" t="str">
        <f t="shared" si="125"/>
        <v/>
      </c>
      <c r="AI2043" s="8" t="str">
        <f t="shared" si="126"/>
        <v/>
      </c>
      <c r="AJ2043" s="8" t="str">
        <f t="shared" si="127"/>
        <v/>
      </c>
      <c r="AL2043" s="8" t="str">
        <f t="shared" si="128"/>
        <v/>
      </c>
    </row>
    <row r="2044" spans="1:38" x14ac:dyDescent="0.25">
      <c r="A2044" s="8" t="s">
        <v>7360</v>
      </c>
      <c r="B2044" s="8" t="s">
        <v>7361</v>
      </c>
      <c r="C2044" s="8">
        <v>30944082</v>
      </c>
      <c r="D2044" s="8">
        <v>5</v>
      </c>
      <c r="E2044" s="11">
        <v>43115</v>
      </c>
      <c r="F2044" s="8" t="s">
        <v>57</v>
      </c>
      <c r="G2044" s="11">
        <v>43115</v>
      </c>
      <c r="H2044" s="8" t="s">
        <v>25</v>
      </c>
      <c r="J2044" s="8" t="s">
        <v>25</v>
      </c>
      <c r="N2044" s="8" t="s">
        <v>58</v>
      </c>
      <c r="O2044" s="8" t="s">
        <v>59</v>
      </c>
      <c r="P2044" s="8" t="s">
        <v>59</v>
      </c>
      <c r="R2044" s="8">
        <v>0</v>
      </c>
      <c r="S2044" s="8">
        <v>0</v>
      </c>
      <c r="T2044" s="8">
        <v>1</v>
      </c>
      <c r="U2044" s="8">
        <v>2</v>
      </c>
      <c r="AG2044" s="8" t="str">
        <f t="shared" si="125"/>
        <v/>
      </c>
      <c r="AI2044" s="8" t="str">
        <f t="shared" si="126"/>
        <v/>
      </c>
      <c r="AJ2044" s="8" t="str">
        <f t="shared" si="127"/>
        <v/>
      </c>
      <c r="AL2044" s="8" t="str">
        <f t="shared" si="128"/>
        <v/>
      </c>
    </row>
    <row r="2045" spans="1:38" x14ac:dyDescent="0.25">
      <c r="A2045" s="8" t="s">
        <v>5556</v>
      </c>
      <c r="B2045" s="8" t="s">
        <v>5557</v>
      </c>
      <c r="C2045" s="8">
        <v>30916260</v>
      </c>
      <c r="D2045" s="8">
        <v>4</v>
      </c>
      <c r="E2045" s="11">
        <v>43112</v>
      </c>
      <c r="F2045" s="8" t="s">
        <v>57</v>
      </c>
      <c r="G2045" s="11">
        <v>43112</v>
      </c>
      <c r="H2045" s="8" t="s">
        <v>25</v>
      </c>
      <c r="J2045" s="8" t="s">
        <v>25</v>
      </c>
      <c r="N2045" s="8" t="s">
        <v>58</v>
      </c>
      <c r="O2045" s="8" t="s">
        <v>59</v>
      </c>
      <c r="P2045" s="8" t="s">
        <v>59</v>
      </c>
      <c r="R2045" s="8">
        <v>0</v>
      </c>
      <c r="S2045" s="8">
        <v>0</v>
      </c>
      <c r="T2045" s="8">
        <v>1</v>
      </c>
      <c r="U2045" s="8">
        <v>2</v>
      </c>
      <c r="AG2045" s="8" t="str">
        <f t="shared" si="125"/>
        <v/>
      </c>
      <c r="AI2045" s="8" t="str">
        <f t="shared" si="126"/>
        <v/>
      </c>
      <c r="AJ2045" s="8" t="str">
        <f t="shared" si="127"/>
        <v/>
      </c>
      <c r="AL2045" s="8" t="str">
        <f t="shared" si="128"/>
        <v/>
      </c>
    </row>
    <row r="2046" spans="1:38" x14ac:dyDescent="0.25">
      <c r="A2046" s="8" t="s">
        <v>3957</v>
      </c>
      <c r="B2046" s="8" t="s">
        <v>3958</v>
      </c>
      <c r="C2046" s="8">
        <v>30900632</v>
      </c>
      <c r="D2046" s="8">
        <v>5</v>
      </c>
      <c r="E2046" s="11">
        <v>43111</v>
      </c>
      <c r="F2046" s="8" t="s">
        <v>58</v>
      </c>
      <c r="G2046" s="11">
        <v>43111</v>
      </c>
      <c r="H2046" s="8" t="s">
        <v>25</v>
      </c>
      <c r="I2046" s="11">
        <v>43111</v>
      </c>
      <c r="J2046" s="8" t="s">
        <v>25</v>
      </c>
      <c r="N2046" s="8" t="s">
        <v>58</v>
      </c>
      <c r="O2046" s="8" t="s">
        <v>59</v>
      </c>
      <c r="P2046" s="8" t="s">
        <v>59</v>
      </c>
      <c r="R2046" s="8">
        <v>0</v>
      </c>
      <c r="S2046" s="8">
        <v>0</v>
      </c>
      <c r="T2046" s="8">
        <v>1</v>
      </c>
      <c r="U2046" s="8">
        <v>2</v>
      </c>
      <c r="X2046" s="8">
        <v>5</v>
      </c>
      <c r="AG2046" s="8" t="str">
        <f t="shared" si="125"/>
        <v/>
      </c>
      <c r="AI2046" s="8" t="str">
        <f t="shared" si="126"/>
        <v/>
      </c>
      <c r="AJ2046" s="8" t="str">
        <f t="shared" si="127"/>
        <v/>
      </c>
      <c r="AL2046" s="8" t="str">
        <f t="shared" si="128"/>
        <v/>
      </c>
    </row>
    <row r="2047" spans="1:38" x14ac:dyDescent="0.25">
      <c r="A2047" s="8" t="s">
        <v>1278</v>
      </c>
      <c r="B2047" s="8" t="s">
        <v>1279</v>
      </c>
      <c r="C2047" s="8">
        <v>30837874</v>
      </c>
      <c r="D2047" s="8">
        <v>4</v>
      </c>
      <c r="E2047" s="11">
        <v>43109</v>
      </c>
      <c r="F2047" s="8" t="s">
        <v>57</v>
      </c>
      <c r="G2047" s="11">
        <v>43109</v>
      </c>
      <c r="H2047" s="8" t="s">
        <v>25</v>
      </c>
      <c r="J2047" s="8" t="s">
        <v>25</v>
      </c>
      <c r="N2047" s="8" t="s">
        <v>58</v>
      </c>
      <c r="O2047" s="8" t="s">
        <v>59</v>
      </c>
      <c r="P2047" s="8" t="s">
        <v>59</v>
      </c>
      <c r="R2047" s="8">
        <v>0</v>
      </c>
      <c r="S2047" s="8">
        <v>0</v>
      </c>
      <c r="T2047" s="8">
        <v>1</v>
      </c>
      <c r="U2047" s="8">
        <v>2</v>
      </c>
      <c r="AG2047" s="8" t="str">
        <f t="shared" si="125"/>
        <v/>
      </c>
      <c r="AI2047" s="8" t="str">
        <f t="shared" si="126"/>
        <v/>
      </c>
      <c r="AJ2047" s="8" t="str">
        <f t="shared" si="127"/>
        <v/>
      </c>
      <c r="AL2047" s="8" t="str">
        <f t="shared" si="128"/>
        <v/>
      </c>
    </row>
    <row r="2048" spans="1:38" x14ac:dyDescent="0.25">
      <c r="A2048" s="8" t="s">
        <v>1280</v>
      </c>
      <c r="B2048" s="8" t="s">
        <v>1281</v>
      </c>
      <c r="C2048" s="8">
        <v>30806973</v>
      </c>
      <c r="D2048" s="8">
        <v>5</v>
      </c>
      <c r="E2048" s="11">
        <v>43108</v>
      </c>
      <c r="F2048" s="8" t="s">
        <v>58</v>
      </c>
      <c r="G2048" s="11">
        <v>43109</v>
      </c>
      <c r="H2048" s="8" t="s">
        <v>25</v>
      </c>
      <c r="I2048" s="11">
        <v>43111</v>
      </c>
      <c r="J2048" s="8" t="s">
        <v>25</v>
      </c>
      <c r="N2048" s="8" t="s">
        <v>58</v>
      </c>
      <c r="O2048" s="8" t="s">
        <v>59</v>
      </c>
      <c r="P2048" s="8" t="s">
        <v>59</v>
      </c>
      <c r="R2048" s="8">
        <v>0</v>
      </c>
      <c r="S2048" s="8">
        <v>0</v>
      </c>
      <c r="T2048" s="8">
        <v>1</v>
      </c>
      <c r="U2048" s="8">
        <v>2</v>
      </c>
      <c r="X2048" s="8">
        <v>5</v>
      </c>
      <c r="AG2048" s="8" t="str">
        <f t="shared" si="125"/>
        <v/>
      </c>
      <c r="AI2048" s="8" t="str">
        <f t="shared" si="126"/>
        <v/>
      </c>
      <c r="AJ2048" s="8" t="str">
        <f t="shared" si="127"/>
        <v/>
      </c>
      <c r="AL2048" s="8" t="str">
        <f t="shared" si="128"/>
        <v/>
      </c>
    </row>
    <row r="2049" spans="1:38" x14ac:dyDescent="0.25">
      <c r="A2049" s="8" t="s">
        <v>5558</v>
      </c>
      <c r="B2049" s="8" t="s">
        <v>5559</v>
      </c>
      <c r="C2049" s="8">
        <v>30915074</v>
      </c>
      <c r="D2049" s="8">
        <v>5</v>
      </c>
      <c r="E2049" s="11">
        <v>43112</v>
      </c>
      <c r="F2049" s="8" t="s">
        <v>57</v>
      </c>
      <c r="G2049" s="11">
        <v>43114</v>
      </c>
      <c r="H2049" s="8" t="s">
        <v>25</v>
      </c>
      <c r="J2049" s="8" t="s">
        <v>25</v>
      </c>
      <c r="N2049" s="8" t="s">
        <v>58</v>
      </c>
      <c r="O2049" s="8" t="s">
        <v>59</v>
      </c>
      <c r="P2049" s="8" t="s">
        <v>59</v>
      </c>
      <c r="R2049" s="8">
        <v>0</v>
      </c>
      <c r="S2049" s="8">
        <v>0</v>
      </c>
      <c r="T2049" s="8">
        <v>1</v>
      </c>
      <c r="U2049" s="8">
        <v>2</v>
      </c>
      <c r="AG2049" s="8" t="str">
        <f t="shared" si="125"/>
        <v/>
      </c>
      <c r="AI2049" s="8" t="str">
        <f t="shared" si="126"/>
        <v/>
      </c>
      <c r="AJ2049" s="8" t="str">
        <f t="shared" si="127"/>
        <v/>
      </c>
      <c r="AL2049" s="8" t="str">
        <f t="shared" si="128"/>
        <v/>
      </c>
    </row>
    <row r="2050" spans="1:38" x14ac:dyDescent="0.25">
      <c r="A2050" s="8" t="s">
        <v>2466</v>
      </c>
      <c r="B2050" s="8" t="s">
        <v>2467</v>
      </c>
      <c r="C2050" s="8">
        <v>30868301</v>
      </c>
      <c r="D2050" s="8">
        <v>5</v>
      </c>
      <c r="E2050" s="11">
        <v>43110</v>
      </c>
      <c r="F2050" s="8" t="s">
        <v>58</v>
      </c>
      <c r="G2050" s="11">
        <v>43110</v>
      </c>
      <c r="H2050" s="8" t="s">
        <v>25</v>
      </c>
      <c r="I2050" s="11">
        <v>43112</v>
      </c>
      <c r="J2050" s="8" t="s">
        <v>25</v>
      </c>
      <c r="N2050" s="8" t="s">
        <v>58</v>
      </c>
      <c r="O2050" s="8" t="s">
        <v>59</v>
      </c>
      <c r="P2050" s="8" t="s">
        <v>59</v>
      </c>
      <c r="R2050" s="8">
        <v>0</v>
      </c>
      <c r="S2050" s="8">
        <v>0</v>
      </c>
      <c r="T2050" s="8">
        <v>1</v>
      </c>
      <c r="U2050" s="8">
        <v>2</v>
      </c>
      <c r="X2050" s="8">
        <v>5</v>
      </c>
      <c r="AG2050" s="8" t="str">
        <f t="shared" si="125"/>
        <v/>
      </c>
      <c r="AI2050" s="8" t="str">
        <f t="shared" si="126"/>
        <v/>
      </c>
      <c r="AJ2050" s="8" t="str">
        <f t="shared" si="127"/>
        <v/>
      </c>
      <c r="AL2050" s="8" t="str">
        <f t="shared" si="128"/>
        <v/>
      </c>
    </row>
    <row r="2051" spans="1:38" x14ac:dyDescent="0.25">
      <c r="A2051" s="8" t="s">
        <v>2468</v>
      </c>
      <c r="B2051" s="8" t="s">
        <v>2469</v>
      </c>
      <c r="C2051" s="8">
        <v>30847273</v>
      </c>
      <c r="D2051" s="8">
        <v>5</v>
      </c>
      <c r="E2051" s="11">
        <v>43109</v>
      </c>
      <c r="F2051" s="8" t="s">
        <v>58</v>
      </c>
      <c r="G2051" s="11">
        <v>43110</v>
      </c>
      <c r="H2051" s="8" t="s">
        <v>25</v>
      </c>
      <c r="I2051" s="11">
        <v>43112</v>
      </c>
      <c r="J2051" s="8" t="s">
        <v>25</v>
      </c>
      <c r="N2051" s="8" t="s">
        <v>58</v>
      </c>
      <c r="O2051" s="8" t="s">
        <v>59</v>
      </c>
      <c r="P2051" s="8" t="s">
        <v>59</v>
      </c>
      <c r="R2051" s="8">
        <v>0</v>
      </c>
      <c r="S2051" s="8">
        <v>0</v>
      </c>
      <c r="T2051" s="8">
        <v>1</v>
      </c>
      <c r="U2051" s="8">
        <v>2</v>
      </c>
      <c r="X2051" s="8">
        <v>5</v>
      </c>
      <c r="AG2051" s="8" t="str">
        <f t="shared" ref="AG2051:AG2114" si="129">IF(AND(U2051="",G2051&lt;&gt;"",NOT(OR(R2051,S2051))),IF(NETWORKDAYS.INTL(G2051,TODAY(),11)&lt;5,"En Plazo",IF(NETWORKDAYS.INTL(G2051,TODAY(),11)=5,"Riesgo Incumplimiento","FALTA_02")),"")</f>
        <v/>
      </c>
      <c r="AI2051" s="8" t="str">
        <f t="shared" ref="AI2051:AI2114" si="130">IF(AND(O2051&lt;&gt;"B1",F2051="Rejected"),IF(W2051="","FALTA_04",""),"")</f>
        <v/>
      </c>
      <c r="AJ2051" s="8" t="str">
        <f t="shared" ref="AJ2051:AJ2114" si="131">IF(AND(X2051="",I2051&lt;&gt;"",NOT(OR(R2051,S2051))),IF(NETWORKDAYS.INTL(G2051,TODAY(),11)&lt;=1,"En Plazo",IF(OR(AND(X2051="",O2051&lt;&gt;"M1"),AND(O2051="M1",(OR(Q2051="S - S",Q2051="S - T",)))),"FALTA_05","")),"")</f>
        <v/>
      </c>
      <c r="AL2051" s="8" t="str">
        <f t="shared" ref="AL2051:AL2114" si="132">IF(AND(O2051="B1",F2051="Rejected"),IF(Z2051="","FALTA_07",""),"")</f>
        <v/>
      </c>
    </row>
    <row r="2052" spans="1:38" x14ac:dyDescent="0.25">
      <c r="A2052" s="8" t="s">
        <v>7362</v>
      </c>
      <c r="B2052" s="8" t="s">
        <v>7363</v>
      </c>
      <c r="C2052" s="8">
        <v>30938882</v>
      </c>
      <c r="D2052" s="8">
        <v>5</v>
      </c>
      <c r="E2052" s="11">
        <v>43115</v>
      </c>
      <c r="F2052" s="8" t="s">
        <v>57</v>
      </c>
      <c r="G2052" s="11">
        <v>43115</v>
      </c>
      <c r="H2052" s="8" t="s">
        <v>25</v>
      </c>
      <c r="J2052" s="8" t="s">
        <v>25</v>
      </c>
      <c r="N2052" s="8" t="s">
        <v>58</v>
      </c>
      <c r="O2052" s="8" t="s">
        <v>59</v>
      </c>
      <c r="P2052" s="8" t="s">
        <v>59</v>
      </c>
      <c r="R2052" s="8">
        <v>0</v>
      </c>
      <c r="S2052" s="8">
        <v>0</v>
      </c>
      <c r="T2052" s="8">
        <v>1</v>
      </c>
      <c r="U2052" s="8">
        <v>2</v>
      </c>
      <c r="AG2052" s="8" t="str">
        <f t="shared" si="129"/>
        <v/>
      </c>
      <c r="AI2052" s="8" t="str">
        <f t="shared" si="130"/>
        <v/>
      </c>
      <c r="AJ2052" s="8" t="str">
        <f t="shared" si="131"/>
        <v/>
      </c>
      <c r="AL2052" s="8" t="str">
        <f t="shared" si="132"/>
        <v/>
      </c>
    </row>
    <row r="2053" spans="1:38" x14ac:dyDescent="0.25">
      <c r="A2053" s="8" t="s">
        <v>1282</v>
      </c>
      <c r="B2053" s="8" t="s">
        <v>1283</v>
      </c>
      <c r="C2053" s="8">
        <v>30839880</v>
      </c>
      <c r="D2053" s="8">
        <v>5</v>
      </c>
      <c r="E2053" s="11">
        <v>43109</v>
      </c>
      <c r="F2053" s="8" t="s">
        <v>57</v>
      </c>
      <c r="G2053" s="11">
        <v>43109</v>
      </c>
      <c r="H2053" s="8" t="s">
        <v>25</v>
      </c>
      <c r="J2053" s="8" t="s">
        <v>25</v>
      </c>
      <c r="N2053" s="8" t="s">
        <v>58</v>
      </c>
      <c r="O2053" s="8" t="s">
        <v>59</v>
      </c>
      <c r="P2053" s="8" t="s">
        <v>59</v>
      </c>
      <c r="R2053" s="8">
        <v>0</v>
      </c>
      <c r="S2053" s="8">
        <v>0</v>
      </c>
      <c r="T2053" s="8">
        <v>1</v>
      </c>
      <c r="U2053" s="8">
        <v>2</v>
      </c>
      <c r="AG2053" s="8" t="str">
        <f t="shared" si="129"/>
        <v/>
      </c>
      <c r="AI2053" s="8" t="str">
        <f t="shared" si="130"/>
        <v/>
      </c>
      <c r="AJ2053" s="8" t="str">
        <f t="shared" si="131"/>
        <v/>
      </c>
      <c r="AL2053" s="8" t="str">
        <f t="shared" si="132"/>
        <v/>
      </c>
    </row>
    <row r="2054" spans="1:38" x14ac:dyDescent="0.25">
      <c r="A2054" s="8" t="s">
        <v>5560</v>
      </c>
      <c r="B2054" s="8" t="s">
        <v>5561</v>
      </c>
      <c r="C2054" s="8">
        <v>30898026</v>
      </c>
      <c r="D2054" s="8">
        <v>5</v>
      </c>
      <c r="E2054" s="11">
        <v>43111</v>
      </c>
      <c r="F2054" s="8" t="s">
        <v>57</v>
      </c>
      <c r="G2054" s="11">
        <v>43114</v>
      </c>
      <c r="H2054" s="8" t="s">
        <v>25</v>
      </c>
      <c r="J2054" s="8" t="s">
        <v>25</v>
      </c>
      <c r="N2054" s="8" t="s">
        <v>58</v>
      </c>
      <c r="O2054" s="8" t="s">
        <v>59</v>
      </c>
      <c r="P2054" s="8" t="s">
        <v>59</v>
      </c>
      <c r="R2054" s="8">
        <v>0</v>
      </c>
      <c r="S2054" s="8">
        <v>0</v>
      </c>
      <c r="T2054" s="8">
        <v>1</v>
      </c>
      <c r="U2054" s="8">
        <v>2</v>
      </c>
      <c r="AG2054" s="8" t="str">
        <f t="shared" si="129"/>
        <v/>
      </c>
      <c r="AI2054" s="8" t="str">
        <f t="shared" si="130"/>
        <v/>
      </c>
      <c r="AJ2054" s="8" t="str">
        <f t="shared" si="131"/>
        <v/>
      </c>
      <c r="AL2054" s="8" t="str">
        <f t="shared" si="132"/>
        <v/>
      </c>
    </row>
    <row r="2055" spans="1:38" x14ac:dyDescent="0.25">
      <c r="A2055" s="8" t="s">
        <v>3959</v>
      </c>
      <c r="B2055" s="8" t="s">
        <v>3960</v>
      </c>
      <c r="C2055" s="8">
        <v>30889100</v>
      </c>
      <c r="D2055" s="8">
        <v>5</v>
      </c>
      <c r="E2055" s="11">
        <v>43111</v>
      </c>
      <c r="F2055" s="8" t="s">
        <v>57</v>
      </c>
      <c r="G2055" s="11">
        <v>43111</v>
      </c>
      <c r="H2055" s="8" t="s">
        <v>25</v>
      </c>
      <c r="J2055" s="8" t="s">
        <v>25</v>
      </c>
      <c r="N2055" s="8" t="s">
        <v>58</v>
      </c>
      <c r="O2055" s="8" t="s">
        <v>59</v>
      </c>
      <c r="P2055" s="8" t="s">
        <v>59</v>
      </c>
      <c r="R2055" s="8">
        <v>0</v>
      </c>
      <c r="S2055" s="8">
        <v>0</v>
      </c>
      <c r="T2055" s="8">
        <v>1</v>
      </c>
      <c r="U2055" s="8">
        <v>2</v>
      </c>
      <c r="AG2055" s="8" t="str">
        <f t="shared" si="129"/>
        <v/>
      </c>
      <c r="AI2055" s="8" t="str">
        <f t="shared" si="130"/>
        <v/>
      </c>
      <c r="AJ2055" s="8" t="str">
        <f t="shared" si="131"/>
        <v/>
      </c>
      <c r="AL2055" s="8" t="str">
        <f t="shared" si="132"/>
        <v/>
      </c>
    </row>
    <row r="2056" spans="1:38" x14ac:dyDescent="0.25">
      <c r="A2056" s="8" t="s">
        <v>3961</v>
      </c>
      <c r="B2056" s="8" t="s">
        <v>3962</v>
      </c>
      <c r="C2056" s="8">
        <v>30889131</v>
      </c>
      <c r="D2056" s="8">
        <v>5</v>
      </c>
      <c r="E2056" s="11">
        <v>43111</v>
      </c>
      <c r="F2056" s="8" t="s">
        <v>58</v>
      </c>
      <c r="G2056" s="11">
        <v>43111</v>
      </c>
      <c r="H2056" s="8" t="s">
        <v>25</v>
      </c>
      <c r="I2056" s="11">
        <v>43115</v>
      </c>
      <c r="J2056" s="8" t="s">
        <v>25</v>
      </c>
      <c r="N2056" s="8" t="s">
        <v>58</v>
      </c>
      <c r="O2056" s="8" t="s">
        <v>59</v>
      </c>
      <c r="P2056" s="8" t="s">
        <v>59</v>
      </c>
      <c r="R2056" s="8">
        <v>0</v>
      </c>
      <c r="S2056" s="8">
        <v>0</v>
      </c>
      <c r="T2056" s="8">
        <v>1</v>
      </c>
      <c r="U2056" s="8">
        <v>2</v>
      </c>
      <c r="X2056" s="8">
        <v>5</v>
      </c>
      <c r="AG2056" s="8" t="str">
        <f t="shared" si="129"/>
        <v/>
      </c>
      <c r="AI2056" s="8" t="str">
        <f t="shared" si="130"/>
        <v/>
      </c>
      <c r="AJ2056" s="8" t="str">
        <f t="shared" si="131"/>
        <v/>
      </c>
      <c r="AL2056" s="8" t="str">
        <f t="shared" si="132"/>
        <v/>
      </c>
    </row>
    <row r="2057" spans="1:38" x14ac:dyDescent="0.25">
      <c r="A2057" s="8" t="s">
        <v>2470</v>
      </c>
      <c r="B2057" s="8" t="s">
        <v>2471</v>
      </c>
      <c r="C2057" s="8">
        <v>30850756</v>
      </c>
      <c r="D2057" s="8">
        <v>5</v>
      </c>
      <c r="E2057" s="11">
        <v>43109</v>
      </c>
      <c r="F2057" s="8" t="s">
        <v>58</v>
      </c>
      <c r="G2057" s="11">
        <v>43110</v>
      </c>
      <c r="H2057" s="8" t="s">
        <v>25</v>
      </c>
      <c r="I2057" s="11">
        <v>43115</v>
      </c>
      <c r="J2057" s="8" t="s">
        <v>145</v>
      </c>
      <c r="N2057" s="8" t="s">
        <v>58</v>
      </c>
      <c r="O2057" s="8" t="s">
        <v>59</v>
      </c>
      <c r="P2057" s="8" t="s">
        <v>59</v>
      </c>
      <c r="R2057" s="8">
        <v>0</v>
      </c>
      <c r="S2057" s="8">
        <v>0</v>
      </c>
      <c r="T2057" s="8">
        <v>1</v>
      </c>
      <c r="U2057" s="8">
        <v>2</v>
      </c>
      <c r="X2057" s="8">
        <v>5</v>
      </c>
      <c r="AG2057" s="8" t="str">
        <f t="shared" si="129"/>
        <v/>
      </c>
      <c r="AI2057" s="8" t="str">
        <f t="shared" si="130"/>
        <v/>
      </c>
      <c r="AJ2057" s="8" t="str">
        <f t="shared" si="131"/>
        <v/>
      </c>
      <c r="AL2057" s="8" t="str">
        <f t="shared" si="132"/>
        <v/>
      </c>
    </row>
    <row r="2058" spans="1:38" x14ac:dyDescent="0.25">
      <c r="A2058" s="8" t="s">
        <v>7364</v>
      </c>
      <c r="B2058" s="8" t="s">
        <v>7365</v>
      </c>
      <c r="C2058" s="8">
        <v>30941518</v>
      </c>
      <c r="D2058" s="8">
        <v>5</v>
      </c>
      <c r="E2058" s="11">
        <v>43115</v>
      </c>
      <c r="F2058" s="8" t="s">
        <v>57</v>
      </c>
      <c r="G2058" s="11">
        <v>43115</v>
      </c>
      <c r="H2058" s="8" t="s">
        <v>25</v>
      </c>
      <c r="J2058" s="8" t="s">
        <v>25</v>
      </c>
      <c r="N2058" s="8" t="s">
        <v>58</v>
      </c>
      <c r="O2058" s="8" t="s">
        <v>59</v>
      </c>
      <c r="P2058" s="8" t="s">
        <v>59</v>
      </c>
      <c r="R2058" s="8">
        <v>0</v>
      </c>
      <c r="S2058" s="8">
        <v>0</v>
      </c>
      <c r="T2058" s="8">
        <v>1</v>
      </c>
      <c r="U2058" s="8">
        <v>2</v>
      </c>
      <c r="AG2058" s="8" t="str">
        <f t="shared" si="129"/>
        <v/>
      </c>
      <c r="AI2058" s="8" t="str">
        <f t="shared" si="130"/>
        <v/>
      </c>
      <c r="AJ2058" s="8" t="str">
        <f t="shared" si="131"/>
        <v/>
      </c>
      <c r="AL2058" s="8" t="str">
        <f t="shared" si="132"/>
        <v/>
      </c>
    </row>
    <row r="2059" spans="1:38" x14ac:dyDescent="0.25">
      <c r="A2059" s="8" t="s">
        <v>2472</v>
      </c>
      <c r="B2059" s="8" t="s">
        <v>2473</v>
      </c>
      <c r="C2059" s="8">
        <v>30858822</v>
      </c>
      <c r="D2059" s="8">
        <v>5</v>
      </c>
      <c r="E2059" s="11">
        <v>43110</v>
      </c>
      <c r="F2059" s="8" t="s">
        <v>58</v>
      </c>
      <c r="G2059" s="11">
        <v>43110</v>
      </c>
      <c r="H2059" s="8" t="s">
        <v>25</v>
      </c>
      <c r="I2059" s="11">
        <v>43115</v>
      </c>
      <c r="J2059" s="8" t="s">
        <v>145</v>
      </c>
      <c r="N2059" s="8" t="s">
        <v>58</v>
      </c>
      <c r="O2059" s="8" t="s">
        <v>59</v>
      </c>
      <c r="P2059" s="8" t="s">
        <v>59</v>
      </c>
      <c r="R2059" s="8">
        <v>0</v>
      </c>
      <c r="S2059" s="8">
        <v>0</v>
      </c>
      <c r="T2059" s="8">
        <v>1</v>
      </c>
      <c r="U2059" s="8">
        <v>2</v>
      </c>
      <c r="X2059" s="8">
        <v>5</v>
      </c>
      <c r="AG2059" s="8" t="str">
        <f t="shared" si="129"/>
        <v/>
      </c>
      <c r="AI2059" s="8" t="str">
        <f t="shared" si="130"/>
        <v/>
      </c>
      <c r="AJ2059" s="8" t="str">
        <f t="shared" si="131"/>
        <v/>
      </c>
      <c r="AL2059" s="8" t="str">
        <f t="shared" si="132"/>
        <v/>
      </c>
    </row>
    <row r="2060" spans="1:38" x14ac:dyDescent="0.25">
      <c r="A2060" s="8" t="s">
        <v>5562</v>
      </c>
      <c r="B2060" s="8" t="s">
        <v>5563</v>
      </c>
      <c r="C2060" s="8">
        <v>30913723</v>
      </c>
      <c r="D2060" s="8">
        <v>5</v>
      </c>
      <c r="E2060" s="11">
        <v>43112</v>
      </c>
      <c r="F2060" s="8" t="s">
        <v>57</v>
      </c>
      <c r="G2060" s="11">
        <v>43114</v>
      </c>
      <c r="H2060" s="8" t="s">
        <v>25</v>
      </c>
      <c r="J2060" s="8" t="s">
        <v>25</v>
      </c>
      <c r="N2060" s="8" t="s">
        <v>58</v>
      </c>
      <c r="O2060" s="8" t="s">
        <v>59</v>
      </c>
      <c r="P2060" s="8" t="s">
        <v>59</v>
      </c>
      <c r="R2060" s="8">
        <v>0</v>
      </c>
      <c r="S2060" s="8">
        <v>0</v>
      </c>
      <c r="T2060" s="8">
        <v>1</v>
      </c>
      <c r="U2060" s="8">
        <v>2</v>
      </c>
      <c r="AG2060" s="8" t="str">
        <f t="shared" si="129"/>
        <v/>
      </c>
      <c r="AI2060" s="8" t="str">
        <f t="shared" si="130"/>
        <v/>
      </c>
      <c r="AJ2060" s="8" t="str">
        <f t="shared" si="131"/>
        <v/>
      </c>
      <c r="AL2060" s="8" t="str">
        <f t="shared" si="132"/>
        <v/>
      </c>
    </row>
    <row r="2061" spans="1:38" x14ac:dyDescent="0.25">
      <c r="A2061" s="8" t="s">
        <v>5564</v>
      </c>
      <c r="B2061" s="8" t="s">
        <v>5565</v>
      </c>
      <c r="C2061" s="8">
        <v>30910249</v>
      </c>
      <c r="D2061" s="8">
        <v>5</v>
      </c>
      <c r="E2061" s="11">
        <v>43112</v>
      </c>
      <c r="F2061" s="8" t="s">
        <v>57</v>
      </c>
      <c r="G2061" s="11">
        <v>43114</v>
      </c>
      <c r="H2061" s="8" t="s">
        <v>25</v>
      </c>
      <c r="J2061" s="8" t="s">
        <v>25</v>
      </c>
      <c r="N2061" s="8" t="s">
        <v>58</v>
      </c>
      <c r="O2061" s="8" t="s">
        <v>59</v>
      </c>
      <c r="P2061" s="8" t="s">
        <v>59</v>
      </c>
      <c r="R2061" s="8">
        <v>0</v>
      </c>
      <c r="S2061" s="8">
        <v>0</v>
      </c>
      <c r="T2061" s="8">
        <v>1</v>
      </c>
      <c r="U2061" s="8">
        <v>2</v>
      </c>
      <c r="AG2061" s="8" t="str">
        <f t="shared" si="129"/>
        <v/>
      </c>
      <c r="AI2061" s="8" t="str">
        <f t="shared" si="130"/>
        <v/>
      </c>
      <c r="AJ2061" s="8" t="str">
        <f t="shared" si="131"/>
        <v/>
      </c>
      <c r="AL2061" s="8" t="str">
        <f t="shared" si="132"/>
        <v/>
      </c>
    </row>
    <row r="2062" spans="1:38" x14ac:dyDescent="0.25">
      <c r="A2062" s="8" t="s">
        <v>3963</v>
      </c>
      <c r="B2062" s="8" t="s">
        <v>120</v>
      </c>
      <c r="C2062" s="8">
        <v>30898932</v>
      </c>
      <c r="D2062" s="8">
        <v>4</v>
      </c>
      <c r="E2062" s="11">
        <v>43111</v>
      </c>
      <c r="F2062" s="8" t="s">
        <v>58</v>
      </c>
      <c r="G2062" s="11">
        <v>43111</v>
      </c>
      <c r="H2062" s="8" t="s">
        <v>25</v>
      </c>
      <c r="I2062" s="11">
        <v>43112</v>
      </c>
      <c r="J2062" s="8" t="s">
        <v>25</v>
      </c>
      <c r="N2062" s="8" t="s">
        <v>58</v>
      </c>
      <c r="O2062" s="8" t="s">
        <v>59</v>
      </c>
      <c r="P2062" s="8" t="s">
        <v>59</v>
      </c>
      <c r="R2062" s="8">
        <v>0</v>
      </c>
      <c r="S2062" s="8">
        <v>0</v>
      </c>
      <c r="T2062" s="8">
        <v>1</v>
      </c>
      <c r="U2062" s="8">
        <v>2</v>
      </c>
      <c r="X2062" s="8">
        <v>5</v>
      </c>
      <c r="Y2062" s="8">
        <v>6</v>
      </c>
      <c r="Z2062" s="8">
        <v>7</v>
      </c>
      <c r="AG2062" s="8" t="str">
        <f t="shared" si="129"/>
        <v/>
      </c>
      <c r="AI2062" s="8" t="str">
        <f t="shared" si="130"/>
        <v/>
      </c>
      <c r="AJ2062" s="8" t="str">
        <f t="shared" si="131"/>
        <v/>
      </c>
      <c r="AL2062" s="8" t="str">
        <f t="shared" si="132"/>
        <v/>
      </c>
    </row>
    <row r="2063" spans="1:38" x14ac:dyDescent="0.25">
      <c r="A2063" s="8" t="s">
        <v>5566</v>
      </c>
      <c r="B2063" s="8" t="s">
        <v>5567</v>
      </c>
      <c r="C2063" s="8">
        <v>30900121</v>
      </c>
      <c r="D2063" s="8">
        <v>5</v>
      </c>
      <c r="E2063" s="11">
        <v>43111</v>
      </c>
      <c r="F2063" s="8" t="s">
        <v>57</v>
      </c>
      <c r="G2063" s="11">
        <v>43114</v>
      </c>
      <c r="H2063" s="8" t="s">
        <v>25</v>
      </c>
      <c r="J2063" s="8" t="s">
        <v>25</v>
      </c>
      <c r="N2063" s="8" t="s">
        <v>58</v>
      </c>
      <c r="O2063" s="8" t="s">
        <v>59</v>
      </c>
      <c r="P2063" s="8" t="s">
        <v>59</v>
      </c>
      <c r="R2063" s="8">
        <v>0</v>
      </c>
      <c r="S2063" s="8">
        <v>0</v>
      </c>
      <c r="T2063" s="8">
        <v>1</v>
      </c>
      <c r="U2063" s="8">
        <v>2</v>
      </c>
      <c r="AG2063" s="8" t="str">
        <f t="shared" si="129"/>
        <v/>
      </c>
      <c r="AI2063" s="8" t="str">
        <f t="shared" si="130"/>
        <v/>
      </c>
      <c r="AJ2063" s="8" t="str">
        <f t="shared" si="131"/>
        <v/>
      </c>
      <c r="AL2063" s="8" t="str">
        <f t="shared" si="132"/>
        <v/>
      </c>
    </row>
    <row r="2064" spans="1:38" x14ac:dyDescent="0.25">
      <c r="A2064" s="8" t="s">
        <v>2474</v>
      </c>
      <c r="B2064" s="8" t="s">
        <v>2475</v>
      </c>
      <c r="C2064" s="8">
        <v>30859873</v>
      </c>
      <c r="D2064" s="8">
        <v>5</v>
      </c>
      <c r="E2064" s="11">
        <v>43110</v>
      </c>
      <c r="F2064" s="8" t="s">
        <v>57</v>
      </c>
      <c r="G2064" s="11">
        <v>43110</v>
      </c>
      <c r="H2064" s="8" t="s">
        <v>25</v>
      </c>
      <c r="J2064" s="8" t="s">
        <v>25</v>
      </c>
      <c r="N2064" s="8" t="s">
        <v>58</v>
      </c>
      <c r="O2064" s="8" t="s">
        <v>59</v>
      </c>
      <c r="P2064" s="8" t="s">
        <v>59</v>
      </c>
      <c r="R2064" s="8">
        <v>0</v>
      </c>
      <c r="S2064" s="8">
        <v>0</v>
      </c>
      <c r="T2064" s="8">
        <v>1</v>
      </c>
      <c r="U2064" s="8">
        <v>2</v>
      </c>
      <c r="AG2064" s="8" t="str">
        <f t="shared" si="129"/>
        <v/>
      </c>
      <c r="AI2064" s="8" t="str">
        <f t="shared" si="130"/>
        <v/>
      </c>
      <c r="AJ2064" s="8" t="str">
        <f t="shared" si="131"/>
        <v/>
      </c>
      <c r="AL2064" s="8" t="str">
        <f t="shared" si="132"/>
        <v/>
      </c>
    </row>
    <row r="2065" spans="1:38" x14ac:dyDescent="0.25">
      <c r="A2065" s="8" t="s">
        <v>2476</v>
      </c>
      <c r="B2065" s="8" t="s">
        <v>2477</v>
      </c>
      <c r="C2065" s="8">
        <v>30856599</v>
      </c>
      <c r="D2065" s="8">
        <v>5</v>
      </c>
      <c r="E2065" s="11">
        <v>43110</v>
      </c>
      <c r="F2065" s="8" t="s">
        <v>57</v>
      </c>
      <c r="G2065" s="11">
        <v>43110</v>
      </c>
      <c r="H2065" s="8" t="s">
        <v>25</v>
      </c>
      <c r="J2065" s="8" t="s">
        <v>25</v>
      </c>
      <c r="N2065" s="8" t="s">
        <v>58</v>
      </c>
      <c r="O2065" s="8" t="s">
        <v>59</v>
      </c>
      <c r="P2065" s="8" t="s">
        <v>59</v>
      </c>
      <c r="R2065" s="8">
        <v>0</v>
      </c>
      <c r="S2065" s="8">
        <v>0</v>
      </c>
      <c r="T2065" s="8">
        <v>1</v>
      </c>
      <c r="U2065" s="8">
        <v>2</v>
      </c>
      <c r="AG2065" s="8" t="str">
        <f t="shared" si="129"/>
        <v/>
      </c>
      <c r="AI2065" s="8" t="str">
        <f t="shared" si="130"/>
        <v/>
      </c>
      <c r="AJ2065" s="8" t="str">
        <f t="shared" si="131"/>
        <v/>
      </c>
      <c r="AL2065" s="8" t="str">
        <f t="shared" si="132"/>
        <v/>
      </c>
    </row>
    <row r="2066" spans="1:38" x14ac:dyDescent="0.25">
      <c r="A2066" s="8" t="s">
        <v>5568</v>
      </c>
      <c r="B2066" s="8" t="s">
        <v>5569</v>
      </c>
      <c r="C2066" s="8">
        <v>30900378</v>
      </c>
      <c r="D2066" s="8">
        <v>5</v>
      </c>
      <c r="E2066" s="11">
        <v>43111</v>
      </c>
      <c r="F2066" s="8" t="s">
        <v>57</v>
      </c>
      <c r="G2066" s="11">
        <v>43114</v>
      </c>
      <c r="H2066" s="8" t="s">
        <v>25</v>
      </c>
      <c r="J2066" s="8" t="s">
        <v>25</v>
      </c>
      <c r="N2066" s="8" t="s">
        <v>58</v>
      </c>
      <c r="O2066" s="8" t="s">
        <v>59</v>
      </c>
      <c r="P2066" s="8" t="s">
        <v>59</v>
      </c>
      <c r="R2066" s="8">
        <v>0</v>
      </c>
      <c r="S2066" s="8">
        <v>0</v>
      </c>
      <c r="T2066" s="8">
        <v>1</v>
      </c>
      <c r="U2066" s="8">
        <v>2</v>
      </c>
      <c r="AG2066" s="8" t="str">
        <f t="shared" si="129"/>
        <v/>
      </c>
      <c r="AI2066" s="8" t="str">
        <f t="shared" si="130"/>
        <v/>
      </c>
      <c r="AJ2066" s="8" t="str">
        <f t="shared" si="131"/>
        <v/>
      </c>
      <c r="AL2066" s="8" t="str">
        <f t="shared" si="132"/>
        <v/>
      </c>
    </row>
    <row r="2067" spans="1:38" x14ac:dyDescent="0.25">
      <c r="A2067" s="8" t="s">
        <v>2478</v>
      </c>
      <c r="B2067" s="8" t="s">
        <v>2479</v>
      </c>
      <c r="C2067" s="8">
        <v>30844403</v>
      </c>
      <c r="D2067" s="8">
        <v>5</v>
      </c>
      <c r="E2067" s="11">
        <v>43109</v>
      </c>
      <c r="F2067" s="8" t="s">
        <v>58</v>
      </c>
      <c r="G2067" s="11">
        <v>43110</v>
      </c>
      <c r="H2067" s="8" t="s">
        <v>25</v>
      </c>
      <c r="I2067" s="11">
        <v>43112</v>
      </c>
      <c r="J2067" s="8" t="s">
        <v>25</v>
      </c>
      <c r="N2067" s="8" t="s">
        <v>58</v>
      </c>
      <c r="O2067" s="8" t="s">
        <v>59</v>
      </c>
      <c r="P2067" s="8" t="s">
        <v>59</v>
      </c>
      <c r="R2067" s="8">
        <v>0</v>
      </c>
      <c r="S2067" s="8">
        <v>0</v>
      </c>
      <c r="T2067" s="8">
        <v>1</v>
      </c>
      <c r="U2067" s="8">
        <v>2</v>
      </c>
      <c r="X2067" s="8">
        <v>5</v>
      </c>
      <c r="AG2067" s="8" t="str">
        <f t="shared" si="129"/>
        <v/>
      </c>
      <c r="AI2067" s="8" t="str">
        <f t="shared" si="130"/>
        <v/>
      </c>
      <c r="AJ2067" s="8" t="str">
        <f t="shared" si="131"/>
        <v/>
      </c>
      <c r="AL2067" s="8" t="str">
        <f t="shared" si="132"/>
        <v/>
      </c>
    </row>
    <row r="2068" spans="1:38" x14ac:dyDescent="0.25">
      <c r="A2068" s="8" t="s">
        <v>7366</v>
      </c>
      <c r="B2068" s="8" t="s">
        <v>7367</v>
      </c>
      <c r="C2068" s="8">
        <v>30939086</v>
      </c>
      <c r="D2068" s="8">
        <v>5</v>
      </c>
      <c r="E2068" s="11">
        <v>43115</v>
      </c>
      <c r="F2068" s="8" t="s">
        <v>57</v>
      </c>
      <c r="G2068" s="11">
        <v>43115</v>
      </c>
      <c r="H2068" s="8" t="s">
        <v>25</v>
      </c>
      <c r="J2068" s="8" t="s">
        <v>25</v>
      </c>
      <c r="N2068" s="8" t="s">
        <v>58</v>
      </c>
      <c r="O2068" s="8" t="s">
        <v>59</v>
      </c>
      <c r="P2068" s="8" t="s">
        <v>59</v>
      </c>
      <c r="R2068" s="8">
        <v>0</v>
      </c>
      <c r="S2068" s="8">
        <v>0</v>
      </c>
      <c r="T2068" s="8">
        <v>1</v>
      </c>
      <c r="U2068" s="8">
        <v>2</v>
      </c>
      <c r="AG2068" s="8" t="str">
        <f t="shared" si="129"/>
        <v/>
      </c>
      <c r="AI2068" s="8" t="str">
        <f t="shared" si="130"/>
        <v/>
      </c>
      <c r="AJ2068" s="8" t="str">
        <f t="shared" si="131"/>
        <v/>
      </c>
      <c r="AL2068" s="8" t="str">
        <f t="shared" si="132"/>
        <v/>
      </c>
    </row>
    <row r="2069" spans="1:38" x14ac:dyDescent="0.25">
      <c r="A2069" s="8" t="s">
        <v>1284</v>
      </c>
      <c r="B2069" s="8" t="s">
        <v>1285</v>
      </c>
      <c r="C2069" s="8">
        <v>30816812</v>
      </c>
      <c r="D2069" s="8">
        <v>5</v>
      </c>
      <c r="E2069" s="11">
        <v>43108</v>
      </c>
      <c r="F2069" s="8" t="s">
        <v>57</v>
      </c>
      <c r="G2069" s="11">
        <v>43109</v>
      </c>
      <c r="H2069" s="8" t="s">
        <v>25</v>
      </c>
      <c r="J2069" s="8" t="s">
        <v>25</v>
      </c>
      <c r="N2069" s="8" t="s">
        <v>58</v>
      </c>
      <c r="O2069" s="8" t="s">
        <v>59</v>
      </c>
      <c r="P2069" s="8" t="s">
        <v>59</v>
      </c>
      <c r="R2069" s="8">
        <v>0</v>
      </c>
      <c r="S2069" s="8">
        <v>0</v>
      </c>
      <c r="T2069" s="8">
        <v>1</v>
      </c>
      <c r="U2069" s="8">
        <v>2</v>
      </c>
      <c r="AG2069" s="8" t="str">
        <f t="shared" si="129"/>
        <v/>
      </c>
      <c r="AI2069" s="8" t="str">
        <f t="shared" si="130"/>
        <v/>
      </c>
      <c r="AJ2069" s="8" t="str">
        <f t="shared" si="131"/>
        <v/>
      </c>
      <c r="AL2069" s="8" t="str">
        <f t="shared" si="132"/>
        <v/>
      </c>
    </row>
    <row r="2070" spans="1:38" x14ac:dyDescent="0.25">
      <c r="A2070" s="8" t="s">
        <v>2480</v>
      </c>
      <c r="B2070" s="8" t="s">
        <v>2481</v>
      </c>
      <c r="C2070" s="8">
        <v>30866256</v>
      </c>
      <c r="D2070" s="8">
        <v>4</v>
      </c>
      <c r="E2070" s="11">
        <v>43110</v>
      </c>
      <c r="F2070" s="8" t="s">
        <v>58</v>
      </c>
      <c r="G2070" s="11">
        <v>43110</v>
      </c>
      <c r="H2070" s="8" t="s">
        <v>25</v>
      </c>
      <c r="I2070" s="11">
        <v>43112</v>
      </c>
      <c r="J2070" s="8" t="s">
        <v>25</v>
      </c>
      <c r="N2070" s="8" t="s">
        <v>58</v>
      </c>
      <c r="O2070" s="8" t="s">
        <v>59</v>
      </c>
      <c r="P2070" s="8" t="s">
        <v>59</v>
      </c>
      <c r="R2070" s="8">
        <v>0</v>
      </c>
      <c r="S2070" s="8">
        <v>0</v>
      </c>
      <c r="T2070" s="8">
        <v>1</v>
      </c>
      <c r="U2070" s="8">
        <v>2</v>
      </c>
      <c r="X2070" s="8">
        <v>5</v>
      </c>
      <c r="AG2070" s="8" t="str">
        <f t="shared" si="129"/>
        <v/>
      </c>
      <c r="AI2070" s="8" t="str">
        <f t="shared" si="130"/>
        <v/>
      </c>
      <c r="AJ2070" s="8" t="str">
        <f t="shared" si="131"/>
        <v/>
      </c>
      <c r="AL2070" s="8" t="str">
        <f t="shared" si="132"/>
        <v/>
      </c>
    </row>
    <row r="2071" spans="1:38" x14ac:dyDescent="0.25">
      <c r="A2071" s="8" t="s">
        <v>3964</v>
      </c>
      <c r="B2071" s="8" t="s">
        <v>3965</v>
      </c>
      <c r="C2071" s="8">
        <v>30873645</v>
      </c>
      <c r="D2071" s="8">
        <v>5</v>
      </c>
      <c r="E2071" s="11">
        <v>43110</v>
      </c>
      <c r="F2071" s="8" t="s">
        <v>57</v>
      </c>
      <c r="G2071" s="11">
        <v>43111</v>
      </c>
      <c r="H2071" s="8" t="s">
        <v>25</v>
      </c>
      <c r="J2071" s="8" t="s">
        <v>25</v>
      </c>
      <c r="N2071" s="8" t="s">
        <v>58</v>
      </c>
      <c r="O2071" s="8" t="s">
        <v>59</v>
      </c>
      <c r="P2071" s="8" t="s">
        <v>59</v>
      </c>
      <c r="R2071" s="8">
        <v>0</v>
      </c>
      <c r="S2071" s="8">
        <v>0</v>
      </c>
      <c r="T2071" s="8">
        <v>1</v>
      </c>
      <c r="U2071" s="8">
        <v>2</v>
      </c>
      <c r="AG2071" s="8" t="str">
        <f t="shared" si="129"/>
        <v/>
      </c>
      <c r="AI2071" s="8" t="str">
        <f t="shared" si="130"/>
        <v/>
      </c>
      <c r="AJ2071" s="8" t="str">
        <f t="shared" si="131"/>
        <v/>
      </c>
      <c r="AL2071" s="8" t="str">
        <f t="shared" si="132"/>
        <v/>
      </c>
    </row>
    <row r="2072" spans="1:38" x14ac:dyDescent="0.25">
      <c r="A2072" s="8" t="s">
        <v>5570</v>
      </c>
      <c r="B2072" s="8" t="s">
        <v>5571</v>
      </c>
      <c r="C2072" s="8">
        <v>30901800</v>
      </c>
      <c r="D2072" s="8">
        <v>5</v>
      </c>
      <c r="E2072" s="11">
        <v>43111</v>
      </c>
      <c r="F2072" s="8" t="s">
        <v>57</v>
      </c>
      <c r="G2072" s="11">
        <v>43114</v>
      </c>
      <c r="H2072" s="8" t="s">
        <v>25</v>
      </c>
      <c r="J2072" s="8" t="s">
        <v>25</v>
      </c>
      <c r="N2072" s="8" t="s">
        <v>58</v>
      </c>
      <c r="O2072" s="8" t="s">
        <v>59</v>
      </c>
      <c r="P2072" s="8" t="s">
        <v>59</v>
      </c>
      <c r="R2072" s="8">
        <v>0</v>
      </c>
      <c r="S2072" s="8">
        <v>0</v>
      </c>
      <c r="T2072" s="8">
        <v>1</v>
      </c>
      <c r="U2072" s="8">
        <v>2</v>
      </c>
      <c r="AG2072" s="8" t="str">
        <f t="shared" si="129"/>
        <v/>
      </c>
      <c r="AI2072" s="8" t="str">
        <f t="shared" si="130"/>
        <v/>
      </c>
      <c r="AJ2072" s="8" t="str">
        <f t="shared" si="131"/>
        <v/>
      </c>
      <c r="AL2072" s="8" t="str">
        <f t="shared" si="132"/>
        <v/>
      </c>
    </row>
    <row r="2073" spans="1:38" x14ac:dyDescent="0.25">
      <c r="A2073" s="8" t="s">
        <v>1286</v>
      </c>
      <c r="B2073" s="8" t="s">
        <v>1287</v>
      </c>
      <c r="C2073" s="8">
        <v>30827811</v>
      </c>
      <c r="D2073" s="8">
        <v>5</v>
      </c>
      <c r="E2073" s="11">
        <v>43108</v>
      </c>
      <c r="F2073" s="8" t="s">
        <v>57</v>
      </c>
      <c r="G2073" s="11">
        <v>43109</v>
      </c>
      <c r="H2073" s="8" t="s">
        <v>25</v>
      </c>
      <c r="J2073" s="8" t="s">
        <v>25</v>
      </c>
      <c r="N2073" s="8" t="s">
        <v>58</v>
      </c>
      <c r="O2073" s="8" t="s">
        <v>59</v>
      </c>
      <c r="P2073" s="8" t="s">
        <v>59</v>
      </c>
      <c r="R2073" s="8">
        <v>0</v>
      </c>
      <c r="S2073" s="8">
        <v>0</v>
      </c>
      <c r="T2073" s="8">
        <v>1</v>
      </c>
      <c r="U2073" s="8">
        <v>2</v>
      </c>
      <c r="AG2073" s="8" t="str">
        <f t="shared" si="129"/>
        <v/>
      </c>
      <c r="AI2073" s="8" t="str">
        <f t="shared" si="130"/>
        <v/>
      </c>
      <c r="AJ2073" s="8" t="str">
        <f t="shared" si="131"/>
        <v/>
      </c>
      <c r="AL2073" s="8" t="str">
        <f t="shared" si="132"/>
        <v/>
      </c>
    </row>
    <row r="2074" spans="1:38" x14ac:dyDescent="0.25">
      <c r="A2074" s="8" t="s">
        <v>1288</v>
      </c>
      <c r="B2074" s="8" t="s">
        <v>1289</v>
      </c>
      <c r="C2074" s="8">
        <v>30834183</v>
      </c>
      <c r="D2074" s="8">
        <v>5</v>
      </c>
      <c r="E2074" s="11">
        <v>43109</v>
      </c>
      <c r="F2074" s="8" t="s">
        <v>57</v>
      </c>
      <c r="G2074" s="11">
        <v>43109</v>
      </c>
      <c r="H2074" s="8" t="s">
        <v>25</v>
      </c>
      <c r="J2074" s="8" t="s">
        <v>25</v>
      </c>
      <c r="N2074" s="8" t="s">
        <v>58</v>
      </c>
      <c r="O2074" s="8" t="s">
        <v>59</v>
      </c>
      <c r="P2074" s="8" t="s">
        <v>59</v>
      </c>
      <c r="R2074" s="8">
        <v>0</v>
      </c>
      <c r="S2074" s="8">
        <v>0</v>
      </c>
      <c r="T2074" s="8">
        <v>1</v>
      </c>
      <c r="U2074" s="8">
        <v>2</v>
      </c>
      <c r="AG2074" s="8" t="str">
        <f t="shared" si="129"/>
        <v/>
      </c>
      <c r="AI2074" s="8" t="str">
        <f t="shared" si="130"/>
        <v/>
      </c>
      <c r="AJ2074" s="8" t="str">
        <f t="shared" si="131"/>
        <v/>
      </c>
      <c r="AL2074" s="8" t="str">
        <f t="shared" si="132"/>
        <v/>
      </c>
    </row>
    <row r="2075" spans="1:38" x14ac:dyDescent="0.25">
      <c r="A2075" s="8" t="s">
        <v>1290</v>
      </c>
      <c r="B2075" s="8" t="s">
        <v>1291</v>
      </c>
      <c r="C2075" s="8">
        <v>30828024</v>
      </c>
      <c r="D2075" s="8">
        <v>5</v>
      </c>
      <c r="E2075" s="11">
        <v>43108</v>
      </c>
      <c r="F2075" s="8" t="s">
        <v>57</v>
      </c>
      <c r="G2075" s="11">
        <v>43109</v>
      </c>
      <c r="H2075" s="8" t="s">
        <v>25</v>
      </c>
      <c r="J2075" s="8" t="s">
        <v>25</v>
      </c>
      <c r="N2075" s="8" t="s">
        <v>58</v>
      </c>
      <c r="O2075" s="8" t="s">
        <v>59</v>
      </c>
      <c r="P2075" s="8" t="s">
        <v>59</v>
      </c>
      <c r="R2075" s="8">
        <v>0</v>
      </c>
      <c r="S2075" s="8">
        <v>0</v>
      </c>
      <c r="T2075" s="8">
        <v>1</v>
      </c>
      <c r="U2075" s="8">
        <v>2</v>
      </c>
      <c r="AG2075" s="8" t="str">
        <f t="shared" si="129"/>
        <v/>
      </c>
      <c r="AI2075" s="8" t="str">
        <f t="shared" si="130"/>
        <v/>
      </c>
      <c r="AJ2075" s="8" t="str">
        <f t="shared" si="131"/>
        <v/>
      </c>
      <c r="AL2075" s="8" t="str">
        <f t="shared" si="132"/>
        <v/>
      </c>
    </row>
    <row r="2076" spans="1:38" x14ac:dyDescent="0.25">
      <c r="A2076" s="8" t="s">
        <v>2482</v>
      </c>
      <c r="B2076" s="8" t="s">
        <v>2483</v>
      </c>
      <c r="C2076" s="8">
        <v>30851248</v>
      </c>
      <c r="D2076" s="8">
        <v>5</v>
      </c>
      <c r="E2076" s="11">
        <v>43109</v>
      </c>
      <c r="F2076" s="8" t="s">
        <v>57</v>
      </c>
      <c r="G2076" s="11">
        <v>43110</v>
      </c>
      <c r="H2076" s="8" t="s">
        <v>25</v>
      </c>
      <c r="J2076" s="8" t="s">
        <v>25</v>
      </c>
      <c r="N2076" s="8" t="s">
        <v>58</v>
      </c>
      <c r="O2076" s="8" t="s">
        <v>59</v>
      </c>
      <c r="P2076" s="8" t="s">
        <v>59</v>
      </c>
      <c r="R2076" s="8">
        <v>0</v>
      </c>
      <c r="S2076" s="8">
        <v>0</v>
      </c>
      <c r="T2076" s="8">
        <v>1</v>
      </c>
      <c r="U2076" s="8">
        <v>2</v>
      </c>
      <c r="AG2076" s="8" t="str">
        <f t="shared" si="129"/>
        <v/>
      </c>
      <c r="AI2076" s="8" t="str">
        <f t="shared" si="130"/>
        <v/>
      </c>
      <c r="AJ2076" s="8" t="str">
        <f t="shared" si="131"/>
        <v/>
      </c>
      <c r="AL2076" s="8" t="str">
        <f t="shared" si="132"/>
        <v/>
      </c>
    </row>
    <row r="2077" spans="1:38" x14ac:dyDescent="0.25">
      <c r="A2077" s="8" t="s">
        <v>1292</v>
      </c>
      <c r="B2077" s="8" t="s">
        <v>1293</v>
      </c>
      <c r="C2077" s="8">
        <v>30833034</v>
      </c>
      <c r="D2077" s="8">
        <v>5</v>
      </c>
      <c r="E2077" s="11">
        <v>43109</v>
      </c>
      <c r="F2077" s="8" t="s">
        <v>57</v>
      </c>
      <c r="G2077" s="11">
        <v>43109</v>
      </c>
      <c r="H2077" s="8" t="s">
        <v>25</v>
      </c>
      <c r="J2077" s="8" t="s">
        <v>25</v>
      </c>
      <c r="N2077" s="8" t="s">
        <v>58</v>
      </c>
      <c r="O2077" s="8" t="s">
        <v>59</v>
      </c>
      <c r="P2077" s="8" t="s">
        <v>59</v>
      </c>
      <c r="R2077" s="8">
        <v>0</v>
      </c>
      <c r="S2077" s="8">
        <v>0</v>
      </c>
      <c r="T2077" s="8">
        <v>1</v>
      </c>
      <c r="U2077" s="8">
        <v>2</v>
      </c>
      <c r="AG2077" s="8" t="str">
        <f t="shared" si="129"/>
        <v/>
      </c>
      <c r="AI2077" s="8" t="str">
        <f t="shared" si="130"/>
        <v/>
      </c>
      <c r="AJ2077" s="8" t="str">
        <f t="shared" si="131"/>
        <v/>
      </c>
      <c r="AL2077" s="8" t="str">
        <f t="shared" si="132"/>
        <v/>
      </c>
    </row>
    <row r="2078" spans="1:38" x14ac:dyDescent="0.25">
      <c r="A2078" s="8" t="s">
        <v>2484</v>
      </c>
      <c r="B2078" s="8" t="s">
        <v>2485</v>
      </c>
      <c r="C2078" s="8">
        <v>30847479</v>
      </c>
      <c r="D2078" s="8">
        <v>5</v>
      </c>
      <c r="E2078" s="11">
        <v>43109</v>
      </c>
      <c r="F2078" s="8" t="s">
        <v>58</v>
      </c>
      <c r="G2078" s="11">
        <v>43110</v>
      </c>
      <c r="H2078" s="8" t="s">
        <v>25</v>
      </c>
      <c r="I2078" s="11">
        <v>43111</v>
      </c>
      <c r="J2078" s="8" t="s">
        <v>25</v>
      </c>
      <c r="N2078" s="8" t="s">
        <v>58</v>
      </c>
      <c r="O2078" s="8" t="s">
        <v>59</v>
      </c>
      <c r="P2078" s="8" t="s">
        <v>59</v>
      </c>
      <c r="R2078" s="8">
        <v>0</v>
      </c>
      <c r="S2078" s="8">
        <v>0</v>
      </c>
      <c r="T2078" s="8">
        <v>1</v>
      </c>
      <c r="U2078" s="8">
        <v>2</v>
      </c>
      <c r="X2078" s="8">
        <v>5</v>
      </c>
      <c r="AG2078" s="8" t="str">
        <f t="shared" si="129"/>
        <v/>
      </c>
      <c r="AI2078" s="8" t="str">
        <f t="shared" si="130"/>
        <v/>
      </c>
      <c r="AJ2078" s="8" t="str">
        <f t="shared" si="131"/>
        <v/>
      </c>
      <c r="AL2078" s="8" t="str">
        <f t="shared" si="132"/>
        <v/>
      </c>
    </row>
    <row r="2079" spans="1:38" x14ac:dyDescent="0.25">
      <c r="A2079" s="8" t="s">
        <v>1294</v>
      </c>
      <c r="B2079" s="8" t="s">
        <v>1295</v>
      </c>
      <c r="C2079" s="8">
        <v>30817296</v>
      </c>
      <c r="D2079" s="8">
        <v>5</v>
      </c>
      <c r="E2079" s="11">
        <v>43108</v>
      </c>
      <c r="F2079" s="8" t="s">
        <v>58</v>
      </c>
      <c r="G2079" s="11">
        <v>43109</v>
      </c>
      <c r="H2079" s="8" t="s">
        <v>25</v>
      </c>
      <c r="I2079" s="11">
        <v>43110</v>
      </c>
      <c r="J2079" s="8" t="s">
        <v>25</v>
      </c>
      <c r="N2079" s="8" t="s">
        <v>58</v>
      </c>
      <c r="O2079" s="8" t="s">
        <v>59</v>
      </c>
      <c r="P2079" s="8" t="s">
        <v>59</v>
      </c>
      <c r="R2079" s="8">
        <v>0</v>
      </c>
      <c r="S2079" s="8">
        <v>0</v>
      </c>
      <c r="T2079" s="8">
        <v>1</v>
      </c>
      <c r="U2079" s="8">
        <v>2</v>
      </c>
      <c r="X2079" s="8">
        <v>5</v>
      </c>
      <c r="AG2079" s="8" t="str">
        <f t="shared" si="129"/>
        <v/>
      </c>
      <c r="AI2079" s="8" t="str">
        <f t="shared" si="130"/>
        <v/>
      </c>
      <c r="AJ2079" s="8" t="str">
        <f t="shared" si="131"/>
        <v/>
      </c>
      <c r="AL2079" s="8" t="str">
        <f t="shared" si="132"/>
        <v/>
      </c>
    </row>
    <row r="2080" spans="1:38" x14ac:dyDescent="0.25">
      <c r="A2080" s="8" t="s">
        <v>479</v>
      </c>
      <c r="B2080" s="8" t="s">
        <v>480</v>
      </c>
      <c r="C2080" s="8">
        <v>30806749</v>
      </c>
      <c r="D2080" s="8">
        <v>5</v>
      </c>
      <c r="E2080" s="11">
        <v>43108</v>
      </c>
      <c r="F2080" s="8" t="s">
        <v>58</v>
      </c>
      <c r="G2080" s="11">
        <v>43108</v>
      </c>
      <c r="H2080" s="8" t="s">
        <v>25</v>
      </c>
      <c r="I2080" s="11">
        <v>43110</v>
      </c>
      <c r="J2080" s="8" t="s">
        <v>25</v>
      </c>
      <c r="N2080" s="8" t="s">
        <v>58</v>
      </c>
      <c r="O2080" s="8" t="s">
        <v>59</v>
      </c>
      <c r="P2080" s="8" t="s">
        <v>59</v>
      </c>
      <c r="R2080" s="8">
        <v>0</v>
      </c>
      <c r="S2080" s="8">
        <v>0</v>
      </c>
      <c r="T2080" s="8">
        <v>1</v>
      </c>
      <c r="U2080" s="8">
        <v>2</v>
      </c>
      <c r="X2080" s="8">
        <v>5</v>
      </c>
      <c r="AG2080" s="8" t="str">
        <f t="shared" si="129"/>
        <v/>
      </c>
      <c r="AI2080" s="8" t="str">
        <f t="shared" si="130"/>
        <v/>
      </c>
      <c r="AJ2080" s="8" t="str">
        <f t="shared" si="131"/>
        <v/>
      </c>
      <c r="AL2080" s="8" t="str">
        <f t="shared" si="132"/>
        <v/>
      </c>
    </row>
    <row r="2081" spans="1:38" x14ac:dyDescent="0.25">
      <c r="A2081" s="8" t="s">
        <v>3966</v>
      </c>
      <c r="B2081" s="8" t="s">
        <v>3967</v>
      </c>
      <c r="C2081" s="8">
        <v>30873646</v>
      </c>
      <c r="D2081" s="8">
        <v>5</v>
      </c>
      <c r="E2081" s="11">
        <v>43110</v>
      </c>
      <c r="F2081" s="8" t="s">
        <v>57</v>
      </c>
      <c r="G2081" s="11">
        <v>43111</v>
      </c>
      <c r="H2081" s="8" t="s">
        <v>25</v>
      </c>
      <c r="J2081" s="8" t="s">
        <v>25</v>
      </c>
      <c r="N2081" s="8" t="s">
        <v>58</v>
      </c>
      <c r="O2081" s="8" t="s">
        <v>59</v>
      </c>
      <c r="P2081" s="8" t="s">
        <v>59</v>
      </c>
      <c r="R2081" s="8">
        <v>0</v>
      </c>
      <c r="S2081" s="8">
        <v>0</v>
      </c>
      <c r="T2081" s="8">
        <v>1</v>
      </c>
      <c r="U2081" s="8">
        <v>2</v>
      </c>
      <c r="AG2081" s="8" t="str">
        <f t="shared" si="129"/>
        <v/>
      </c>
      <c r="AI2081" s="8" t="str">
        <f t="shared" si="130"/>
        <v/>
      </c>
      <c r="AJ2081" s="8" t="str">
        <f t="shared" si="131"/>
        <v/>
      </c>
      <c r="AL2081" s="8" t="str">
        <f t="shared" si="132"/>
        <v/>
      </c>
    </row>
    <row r="2082" spans="1:38" x14ac:dyDescent="0.25">
      <c r="A2082" s="8" t="s">
        <v>1296</v>
      </c>
      <c r="B2082" s="8" t="s">
        <v>1297</v>
      </c>
      <c r="C2082" s="8">
        <v>30820857</v>
      </c>
      <c r="D2082" s="8">
        <v>5</v>
      </c>
      <c r="E2082" s="11">
        <v>43108</v>
      </c>
      <c r="F2082" s="8" t="s">
        <v>58</v>
      </c>
      <c r="G2082" s="11">
        <v>43109</v>
      </c>
      <c r="H2082" s="8" t="s">
        <v>25</v>
      </c>
      <c r="I2082" s="11">
        <v>43112</v>
      </c>
      <c r="J2082" s="8" t="s">
        <v>25</v>
      </c>
      <c r="N2082" s="8" t="s">
        <v>58</v>
      </c>
      <c r="O2082" s="8" t="s">
        <v>59</v>
      </c>
      <c r="P2082" s="8" t="s">
        <v>59</v>
      </c>
      <c r="R2082" s="8">
        <v>0</v>
      </c>
      <c r="S2082" s="8">
        <v>0</v>
      </c>
      <c r="T2082" s="8">
        <v>1</v>
      </c>
      <c r="U2082" s="8">
        <v>2</v>
      </c>
      <c r="X2082" s="8">
        <v>5</v>
      </c>
      <c r="AG2082" s="8" t="str">
        <f t="shared" si="129"/>
        <v/>
      </c>
      <c r="AI2082" s="8" t="str">
        <f t="shared" si="130"/>
        <v/>
      </c>
      <c r="AJ2082" s="8" t="str">
        <f t="shared" si="131"/>
        <v/>
      </c>
      <c r="AL2082" s="8" t="str">
        <f t="shared" si="132"/>
        <v/>
      </c>
    </row>
    <row r="2083" spans="1:38" x14ac:dyDescent="0.25">
      <c r="A2083" s="8" t="s">
        <v>481</v>
      </c>
      <c r="B2083" s="8" t="s">
        <v>482</v>
      </c>
      <c r="C2083" s="8">
        <v>30806928</v>
      </c>
      <c r="D2083" s="8">
        <v>5</v>
      </c>
      <c r="E2083" s="11">
        <v>43108</v>
      </c>
      <c r="F2083" s="8" t="s">
        <v>58</v>
      </c>
      <c r="G2083" s="11">
        <v>43108</v>
      </c>
      <c r="H2083" s="8" t="s">
        <v>25</v>
      </c>
      <c r="I2083" s="11">
        <v>43110</v>
      </c>
      <c r="J2083" s="8" t="s">
        <v>25</v>
      </c>
      <c r="N2083" s="8" t="s">
        <v>58</v>
      </c>
      <c r="O2083" s="8" t="s">
        <v>59</v>
      </c>
      <c r="P2083" s="8" t="s">
        <v>59</v>
      </c>
      <c r="R2083" s="8">
        <v>0</v>
      </c>
      <c r="S2083" s="8">
        <v>0</v>
      </c>
      <c r="T2083" s="8">
        <v>1</v>
      </c>
      <c r="U2083" s="8">
        <v>2</v>
      </c>
      <c r="X2083" s="8">
        <v>5</v>
      </c>
      <c r="AG2083" s="8" t="str">
        <f t="shared" si="129"/>
        <v/>
      </c>
      <c r="AI2083" s="8" t="str">
        <f t="shared" si="130"/>
        <v/>
      </c>
      <c r="AJ2083" s="8" t="str">
        <f t="shared" si="131"/>
        <v/>
      </c>
      <c r="AL2083" s="8" t="str">
        <f t="shared" si="132"/>
        <v/>
      </c>
    </row>
    <row r="2084" spans="1:38" x14ac:dyDescent="0.25">
      <c r="A2084" s="8" t="s">
        <v>3968</v>
      </c>
      <c r="B2084" s="8" t="s">
        <v>3969</v>
      </c>
      <c r="C2084" s="8">
        <v>30891755</v>
      </c>
      <c r="D2084" s="8">
        <v>5</v>
      </c>
      <c r="E2084" s="11">
        <v>43111</v>
      </c>
      <c r="F2084" s="8" t="s">
        <v>57</v>
      </c>
      <c r="G2084" s="11">
        <v>43111</v>
      </c>
      <c r="H2084" s="8" t="s">
        <v>25</v>
      </c>
      <c r="J2084" s="8" t="s">
        <v>25</v>
      </c>
      <c r="N2084" s="8" t="s">
        <v>58</v>
      </c>
      <c r="O2084" s="8" t="s">
        <v>59</v>
      </c>
      <c r="P2084" s="8" t="s">
        <v>59</v>
      </c>
      <c r="R2084" s="8">
        <v>0</v>
      </c>
      <c r="S2084" s="8">
        <v>0</v>
      </c>
      <c r="T2084" s="8">
        <v>1</v>
      </c>
      <c r="U2084" s="8">
        <v>2</v>
      </c>
      <c r="AG2084" s="8" t="str">
        <f t="shared" si="129"/>
        <v/>
      </c>
      <c r="AI2084" s="8" t="str">
        <f t="shared" si="130"/>
        <v/>
      </c>
      <c r="AJ2084" s="8" t="str">
        <f t="shared" si="131"/>
        <v/>
      </c>
      <c r="AL2084" s="8" t="str">
        <f t="shared" si="132"/>
        <v/>
      </c>
    </row>
    <row r="2085" spans="1:38" x14ac:dyDescent="0.25">
      <c r="A2085" s="8" t="s">
        <v>3970</v>
      </c>
      <c r="B2085" s="8" t="s">
        <v>3971</v>
      </c>
      <c r="C2085" s="8">
        <v>30888610</v>
      </c>
      <c r="D2085" s="8">
        <v>5</v>
      </c>
      <c r="E2085" s="11">
        <v>43111</v>
      </c>
      <c r="F2085" s="8" t="s">
        <v>57</v>
      </c>
      <c r="G2085" s="11">
        <v>43111</v>
      </c>
      <c r="H2085" s="8" t="s">
        <v>25</v>
      </c>
      <c r="J2085" s="8" t="s">
        <v>25</v>
      </c>
      <c r="N2085" s="8" t="s">
        <v>58</v>
      </c>
      <c r="O2085" s="8" t="s">
        <v>59</v>
      </c>
      <c r="P2085" s="8" t="s">
        <v>59</v>
      </c>
      <c r="R2085" s="8">
        <v>0</v>
      </c>
      <c r="S2085" s="8">
        <v>0</v>
      </c>
      <c r="T2085" s="8">
        <v>1</v>
      </c>
      <c r="U2085" s="8">
        <v>2</v>
      </c>
      <c r="AG2085" s="8" t="str">
        <f t="shared" si="129"/>
        <v/>
      </c>
      <c r="AI2085" s="8" t="str">
        <f t="shared" si="130"/>
        <v/>
      </c>
      <c r="AJ2085" s="8" t="str">
        <f t="shared" si="131"/>
        <v/>
      </c>
      <c r="AL2085" s="8" t="str">
        <f t="shared" si="132"/>
        <v/>
      </c>
    </row>
    <row r="2086" spans="1:38" x14ac:dyDescent="0.25">
      <c r="A2086" s="8" t="s">
        <v>5572</v>
      </c>
      <c r="B2086" s="8" t="s">
        <v>5573</v>
      </c>
      <c r="C2086" s="8">
        <v>30914598</v>
      </c>
      <c r="D2086" s="8">
        <v>5</v>
      </c>
      <c r="E2086" s="11">
        <v>43112</v>
      </c>
      <c r="F2086" s="8" t="s">
        <v>57</v>
      </c>
      <c r="G2086" s="11">
        <v>43114</v>
      </c>
      <c r="H2086" s="8" t="s">
        <v>25</v>
      </c>
      <c r="J2086" s="8" t="s">
        <v>25</v>
      </c>
      <c r="N2086" s="8" t="s">
        <v>58</v>
      </c>
      <c r="O2086" s="8" t="s">
        <v>59</v>
      </c>
      <c r="P2086" s="8" t="s">
        <v>59</v>
      </c>
      <c r="R2086" s="8">
        <v>0</v>
      </c>
      <c r="S2086" s="8">
        <v>0</v>
      </c>
      <c r="T2086" s="8">
        <v>1</v>
      </c>
      <c r="U2086" s="8">
        <v>2</v>
      </c>
      <c r="AG2086" s="8" t="str">
        <f t="shared" si="129"/>
        <v/>
      </c>
      <c r="AI2086" s="8" t="str">
        <f t="shared" si="130"/>
        <v/>
      </c>
      <c r="AJ2086" s="8" t="str">
        <f t="shared" si="131"/>
        <v/>
      </c>
      <c r="AL2086" s="8" t="str">
        <f t="shared" si="132"/>
        <v/>
      </c>
    </row>
    <row r="2087" spans="1:38" x14ac:dyDescent="0.25">
      <c r="A2087" s="8" t="s">
        <v>7368</v>
      </c>
      <c r="B2087" s="8" t="s">
        <v>7369</v>
      </c>
      <c r="C2087" s="8">
        <v>30940273</v>
      </c>
      <c r="D2087" s="8">
        <v>3</v>
      </c>
      <c r="E2087" s="11">
        <v>43115</v>
      </c>
      <c r="F2087" s="8" t="s">
        <v>57</v>
      </c>
      <c r="G2087" s="11">
        <v>43115</v>
      </c>
      <c r="H2087" s="8" t="s">
        <v>25</v>
      </c>
      <c r="J2087" s="8" t="s">
        <v>25</v>
      </c>
      <c r="N2087" s="8" t="s">
        <v>58</v>
      </c>
      <c r="O2087" s="8" t="s">
        <v>59</v>
      </c>
      <c r="P2087" s="8" t="s">
        <v>59</v>
      </c>
      <c r="R2087" s="8">
        <v>0</v>
      </c>
      <c r="S2087" s="8">
        <v>0</v>
      </c>
      <c r="T2087" s="8">
        <v>1</v>
      </c>
      <c r="U2087" s="8">
        <v>2</v>
      </c>
      <c r="AG2087" s="8" t="str">
        <f t="shared" si="129"/>
        <v/>
      </c>
      <c r="AI2087" s="8" t="str">
        <f t="shared" si="130"/>
        <v/>
      </c>
      <c r="AJ2087" s="8" t="str">
        <f t="shared" si="131"/>
        <v/>
      </c>
      <c r="AL2087" s="8" t="str">
        <f t="shared" si="132"/>
        <v/>
      </c>
    </row>
    <row r="2088" spans="1:38" x14ac:dyDescent="0.25">
      <c r="A2088" s="8" t="s">
        <v>2486</v>
      </c>
      <c r="B2088" s="8" t="s">
        <v>2487</v>
      </c>
      <c r="C2088" s="8">
        <v>30870754</v>
      </c>
      <c r="D2088" s="8">
        <v>4</v>
      </c>
      <c r="E2088" s="11">
        <v>43110</v>
      </c>
      <c r="F2088" s="8" t="s">
        <v>58</v>
      </c>
      <c r="G2088" s="11">
        <v>43110</v>
      </c>
      <c r="H2088" s="8" t="s">
        <v>25</v>
      </c>
      <c r="I2088" s="11">
        <v>43112</v>
      </c>
      <c r="J2088" s="8" t="s">
        <v>25</v>
      </c>
      <c r="N2088" s="8" t="s">
        <v>58</v>
      </c>
      <c r="O2088" s="8" t="s">
        <v>59</v>
      </c>
      <c r="P2088" s="8" t="s">
        <v>59</v>
      </c>
      <c r="R2088" s="8">
        <v>0</v>
      </c>
      <c r="S2088" s="8">
        <v>0</v>
      </c>
      <c r="T2088" s="8">
        <v>1</v>
      </c>
      <c r="U2088" s="8">
        <v>2</v>
      </c>
      <c r="X2088" s="8">
        <v>5</v>
      </c>
      <c r="AG2088" s="8" t="str">
        <f t="shared" si="129"/>
        <v/>
      </c>
      <c r="AI2088" s="8" t="str">
        <f t="shared" si="130"/>
        <v/>
      </c>
      <c r="AJ2088" s="8" t="str">
        <f t="shared" si="131"/>
        <v/>
      </c>
      <c r="AL2088" s="8" t="str">
        <f t="shared" si="132"/>
        <v/>
      </c>
    </row>
    <row r="2089" spans="1:38" x14ac:dyDescent="0.25">
      <c r="A2089" s="8" t="s">
        <v>2488</v>
      </c>
      <c r="B2089" s="8" t="s">
        <v>2489</v>
      </c>
      <c r="C2089" s="8">
        <v>30863303</v>
      </c>
      <c r="D2089" s="8">
        <v>4</v>
      </c>
      <c r="E2089" s="11">
        <v>43110</v>
      </c>
      <c r="F2089" s="8" t="s">
        <v>58</v>
      </c>
      <c r="G2089" s="11">
        <v>43110</v>
      </c>
      <c r="H2089" s="8" t="s">
        <v>25</v>
      </c>
      <c r="I2089" s="11">
        <v>43115</v>
      </c>
      <c r="J2089" s="8" t="s">
        <v>145</v>
      </c>
      <c r="N2089" s="8" t="s">
        <v>58</v>
      </c>
      <c r="O2089" s="8" t="s">
        <v>59</v>
      </c>
      <c r="P2089" s="8" t="s">
        <v>59</v>
      </c>
      <c r="R2089" s="8">
        <v>0</v>
      </c>
      <c r="S2089" s="8">
        <v>0</v>
      </c>
      <c r="T2089" s="8">
        <v>1</v>
      </c>
      <c r="U2089" s="8">
        <v>2</v>
      </c>
      <c r="X2089" s="8">
        <v>5</v>
      </c>
      <c r="AG2089" s="8" t="str">
        <f t="shared" si="129"/>
        <v/>
      </c>
      <c r="AI2089" s="8" t="str">
        <f t="shared" si="130"/>
        <v/>
      </c>
      <c r="AJ2089" s="8" t="str">
        <f t="shared" si="131"/>
        <v/>
      </c>
      <c r="AL2089" s="8" t="str">
        <f t="shared" si="132"/>
        <v/>
      </c>
    </row>
    <row r="2090" spans="1:38" x14ac:dyDescent="0.25">
      <c r="A2090" s="8" t="s">
        <v>2490</v>
      </c>
      <c r="B2090" s="8" t="s">
        <v>2491</v>
      </c>
      <c r="C2090" s="8">
        <v>30866451</v>
      </c>
      <c r="D2090" s="8">
        <v>5</v>
      </c>
      <c r="E2090" s="11">
        <v>43110</v>
      </c>
      <c r="F2090" s="8" t="s">
        <v>58</v>
      </c>
      <c r="G2090" s="11">
        <v>43110</v>
      </c>
      <c r="H2090" s="8" t="s">
        <v>25</v>
      </c>
      <c r="I2090" s="11">
        <v>43112</v>
      </c>
      <c r="J2090" s="8" t="s">
        <v>25</v>
      </c>
      <c r="N2090" s="8" t="s">
        <v>58</v>
      </c>
      <c r="O2090" s="8" t="s">
        <v>59</v>
      </c>
      <c r="P2090" s="8" t="s">
        <v>59</v>
      </c>
      <c r="R2090" s="8">
        <v>0</v>
      </c>
      <c r="S2090" s="8">
        <v>0</v>
      </c>
      <c r="T2090" s="8">
        <v>1</v>
      </c>
      <c r="U2090" s="8">
        <v>2</v>
      </c>
      <c r="X2090" s="8">
        <v>5</v>
      </c>
      <c r="AG2090" s="8" t="str">
        <f t="shared" si="129"/>
        <v/>
      </c>
      <c r="AI2090" s="8" t="str">
        <f t="shared" si="130"/>
        <v/>
      </c>
      <c r="AJ2090" s="8" t="str">
        <f t="shared" si="131"/>
        <v/>
      </c>
      <c r="AL2090" s="8" t="str">
        <f t="shared" si="132"/>
        <v/>
      </c>
    </row>
    <row r="2091" spans="1:38" x14ac:dyDescent="0.25">
      <c r="A2091" s="8" t="s">
        <v>3972</v>
      </c>
      <c r="B2091" s="8" t="s">
        <v>3973</v>
      </c>
      <c r="C2091" s="8">
        <v>30873903</v>
      </c>
      <c r="D2091" s="8">
        <v>5</v>
      </c>
      <c r="E2091" s="11">
        <v>43110</v>
      </c>
      <c r="F2091" s="8" t="s">
        <v>57</v>
      </c>
      <c r="G2091" s="11">
        <v>43111</v>
      </c>
      <c r="H2091" s="8" t="s">
        <v>25</v>
      </c>
      <c r="J2091" s="8" t="s">
        <v>25</v>
      </c>
      <c r="N2091" s="8" t="s">
        <v>58</v>
      </c>
      <c r="O2091" s="8" t="s">
        <v>59</v>
      </c>
      <c r="P2091" s="8" t="s">
        <v>59</v>
      </c>
      <c r="R2091" s="8">
        <v>0</v>
      </c>
      <c r="S2091" s="8">
        <v>0</v>
      </c>
      <c r="T2091" s="8">
        <v>1</v>
      </c>
      <c r="U2091" s="8">
        <v>2</v>
      </c>
      <c r="AG2091" s="8" t="str">
        <f t="shared" si="129"/>
        <v/>
      </c>
      <c r="AI2091" s="8" t="str">
        <f t="shared" si="130"/>
        <v/>
      </c>
      <c r="AJ2091" s="8" t="str">
        <f t="shared" si="131"/>
        <v/>
      </c>
      <c r="AL2091" s="8" t="str">
        <f t="shared" si="132"/>
        <v/>
      </c>
    </row>
    <row r="2092" spans="1:38" x14ac:dyDescent="0.25">
      <c r="A2092" s="8" t="s">
        <v>3974</v>
      </c>
      <c r="B2092" s="8" t="s">
        <v>3975</v>
      </c>
      <c r="C2092" s="8">
        <v>30875850</v>
      </c>
      <c r="D2092" s="8">
        <v>5</v>
      </c>
      <c r="E2092" s="11">
        <v>43110</v>
      </c>
      <c r="F2092" s="8" t="s">
        <v>57</v>
      </c>
      <c r="G2092" s="11">
        <v>43111</v>
      </c>
      <c r="H2092" s="8" t="s">
        <v>25</v>
      </c>
      <c r="J2092" s="8" t="s">
        <v>25</v>
      </c>
      <c r="N2092" s="8" t="s">
        <v>58</v>
      </c>
      <c r="O2092" s="8" t="s">
        <v>59</v>
      </c>
      <c r="P2092" s="8" t="s">
        <v>59</v>
      </c>
      <c r="R2092" s="8">
        <v>0</v>
      </c>
      <c r="S2092" s="8">
        <v>0</v>
      </c>
      <c r="T2092" s="8">
        <v>1</v>
      </c>
      <c r="U2092" s="8">
        <v>2</v>
      </c>
      <c r="AG2092" s="8" t="str">
        <f t="shared" si="129"/>
        <v/>
      </c>
      <c r="AI2092" s="8" t="str">
        <f t="shared" si="130"/>
        <v/>
      </c>
      <c r="AJ2092" s="8" t="str">
        <f t="shared" si="131"/>
        <v/>
      </c>
      <c r="AL2092" s="8" t="str">
        <f t="shared" si="132"/>
        <v/>
      </c>
    </row>
    <row r="2093" spans="1:38" x14ac:dyDescent="0.25">
      <c r="A2093" s="8" t="s">
        <v>5574</v>
      </c>
      <c r="B2093" s="8" t="s">
        <v>5575</v>
      </c>
      <c r="C2093" s="8">
        <v>30915043</v>
      </c>
      <c r="D2093" s="8">
        <v>5</v>
      </c>
      <c r="E2093" s="11">
        <v>43112</v>
      </c>
      <c r="F2093" s="8" t="s">
        <v>57</v>
      </c>
      <c r="G2093" s="11">
        <v>43114</v>
      </c>
      <c r="H2093" s="8" t="s">
        <v>25</v>
      </c>
      <c r="J2093" s="8" t="s">
        <v>25</v>
      </c>
      <c r="N2093" s="8" t="s">
        <v>58</v>
      </c>
      <c r="O2093" s="8" t="s">
        <v>59</v>
      </c>
      <c r="P2093" s="8" t="s">
        <v>59</v>
      </c>
      <c r="R2093" s="8">
        <v>0</v>
      </c>
      <c r="S2093" s="8">
        <v>0</v>
      </c>
      <c r="T2093" s="8">
        <v>1</v>
      </c>
      <c r="U2093" s="8">
        <v>2</v>
      </c>
      <c r="AG2093" s="8" t="str">
        <f t="shared" si="129"/>
        <v/>
      </c>
      <c r="AI2093" s="8" t="str">
        <f t="shared" si="130"/>
        <v/>
      </c>
      <c r="AJ2093" s="8" t="str">
        <f t="shared" si="131"/>
        <v/>
      </c>
      <c r="AL2093" s="8" t="str">
        <f t="shared" si="132"/>
        <v/>
      </c>
    </row>
    <row r="2094" spans="1:38" x14ac:dyDescent="0.25">
      <c r="A2094" s="8" t="s">
        <v>2492</v>
      </c>
      <c r="B2094" s="8" t="s">
        <v>2493</v>
      </c>
      <c r="C2094" s="8">
        <v>30860376</v>
      </c>
      <c r="D2094" s="8">
        <v>5</v>
      </c>
      <c r="E2094" s="11">
        <v>43110</v>
      </c>
      <c r="F2094" s="8" t="s">
        <v>57</v>
      </c>
      <c r="G2094" s="11">
        <v>43110</v>
      </c>
      <c r="H2094" s="8" t="s">
        <v>25</v>
      </c>
      <c r="J2094" s="8" t="s">
        <v>25</v>
      </c>
      <c r="N2094" s="8" t="s">
        <v>58</v>
      </c>
      <c r="O2094" s="8" t="s">
        <v>59</v>
      </c>
      <c r="P2094" s="8" t="s">
        <v>59</v>
      </c>
      <c r="R2094" s="8">
        <v>0</v>
      </c>
      <c r="S2094" s="8">
        <v>0</v>
      </c>
      <c r="T2094" s="8">
        <v>1</v>
      </c>
      <c r="U2094" s="8">
        <v>2</v>
      </c>
      <c r="AG2094" s="8" t="str">
        <f t="shared" si="129"/>
        <v/>
      </c>
      <c r="AI2094" s="8" t="str">
        <f t="shared" si="130"/>
        <v/>
      </c>
      <c r="AJ2094" s="8" t="str">
        <f t="shared" si="131"/>
        <v/>
      </c>
      <c r="AL2094" s="8" t="str">
        <f t="shared" si="132"/>
        <v/>
      </c>
    </row>
    <row r="2095" spans="1:38" x14ac:dyDescent="0.25">
      <c r="A2095" s="8" t="s">
        <v>7370</v>
      </c>
      <c r="B2095" s="8" t="s">
        <v>7371</v>
      </c>
      <c r="C2095" s="8">
        <v>30941351</v>
      </c>
      <c r="D2095" s="8">
        <v>4</v>
      </c>
      <c r="E2095" s="11">
        <v>43115</v>
      </c>
      <c r="F2095" s="8" t="s">
        <v>57</v>
      </c>
      <c r="G2095" s="11">
        <v>43115</v>
      </c>
      <c r="H2095" s="8" t="s">
        <v>25</v>
      </c>
      <c r="J2095" s="8" t="s">
        <v>25</v>
      </c>
      <c r="N2095" s="8" t="s">
        <v>58</v>
      </c>
      <c r="O2095" s="8" t="s">
        <v>59</v>
      </c>
      <c r="P2095" s="8" t="s">
        <v>59</v>
      </c>
      <c r="R2095" s="8">
        <v>0</v>
      </c>
      <c r="S2095" s="8">
        <v>0</v>
      </c>
      <c r="T2095" s="8">
        <v>1</v>
      </c>
      <c r="U2095" s="8">
        <v>2</v>
      </c>
      <c r="AG2095" s="8" t="str">
        <f t="shared" si="129"/>
        <v/>
      </c>
      <c r="AI2095" s="8" t="str">
        <f t="shared" si="130"/>
        <v/>
      </c>
      <c r="AJ2095" s="8" t="str">
        <f t="shared" si="131"/>
        <v/>
      </c>
      <c r="AL2095" s="8" t="str">
        <f t="shared" si="132"/>
        <v/>
      </c>
    </row>
    <row r="2096" spans="1:38" x14ac:dyDescent="0.25">
      <c r="A2096" s="8" t="s">
        <v>1298</v>
      </c>
      <c r="B2096" s="8" t="s">
        <v>1299</v>
      </c>
      <c r="C2096" s="8">
        <v>30845988</v>
      </c>
      <c r="D2096" s="8">
        <v>5</v>
      </c>
      <c r="E2096" s="11">
        <v>43109</v>
      </c>
      <c r="F2096" s="8" t="s">
        <v>58</v>
      </c>
      <c r="G2096" s="11">
        <v>43109</v>
      </c>
      <c r="H2096" s="8" t="s">
        <v>25</v>
      </c>
      <c r="I2096" s="11">
        <v>43112</v>
      </c>
      <c r="J2096" s="8" t="s">
        <v>25</v>
      </c>
      <c r="N2096" s="8" t="s">
        <v>58</v>
      </c>
      <c r="O2096" s="8" t="s">
        <v>59</v>
      </c>
      <c r="P2096" s="8" t="s">
        <v>59</v>
      </c>
      <c r="R2096" s="8">
        <v>0</v>
      </c>
      <c r="S2096" s="8">
        <v>0</v>
      </c>
      <c r="T2096" s="8">
        <v>1</v>
      </c>
      <c r="U2096" s="8">
        <v>2</v>
      </c>
      <c r="X2096" s="8">
        <v>5</v>
      </c>
      <c r="AG2096" s="8" t="str">
        <f t="shared" si="129"/>
        <v/>
      </c>
      <c r="AI2096" s="8" t="str">
        <f t="shared" si="130"/>
        <v/>
      </c>
      <c r="AJ2096" s="8" t="str">
        <f t="shared" si="131"/>
        <v/>
      </c>
      <c r="AL2096" s="8" t="str">
        <f t="shared" si="132"/>
        <v/>
      </c>
    </row>
    <row r="2097" spans="1:38" x14ac:dyDescent="0.25">
      <c r="A2097" s="8" t="s">
        <v>7372</v>
      </c>
      <c r="B2097" s="8" t="s">
        <v>7373</v>
      </c>
      <c r="C2097" s="8">
        <v>30918976</v>
      </c>
      <c r="D2097" s="8">
        <v>5</v>
      </c>
      <c r="E2097" s="11">
        <v>43112</v>
      </c>
      <c r="F2097" s="8" t="s">
        <v>57</v>
      </c>
      <c r="G2097" s="11">
        <v>43115</v>
      </c>
      <c r="H2097" s="8" t="s">
        <v>25</v>
      </c>
      <c r="J2097" s="8" t="s">
        <v>25</v>
      </c>
      <c r="N2097" s="8" t="s">
        <v>58</v>
      </c>
      <c r="O2097" s="8" t="s">
        <v>59</v>
      </c>
      <c r="P2097" s="8" t="s">
        <v>59</v>
      </c>
      <c r="R2097" s="8">
        <v>0</v>
      </c>
      <c r="S2097" s="8">
        <v>0</v>
      </c>
      <c r="T2097" s="8">
        <v>1</v>
      </c>
      <c r="U2097" s="8">
        <v>2</v>
      </c>
      <c r="AG2097" s="8" t="str">
        <f t="shared" si="129"/>
        <v/>
      </c>
      <c r="AI2097" s="8" t="str">
        <f t="shared" si="130"/>
        <v/>
      </c>
      <c r="AJ2097" s="8" t="str">
        <f t="shared" si="131"/>
        <v/>
      </c>
      <c r="AL2097" s="8" t="str">
        <f t="shared" si="132"/>
        <v/>
      </c>
    </row>
    <row r="2098" spans="1:38" x14ac:dyDescent="0.25">
      <c r="A2098" s="8" t="s">
        <v>3976</v>
      </c>
      <c r="B2098" s="8" t="s">
        <v>3977</v>
      </c>
      <c r="C2098" s="8">
        <v>30893980</v>
      </c>
      <c r="D2098" s="8">
        <v>4</v>
      </c>
      <c r="E2098" s="11">
        <v>43111</v>
      </c>
      <c r="F2098" s="8" t="s">
        <v>58</v>
      </c>
      <c r="G2098" s="11">
        <v>43111</v>
      </c>
      <c r="H2098" s="8" t="s">
        <v>25</v>
      </c>
      <c r="I2098" s="11">
        <v>43115</v>
      </c>
      <c r="J2098" s="8" t="s">
        <v>25</v>
      </c>
      <c r="N2098" s="8" t="s">
        <v>58</v>
      </c>
      <c r="O2098" s="8" t="s">
        <v>59</v>
      </c>
      <c r="P2098" s="8" t="s">
        <v>59</v>
      </c>
      <c r="R2098" s="8">
        <v>0</v>
      </c>
      <c r="S2098" s="8">
        <v>0</v>
      </c>
      <c r="T2098" s="8">
        <v>1</v>
      </c>
      <c r="U2098" s="8">
        <v>2</v>
      </c>
      <c r="X2098" s="8">
        <v>5</v>
      </c>
      <c r="AG2098" s="8" t="str">
        <f t="shared" si="129"/>
        <v/>
      </c>
      <c r="AI2098" s="8" t="str">
        <f t="shared" si="130"/>
        <v/>
      </c>
      <c r="AJ2098" s="8" t="str">
        <f t="shared" si="131"/>
        <v/>
      </c>
      <c r="AL2098" s="8" t="str">
        <f t="shared" si="132"/>
        <v/>
      </c>
    </row>
    <row r="2099" spans="1:38" x14ac:dyDescent="0.25">
      <c r="A2099" s="8" t="s">
        <v>7374</v>
      </c>
      <c r="B2099" s="8" t="s">
        <v>7375</v>
      </c>
      <c r="C2099" s="8">
        <v>30939018</v>
      </c>
      <c r="D2099" s="8">
        <v>5</v>
      </c>
      <c r="E2099" s="11">
        <v>43115</v>
      </c>
      <c r="F2099" s="8" t="s">
        <v>57</v>
      </c>
      <c r="G2099" s="11">
        <v>43115</v>
      </c>
      <c r="H2099" s="8" t="s">
        <v>25</v>
      </c>
      <c r="J2099" s="8" t="s">
        <v>25</v>
      </c>
      <c r="N2099" s="8" t="s">
        <v>58</v>
      </c>
      <c r="O2099" s="8" t="s">
        <v>59</v>
      </c>
      <c r="P2099" s="8" t="s">
        <v>59</v>
      </c>
      <c r="R2099" s="8">
        <v>0</v>
      </c>
      <c r="S2099" s="8">
        <v>0</v>
      </c>
      <c r="T2099" s="8">
        <v>1</v>
      </c>
      <c r="U2099" s="8">
        <v>2</v>
      </c>
      <c r="AG2099" s="8" t="str">
        <f t="shared" si="129"/>
        <v/>
      </c>
      <c r="AI2099" s="8" t="str">
        <f t="shared" si="130"/>
        <v/>
      </c>
      <c r="AJ2099" s="8" t="str">
        <f t="shared" si="131"/>
        <v/>
      </c>
      <c r="AL2099" s="8" t="str">
        <f t="shared" si="132"/>
        <v/>
      </c>
    </row>
    <row r="2100" spans="1:38" x14ac:dyDescent="0.25">
      <c r="A2100" s="8" t="s">
        <v>7376</v>
      </c>
      <c r="B2100" s="8" t="s">
        <v>7377</v>
      </c>
      <c r="C2100" s="8">
        <v>30936401</v>
      </c>
      <c r="D2100" s="8">
        <v>5</v>
      </c>
      <c r="E2100" s="11">
        <v>43115</v>
      </c>
      <c r="F2100" s="8" t="s">
        <v>57</v>
      </c>
      <c r="G2100" s="11">
        <v>43115</v>
      </c>
      <c r="H2100" s="8" t="s">
        <v>25</v>
      </c>
      <c r="J2100" s="8" t="s">
        <v>25</v>
      </c>
      <c r="N2100" s="8" t="s">
        <v>58</v>
      </c>
      <c r="O2100" s="8" t="s">
        <v>59</v>
      </c>
      <c r="P2100" s="8" t="s">
        <v>59</v>
      </c>
      <c r="R2100" s="8">
        <v>0</v>
      </c>
      <c r="S2100" s="8">
        <v>0</v>
      </c>
      <c r="T2100" s="8">
        <v>1</v>
      </c>
      <c r="U2100" s="8">
        <v>2</v>
      </c>
      <c r="AG2100" s="8" t="str">
        <f t="shared" si="129"/>
        <v/>
      </c>
      <c r="AI2100" s="8" t="str">
        <f t="shared" si="130"/>
        <v/>
      </c>
      <c r="AJ2100" s="8" t="str">
        <f t="shared" si="131"/>
        <v/>
      </c>
      <c r="AL2100" s="8" t="str">
        <f t="shared" si="132"/>
        <v/>
      </c>
    </row>
    <row r="2101" spans="1:38" x14ac:dyDescent="0.25">
      <c r="A2101" s="8" t="s">
        <v>1300</v>
      </c>
      <c r="B2101" s="8" t="s">
        <v>1301</v>
      </c>
      <c r="C2101" s="8">
        <v>30821369</v>
      </c>
      <c r="D2101" s="8">
        <v>5</v>
      </c>
      <c r="E2101" s="11">
        <v>43108</v>
      </c>
      <c r="F2101" s="8" t="s">
        <v>60</v>
      </c>
      <c r="G2101" s="11">
        <v>43109</v>
      </c>
      <c r="H2101" s="8" t="s">
        <v>25</v>
      </c>
      <c r="J2101" s="8" t="s">
        <v>25</v>
      </c>
      <c r="L2101" s="8" t="s">
        <v>1662</v>
      </c>
      <c r="N2101" s="8" t="s">
        <v>58</v>
      </c>
      <c r="O2101" s="8" t="s">
        <v>59</v>
      </c>
      <c r="P2101" s="8" t="s">
        <v>59</v>
      </c>
      <c r="R2101" s="8">
        <v>0</v>
      </c>
      <c r="S2101" s="8">
        <v>0</v>
      </c>
      <c r="T2101" s="8">
        <v>1</v>
      </c>
      <c r="U2101" s="8">
        <v>2</v>
      </c>
      <c r="W2101" s="8">
        <v>4</v>
      </c>
      <c r="AG2101" s="8" t="str">
        <f t="shared" si="129"/>
        <v/>
      </c>
      <c r="AI2101" s="8" t="str">
        <f t="shared" si="130"/>
        <v/>
      </c>
      <c r="AJ2101" s="8" t="str">
        <f t="shared" si="131"/>
        <v/>
      </c>
      <c r="AL2101" s="8" t="str">
        <f t="shared" si="132"/>
        <v/>
      </c>
    </row>
    <row r="2102" spans="1:38" x14ac:dyDescent="0.25">
      <c r="A2102" s="8" t="s">
        <v>3978</v>
      </c>
      <c r="B2102" s="8" t="s">
        <v>1301</v>
      </c>
      <c r="C2102" s="8">
        <v>30888460</v>
      </c>
      <c r="D2102" s="8">
        <v>5</v>
      </c>
      <c r="E2102" s="11">
        <v>43111</v>
      </c>
      <c r="F2102" s="8" t="s">
        <v>57</v>
      </c>
      <c r="G2102" s="11">
        <v>43111</v>
      </c>
      <c r="H2102" s="8" t="s">
        <v>25</v>
      </c>
      <c r="J2102" s="8" t="s">
        <v>25</v>
      </c>
      <c r="N2102" s="8" t="s">
        <v>58</v>
      </c>
      <c r="O2102" s="8" t="s">
        <v>59</v>
      </c>
      <c r="P2102" s="8" t="s">
        <v>59</v>
      </c>
      <c r="R2102" s="8">
        <v>0</v>
      </c>
      <c r="S2102" s="8">
        <v>0</v>
      </c>
      <c r="T2102" s="8">
        <v>1</v>
      </c>
      <c r="U2102" s="8">
        <v>2</v>
      </c>
      <c r="AG2102" s="8" t="str">
        <f t="shared" si="129"/>
        <v/>
      </c>
      <c r="AI2102" s="8" t="str">
        <f t="shared" si="130"/>
        <v/>
      </c>
      <c r="AJ2102" s="8" t="str">
        <f t="shared" si="131"/>
        <v/>
      </c>
      <c r="AL2102" s="8" t="str">
        <f t="shared" si="132"/>
        <v/>
      </c>
    </row>
    <row r="2103" spans="1:38" x14ac:dyDescent="0.25">
      <c r="A2103" s="8" t="s">
        <v>5576</v>
      </c>
      <c r="B2103" s="8" t="s">
        <v>5577</v>
      </c>
      <c r="C2103" s="8">
        <v>30915529</v>
      </c>
      <c r="D2103" s="8">
        <v>5</v>
      </c>
      <c r="E2103" s="11">
        <v>43112</v>
      </c>
      <c r="F2103" s="8" t="s">
        <v>57</v>
      </c>
      <c r="G2103" s="11">
        <v>43114</v>
      </c>
      <c r="H2103" s="8" t="s">
        <v>25</v>
      </c>
      <c r="J2103" s="8" t="s">
        <v>25</v>
      </c>
      <c r="N2103" s="8" t="s">
        <v>58</v>
      </c>
      <c r="O2103" s="8" t="s">
        <v>59</v>
      </c>
      <c r="P2103" s="8" t="s">
        <v>59</v>
      </c>
      <c r="R2103" s="8">
        <v>0</v>
      </c>
      <c r="S2103" s="8">
        <v>0</v>
      </c>
      <c r="T2103" s="8">
        <v>1</v>
      </c>
      <c r="U2103" s="8">
        <v>2</v>
      </c>
      <c r="AG2103" s="8" t="str">
        <f t="shared" si="129"/>
        <v/>
      </c>
      <c r="AI2103" s="8" t="str">
        <f t="shared" si="130"/>
        <v/>
      </c>
      <c r="AJ2103" s="8" t="str">
        <f t="shared" si="131"/>
        <v/>
      </c>
      <c r="AL2103" s="8" t="str">
        <f t="shared" si="132"/>
        <v/>
      </c>
    </row>
    <row r="2104" spans="1:38" x14ac:dyDescent="0.25">
      <c r="A2104" s="8" t="s">
        <v>1302</v>
      </c>
      <c r="B2104" s="8" t="s">
        <v>1303</v>
      </c>
      <c r="C2104" s="8">
        <v>30817353</v>
      </c>
      <c r="D2104" s="8">
        <v>5</v>
      </c>
      <c r="E2104" s="11">
        <v>43108</v>
      </c>
      <c r="F2104" s="8" t="s">
        <v>57</v>
      </c>
      <c r="G2104" s="11">
        <v>43109</v>
      </c>
      <c r="H2104" s="8" t="s">
        <v>25</v>
      </c>
      <c r="J2104" s="8" t="s">
        <v>25</v>
      </c>
      <c r="N2104" s="8" t="s">
        <v>58</v>
      </c>
      <c r="O2104" s="8" t="s">
        <v>59</v>
      </c>
      <c r="P2104" s="8" t="s">
        <v>59</v>
      </c>
      <c r="R2104" s="8">
        <v>0</v>
      </c>
      <c r="S2104" s="8">
        <v>0</v>
      </c>
      <c r="T2104" s="8">
        <v>1</v>
      </c>
      <c r="U2104" s="8">
        <v>2</v>
      </c>
      <c r="AG2104" s="8" t="str">
        <f t="shared" si="129"/>
        <v/>
      </c>
      <c r="AI2104" s="8" t="str">
        <f t="shared" si="130"/>
        <v/>
      </c>
      <c r="AJ2104" s="8" t="str">
        <f t="shared" si="131"/>
        <v/>
      </c>
      <c r="AL2104" s="8" t="str">
        <f t="shared" si="132"/>
        <v/>
      </c>
    </row>
    <row r="2105" spans="1:38" x14ac:dyDescent="0.25">
      <c r="A2105" s="8" t="s">
        <v>2494</v>
      </c>
      <c r="B2105" s="8" t="s">
        <v>2495</v>
      </c>
      <c r="C2105" s="8">
        <v>30843502</v>
      </c>
      <c r="D2105" s="8">
        <v>5</v>
      </c>
      <c r="E2105" s="11">
        <v>43109</v>
      </c>
      <c r="F2105" s="8" t="s">
        <v>57</v>
      </c>
      <c r="G2105" s="11">
        <v>43110</v>
      </c>
      <c r="H2105" s="8" t="s">
        <v>25</v>
      </c>
      <c r="J2105" s="8" t="s">
        <v>25</v>
      </c>
      <c r="N2105" s="8" t="s">
        <v>58</v>
      </c>
      <c r="O2105" s="8" t="s">
        <v>59</v>
      </c>
      <c r="P2105" s="8" t="s">
        <v>59</v>
      </c>
      <c r="R2105" s="8">
        <v>0</v>
      </c>
      <c r="S2105" s="8">
        <v>0</v>
      </c>
      <c r="T2105" s="8">
        <v>1</v>
      </c>
      <c r="U2105" s="8">
        <v>2</v>
      </c>
      <c r="AG2105" s="8" t="str">
        <f t="shared" si="129"/>
        <v/>
      </c>
      <c r="AI2105" s="8" t="str">
        <f t="shared" si="130"/>
        <v/>
      </c>
      <c r="AJ2105" s="8" t="str">
        <f t="shared" si="131"/>
        <v/>
      </c>
      <c r="AL2105" s="8" t="str">
        <f t="shared" si="132"/>
        <v/>
      </c>
    </row>
    <row r="2106" spans="1:38" x14ac:dyDescent="0.25">
      <c r="A2106" s="8" t="s">
        <v>5578</v>
      </c>
      <c r="B2106" s="8" t="s">
        <v>5579</v>
      </c>
      <c r="C2106" s="8">
        <v>30917259</v>
      </c>
      <c r="D2106" s="8">
        <v>5</v>
      </c>
      <c r="E2106" s="11">
        <v>43112</v>
      </c>
      <c r="F2106" s="8" t="s">
        <v>57</v>
      </c>
      <c r="G2106" s="11">
        <v>43114</v>
      </c>
      <c r="H2106" s="8" t="s">
        <v>25</v>
      </c>
      <c r="J2106" s="8" t="s">
        <v>25</v>
      </c>
      <c r="N2106" s="8" t="s">
        <v>58</v>
      </c>
      <c r="O2106" s="8" t="s">
        <v>59</v>
      </c>
      <c r="P2106" s="8" t="s">
        <v>59</v>
      </c>
      <c r="R2106" s="8">
        <v>0</v>
      </c>
      <c r="S2106" s="8">
        <v>0</v>
      </c>
      <c r="T2106" s="8">
        <v>1</v>
      </c>
      <c r="U2106" s="8">
        <v>2</v>
      </c>
      <c r="AG2106" s="8" t="str">
        <f t="shared" si="129"/>
        <v/>
      </c>
      <c r="AI2106" s="8" t="str">
        <f t="shared" si="130"/>
        <v/>
      </c>
      <c r="AJ2106" s="8" t="str">
        <f t="shared" si="131"/>
        <v/>
      </c>
      <c r="AL2106" s="8" t="str">
        <f t="shared" si="132"/>
        <v/>
      </c>
    </row>
    <row r="2107" spans="1:38" x14ac:dyDescent="0.25">
      <c r="A2107" s="8" t="s">
        <v>483</v>
      </c>
      <c r="B2107" s="8" t="s">
        <v>484</v>
      </c>
      <c r="C2107" s="8">
        <v>30818944</v>
      </c>
      <c r="D2107" s="8">
        <v>5</v>
      </c>
      <c r="E2107" s="11">
        <v>43108</v>
      </c>
      <c r="F2107" s="8" t="s">
        <v>58</v>
      </c>
      <c r="G2107" s="11">
        <v>43108</v>
      </c>
      <c r="H2107" s="8" t="s">
        <v>25</v>
      </c>
      <c r="I2107" s="11">
        <v>43111</v>
      </c>
      <c r="J2107" s="8" t="s">
        <v>25</v>
      </c>
      <c r="N2107" s="8" t="s">
        <v>58</v>
      </c>
      <c r="O2107" s="8" t="s">
        <v>59</v>
      </c>
      <c r="P2107" s="8" t="s">
        <v>59</v>
      </c>
      <c r="R2107" s="8">
        <v>0</v>
      </c>
      <c r="S2107" s="8">
        <v>0</v>
      </c>
      <c r="T2107" s="8">
        <v>1</v>
      </c>
      <c r="U2107" s="8">
        <v>2</v>
      </c>
      <c r="X2107" s="8">
        <v>5</v>
      </c>
      <c r="AG2107" s="8" t="str">
        <f t="shared" si="129"/>
        <v/>
      </c>
      <c r="AI2107" s="8" t="str">
        <f t="shared" si="130"/>
        <v/>
      </c>
      <c r="AJ2107" s="8" t="str">
        <f t="shared" si="131"/>
        <v/>
      </c>
      <c r="AL2107" s="8" t="str">
        <f t="shared" si="132"/>
        <v/>
      </c>
    </row>
    <row r="2108" spans="1:38" x14ac:dyDescent="0.25">
      <c r="A2108" s="8" t="s">
        <v>1304</v>
      </c>
      <c r="B2108" s="8" t="s">
        <v>1305</v>
      </c>
      <c r="C2108" s="8">
        <v>30840805</v>
      </c>
      <c r="D2108" s="8">
        <v>5</v>
      </c>
      <c r="E2108" s="11">
        <v>43109</v>
      </c>
      <c r="F2108" s="8" t="s">
        <v>58</v>
      </c>
      <c r="G2108" s="11">
        <v>43109</v>
      </c>
      <c r="H2108" s="8" t="s">
        <v>25</v>
      </c>
      <c r="I2108" s="11">
        <v>43111</v>
      </c>
      <c r="J2108" s="8" t="s">
        <v>25</v>
      </c>
      <c r="N2108" s="8" t="s">
        <v>58</v>
      </c>
      <c r="O2108" s="8" t="s">
        <v>59</v>
      </c>
      <c r="P2108" s="8" t="s">
        <v>59</v>
      </c>
      <c r="R2108" s="8">
        <v>0</v>
      </c>
      <c r="S2108" s="8">
        <v>0</v>
      </c>
      <c r="T2108" s="8">
        <v>1</v>
      </c>
      <c r="U2108" s="8">
        <v>2</v>
      </c>
      <c r="X2108" s="8">
        <v>5</v>
      </c>
      <c r="AG2108" s="8" t="str">
        <f t="shared" si="129"/>
        <v/>
      </c>
      <c r="AI2108" s="8" t="str">
        <f t="shared" si="130"/>
        <v/>
      </c>
      <c r="AJ2108" s="8" t="str">
        <f t="shared" si="131"/>
        <v/>
      </c>
      <c r="AL2108" s="8" t="str">
        <f t="shared" si="132"/>
        <v/>
      </c>
    </row>
    <row r="2109" spans="1:38" x14ac:dyDescent="0.25">
      <c r="A2109" s="8" t="s">
        <v>485</v>
      </c>
      <c r="B2109" s="8" t="s">
        <v>486</v>
      </c>
      <c r="C2109" s="8">
        <v>30827750</v>
      </c>
      <c r="D2109" s="8">
        <v>5</v>
      </c>
      <c r="E2109" s="11">
        <v>43108</v>
      </c>
      <c r="F2109" s="8" t="s">
        <v>57</v>
      </c>
      <c r="G2109" s="11">
        <v>43108</v>
      </c>
      <c r="H2109" s="8" t="s">
        <v>25</v>
      </c>
      <c r="J2109" s="8" t="s">
        <v>25</v>
      </c>
      <c r="N2109" s="8" t="s">
        <v>58</v>
      </c>
      <c r="O2109" s="8" t="s">
        <v>59</v>
      </c>
      <c r="P2109" s="8" t="s">
        <v>59</v>
      </c>
      <c r="R2109" s="8">
        <v>0</v>
      </c>
      <c r="S2109" s="8">
        <v>0</v>
      </c>
      <c r="T2109" s="8">
        <v>1</v>
      </c>
      <c r="U2109" s="8">
        <v>2</v>
      </c>
      <c r="AG2109" s="8" t="str">
        <f t="shared" si="129"/>
        <v/>
      </c>
      <c r="AI2109" s="8" t="str">
        <f t="shared" si="130"/>
        <v/>
      </c>
      <c r="AJ2109" s="8" t="str">
        <f t="shared" si="131"/>
        <v/>
      </c>
      <c r="AL2109" s="8" t="str">
        <f t="shared" si="132"/>
        <v/>
      </c>
    </row>
    <row r="2110" spans="1:38" x14ac:dyDescent="0.25">
      <c r="A2110" s="8" t="s">
        <v>1306</v>
      </c>
      <c r="B2110" s="8" t="s">
        <v>1307</v>
      </c>
      <c r="C2110" s="8">
        <v>30827217</v>
      </c>
      <c r="D2110" s="8">
        <v>5</v>
      </c>
      <c r="E2110" s="11">
        <v>43108</v>
      </c>
      <c r="F2110" s="8" t="s">
        <v>57</v>
      </c>
      <c r="G2110" s="11">
        <v>43109</v>
      </c>
      <c r="H2110" s="8" t="s">
        <v>25</v>
      </c>
      <c r="J2110" s="8" t="s">
        <v>25</v>
      </c>
      <c r="N2110" s="8" t="s">
        <v>58</v>
      </c>
      <c r="O2110" s="8" t="s">
        <v>59</v>
      </c>
      <c r="P2110" s="8" t="s">
        <v>59</v>
      </c>
      <c r="R2110" s="8">
        <v>0</v>
      </c>
      <c r="S2110" s="8">
        <v>0</v>
      </c>
      <c r="T2110" s="8">
        <v>1</v>
      </c>
      <c r="U2110" s="8">
        <v>2</v>
      </c>
      <c r="AG2110" s="8" t="str">
        <f t="shared" si="129"/>
        <v/>
      </c>
      <c r="AI2110" s="8" t="str">
        <f t="shared" si="130"/>
        <v/>
      </c>
      <c r="AJ2110" s="8" t="str">
        <f t="shared" si="131"/>
        <v/>
      </c>
      <c r="AL2110" s="8" t="str">
        <f t="shared" si="132"/>
        <v/>
      </c>
    </row>
    <row r="2111" spans="1:38" x14ac:dyDescent="0.25">
      <c r="A2111" s="8" t="s">
        <v>7378</v>
      </c>
      <c r="B2111" s="8" t="s">
        <v>7379</v>
      </c>
      <c r="C2111" s="8">
        <v>30945491</v>
      </c>
      <c r="D2111" s="8">
        <v>5</v>
      </c>
      <c r="E2111" s="11">
        <v>43115</v>
      </c>
      <c r="F2111" s="8" t="s">
        <v>57</v>
      </c>
      <c r="G2111" s="11">
        <v>43115</v>
      </c>
      <c r="H2111" s="8" t="s">
        <v>25</v>
      </c>
      <c r="J2111" s="8" t="s">
        <v>25</v>
      </c>
      <c r="N2111" s="8" t="s">
        <v>58</v>
      </c>
      <c r="O2111" s="8" t="s">
        <v>59</v>
      </c>
      <c r="P2111" s="8" t="s">
        <v>59</v>
      </c>
      <c r="R2111" s="8">
        <v>0</v>
      </c>
      <c r="S2111" s="8">
        <v>0</v>
      </c>
      <c r="T2111" s="8">
        <v>1</v>
      </c>
      <c r="U2111" s="8">
        <v>2</v>
      </c>
      <c r="AG2111" s="8" t="str">
        <f t="shared" si="129"/>
        <v/>
      </c>
      <c r="AI2111" s="8" t="str">
        <f t="shared" si="130"/>
        <v/>
      </c>
      <c r="AJ2111" s="8" t="str">
        <f t="shared" si="131"/>
        <v/>
      </c>
      <c r="AL2111" s="8" t="str">
        <f t="shared" si="132"/>
        <v/>
      </c>
    </row>
    <row r="2112" spans="1:38" x14ac:dyDescent="0.25">
      <c r="A2112" s="8" t="s">
        <v>3979</v>
      </c>
      <c r="B2112" s="8" t="s">
        <v>3980</v>
      </c>
      <c r="C2112" s="8">
        <v>30888496</v>
      </c>
      <c r="D2112" s="8">
        <v>4</v>
      </c>
      <c r="E2112" s="11">
        <v>43111</v>
      </c>
      <c r="F2112" s="8" t="s">
        <v>58</v>
      </c>
      <c r="G2112" s="11">
        <v>43111</v>
      </c>
      <c r="H2112" s="8" t="s">
        <v>25</v>
      </c>
      <c r="I2112" s="11">
        <v>43115</v>
      </c>
      <c r="J2112" s="8" t="s">
        <v>25</v>
      </c>
      <c r="N2112" s="8" t="s">
        <v>58</v>
      </c>
      <c r="O2112" s="8" t="s">
        <v>59</v>
      </c>
      <c r="P2112" s="8" t="s">
        <v>59</v>
      </c>
      <c r="R2112" s="8">
        <v>0</v>
      </c>
      <c r="S2112" s="8">
        <v>0</v>
      </c>
      <c r="T2112" s="8">
        <v>1</v>
      </c>
      <c r="U2112" s="8">
        <v>2</v>
      </c>
      <c r="X2112" s="8">
        <v>5</v>
      </c>
      <c r="AG2112" s="8" t="str">
        <f t="shared" si="129"/>
        <v/>
      </c>
      <c r="AI2112" s="8" t="str">
        <f t="shared" si="130"/>
        <v/>
      </c>
      <c r="AJ2112" s="8" t="str">
        <f t="shared" si="131"/>
        <v/>
      </c>
      <c r="AL2112" s="8" t="str">
        <f t="shared" si="132"/>
        <v/>
      </c>
    </row>
    <row r="2113" spans="1:38" x14ac:dyDescent="0.25">
      <c r="A2113" s="8" t="s">
        <v>7380</v>
      </c>
      <c r="B2113" s="8" t="s">
        <v>7381</v>
      </c>
      <c r="C2113" s="8">
        <v>30923212</v>
      </c>
      <c r="D2113" s="8">
        <v>5</v>
      </c>
      <c r="E2113" s="11">
        <v>43112</v>
      </c>
      <c r="F2113" s="8" t="s">
        <v>57</v>
      </c>
      <c r="G2113" s="11">
        <v>43115</v>
      </c>
      <c r="H2113" s="8" t="s">
        <v>25</v>
      </c>
      <c r="J2113" s="8" t="s">
        <v>25</v>
      </c>
      <c r="N2113" s="8" t="s">
        <v>58</v>
      </c>
      <c r="O2113" s="8" t="s">
        <v>59</v>
      </c>
      <c r="P2113" s="8" t="s">
        <v>59</v>
      </c>
      <c r="R2113" s="8">
        <v>0</v>
      </c>
      <c r="S2113" s="8">
        <v>0</v>
      </c>
      <c r="T2113" s="8">
        <v>1</v>
      </c>
      <c r="U2113" s="8">
        <v>2</v>
      </c>
      <c r="AG2113" s="8" t="str">
        <f t="shared" si="129"/>
        <v/>
      </c>
      <c r="AI2113" s="8" t="str">
        <f t="shared" si="130"/>
        <v/>
      </c>
      <c r="AJ2113" s="8" t="str">
        <f t="shared" si="131"/>
        <v/>
      </c>
      <c r="AL2113" s="8" t="str">
        <f t="shared" si="132"/>
        <v/>
      </c>
    </row>
    <row r="2114" spans="1:38" x14ac:dyDescent="0.25">
      <c r="A2114" s="8" t="s">
        <v>1308</v>
      </c>
      <c r="B2114" s="8" t="s">
        <v>1309</v>
      </c>
      <c r="C2114" s="8">
        <v>30841488</v>
      </c>
      <c r="D2114" s="8">
        <v>5</v>
      </c>
      <c r="E2114" s="11">
        <v>43109</v>
      </c>
      <c r="F2114" s="8" t="s">
        <v>58</v>
      </c>
      <c r="G2114" s="11">
        <v>43109</v>
      </c>
      <c r="H2114" s="8" t="s">
        <v>25</v>
      </c>
      <c r="I2114" s="11">
        <v>43115</v>
      </c>
      <c r="J2114" s="8" t="s">
        <v>145</v>
      </c>
      <c r="N2114" s="8" t="s">
        <v>58</v>
      </c>
      <c r="O2114" s="8" t="s">
        <v>59</v>
      </c>
      <c r="P2114" s="8" t="s">
        <v>59</v>
      </c>
      <c r="R2114" s="8">
        <v>0</v>
      </c>
      <c r="S2114" s="8">
        <v>0</v>
      </c>
      <c r="T2114" s="8">
        <v>1</v>
      </c>
      <c r="U2114" s="8">
        <v>2</v>
      </c>
      <c r="X2114" s="8">
        <v>5</v>
      </c>
      <c r="AG2114" s="8" t="str">
        <f t="shared" si="129"/>
        <v/>
      </c>
      <c r="AI2114" s="8" t="str">
        <f t="shared" si="130"/>
        <v/>
      </c>
      <c r="AJ2114" s="8" t="str">
        <f t="shared" si="131"/>
        <v/>
      </c>
      <c r="AL2114" s="8" t="str">
        <f t="shared" si="132"/>
        <v/>
      </c>
    </row>
    <row r="2115" spans="1:38" x14ac:dyDescent="0.25">
      <c r="A2115" s="8" t="s">
        <v>3981</v>
      </c>
      <c r="B2115" s="8" t="s">
        <v>3982</v>
      </c>
      <c r="C2115" s="8">
        <v>30891756</v>
      </c>
      <c r="D2115" s="8">
        <v>5</v>
      </c>
      <c r="E2115" s="11">
        <v>43111</v>
      </c>
      <c r="F2115" s="8" t="s">
        <v>58</v>
      </c>
      <c r="G2115" s="11">
        <v>43111</v>
      </c>
      <c r="H2115" s="8" t="s">
        <v>25</v>
      </c>
      <c r="I2115" s="11">
        <v>43115</v>
      </c>
      <c r="J2115" s="8" t="s">
        <v>25</v>
      </c>
      <c r="N2115" s="8" t="s">
        <v>58</v>
      </c>
      <c r="O2115" s="8" t="s">
        <v>59</v>
      </c>
      <c r="P2115" s="8" t="s">
        <v>59</v>
      </c>
      <c r="R2115" s="8">
        <v>0</v>
      </c>
      <c r="S2115" s="8">
        <v>0</v>
      </c>
      <c r="T2115" s="8">
        <v>1</v>
      </c>
      <c r="U2115" s="8">
        <v>2</v>
      </c>
      <c r="X2115" s="8">
        <v>5</v>
      </c>
      <c r="AG2115" s="8" t="str">
        <f t="shared" ref="AG2115:AG2178" si="133">IF(AND(U2115="",G2115&lt;&gt;"",NOT(OR(R2115,S2115))),IF(NETWORKDAYS.INTL(G2115,TODAY(),11)&lt;5,"En Plazo",IF(NETWORKDAYS.INTL(G2115,TODAY(),11)=5,"Riesgo Incumplimiento","FALTA_02")),"")</f>
        <v/>
      </c>
      <c r="AI2115" s="8" t="str">
        <f t="shared" ref="AI2115:AI2178" si="134">IF(AND(O2115&lt;&gt;"B1",F2115="Rejected"),IF(W2115="","FALTA_04",""),"")</f>
        <v/>
      </c>
      <c r="AJ2115" s="8" t="str">
        <f t="shared" ref="AJ2115:AJ2178" si="135">IF(AND(X2115="",I2115&lt;&gt;"",NOT(OR(R2115,S2115))),IF(NETWORKDAYS.INTL(G2115,TODAY(),11)&lt;=1,"En Plazo",IF(OR(AND(X2115="",O2115&lt;&gt;"M1"),AND(O2115="M1",(OR(Q2115="S - S",Q2115="S - T",)))),"FALTA_05","")),"")</f>
        <v/>
      </c>
      <c r="AL2115" s="8" t="str">
        <f t="shared" ref="AL2115:AL2178" si="136">IF(AND(O2115="B1",F2115="Rejected"),IF(Z2115="","FALTA_07",""),"")</f>
        <v/>
      </c>
    </row>
    <row r="2116" spans="1:38" x14ac:dyDescent="0.25">
      <c r="A2116" s="8" t="s">
        <v>2496</v>
      </c>
      <c r="B2116" s="8" t="s">
        <v>2497</v>
      </c>
      <c r="C2116" s="8">
        <v>30865214</v>
      </c>
      <c r="D2116" s="8">
        <v>5</v>
      </c>
      <c r="E2116" s="11">
        <v>43110</v>
      </c>
      <c r="F2116" s="8" t="s">
        <v>58</v>
      </c>
      <c r="G2116" s="11">
        <v>43110</v>
      </c>
      <c r="H2116" s="8" t="s">
        <v>25</v>
      </c>
      <c r="I2116" s="11">
        <v>43111</v>
      </c>
      <c r="J2116" s="8" t="s">
        <v>25</v>
      </c>
      <c r="N2116" s="8" t="s">
        <v>58</v>
      </c>
      <c r="O2116" s="8" t="s">
        <v>59</v>
      </c>
      <c r="P2116" s="8" t="s">
        <v>59</v>
      </c>
      <c r="R2116" s="8">
        <v>0</v>
      </c>
      <c r="S2116" s="8">
        <v>0</v>
      </c>
      <c r="T2116" s="8">
        <v>1</v>
      </c>
      <c r="U2116" s="8">
        <v>2</v>
      </c>
      <c r="X2116" s="8">
        <v>5</v>
      </c>
      <c r="AG2116" s="8" t="str">
        <f t="shared" si="133"/>
        <v/>
      </c>
      <c r="AI2116" s="8" t="str">
        <f t="shared" si="134"/>
        <v/>
      </c>
      <c r="AJ2116" s="8" t="str">
        <f t="shared" si="135"/>
        <v/>
      </c>
      <c r="AL2116" s="8" t="str">
        <f t="shared" si="136"/>
        <v/>
      </c>
    </row>
    <row r="2117" spans="1:38" x14ac:dyDescent="0.25">
      <c r="A2117" s="8" t="s">
        <v>487</v>
      </c>
      <c r="B2117" s="8" t="s">
        <v>488</v>
      </c>
      <c r="C2117" s="8">
        <v>30818407</v>
      </c>
      <c r="D2117" s="8">
        <v>5</v>
      </c>
      <c r="E2117" s="11">
        <v>43108</v>
      </c>
      <c r="F2117" s="8" t="s">
        <v>58</v>
      </c>
      <c r="G2117" s="11">
        <v>43108</v>
      </c>
      <c r="H2117" s="8" t="s">
        <v>25</v>
      </c>
      <c r="I2117" s="11">
        <v>43109</v>
      </c>
      <c r="J2117" s="8" t="s">
        <v>25</v>
      </c>
      <c r="N2117" s="8" t="s">
        <v>58</v>
      </c>
      <c r="O2117" s="8" t="s">
        <v>59</v>
      </c>
      <c r="P2117" s="8" t="s">
        <v>59</v>
      </c>
      <c r="R2117" s="8">
        <v>0</v>
      </c>
      <c r="S2117" s="8">
        <v>0</v>
      </c>
      <c r="T2117" s="8">
        <v>1</v>
      </c>
      <c r="U2117" s="8">
        <v>2</v>
      </c>
      <c r="X2117" s="8">
        <v>5</v>
      </c>
      <c r="AG2117" s="8" t="str">
        <f t="shared" si="133"/>
        <v/>
      </c>
      <c r="AI2117" s="8" t="str">
        <f t="shared" si="134"/>
        <v/>
      </c>
      <c r="AJ2117" s="8" t="str">
        <f t="shared" si="135"/>
        <v/>
      </c>
      <c r="AL2117" s="8" t="str">
        <f t="shared" si="136"/>
        <v/>
      </c>
    </row>
    <row r="2118" spans="1:38" x14ac:dyDescent="0.25">
      <c r="A2118" s="8" t="s">
        <v>489</v>
      </c>
      <c r="B2118" s="8" t="s">
        <v>490</v>
      </c>
      <c r="C2118" s="8">
        <v>30818408</v>
      </c>
      <c r="D2118" s="8">
        <v>5</v>
      </c>
      <c r="E2118" s="11">
        <v>43108</v>
      </c>
      <c r="F2118" s="8" t="s">
        <v>58</v>
      </c>
      <c r="G2118" s="11">
        <v>43108</v>
      </c>
      <c r="H2118" s="8" t="s">
        <v>25</v>
      </c>
      <c r="I2118" s="11">
        <v>43112</v>
      </c>
      <c r="J2118" s="8" t="s">
        <v>145</v>
      </c>
      <c r="N2118" s="8" t="s">
        <v>58</v>
      </c>
      <c r="O2118" s="8" t="s">
        <v>59</v>
      </c>
      <c r="P2118" s="8" t="s">
        <v>59</v>
      </c>
      <c r="R2118" s="8">
        <v>0</v>
      </c>
      <c r="S2118" s="8">
        <v>0</v>
      </c>
      <c r="T2118" s="8">
        <v>1</v>
      </c>
      <c r="U2118" s="8">
        <v>2</v>
      </c>
      <c r="X2118" s="8">
        <v>5</v>
      </c>
      <c r="AG2118" s="8" t="str">
        <f t="shared" si="133"/>
        <v/>
      </c>
      <c r="AI2118" s="8" t="str">
        <f t="shared" si="134"/>
        <v/>
      </c>
      <c r="AJ2118" s="8" t="str">
        <f t="shared" si="135"/>
        <v/>
      </c>
      <c r="AL2118" s="8" t="str">
        <f t="shared" si="136"/>
        <v/>
      </c>
    </row>
    <row r="2119" spans="1:38" x14ac:dyDescent="0.25">
      <c r="A2119" s="8" t="s">
        <v>1310</v>
      </c>
      <c r="B2119" s="8" t="s">
        <v>1311</v>
      </c>
      <c r="C2119" s="8">
        <v>30827268</v>
      </c>
      <c r="D2119" s="8">
        <v>5</v>
      </c>
      <c r="E2119" s="11">
        <v>43108</v>
      </c>
      <c r="F2119" s="8" t="s">
        <v>58</v>
      </c>
      <c r="G2119" s="11">
        <v>43109</v>
      </c>
      <c r="H2119" s="8" t="s">
        <v>25</v>
      </c>
      <c r="I2119" s="11">
        <v>43112</v>
      </c>
      <c r="J2119" s="8" t="s">
        <v>25</v>
      </c>
      <c r="N2119" s="8" t="s">
        <v>58</v>
      </c>
      <c r="O2119" s="8" t="s">
        <v>59</v>
      </c>
      <c r="P2119" s="8" t="s">
        <v>59</v>
      </c>
      <c r="R2119" s="8">
        <v>0</v>
      </c>
      <c r="S2119" s="8">
        <v>0</v>
      </c>
      <c r="T2119" s="8">
        <v>1</v>
      </c>
      <c r="U2119" s="8">
        <v>2</v>
      </c>
      <c r="X2119" s="8">
        <v>5</v>
      </c>
      <c r="AG2119" s="8" t="str">
        <f t="shared" si="133"/>
        <v/>
      </c>
      <c r="AI2119" s="8" t="str">
        <f t="shared" si="134"/>
        <v/>
      </c>
      <c r="AJ2119" s="8" t="str">
        <f t="shared" si="135"/>
        <v/>
      </c>
      <c r="AL2119" s="8" t="str">
        <f t="shared" si="136"/>
        <v/>
      </c>
    </row>
    <row r="2120" spans="1:38" x14ac:dyDescent="0.25">
      <c r="A2120" s="8" t="s">
        <v>2498</v>
      </c>
      <c r="B2120" s="8" t="s">
        <v>2499</v>
      </c>
      <c r="C2120" s="8">
        <v>30865216</v>
      </c>
      <c r="D2120" s="8">
        <v>5</v>
      </c>
      <c r="E2120" s="11">
        <v>43110</v>
      </c>
      <c r="F2120" s="8" t="s">
        <v>57</v>
      </c>
      <c r="G2120" s="11">
        <v>43110</v>
      </c>
      <c r="H2120" s="8" t="s">
        <v>25</v>
      </c>
      <c r="J2120" s="8" t="s">
        <v>25</v>
      </c>
      <c r="N2120" s="8" t="s">
        <v>58</v>
      </c>
      <c r="O2120" s="8" t="s">
        <v>59</v>
      </c>
      <c r="P2120" s="8" t="s">
        <v>59</v>
      </c>
      <c r="R2120" s="8">
        <v>0</v>
      </c>
      <c r="S2120" s="8">
        <v>0</v>
      </c>
      <c r="T2120" s="8">
        <v>1</v>
      </c>
      <c r="U2120" s="8">
        <v>2</v>
      </c>
      <c r="AG2120" s="8" t="str">
        <f t="shared" si="133"/>
        <v/>
      </c>
      <c r="AI2120" s="8" t="str">
        <f t="shared" si="134"/>
        <v/>
      </c>
      <c r="AJ2120" s="8" t="str">
        <f t="shared" si="135"/>
        <v/>
      </c>
      <c r="AL2120" s="8" t="str">
        <f t="shared" si="136"/>
        <v/>
      </c>
    </row>
    <row r="2121" spans="1:38" x14ac:dyDescent="0.25">
      <c r="A2121" s="8" t="s">
        <v>1312</v>
      </c>
      <c r="B2121" s="8" t="s">
        <v>1313</v>
      </c>
      <c r="C2121" s="8">
        <v>30846119</v>
      </c>
      <c r="D2121" s="8">
        <v>5</v>
      </c>
      <c r="E2121" s="11">
        <v>43109</v>
      </c>
      <c r="F2121" s="8" t="s">
        <v>57</v>
      </c>
      <c r="G2121" s="11">
        <v>43109</v>
      </c>
      <c r="H2121" s="8" t="s">
        <v>25</v>
      </c>
      <c r="J2121" s="8" t="s">
        <v>25</v>
      </c>
      <c r="N2121" s="8" t="s">
        <v>58</v>
      </c>
      <c r="O2121" s="8" t="s">
        <v>59</v>
      </c>
      <c r="P2121" s="8" t="s">
        <v>59</v>
      </c>
      <c r="R2121" s="8">
        <v>0</v>
      </c>
      <c r="S2121" s="8">
        <v>0</v>
      </c>
      <c r="T2121" s="8">
        <v>1</v>
      </c>
      <c r="U2121" s="8">
        <v>2</v>
      </c>
      <c r="AG2121" s="8" t="str">
        <f t="shared" si="133"/>
        <v/>
      </c>
      <c r="AI2121" s="8" t="str">
        <f t="shared" si="134"/>
        <v/>
      </c>
      <c r="AJ2121" s="8" t="str">
        <f t="shared" si="135"/>
        <v/>
      </c>
      <c r="AL2121" s="8" t="str">
        <f t="shared" si="136"/>
        <v/>
      </c>
    </row>
    <row r="2122" spans="1:38" x14ac:dyDescent="0.25">
      <c r="A2122" s="8" t="s">
        <v>1314</v>
      </c>
      <c r="B2122" s="8" t="s">
        <v>1315</v>
      </c>
      <c r="C2122" s="8">
        <v>30824467</v>
      </c>
      <c r="D2122" s="8">
        <v>5</v>
      </c>
      <c r="E2122" s="11">
        <v>43108</v>
      </c>
      <c r="F2122" s="8" t="s">
        <v>58</v>
      </c>
      <c r="G2122" s="11">
        <v>43109</v>
      </c>
      <c r="H2122" s="8" t="s">
        <v>25</v>
      </c>
      <c r="I2122" s="11">
        <v>43111</v>
      </c>
      <c r="J2122" s="8" t="s">
        <v>25</v>
      </c>
      <c r="N2122" s="8" t="s">
        <v>58</v>
      </c>
      <c r="O2122" s="8" t="s">
        <v>59</v>
      </c>
      <c r="P2122" s="8" t="s">
        <v>59</v>
      </c>
      <c r="R2122" s="8">
        <v>0</v>
      </c>
      <c r="S2122" s="8">
        <v>0</v>
      </c>
      <c r="T2122" s="8">
        <v>1</v>
      </c>
      <c r="U2122" s="8">
        <v>2</v>
      </c>
      <c r="X2122" s="8">
        <v>5</v>
      </c>
      <c r="AG2122" s="8" t="str">
        <f t="shared" si="133"/>
        <v/>
      </c>
      <c r="AI2122" s="8" t="str">
        <f t="shared" si="134"/>
        <v/>
      </c>
      <c r="AJ2122" s="8" t="str">
        <f t="shared" si="135"/>
        <v/>
      </c>
      <c r="AL2122" s="8" t="str">
        <f t="shared" si="136"/>
        <v/>
      </c>
    </row>
    <row r="2123" spans="1:38" x14ac:dyDescent="0.25">
      <c r="A2123" s="8" t="s">
        <v>1316</v>
      </c>
      <c r="B2123" s="8" t="s">
        <v>1317</v>
      </c>
      <c r="C2123" s="8">
        <v>30846574</v>
      </c>
      <c r="D2123" s="8">
        <v>5</v>
      </c>
      <c r="E2123" s="11">
        <v>43109</v>
      </c>
      <c r="F2123" s="8" t="s">
        <v>57</v>
      </c>
      <c r="G2123" s="11">
        <v>43109</v>
      </c>
      <c r="H2123" s="8" t="s">
        <v>25</v>
      </c>
      <c r="J2123" s="8" t="s">
        <v>25</v>
      </c>
      <c r="N2123" s="8" t="s">
        <v>58</v>
      </c>
      <c r="O2123" s="8" t="s">
        <v>59</v>
      </c>
      <c r="P2123" s="8" t="s">
        <v>59</v>
      </c>
      <c r="R2123" s="8">
        <v>0</v>
      </c>
      <c r="S2123" s="8">
        <v>0</v>
      </c>
      <c r="T2123" s="8">
        <v>1</v>
      </c>
      <c r="U2123" s="8">
        <v>2</v>
      </c>
      <c r="AG2123" s="8" t="str">
        <f t="shared" si="133"/>
        <v/>
      </c>
      <c r="AI2123" s="8" t="str">
        <f t="shared" si="134"/>
        <v/>
      </c>
      <c r="AJ2123" s="8" t="str">
        <f t="shared" si="135"/>
        <v/>
      </c>
      <c r="AL2123" s="8" t="str">
        <f t="shared" si="136"/>
        <v/>
      </c>
    </row>
    <row r="2124" spans="1:38" x14ac:dyDescent="0.25">
      <c r="A2124" s="8" t="s">
        <v>3983</v>
      </c>
      <c r="B2124" s="8" t="s">
        <v>3984</v>
      </c>
      <c r="C2124" s="8">
        <v>30842418</v>
      </c>
      <c r="D2124" s="8">
        <v>5</v>
      </c>
      <c r="E2124" s="11">
        <v>43109</v>
      </c>
      <c r="F2124" s="8" t="s">
        <v>58</v>
      </c>
      <c r="G2124" s="11">
        <v>43111</v>
      </c>
      <c r="H2124" s="8" t="s">
        <v>25</v>
      </c>
      <c r="I2124" s="11">
        <v>43111</v>
      </c>
      <c r="J2124" s="8" t="s">
        <v>25</v>
      </c>
      <c r="N2124" s="8" t="s">
        <v>58</v>
      </c>
      <c r="O2124" s="8" t="s">
        <v>59</v>
      </c>
      <c r="P2124" s="8" t="s">
        <v>59</v>
      </c>
      <c r="R2124" s="8">
        <v>0</v>
      </c>
      <c r="S2124" s="8">
        <v>0</v>
      </c>
      <c r="T2124" s="8">
        <v>1</v>
      </c>
      <c r="U2124" s="8">
        <v>2</v>
      </c>
      <c r="X2124" s="8">
        <v>5</v>
      </c>
      <c r="AG2124" s="8" t="str">
        <f t="shared" si="133"/>
        <v/>
      </c>
      <c r="AI2124" s="8" t="str">
        <f t="shared" si="134"/>
        <v/>
      </c>
      <c r="AJ2124" s="8" t="str">
        <f t="shared" si="135"/>
        <v/>
      </c>
      <c r="AL2124" s="8" t="str">
        <f t="shared" si="136"/>
        <v/>
      </c>
    </row>
    <row r="2125" spans="1:38" x14ac:dyDescent="0.25">
      <c r="A2125" s="8" t="s">
        <v>2500</v>
      </c>
      <c r="B2125" s="8" t="s">
        <v>2501</v>
      </c>
      <c r="C2125" s="8">
        <v>30813856</v>
      </c>
      <c r="D2125" s="8">
        <v>5</v>
      </c>
      <c r="E2125" s="11">
        <v>43108</v>
      </c>
      <c r="F2125" s="8" t="s">
        <v>58</v>
      </c>
      <c r="G2125" s="11">
        <v>43110</v>
      </c>
      <c r="H2125" s="8" t="s">
        <v>25</v>
      </c>
      <c r="I2125" s="11">
        <v>43110</v>
      </c>
      <c r="J2125" s="8" t="s">
        <v>25</v>
      </c>
      <c r="N2125" s="8" t="s">
        <v>58</v>
      </c>
      <c r="O2125" s="8" t="s">
        <v>59</v>
      </c>
      <c r="P2125" s="8" t="s">
        <v>59</v>
      </c>
      <c r="R2125" s="8">
        <v>0</v>
      </c>
      <c r="S2125" s="8">
        <v>0</v>
      </c>
      <c r="T2125" s="8">
        <v>1</v>
      </c>
      <c r="U2125" s="8">
        <v>2</v>
      </c>
      <c r="X2125" s="8">
        <v>5</v>
      </c>
      <c r="AG2125" s="8" t="str">
        <f t="shared" si="133"/>
        <v/>
      </c>
      <c r="AI2125" s="8" t="str">
        <f t="shared" si="134"/>
        <v/>
      </c>
      <c r="AJ2125" s="8" t="str">
        <f t="shared" si="135"/>
        <v/>
      </c>
      <c r="AL2125" s="8" t="str">
        <f t="shared" si="136"/>
        <v/>
      </c>
    </row>
    <row r="2126" spans="1:38" x14ac:dyDescent="0.25">
      <c r="A2126" s="8" t="s">
        <v>7382</v>
      </c>
      <c r="B2126" s="8" t="s">
        <v>7383</v>
      </c>
      <c r="C2126" s="8">
        <v>30931367</v>
      </c>
      <c r="D2126" s="8">
        <v>5</v>
      </c>
      <c r="E2126" s="11">
        <v>43115</v>
      </c>
      <c r="F2126" s="8" t="s">
        <v>58</v>
      </c>
      <c r="G2126" s="11">
        <v>43115</v>
      </c>
      <c r="H2126" s="8" t="s">
        <v>25</v>
      </c>
      <c r="I2126" s="11">
        <v>43115</v>
      </c>
      <c r="J2126" s="8" t="s">
        <v>25</v>
      </c>
      <c r="N2126" s="8" t="s">
        <v>58</v>
      </c>
      <c r="O2126" s="8" t="s">
        <v>59</v>
      </c>
      <c r="P2126" s="8" t="s">
        <v>59</v>
      </c>
      <c r="R2126" s="8">
        <v>0</v>
      </c>
      <c r="S2126" s="8">
        <v>0</v>
      </c>
      <c r="T2126" s="8">
        <v>1</v>
      </c>
      <c r="U2126" s="8">
        <v>2</v>
      </c>
      <c r="X2126" s="8">
        <v>5</v>
      </c>
      <c r="AG2126" s="8" t="str">
        <f t="shared" si="133"/>
        <v/>
      </c>
      <c r="AI2126" s="8" t="str">
        <f t="shared" si="134"/>
        <v/>
      </c>
      <c r="AJ2126" s="8" t="str">
        <f t="shared" si="135"/>
        <v/>
      </c>
      <c r="AL2126" s="8" t="str">
        <f t="shared" si="136"/>
        <v/>
      </c>
    </row>
    <row r="2127" spans="1:38" x14ac:dyDescent="0.25">
      <c r="A2127" s="8" t="s">
        <v>7384</v>
      </c>
      <c r="B2127" s="8" t="s">
        <v>7385</v>
      </c>
      <c r="C2127" s="8">
        <v>30930028</v>
      </c>
      <c r="D2127" s="8">
        <v>5</v>
      </c>
      <c r="E2127" s="11">
        <v>43115</v>
      </c>
      <c r="F2127" s="8" t="s">
        <v>57</v>
      </c>
      <c r="G2127" s="11">
        <v>43115</v>
      </c>
      <c r="H2127" s="8" t="s">
        <v>25</v>
      </c>
      <c r="J2127" s="8" t="s">
        <v>25</v>
      </c>
      <c r="N2127" s="8" t="s">
        <v>58</v>
      </c>
      <c r="O2127" s="8" t="s">
        <v>59</v>
      </c>
      <c r="P2127" s="8" t="s">
        <v>59</v>
      </c>
      <c r="R2127" s="8">
        <v>0</v>
      </c>
      <c r="S2127" s="8">
        <v>0</v>
      </c>
      <c r="T2127" s="8">
        <v>1</v>
      </c>
      <c r="U2127" s="8">
        <v>2</v>
      </c>
      <c r="AG2127" s="8" t="str">
        <f t="shared" si="133"/>
        <v/>
      </c>
      <c r="AI2127" s="8" t="str">
        <f t="shared" si="134"/>
        <v/>
      </c>
      <c r="AJ2127" s="8" t="str">
        <f t="shared" si="135"/>
        <v/>
      </c>
      <c r="AL2127" s="8" t="str">
        <f t="shared" si="136"/>
        <v/>
      </c>
    </row>
    <row r="2128" spans="1:38" x14ac:dyDescent="0.25">
      <c r="A2128" s="8" t="s">
        <v>5580</v>
      </c>
      <c r="B2128" s="8" t="s">
        <v>5581</v>
      </c>
      <c r="C2128" s="8">
        <v>30868186</v>
      </c>
      <c r="D2128" s="8">
        <v>5</v>
      </c>
      <c r="E2128" s="11">
        <v>43110</v>
      </c>
      <c r="F2128" s="8" t="s">
        <v>57</v>
      </c>
      <c r="G2128" s="11">
        <v>43112</v>
      </c>
      <c r="H2128" s="8" t="s">
        <v>25</v>
      </c>
      <c r="J2128" s="8" t="s">
        <v>25</v>
      </c>
      <c r="N2128" s="8" t="s">
        <v>58</v>
      </c>
      <c r="O2128" s="8" t="s">
        <v>59</v>
      </c>
      <c r="P2128" s="8" t="s">
        <v>59</v>
      </c>
      <c r="R2128" s="8">
        <v>0</v>
      </c>
      <c r="S2128" s="8">
        <v>0</v>
      </c>
      <c r="T2128" s="8">
        <v>1</v>
      </c>
      <c r="U2128" s="8">
        <v>2</v>
      </c>
      <c r="AG2128" s="8" t="str">
        <f t="shared" si="133"/>
        <v/>
      </c>
      <c r="AI2128" s="8" t="str">
        <f t="shared" si="134"/>
        <v/>
      </c>
      <c r="AJ2128" s="8" t="str">
        <f t="shared" si="135"/>
        <v/>
      </c>
      <c r="AL2128" s="8" t="str">
        <f t="shared" si="136"/>
        <v/>
      </c>
    </row>
    <row r="2129" spans="1:38" x14ac:dyDescent="0.25">
      <c r="A2129" s="8" t="s">
        <v>3985</v>
      </c>
      <c r="B2129" s="8" t="s">
        <v>3986</v>
      </c>
      <c r="C2129" s="8">
        <v>30840641</v>
      </c>
      <c r="D2129" s="8">
        <v>5</v>
      </c>
      <c r="E2129" s="11">
        <v>43109</v>
      </c>
      <c r="F2129" s="8" t="s">
        <v>57</v>
      </c>
      <c r="G2129" s="11">
        <v>43111</v>
      </c>
      <c r="H2129" s="8" t="s">
        <v>25</v>
      </c>
      <c r="J2129" s="8" t="s">
        <v>25</v>
      </c>
      <c r="N2129" s="8" t="s">
        <v>58</v>
      </c>
      <c r="O2129" s="8" t="s">
        <v>59</v>
      </c>
      <c r="P2129" s="8" t="s">
        <v>59</v>
      </c>
      <c r="R2129" s="8">
        <v>0</v>
      </c>
      <c r="S2129" s="8">
        <v>0</v>
      </c>
      <c r="T2129" s="8">
        <v>1</v>
      </c>
      <c r="U2129" s="8">
        <v>2</v>
      </c>
      <c r="AG2129" s="8" t="str">
        <f t="shared" si="133"/>
        <v/>
      </c>
      <c r="AI2129" s="8" t="str">
        <f t="shared" si="134"/>
        <v/>
      </c>
      <c r="AJ2129" s="8" t="str">
        <f t="shared" si="135"/>
        <v/>
      </c>
      <c r="AL2129" s="8" t="str">
        <f t="shared" si="136"/>
        <v/>
      </c>
    </row>
    <row r="2130" spans="1:38" x14ac:dyDescent="0.25">
      <c r="A2130" s="8" t="s">
        <v>491</v>
      </c>
      <c r="B2130" s="8" t="s">
        <v>492</v>
      </c>
      <c r="C2130" s="8">
        <v>30816945</v>
      </c>
      <c r="D2130" s="8">
        <v>5</v>
      </c>
      <c r="E2130" s="11">
        <v>43108</v>
      </c>
      <c r="F2130" s="8" t="s">
        <v>58</v>
      </c>
      <c r="G2130" s="11">
        <v>43108</v>
      </c>
      <c r="H2130" s="8" t="s">
        <v>25</v>
      </c>
      <c r="I2130" s="11">
        <v>43112</v>
      </c>
      <c r="J2130" s="8" t="s">
        <v>145</v>
      </c>
      <c r="N2130" s="8" t="s">
        <v>58</v>
      </c>
      <c r="O2130" s="8" t="s">
        <v>59</v>
      </c>
      <c r="P2130" s="8" t="s">
        <v>59</v>
      </c>
      <c r="R2130" s="8">
        <v>0</v>
      </c>
      <c r="S2130" s="8">
        <v>0</v>
      </c>
      <c r="T2130" s="8">
        <v>1</v>
      </c>
      <c r="U2130" s="8">
        <v>2</v>
      </c>
      <c r="X2130" s="8">
        <v>5</v>
      </c>
      <c r="AG2130" s="8" t="str">
        <f t="shared" si="133"/>
        <v/>
      </c>
      <c r="AI2130" s="8" t="str">
        <f t="shared" si="134"/>
        <v/>
      </c>
      <c r="AJ2130" s="8" t="str">
        <f t="shared" si="135"/>
        <v/>
      </c>
      <c r="AL2130" s="8" t="str">
        <f t="shared" si="136"/>
        <v/>
      </c>
    </row>
    <row r="2131" spans="1:38" x14ac:dyDescent="0.25">
      <c r="A2131" s="8" t="s">
        <v>5582</v>
      </c>
      <c r="B2131" s="8" t="s">
        <v>5583</v>
      </c>
      <c r="C2131" s="8">
        <v>30864248</v>
      </c>
      <c r="D2131" s="8">
        <v>5</v>
      </c>
      <c r="E2131" s="11">
        <v>43110</v>
      </c>
      <c r="F2131" s="8" t="s">
        <v>58</v>
      </c>
      <c r="G2131" s="11">
        <v>43112</v>
      </c>
      <c r="H2131" s="8" t="s">
        <v>25</v>
      </c>
      <c r="I2131" s="11">
        <v>43112</v>
      </c>
      <c r="J2131" s="8" t="s">
        <v>25</v>
      </c>
      <c r="N2131" s="8" t="s">
        <v>58</v>
      </c>
      <c r="O2131" s="8" t="s">
        <v>59</v>
      </c>
      <c r="P2131" s="8" t="s">
        <v>59</v>
      </c>
      <c r="R2131" s="8">
        <v>0</v>
      </c>
      <c r="S2131" s="8">
        <v>0</v>
      </c>
      <c r="T2131" s="8">
        <v>1</v>
      </c>
      <c r="U2131" s="8">
        <v>2</v>
      </c>
      <c r="X2131" s="8">
        <v>5</v>
      </c>
      <c r="AG2131" s="8" t="str">
        <f t="shared" si="133"/>
        <v/>
      </c>
      <c r="AI2131" s="8" t="str">
        <f t="shared" si="134"/>
        <v/>
      </c>
      <c r="AJ2131" s="8" t="str">
        <f t="shared" si="135"/>
        <v/>
      </c>
      <c r="AL2131" s="8" t="str">
        <f t="shared" si="136"/>
        <v/>
      </c>
    </row>
    <row r="2132" spans="1:38" x14ac:dyDescent="0.25">
      <c r="A2132" s="8" t="s">
        <v>7386</v>
      </c>
      <c r="B2132" s="8" t="s">
        <v>7387</v>
      </c>
      <c r="C2132" s="8">
        <v>30893411</v>
      </c>
      <c r="D2132" s="8">
        <v>5</v>
      </c>
      <c r="E2132" s="11">
        <v>43111</v>
      </c>
      <c r="F2132" s="8" t="s">
        <v>58</v>
      </c>
      <c r="G2132" s="11">
        <v>43115</v>
      </c>
      <c r="H2132" s="8" t="s">
        <v>25</v>
      </c>
      <c r="I2132" s="11">
        <v>43115</v>
      </c>
      <c r="J2132" s="8" t="s">
        <v>25</v>
      </c>
      <c r="N2132" s="8" t="s">
        <v>58</v>
      </c>
      <c r="O2132" s="8" t="s">
        <v>59</v>
      </c>
      <c r="P2132" s="8" t="s">
        <v>59</v>
      </c>
      <c r="R2132" s="8">
        <v>0</v>
      </c>
      <c r="S2132" s="8">
        <v>0</v>
      </c>
      <c r="T2132" s="8">
        <v>1</v>
      </c>
      <c r="U2132" s="8">
        <v>2</v>
      </c>
      <c r="X2132" s="8">
        <v>5</v>
      </c>
      <c r="AG2132" s="8" t="str">
        <f t="shared" si="133"/>
        <v/>
      </c>
      <c r="AI2132" s="8" t="str">
        <f t="shared" si="134"/>
        <v/>
      </c>
      <c r="AJ2132" s="8" t="str">
        <f t="shared" si="135"/>
        <v/>
      </c>
      <c r="AL2132" s="8" t="str">
        <f t="shared" si="136"/>
        <v/>
      </c>
    </row>
    <row r="2133" spans="1:38" x14ac:dyDescent="0.25">
      <c r="A2133" s="8" t="s">
        <v>5584</v>
      </c>
      <c r="B2133" s="8" t="s">
        <v>5585</v>
      </c>
      <c r="C2133" s="8">
        <v>30873718</v>
      </c>
      <c r="D2133" s="8">
        <v>5</v>
      </c>
      <c r="E2133" s="11">
        <v>43110</v>
      </c>
      <c r="F2133" s="8" t="s">
        <v>57</v>
      </c>
      <c r="G2133" s="11">
        <v>43112</v>
      </c>
      <c r="H2133" s="8" t="s">
        <v>25</v>
      </c>
      <c r="J2133" s="8" t="s">
        <v>25</v>
      </c>
      <c r="N2133" s="8" t="s">
        <v>58</v>
      </c>
      <c r="O2133" s="8" t="s">
        <v>59</v>
      </c>
      <c r="P2133" s="8" t="s">
        <v>59</v>
      </c>
      <c r="R2133" s="8">
        <v>0</v>
      </c>
      <c r="S2133" s="8">
        <v>0</v>
      </c>
      <c r="T2133" s="8">
        <v>1</v>
      </c>
      <c r="U2133" s="8">
        <v>2</v>
      </c>
      <c r="AG2133" s="8" t="str">
        <f t="shared" si="133"/>
        <v/>
      </c>
      <c r="AI2133" s="8" t="str">
        <f t="shared" si="134"/>
        <v/>
      </c>
      <c r="AJ2133" s="8" t="str">
        <f t="shared" si="135"/>
        <v/>
      </c>
      <c r="AL2133" s="8" t="str">
        <f t="shared" si="136"/>
        <v/>
      </c>
    </row>
    <row r="2134" spans="1:38" x14ac:dyDescent="0.25">
      <c r="A2134" s="8" t="s">
        <v>5586</v>
      </c>
      <c r="B2134" s="8" t="s">
        <v>5587</v>
      </c>
      <c r="C2134" s="8">
        <v>30869965</v>
      </c>
      <c r="D2134" s="8">
        <v>5</v>
      </c>
      <c r="E2134" s="11">
        <v>43110</v>
      </c>
      <c r="F2134" s="8" t="s">
        <v>58</v>
      </c>
      <c r="G2134" s="11">
        <v>43112</v>
      </c>
      <c r="H2134" s="8" t="s">
        <v>25</v>
      </c>
      <c r="I2134" s="11">
        <v>43112</v>
      </c>
      <c r="J2134" s="8" t="s">
        <v>25</v>
      </c>
      <c r="N2134" s="8" t="s">
        <v>58</v>
      </c>
      <c r="O2134" s="8" t="s">
        <v>59</v>
      </c>
      <c r="P2134" s="8" t="s">
        <v>59</v>
      </c>
      <c r="R2134" s="8">
        <v>0</v>
      </c>
      <c r="S2134" s="8">
        <v>0</v>
      </c>
      <c r="T2134" s="8">
        <v>1</v>
      </c>
      <c r="U2134" s="8">
        <v>2</v>
      </c>
      <c r="X2134" s="8">
        <v>5</v>
      </c>
      <c r="AG2134" s="8" t="str">
        <f t="shared" si="133"/>
        <v/>
      </c>
      <c r="AI2134" s="8" t="str">
        <f t="shared" si="134"/>
        <v/>
      </c>
      <c r="AJ2134" s="8" t="str">
        <f t="shared" si="135"/>
        <v/>
      </c>
      <c r="AL2134" s="8" t="str">
        <f t="shared" si="136"/>
        <v/>
      </c>
    </row>
    <row r="2135" spans="1:38" x14ac:dyDescent="0.25">
      <c r="A2135" s="8" t="s">
        <v>5588</v>
      </c>
      <c r="B2135" s="8" t="s">
        <v>5589</v>
      </c>
      <c r="C2135" s="8">
        <v>30871527</v>
      </c>
      <c r="D2135" s="8">
        <v>5</v>
      </c>
      <c r="E2135" s="11">
        <v>43110</v>
      </c>
      <c r="F2135" s="8" t="s">
        <v>58</v>
      </c>
      <c r="G2135" s="11">
        <v>43112</v>
      </c>
      <c r="H2135" s="8" t="s">
        <v>25</v>
      </c>
      <c r="I2135" s="11">
        <v>43112</v>
      </c>
      <c r="J2135" s="8" t="s">
        <v>25</v>
      </c>
      <c r="N2135" s="8" t="s">
        <v>58</v>
      </c>
      <c r="O2135" s="8" t="s">
        <v>59</v>
      </c>
      <c r="P2135" s="8" t="s">
        <v>59</v>
      </c>
      <c r="R2135" s="8">
        <v>0</v>
      </c>
      <c r="S2135" s="8">
        <v>0</v>
      </c>
      <c r="T2135" s="8">
        <v>1</v>
      </c>
      <c r="U2135" s="8">
        <v>2</v>
      </c>
      <c r="X2135" s="8">
        <v>5</v>
      </c>
      <c r="AG2135" s="8" t="str">
        <f t="shared" si="133"/>
        <v/>
      </c>
      <c r="AI2135" s="8" t="str">
        <f t="shared" si="134"/>
        <v/>
      </c>
      <c r="AJ2135" s="8" t="str">
        <f t="shared" si="135"/>
        <v/>
      </c>
      <c r="AL2135" s="8" t="str">
        <f t="shared" si="136"/>
        <v/>
      </c>
    </row>
    <row r="2136" spans="1:38" x14ac:dyDescent="0.25">
      <c r="A2136" s="8" t="s">
        <v>7388</v>
      </c>
      <c r="B2136" s="8" t="s">
        <v>7389</v>
      </c>
      <c r="C2136" s="8">
        <v>30896904</v>
      </c>
      <c r="D2136" s="8">
        <v>5</v>
      </c>
      <c r="E2136" s="11">
        <v>43111</v>
      </c>
      <c r="F2136" s="8" t="s">
        <v>57</v>
      </c>
      <c r="G2136" s="11">
        <v>43115</v>
      </c>
      <c r="H2136" s="8" t="s">
        <v>25</v>
      </c>
      <c r="J2136" s="8" t="s">
        <v>25</v>
      </c>
      <c r="N2136" s="8" t="s">
        <v>58</v>
      </c>
      <c r="O2136" s="8" t="s">
        <v>59</v>
      </c>
      <c r="P2136" s="8" t="s">
        <v>59</v>
      </c>
      <c r="R2136" s="8">
        <v>0</v>
      </c>
      <c r="S2136" s="8">
        <v>0</v>
      </c>
      <c r="T2136" s="8">
        <v>1</v>
      </c>
      <c r="U2136" s="8">
        <v>2</v>
      </c>
      <c r="AG2136" s="8" t="str">
        <f t="shared" si="133"/>
        <v/>
      </c>
      <c r="AI2136" s="8" t="str">
        <f t="shared" si="134"/>
        <v/>
      </c>
      <c r="AJ2136" s="8" t="str">
        <f t="shared" si="135"/>
        <v/>
      </c>
      <c r="AL2136" s="8" t="str">
        <f t="shared" si="136"/>
        <v/>
      </c>
    </row>
    <row r="2137" spans="1:38" x14ac:dyDescent="0.25">
      <c r="A2137" s="8" t="s">
        <v>3987</v>
      </c>
      <c r="B2137" s="8" t="s">
        <v>102</v>
      </c>
      <c r="C2137" s="8">
        <v>30883368</v>
      </c>
      <c r="D2137" s="8">
        <v>5</v>
      </c>
      <c r="E2137" s="11">
        <v>43111</v>
      </c>
      <c r="F2137" s="8" t="s">
        <v>57</v>
      </c>
      <c r="G2137" s="11">
        <v>43111</v>
      </c>
      <c r="H2137" s="8" t="s">
        <v>25</v>
      </c>
      <c r="J2137" s="8" t="s">
        <v>25</v>
      </c>
      <c r="N2137" s="8" t="s">
        <v>58</v>
      </c>
      <c r="O2137" s="8" t="s">
        <v>59</v>
      </c>
      <c r="P2137" s="8" t="s">
        <v>59</v>
      </c>
      <c r="R2137" s="8">
        <v>0</v>
      </c>
      <c r="S2137" s="8">
        <v>0</v>
      </c>
      <c r="T2137" s="8">
        <v>1</v>
      </c>
      <c r="U2137" s="8">
        <v>2</v>
      </c>
      <c r="AG2137" s="8" t="str">
        <f t="shared" si="133"/>
        <v/>
      </c>
      <c r="AI2137" s="8" t="str">
        <f t="shared" si="134"/>
        <v/>
      </c>
      <c r="AJ2137" s="8" t="str">
        <f t="shared" si="135"/>
        <v/>
      </c>
      <c r="AL2137" s="8" t="str">
        <f t="shared" si="136"/>
        <v/>
      </c>
    </row>
    <row r="2138" spans="1:38" x14ac:dyDescent="0.25">
      <c r="A2138" s="8" t="s">
        <v>493</v>
      </c>
      <c r="B2138" s="8" t="s">
        <v>494</v>
      </c>
      <c r="C2138" s="8">
        <v>30808537</v>
      </c>
      <c r="D2138" s="8">
        <v>5</v>
      </c>
      <c r="E2138" s="11">
        <v>43108</v>
      </c>
      <c r="F2138" s="8" t="s">
        <v>57</v>
      </c>
      <c r="G2138" s="11">
        <v>43108</v>
      </c>
      <c r="H2138" s="8" t="s">
        <v>25</v>
      </c>
      <c r="J2138" s="8" t="s">
        <v>25</v>
      </c>
      <c r="N2138" s="8" t="s">
        <v>58</v>
      </c>
      <c r="O2138" s="8" t="s">
        <v>59</v>
      </c>
      <c r="P2138" s="8" t="s">
        <v>59</v>
      </c>
      <c r="R2138" s="8">
        <v>0</v>
      </c>
      <c r="S2138" s="8">
        <v>0</v>
      </c>
      <c r="T2138" s="8">
        <v>1</v>
      </c>
      <c r="U2138" s="8">
        <v>2</v>
      </c>
      <c r="AG2138" s="8" t="str">
        <f t="shared" si="133"/>
        <v/>
      </c>
      <c r="AI2138" s="8" t="str">
        <f t="shared" si="134"/>
        <v/>
      </c>
      <c r="AJ2138" s="8" t="str">
        <f t="shared" si="135"/>
        <v/>
      </c>
      <c r="AL2138" s="8" t="str">
        <f t="shared" si="136"/>
        <v/>
      </c>
    </row>
    <row r="2139" spans="1:38" x14ac:dyDescent="0.25">
      <c r="A2139" s="8" t="s">
        <v>495</v>
      </c>
      <c r="B2139" s="8" t="s">
        <v>496</v>
      </c>
      <c r="C2139" s="8">
        <v>30810736</v>
      </c>
      <c r="D2139" s="8">
        <v>5</v>
      </c>
      <c r="E2139" s="11">
        <v>43108</v>
      </c>
      <c r="F2139" s="8" t="s">
        <v>60</v>
      </c>
      <c r="G2139" s="11">
        <v>43108</v>
      </c>
      <c r="H2139" s="8" t="s">
        <v>25</v>
      </c>
      <c r="J2139" s="8" t="s">
        <v>25</v>
      </c>
      <c r="L2139" s="8" t="s">
        <v>3287</v>
      </c>
      <c r="N2139" s="8" t="s">
        <v>58</v>
      </c>
      <c r="O2139" s="8" t="s">
        <v>59</v>
      </c>
      <c r="P2139" s="8" t="s">
        <v>59</v>
      </c>
      <c r="R2139" s="8">
        <v>0</v>
      </c>
      <c r="S2139" s="8">
        <v>0</v>
      </c>
      <c r="T2139" s="8">
        <v>1</v>
      </c>
      <c r="U2139" s="8">
        <v>2</v>
      </c>
      <c r="W2139" s="8">
        <v>4</v>
      </c>
      <c r="AG2139" s="8" t="str">
        <f t="shared" si="133"/>
        <v/>
      </c>
      <c r="AI2139" s="8" t="str">
        <f t="shared" si="134"/>
        <v/>
      </c>
      <c r="AJ2139" s="8" t="str">
        <f t="shared" si="135"/>
        <v/>
      </c>
      <c r="AL2139" s="8" t="str">
        <f t="shared" si="136"/>
        <v/>
      </c>
    </row>
    <row r="2140" spans="1:38" x14ac:dyDescent="0.25">
      <c r="A2140" s="8" t="s">
        <v>7390</v>
      </c>
      <c r="B2140" s="8" t="s">
        <v>7391</v>
      </c>
      <c r="C2140" s="8">
        <v>30933268</v>
      </c>
      <c r="D2140" s="8">
        <v>5</v>
      </c>
      <c r="E2140" s="11">
        <v>43115</v>
      </c>
      <c r="F2140" s="8" t="s">
        <v>57</v>
      </c>
      <c r="G2140" s="11">
        <v>43115</v>
      </c>
      <c r="H2140" s="8" t="s">
        <v>25</v>
      </c>
      <c r="J2140" s="8" t="s">
        <v>25</v>
      </c>
      <c r="N2140" s="8" t="s">
        <v>58</v>
      </c>
      <c r="O2140" s="8" t="s">
        <v>59</v>
      </c>
      <c r="P2140" s="8" t="s">
        <v>59</v>
      </c>
      <c r="R2140" s="8">
        <v>0</v>
      </c>
      <c r="S2140" s="8">
        <v>0</v>
      </c>
      <c r="T2140" s="8">
        <v>1</v>
      </c>
      <c r="U2140" s="8">
        <v>2</v>
      </c>
      <c r="AG2140" s="8" t="str">
        <f t="shared" si="133"/>
        <v/>
      </c>
      <c r="AI2140" s="8" t="str">
        <f t="shared" si="134"/>
        <v/>
      </c>
      <c r="AJ2140" s="8" t="str">
        <f t="shared" si="135"/>
        <v/>
      </c>
      <c r="AL2140" s="8" t="str">
        <f t="shared" si="136"/>
        <v/>
      </c>
    </row>
    <row r="2141" spans="1:38" x14ac:dyDescent="0.25">
      <c r="A2141" s="8" t="s">
        <v>2502</v>
      </c>
      <c r="B2141" s="8" t="s">
        <v>121</v>
      </c>
      <c r="C2141" s="8">
        <v>30871559</v>
      </c>
      <c r="D2141" s="8">
        <v>5</v>
      </c>
      <c r="E2141" s="11">
        <v>43110</v>
      </c>
      <c r="F2141" s="8" t="s">
        <v>60</v>
      </c>
      <c r="G2141" s="11">
        <v>43110</v>
      </c>
      <c r="H2141" s="8" t="s">
        <v>25</v>
      </c>
      <c r="J2141" s="8" t="s">
        <v>25</v>
      </c>
      <c r="L2141" s="8" t="s">
        <v>4797</v>
      </c>
      <c r="N2141" s="8" t="s">
        <v>58</v>
      </c>
      <c r="O2141" s="8" t="s">
        <v>59</v>
      </c>
      <c r="P2141" s="8" t="s">
        <v>59</v>
      </c>
      <c r="R2141" s="8">
        <v>0</v>
      </c>
      <c r="S2141" s="8">
        <v>0</v>
      </c>
      <c r="T2141" s="8">
        <v>1</v>
      </c>
      <c r="U2141" s="8">
        <v>2</v>
      </c>
      <c r="W2141" s="8">
        <v>4</v>
      </c>
      <c r="AG2141" s="8" t="str">
        <f t="shared" si="133"/>
        <v/>
      </c>
      <c r="AI2141" s="8" t="str">
        <f t="shared" si="134"/>
        <v/>
      </c>
      <c r="AJ2141" s="8" t="str">
        <f t="shared" si="135"/>
        <v/>
      </c>
      <c r="AL2141" s="8" t="str">
        <f t="shared" si="136"/>
        <v/>
      </c>
    </row>
    <row r="2142" spans="1:38" x14ac:dyDescent="0.25">
      <c r="A2142" s="8" t="s">
        <v>7392</v>
      </c>
      <c r="B2142" s="8" t="s">
        <v>121</v>
      </c>
      <c r="C2142" s="8">
        <v>30929318</v>
      </c>
      <c r="D2142" s="8">
        <v>5</v>
      </c>
      <c r="E2142" s="11">
        <v>43115</v>
      </c>
      <c r="F2142" s="8" t="s">
        <v>57</v>
      </c>
      <c r="G2142" s="11">
        <v>43115</v>
      </c>
      <c r="H2142" s="8" t="s">
        <v>25</v>
      </c>
      <c r="J2142" s="8" t="s">
        <v>25</v>
      </c>
      <c r="N2142" s="8" t="s">
        <v>58</v>
      </c>
      <c r="O2142" s="8" t="s">
        <v>59</v>
      </c>
      <c r="P2142" s="8" t="s">
        <v>59</v>
      </c>
      <c r="R2142" s="8">
        <v>0</v>
      </c>
      <c r="S2142" s="8">
        <v>0</v>
      </c>
      <c r="T2142" s="8">
        <v>1</v>
      </c>
      <c r="U2142" s="8">
        <v>2</v>
      </c>
      <c r="AG2142" s="8" t="str">
        <f t="shared" si="133"/>
        <v/>
      </c>
      <c r="AI2142" s="8" t="str">
        <f t="shared" si="134"/>
        <v/>
      </c>
      <c r="AJ2142" s="8" t="str">
        <f t="shared" si="135"/>
        <v/>
      </c>
      <c r="AL2142" s="8" t="str">
        <f t="shared" si="136"/>
        <v/>
      </c>
    </row>
    <row r="2143" spans="1:38" x14ac:dyDescent="0.25">
      <c r="A2143" s="8" t="s">
        <v>3988</v>
      </c>
      <c r="B2143" s="8" t="s">
        <v>3989</v>
      </c>
      <c r="C2143" s="8">
        <v>30881519</v>
      </c>
      <c r="D2143" s="8">
        <v>5</v>
      </c>
      <c r="E2143" s="11">
        <v>43111</v>
      </c>
      <c r="F2143" s="8" t="s">
        <v>57</v>
      </c>
      <c r="G2143" s="11">
        <v>43111</v>
      </c>
      <c r="H2143" s="8" t="s">
        <v>25</v>
      </c>
      <c r="J2143" s="8" t="s">
        <v>25</v>
      </c>
      <c r="N2143" s="8" t="s">
        <v>58</v>
      </c>
      <c r="O2143" s="8" t="s">
        <v>59</v>
      </c>
      <c r="P2143" s="8" t="s">
        <v>59</v>
      </c>
      <c r="R2143" s="8">
        <v>0</v>
      </c>
      <c r="S2143" s="8">
        <v>0</v>
      </c>
      <c r="T2143" s="8">
        <v>1</v>
      </c>
      <c r="U2143" s="8">
        <v>2</v>
      </c>
      <c r="AG2143" s="8" t="str">
        <f t="shared" si="133"/>
        <v/>
      </c>
      <c r="AI2143" s="8" t="str">
        <f t="shared" si="134"/>
        <v/>
      </c>
      <c r="AJ2143" s="8" t="str">
        <f t="shared" si="135"/>
        <v/>
      </c>
      <c r="AL2143" s="8" t="str">
        <f t="shared" si="136"/>
        <v/>
      </c>
    </row>
    <row r="2144" spans="1:38" x14ac:dyDescent="0.25">
      <c r="A2144" s="8" t="s">
        <v>7393</v>
      </c>
      <c r="B2144" s="8" t="s">
        <v>7394</v>
      </c>
      <c r="C2144" s="8">
        <v>30930510</v>
      </c>
      <c r="D2144" s="8">
        <v>5</v>
      </c>
      <c r="E2144" s="11">
        <v>43115</v>
      </c>
      <c r="F2144" s="8" t="s">
        <v>62</v>
      </c>
      <c r="G2144" s="11">
        <v>43115</v>
      </c>
      <c r="H2144" s="8" t="s">
        <v>25</v>
      </c>
      <c r="J2144" s="8" t="s">
        <v>25</v>
      </c>
      <c r="N2144" s="8" t="s">
        <v>63</v>
      </c>
      <c r="O2144" s="8" t="s">
        <v>59</v>
      </c>
      <c r="P2144" s="8" t="s">
        <v>59</v>
      </c>
      <c r="R2144" s="8">
        <v>0</v>
      </c>
      <c r="S2144" s="8">
        <v>0</v>
      </c>
      <c r="T2144" s="8">
        <v>1</v>
      </c>
      <c r="U2144" s="8">
        <v>2</v>
      </c>
      <c r="AG2144" s="8" t="str">
        <f t="shared" si="133"/>
        <v/>
      </c>
      <c r="AI2144" s="8" t="str">
        <f t="shared" si="134"/>
        <v/>
      </c>
      <c r="AJ2144" s="8" t="str">
        <f t="shared" si="135"/>
        <v/>
      </c>
      <c r="AL2144" s="8" t="str">
        <f t="shared" si="136"/>
        <v/>
      </c>
    </row>
    <row r="2145" spans="1:38" x14ac:dyDescent="0.25">
      <c r="A2145" s="8" t="s">
        <v>497</v>
      </c>
      <c r="B2145" s="8" t="s">
        <v>498</v>
      </c>
      <c r="C2145" s="8">
        <v>30811355</v>
      </c>
      <c r="D2145" s="8">
        <v>5</v>
      </c>
      <c r="E2145" s="11">
        <v>43108</v>
      </c>
      <c r="F2145" s="8" t="s">
        <v>60</v>
      </c>
      <c r="G2145" s="11">
        <v>43108</v>
      </c>
      <c r="H2145" s="8" t="s">
        <v>25</v>
      </c>
      <c r="J2145" s="8" t="s">
        <v>856</v>
      </c>
      <c r="L2145" s="8" t="s">
        <v>6525</v>
      </c>
      <c r="N2145" s="8" t="s">
        <v>58</v>
      </c>
      <c r="O2145" s="8" t="s">
        <v>59</v>
      </c>
      <c r="P2145" s="8" t="s">
        <v>59</v>
      </c>
      <c r="R2145" s="8">
        <v>0</v>
      </c>
      <c r="S2145" s="8">
        <v>0</v>
      </c>
      <c r="T2145" s="8">
        <v>1</v>
      </c>
      <c r="U2145" s="8">
        <v>2</v>
      </c>
      <c r="W2145" s="8">
        <v>4</v>
      </c>
      <c r="AG2145" s="8" t="str">
        <f t="shared" si="133"/>
        <v/>
      </c>
      <c r="AI2145" s="8" t="str">
        <f t="shared" si="134"/>
        <v/>
      </c>
      <c r="AJ2145" s="8" t="str">
        <f t="shared" si="135"/>
        <v/>
      </c>
      <c r="AL2145" s="8" t="str">
        <f t="shared" si="136"/>
        <v/>
      </c>
    </row>
    <row r="2146" spans="1:38" x14ac:dyDescent="0.25">
      <c r="A2146" s="8" t="s">
        <v>5590</v>
      </c>
      <c r="B2146" s="8" t="s">
        <v>5591</v>
      </c>
      <c r="C2146" s="8">
        <v>30864260</v>
      </c>
      <c r="D2146" s="8">
        <v>5</v>
      </c>
      <c r="E2146" s="11">
        <v>43110</v>
      </c>
      <c r="F2146" s="8" t="s">
        <v>57</v>
      </c>
      <c r="G2146" s="11">
        <v>43112</v>
      </c>
      <c r="H2146" s="8" t="s">
        <v>25</v>
      </c>
      <c r="J2146" s="8" t="s">
        <v>25</v>
      </c>
      <c r="N2146" s="8" t="s">
        <v>58</v>
      </c>
      <c r="O2146" s="8" t="s">
        <v>59</v>
      </c>
      <c r="P2146" s="8" t="s">
        <v>59</v>
      </c>
      <c r="R2146" s="8">
        <v>0</v>
      </c>
      <c r="S2146" s="8">
        <v>0</v>
      </c>
      <c r="T2146" s="8">
        <v>1</v>
      </c>
      <c r="U2146" s="8">
        <v>2</v>
      </c>
      <c r="AG2146" s="8" t="str">
        <f t="shared" si="133"/>
        <v/>
      </c>
      <c r="AI2146" s="8" t="str">
        <f t="shared" si="134"/>
        <v/>
      </c>
      <c r="AJ2146" s="8" t="str">
        <f t="shared" si="135"/>
        <v/>
      </c>
      <c r="AL2146" s="8" t="str">
        <f t="shared" si="136"/>
        <v/>
      </c>
    </row>
    <row r="2147" spans="1:38" x14ac:dyDescent="0.25">
      <c r="A2147" s="8" t="s">
        <v>499</v>
      </c>
      <c r="B2147" s="8" t="s">
        <v>500</v>
      </c>
      <c r="C2147" s="8">
        <v>30827184</v>
      </c>
      <c r="D2147" s="8">
        <v>5</v>
      </c>
      <c r="E2147" s="11">
        <v>43108</v>
      </c>
      <c r="F2147" s="8" t="s">
        <v>58</v>
      </c>
      <c r="G2147" s="11">
        <v>43108</v>
      </c>
      <c r="H2147" s="8" t="s">
        <v>25</v>
      </c>
      <c r="I2147" s="11">
        <v>43109</v>
      </c>
      <c r="J2147" s="8" t="s">
        <v>25</v>
      </c>
      <c r="N2147" s="8" t="s">
        <v>58</v>
      </c>
      <c r="O2147" s="8" t="s">
        <v>59</v>
      </c>
      <c r="P2147" s="8" t="s">
        <v>59</v>
      </c>
      <c r="R2147" s="8">
        <v>0</v>
      </c>
      <c r="S2147" s="8">
        <v>0</v>
      </c>
      <c r="T2147" s="8">
        <v>1</v>
      </c>
      <c r="U2147" s="8">
        <v>2</v>
      </c>
      <c r="X2147" s="8">
        <v>5</v>
      </c>
      <c r="AG2147" s="8" t="str">
        <f t="shared" si="133"/>
        <v/>
      </c>
      <c r="AI2147" s="8" t="str">
        <f t="shared" si="134"/>
        <v/>
      </c>
      <c r="AJ2147" s="8" t="str">
        <f t="shared" si="135"/>
        <v/>
      </c>
      <c r="AL2147" s="8" t="str">
        <f t="shared" si="136"/>
        <v/>
      </c>
    </row>
    <row r="2148" spans="1:38" x14ac:dyDescent="0.25">
      <c r="A2148" s="8" t="s">
        <v>501</v>
      </c>
      <c r="B2148" s="8" t="s">
        <v>502</v>
      </c>
      <c r="C2148" s="8">
        <v>30814778</v>
      </c>
      <c r="D2148" s="8">
        <v>5</v>
      </c>
      <c r="E2148" s="11">
        <v>43108</v>
      </c>
      <c r="F2148" s="8" t="s">
        <v>58</v>
      </c>
      <c r="G2148" s="11">
        <v>43108</v>
      </c>
      <c r="H2148" s="8" t="s">
        <v>25</v>
      </c>
      <c r="I2148" s="11">
        <v>43109</v>
      </c>
      <c r="J2148" s="8" t="s">
        <v>25</v>
      </c>
      <c r="N2148" s="8" t="s">
        <v>58</v>
      </c>
      <c r="O2148" s="8" t="s">
        <v>59</v>
      </c>
      <c r="P2148" s="8" t="s">
        <v>59</v>
      </c>
      <c r="R2148" s="8">
        <v>0</v>
      </c>
      <c r="S2148" s="8">
        <v>0</v>
      </c>
      <c r="T2148" s="8">
        <v>1</v>
      </c>
      <c r="U2148" s="8">
        <v>2</v>
      </c>
      <c r="X2148" s="8">
        <v>5</v>
      </c>
      <c r="AG2148" s="8" t="str">
        <f t="shared" si="133"/>
        <v/>
      </c>
      <c r="AI2148" s="8" t="str">
        <f t="shared" si="134"/>
        <v/>
      </c>
      <c r="AJ2148" s="8" t="str">
        <f t="shared" si="135"/>
        <v/>
      </c>
      <c r="AL2148" s="8" t="str">
        <f t="shared" si="136"/>
        <v/>
      </c>
    </row>
    <row r="2149" spans="1:38" x14ac:dyDescent="0.25">
      <c r="A2149" s="8" t="s">
        <v>3990</v>
      </c>
      <c r="B2149" s="8" t="s">
        <v>3991</v>
      </c>
      <c r="C2149" s="8">
        <v>30843597</v>
      </c>
      <c r="D2149" s="8">
        <v>5</v>
      </c>
      <c r="E2149" s="11">
        <v>43109</v>
      </c>
      <c r="F2149" s="8" t="s">
        <v>58</v>
      </c>
      <c r="G2149" s="11">
        <v>43111</v>
      </c>
      <c r="H2149" s="8" t="s">
        <v>25</v>
      </c>
      <c r="I2149" s="11">
        <v>43112</v>
      </c>
      <c r="J2149" s="8" t="s">
        <v>25</v>
      </c>
      <c r="N2149" s="8" t="s">
        <v>58</v>
      </c>
      <c r="O2149" s="8" t="s">
        <v>59</v>
      </c>
      <c r="P2149" s="8" t="s">
        <v>59</v>
      </c>
      <c r="R2149" s="8">
        <v>0</v>
      </c>
      <c r="S2149" s="8">
        <v>0</v>
      </c>
      <c r="T2149" s="8">
        <v>1</v>
      </c>
      <c r="U2149" s="8">
        <v>2</v>
      </c>
      <c r="X2149" s="8">
        <v>5</v>
      </c>
      <c r="AG2149" s="8" t="str">
        <f t="shared" si="133"/>
        <v/>
      </c>
      <c r="AI2149" s="8" t="str">
        <f t="shared" si="134"/>
        <v/>
      </c>
      <c r="AJ2149" s="8" t="str">
        <f t="shared" si="135"/>
        <v/>
      </c>
      <c r="AL2149" s="8" t="str">
        <f t="shared" si="136"/>
        <v/>
      </c>
    </row>
    <row r="2150" spans="1:38" x14ac:dyDescent="0.25">
      <c r="A2150" s="8" t="s">
        <v>503</v>
      </c>
      <c r="B2150" s="8" t="s">
        <v>504</v>
      </c>
      <c r="C2150" s="8">
        <v>30827372</v>
      </c>
      <c r="D2150" s="8">
        <v>5</v>
      </c>
      <c r="E2150" s="11">
        <v>43108</v>
      </c>
      <c r="F2150" s="8" t="s">
        <v>60</v>
      </c>
      <c r="G2150" s="11">
        <v>43108</v>
      </c>
      <c r="H2150" s="8" t="s">
        <v>25</v>
      </c>
      <c r="J2150" s="8" t="s">
        <v>145</v>
      </c>
      <c r="L2150" s="8" t="s">
        <v>4797</v>
      </c>
      <c r="N2150" s="8" t="s">
        <v>58</v>
      </c>
      <c r="O2150" s="8" t="s">
        <v>59</v>
      </c>
      <c r="P2150" s="8" t="s">
        <v>59</v>
      </c>
      <c r="R2150" s="8">
        <v>0</v>
      </c>
      <c r="S2150" s="8">
        <v>0</v>
      </c>
      <c r="T2150" s="8">
        <v>1</v>
      </c>
      <c r="U2150" s="8">
        <v>2</v>
      </c>
      <c r="W2150" s="8">
        <v>4</v>
      </c>
      <c r="AG2150" s="8" t="str">
        <f t="shared" si="133"/>
        <v/>
      </c>
      <c r="AI2150" s="8" t="str">
        <f t="shared" si="134"/>
        <v/>
      </c>
      <c r="AJ2150" s="8" t="str">
        <f t="shared" si="135"/>
        <v/>
      </c>
      <c r="AL2150" s="8" t="str">
        <f t="shared" si="136"/>
        <v/>
      </c>
    </row>
    <row r="2151" spans="1:38" x14ac:dyDescent="0.25">
      <c r="A2151" s="8" t="s">
        <v>7395</v>
      </c>
      <c r="B2151" s="8" t="s">
        <v>504</v>
      </c>
      <c r="C2151" s="8">
        <v>30933098</v>
      </c>
      <c r="D2151" s="8">
        <v>5</v>
      </c>
      <c r="E2151" s="11">
        <v>43115</v>
      </c>
      <c r="F2151" s="8" t="s">
        <v>57</v>
      </c>
      <c r="G2151" s="11">
        <v>43115</v>
      </c>
      <c r="H2151" s="8" t="s">
        <v>25</v>
      </c>
      <c r="J2151" s="8" t="s">
        <v>25</v>
      </c>
      <c r="N2151" s="8" t="s">
        <v>58</v>
      </c>
      <c r="O2151" s="8" t="s">
        <v>59</v>
      </c>
      <c r="P2151" s="8" t="s">
        <v>59</v>
      </c>
      <c r="R2151" s="8">
        <v>0</v>
      </c>
      <c r="S2151" s="8">
        <v>0</v>
      </c>
      <c r="T2151" s="8">
        <v>1</v>
      </c>
      <c r="U2151" s="8">
        <v>2</v>
      </c>
      <c r="AG2151" s="8" t="str">
        <f t="shared" si="133"/>
        <v/>
      </c>
      <c r="AI2151" s="8" t="str">
        <f t="shared" si="134"/>
        <v/>
      </c>
      <c r="AJ2151" s="8" t="str">
        <f t="shared" si="135"/>
        <v/>
      </c>
      <c r="AL2151" s="8" t="str">
        <f t="shared" si="136"/>
        <v/>
      </c>
    </row>
    <row r="2152" spans="1:38" x14ac:dyDescent="0.25">
      <c r="A2152" s="8" t="s">
        <v>5592</v>
      </c>
      <c r="B2152" s="8" t="s">
        <v>5593</v>
      </c>
      <c r="C2152" s="8">
        <v>30859227</v>
      </c>
      <c r="D2152" s="8">
        <v>5</v>
      </c>
      <c r="E2152" s="11">
        <v>43110</v>
      </c>
      <c r="F2152" s="8" t="s">
        <v>58</v>
      </c>
      <c r="G2152" s="11">
        <v>43112</v>
      </c>
      <c r="H2152" s="8" t="s">
        <v>25</v>
      </c>
      <c r="I2152" s="11">
        <v>43112</v>
      </c>
      <c r="J2152" s="8" t="s">
        <v>25</v>
      </c>
      <c r="N2152" s="8" t="s">
        <v>58</v>
      </c>
      <c r="O2152" s="8" t="s">
        <v>59</v>
      </c>
      <c r="P2152" s="8" t="s">
        <v>59</v>
      </c>
      <c r="R2152" s="8">
        <v>0</v>
      </c>
      <c r="S2152" s="8">
        <v>0</v>
      </c>
      <c r="T2152" s="8">
        <v>1</v>
      </c>
      <c r="U2152" s="8">
        <v>2</v>
      </c>
      <c r="X2152" s="8">
        <v>5</v>
      </c>
      <c r="AG2152" s="8" t="str">
        <f t="shared" si="133"/>
        <v/>
      </c>
      <c r="AI2152" s="8" t="str">
        <f t="shared" si="134"/>
        <v/>
      </c>
      <c r="AJ2152" s="8" t="str">
        <f t="shared" si="135"/>
        <v/>
      </c>
      <c r="AL2152" s="8" t="str">
        <f t="shared" si="136"/>
        <v/>
      </c>
    </row>
    <row r="2153" spans="1:38" x14ac:dyDescent="0.25">
      <c r="A2153" s="8" t="s">
        <v>5594</v>
      </c>
      <c r="B2153" s="8" t="s">
        <v>5595</v>
      </c>
      <c r="C2153" s="8">
        <v>30858562</v>
      </c>
      <c r="D2153" s="8">
        <v>5</v>
      </c>
      <c r="E2153" s="11">
        <v>43110</v>
      </c>
      <c r="F2153" s="8" t="s">
        <v>57</v>
      </c>
      <c r="G2153" s="11">
        <v>43112</v>
      </c>
      <c r="H2153" s="8" t="s">
        <v>25</v>
      </c>
      <c r="J2153" s="8" t="s">
        <v>25</v>
      </c>
      <c r="N2153" s="8" t="s">
        <v>58</v>
      </c>
      <c r="O2153" s="8" t="s">
        <v>59</v>
      </c>
      <c r="P2153" s="8" t="s">
        <v>59</v>
      </c>
      <c r="R2153" s="8">
        <v>0</v>
      </c>
      <c r="S2153" s="8">
        <v>0</v>
      </c>
      <c r="T2153" s="8">
        <v>1</v>
      </c>
      <c r="U2153" s="8">
        <v>2</v>
      </c>
      <c r="AG2153" s="8" t="str">
        <f t="shared" si="133"/>
        <v/>
      </c>
      <c r="AI2153" s="8" t="str">
        <f t="shared" si="134"/>
        <v/>
      </c>
      <c r="AJ2153" s="8" t="str">
        <f t="shared" si="135"/>
        <v/>
      </c>
      <c r="AL2153" s="8" t="str">
        <f t="shared" si="136"/>
        <v/>
      </c>
    </row>
    <row r="2154" spans="1:38" x14ac:dyDescent="0.25">
      <c r="A2154" s="8" t="s">
        <v>5596</v>
      </c>
      <c r="B2154" s="8" t="s">
        <v>5597</v>
      </c>
      <c r="C2154" s="8">
        <v>30861766</v>
      </c>
      <c r="D2154" s="8">
        <v>5</v>
      </c>
      <c r="E2154" s="11">
        <v>43110</v>
      </c>
      <c r="F2154" s="8" t="s">
        <v>57</v>
      </c>
      <c r="G2154" s="11">
        <v>43112</v>
      </c>
      <c r="H2154" s="8" t="s">
        <v>25</v>
      </c>
      <c r="J2154" s="8" t="s">
        <v>25</v>
      </c>
      <c r="N2154" s="8" t="s">
        <v>58</v>
      </c>
      <c r="O2154" s="8" t="s">
        <v>59</v>
      </c>
      <c r="P2154" s="8" t="s">
        <v>59</v>
      </c>
      <c r="R2154" s="8">
        <v>0</v>
      </c>
      <c r="S2154" s="8">
        <v>0</v>
      </c>
      <c r="T2154" s="8">
        <v>1</v>
      </c>
      <c r="U2154" s="8">
        <v>2</v>
      </c>
      <c r="AG2154" s="8" t="str">
        <f t="shared" si="133"/>
        <v/>
      </c>
      <c r="AI2154" s="8" t="str">
        <f t="shared" si="134"/>
        <v/>
      </c>
      <c r="AJ2154" s="8" t="str">
        <f t="shared" si="135"/>
        <v/>
      </c>
      <c r="AL2154" s="8" t="str">
        <f t="shared" si="136"/>
        <v/>
      </c>
    </row>
    <row r="2155" spans="1:38" x14ac:dyDescent="0.25">
      <c r="A2155" s="8" t="s">
        <v>7396</v>
      </c>
      <c r="B2155" s="8" t="s">
        <v>7397</v>
      </c>
      <c r="C2155" s="8">
        <v>30912023</v>
      </c>
      <c r="D2155" s="8">
        <v>5</v>
      </c>
      <c r="E2155" s="11">
        <v>43112</v>
      </c>
      <c r="F2155" s="8" t="s">
        <v>57</v>
      </c>
      <c r="G2155" s="11">
        <v>43115</v>
      </c>
      <c r="H2155" s="8" t="s">
        <v>25</v>
      </c>
      <c r="J2155" s="8" t="s">
        <v>25</v>
      </c>
      <c r="N2155" s="8" t="s">
        <v>58</v>
      </c>
      <c r="O2155" s="8" t="s">
        <v>59</v>
      </c>
      <c r="P2155" s="8" t="s">
        <v>59</v>
      </c>
      <c r="R2155" s="8">
        <v>0</v>
      </c>
      <c r="S2155" s="8">
        <v>0</v>
      </c>
      <c r="T2155" s="8">
        <v>1</v>
      </c>
      <c r="U2155" s="8">
        <v>2</v>
      </c>
      <c r="AG2155" s="8" t="str">
        <f t="shared" si="133"/>
        <v/>
      </c>
      <c r="AI2155" s="8" t="str">
        <f t="shared" si="134"/>
        <v/>
      </c>
      <c r="AJ2155" s="8" t="str">
        <f t="shared" si="135"/>
        <v/>
      </c>
      <c r="AL2155" s="8" t="str">
        <f t="shared" si="136"/>
        <v/>
      </c>
    </row>
    <row r="2156" spans="1:38" x14ac:dyDescent="0.25">
      <c r="A2156" s="8" t="s">
        <v>5598</v>
      </c>
      <c r="B2156" s="8" t="s">
        <v>5599</v>
      </c>
      <c r="C2156" s="8">
        <v>30877263</v>
      </c>
      <c r="D2156" s="8">
        <v>5</v>
      </c>
      <c r="E2156" s="11">
        <v>43110</v>
      </c>
      <c r="F2156" s="8" t="s">
        <v>57</v>
      </c>
      <c r="G2156" s="11">
        <v>43112</v>
      </c>
      <c r="H2156" s="8" t="s">
        <v>25</v>
      </c>
      <c r="J2156" s="8" t="s">
        <v>25</v>
      </c>
      <c r="N2156" s="8" t="s">
        <v>58</v>
      </c>
      <c r="O2156" s="8" t="s">
        <v>59</v>
      </c>
      <c r="P2156" s="8" t="s">
        <v>59</v>
      </c>
      <c r="R2156" s="8">
        <v>0</v>
      </c>
      <c r="S2156" s="8">
        <v>0</v>
      </c>
      <c r="T2156" s="8">
        <v>1</v>
      </c>
      <c r="U2156" s="8">
        <v>2</v>
      </c>
      <c r="AG2156" s="8" t="str">
        <f t="shared" si="133"/>
        <v/>
      </c>
      <c r="AI2156" s="8" t="str">
        <f t="shared" si="134"/>
        <v/>
      </c>
      <c r="AJ2156" s="8" t="str">
        <f t="shared" si="135"/>
        <v/>
      </c>
      <c r="AL2156" s="8" t="str">
        <f t="shared" si="136"/>
        <v/>
      </c>
    </row>
    <row r="2157" spans="1:38" x14ac:dyDescent="0.25">
      <c r="A2157" s="8" t="s">
        <v>2503</v>
      </c>
      <c r="B2157" s="8" t="s">
        <v>2504</v>
      </c>
      <c r="C2157" s="8">
        <v>30806964</v>
      </c>
      <c r="D2157" s="8">
        <v>5</v>
      </c>
      <c r="E2157" s="11">
        <v>43108</v>
      </c>
      <c r="F2157" s="8" t="s">
        <v>58</v>
      </c>
      <c r="G2157" s="11">
        <v>43110</v>
      </c>
      <c r="H2157" s="8" t="s">
        <v>25</v>
      </c>
      <c r="I2157" s="11">
        <v>43110</v>
      </c>
      <c r="J2157" s="8" t="s">
        <v>25</v>
      </c>
      <c r="N2157" s="8" t="s">
        <v>58</v>
      </c>
      <c r="O2157" s="8" t="s">
        <v>59</v>
      </c>
      <c r="P2157" s="8" t="s">
        <v>59</v>
      </c>
      <c r="R2157" s="8">
        <v>0</v>
      </c>
      <c r="S2157" s="8">
        <v>0</v>
      </c>
      <c r="T2157" s="8">
        <v>1</v>
      </c>
      <c r="U2157" s="8">
        <v>2</v>
      </c>
      <c r="X2157" s="8">
        <v>5</v>
      </c>
      <c r="AG2157" s="8" t="str">
        <f t="shared" si="133"/>
        <v/>
      </c>
      <c r="AI2157" s="8" t="str">
        <f t="shared" si="134"/>
        <v/>
      </c>
      <c r="AJ2157" s="8" t="str">
        <f t="shared" si="135"/>
        <v/>
      </c>
      <c r="AL2157" s="8" t="str">
        <f t="shared" si="136"/>
        <v/>
      </c>
    </row>
    <row r="2158" spans="1:38" x14ac:dyDescent="0.25">
      <c r="A2158" s="8" t="s">
        <v>3992</v>
      </c>
      <c r="B2158" s="8" t="s">
        <v>3993</v>
      </c>
      <c r="C2158" s="8">
        <v>30841352</v>
      </c>
      <c r="D2158" s="8">
        <v>5</v>
      </c>
      <c r="E2158" s="11">
        <v>43109</v>
      </c>
      <c r="F2158" s="8" t="s">
        <v>57</v>
      </c>
      <c r="G2158" s="11">
        <v>43111</v>
      </c>
      <c r="H2158" s="8" t="s">
        <v>25</v>
      </c>
      <c r="J2158" s="8" t="s">
        <v>25</v>
      </c>
      <c r="N2158" s="8" t="s">
        <v>58</v>
      </c>
      <c r="O2158" s="8" t="s">
        <v>59</v>
      </c>
      <c r="P2158" s="8" t="s">
        <v>59</v>
      </c>
      <c r="R2158" s="8">
        <v>0</v>
      </c>
      <c r="S2158" s="8">
        <v>0</v>
      </c>
      <c r="T2158" s="8">
        <v>1</v>
      </c>
      <c r="U2158" s="8">
        <v>2</v>
      </c>
      <c r="AG2158" s="8" t="str">
        <f t="shared" si="133"/>
        <v/>
      </c>
      <c r="AI2158" s="8" t="str">
        <f t="shared" si="134"/>
        <v/>
      </c>
      <c r="AJ2158" s="8" t="str">
        <f t="shared" si="135"/>
        <v/>
      </c>
      <c r="AL2158" s="8" t="str">
        <f t="shared" si="136"/>
        <v/>
      </c>
    </row>
    <row r="2159" spans="1:38" x14ac:dyDescent="0.25">
      <c r="A2159" s="8" t="s">
        <v>5600</v>
      </c>
      <c r="B2159" s="8" t="s">
        <v>5601</v>
      </c>
      <c r="C2159" s="8">
        <v>30858697</v>
      </c>
      <c r="D2159" s="8">
        <v>5</v>
      </c>
      <c r="E2159" s="11">
        <v>43110</v>
      </c>
      <c r="F2159" s="8" t="s">
        <v>57</v>
      </c>
      <c r="G2159" s="11">
        <v>43112</v>
      </c>
      <c r="H2159" s="8" t="s">
        <v>25</v>
      </c>
      <c r="J2159" s="8" t="s">
        <v>25</v>
      </c>
      <c r="N2159" s="8" t="s">
        <v>58</v>
      </c>
      <c r="O2159" s="8" t="s">
        <v>59</v>
      </c>
      <c r="P2159" s="8" t="s">
        <v>59</v>
      </c>
      <c r="R2159" s="8">
        <v>0</v>
      </c>
      <c r="S2159" s="8">
        <v>0</v>
      </c>
      <c r="T2159" s="8">
        <v>1</v>
      </c>
      <c r="U2159" s="8">
        <v>2</v>
      </c>
      <c r="AG2159" s="8" t="str">
        <f t="shared" si="133"/>
        <v/>
      </c>
      <c r="AI2159" s="8" t="str">
        <f t="shared" si="134"/>
        <v/>
      </c>
      <c r="AJ2159" s="8" t="str">
        <f t="shared" si="135"/>
        <v/>
      </c>
      <c r="AL2159" s="8" t="str">
        <f t="shared" si="136"/>
        <v/>
      </c>
    </row>
    <row r="2160" spans="1:38" x14ac:dyDescent="0.25">
      <c r="A2160" s="8" t="s">
        <v>505</v>
      </c>
      <c r="B2160" s="8" t="s">
        <v>506</v>
      </c>
      <c r="C2160" s="8">
        <v>30806718</v>
      </c>
      <c r="D2160" s="8">
        <v>5</v>
      </c>
      <c r="E2160" s="11">
        <v>43108</v>
      </c>
      <c r="F2160" s="8" t="s">
        <v>58</v>
      </c>
      <c r="G2160" s="11">
        <v>43108</v>
      </c>
      <c r="H2160" s="8" t="s">
        <v>25</v>
      </c>
      <c r="I2160" s="11">
        <v>43109</v>
      </c>
      <c r="J2160" s="8" t="s">
        <v>25</v>
      </c>
      <c r="N2160" s="8" t="s">
        <v>58</v>
      </c>
      <c r="O2160" s="8" t="s">
        <v>59</v>
      </c>
      <c r="P2160" s="8" t="s">
        <v>59</v>
      </c>
      <c r="R2160" s="8">
        <v>0</v>
      </c>
      <c r="S2160" s="8">
        <v>0</v>
      </c>
      <c r="T2160" s="8">
        <v>1</v>
      </c>
      <c r="U2160" s="8">
        <v>2</v>
      </c>
      <c r="X2160" s="8">
        <v>5</v>
      </c>
      <c r="AG2160" s="8" t="str">
        <f t="shared" si="133"/>
        <v/>
      </c>
      <c r="AI2160" s="8" t="str">
        <f t="shared" si="134"/>
        <v/>
      </c>
      <c r="AJ2160" s="8" t="str">
        <f t="shared" si="135"/>
        <v/>
      </c>
      <c r="AL2160" s="8" t="str">
        <f t="shared" si="136"/>
        <v/>
      </c>
    </row>
    <row r="2161" spans="1:38" x14ac:dyDescent="0.25">
      <c r="A2161" s="8" t="s">
        <v>5602</v>
      </c>
      <c r="B2161" s="8" t="s">
        <v>5603</v>
      </c>
      <c r="C2161" s="8">
        <v>30861241</v>
      </c>
      <c r="D2161" s="8">
        <v>5</v>
      </c>
      <c r="E2161" s="11">
        <v>43110</v>
      </c>
      <c r="F2161" s="8" t="s">
        <v>57</v>
      </c>
      <c r="G2161" s="11">
        <v>43112</v>
      </c>
      <c r="H2161" s="8" t="s">
        <v>25</v>
      </c>
      <c r="J2161" s="8" t="s">
        <v>25</v>
      </c>
      <c r="N2161" s="8" t="s">
        <v>58</v>
      </c>
      <c r="O2161" s="8" t="s">
        <v>59</v>
      </c>
      <c r="P2161" s="8" t="s">
        <v>59</v>
      </c>
      <c r="R2161" s="8">
        <v>0</v>
      </c>
      <c r="S2161" s="8">
        <v>0</v>
      </c>
      <c r="T2161" s="8">
        <v>1</v>
      </c>
      <c r="U2161" s="8">
        <v>2</v>
      </c>
      <c r="AG2161" s="8" t="str">
        <f t="shared" si="133"/>
        <v/>
      </c>
      <c r="AI2161" s="8" t="str">
        <f t="shared" si="134"/>
        <v/>
      </c>
      <c r="AJ2161" s="8" t="str">
        <f t="shared" si="135"/>
        <v/>
      </c>
      <c r="AL2161" s="8" t="str">
        <f t="shared" si="136"/>
        <v/>
      </c>
    </row>
    <row r="2162" spans="1:38" x14ac:dyDescent="0.25">
      <c r="A2162" s="8" t="s">
        <v>507</v>
      </c>
      <c r="B2162" s="8" t="s">
        <v>508</v>
      </c>
      <c r="C2162" s="8">
        <v>30816976</v>
      </c>
      <c r="D2162" s="8">
        <v>5</v>
      </c>
      <c r="E2162" s="11">
        <v>43108</v>
      </c>
      <c r="F2162" s="8" t="s">
        <v>58</v>
      </c>
      <c r="G2162" s="11">
        <v>43108</v>
      </c>
      <c r="H2162" s="8" t="s">
        <v>25</v>
      </c>
      <c r="I2162" s="11">
        <v>43115</v>
      </c>
      <c r="J2162" s="8" t="s">
        <v>856</v>
      </c>
      <c r="N2162" s="8" t="s">
        <v>58</v>
      </c>
      <c r="O2162" s="8" t="s">
        <v>59</v>
      </c>
      <c r="P2162" s="8" t="s">
        <v>59</v>
      </c>
      <c r="R2162" s="8">
        <v>0</v>
      </c>
      <c r="S2162" s="8">
        <v>0</v>
      </c>
      <c r="T2162" s="8">
        <v>1</v>
      </c>
      <c r="U2162" s="8">
        <v>2</v>
      </c>
      <c r="X2162" s="8">
        <v>5</v>
      </c>
      <c r="AG2162" s="8" t="str">
        <f t="shared" si="133"/>
        <v/>
      </c>
      <c r="AI2162" s="8" t="str">
        <f t="shared" si="134"/>
        <v/>
      </c>
      <c r="AJ2162" s="8" t="str">
        <f t="shared" si="135"/>
        <v/>
      </c>
      <c r="AL2162" s="8" t="str">
        <f t="shared" si="136"/>
        <v/>
      </c>
    </row>
    <row r="2163" spans="1:38" x14ac:dyDescent="0.25">
      <c r="A2163" s="8" t="s">
        <v>7398</v>
      </c>
      <c r="B2163" s="8" t="s">
        <v>7399</v>
      </c>
      <c r="C2163" s="8">
        <v>30904204</v>
      </c>
      <c r="D2163" s="8">
        <v>5</v>
      </c>
      <c r="E2163" s="11">
        <v>43111</v>
      </c>
      <c r="F2163" s="8" t="s">
        <v>57</v>
      </c>
      <c r="G2163" s="11">
        <v>43115</v>
      </c>
      <c r="H2163" s="8" t="s">
        <v>25</v>
      </c>
      <c r="J2163" s="8" t="s">
        <v>25</v>
      </c>
      <c r="N2163" s="8" t="s">
        <v>58</v>
      </c>
      <c r="O2163" s="8" t="s">
        <v>59</v>
      </c>
      <c r="P2163" s="8" t="s">
        <v>59</v>
      </c>
      <c r="R2163" s="8">
        <v>0</v>
      </c>
      <c r="S2163" s="8">
        <v>0</v>
      </c>
      <c r="T2163" s="8">
        <v>1</v>
      </c>
      <c r="U2163" s="8">
        <v>2</v>
      </c>
      <c r="AG2163" s="8" t="str">
        <f t="shared" si="133"/>
        <v/>
      </c>
      <c r="AI2163" s="8" t="str">
        <f t="shared" si="134"/>
        <v/>
      </c>
      <c r="AJ2163" s="8" t="str">
        <f t="shared" si="135"/>
        <v/>
      </c>
      <c r="AL2163" s="8" t="str">
        <f t="shared" si="136"/>
        <v/>
      </c>
    </row>
    <row r="2164" spans="1:38" x14ac:dyDescent="0.25">
      <c r="A2164" s="8" t="s">
        <v>7400</v>
      </c>
      <c r="B2164" s="8" t="s">
        <v>7401</v>
      </c>
      <c r="C2164" s="8">
        <v>30930329</v>
      </c>
      <c r="D2164" s="8">
        <v>5</v>
      </c>
      <c r="E2164" s="11">
        <v>43115</v>
      </c>
      <c r="F2164" s="8" t="s">
        <v>57</v>
      </c>
      <c r="G2164" s="11">
        <v>43115</v>
      </c>
      <c r="H2164" s="8" t="s">
        <v>25</v>
      </c>
      <c r="J2164" s="8" t="s">
        <v>25</v>
      </c>
      <c r="N2164" s="8" t="s">
        <v>58</v>
      </c>
      <c r="O2164" s="8" t="s">
        <v>59</v>
      </c>
      <c r="P2164" s="8" t="s">
        <v>59</v>
      </c>
      <c r="R2164" s="8">
        <v>0</v>
      </c>
      <c r="S2164" s="8">
        <v>0</v>
      </c>
      <c r="T2164" s="8">
        <v>1</v>
      </c>
      <c r="U2164" s="8">
        <v>2</v>
      </c>
      <c r="AG2164" s="8" t="str">
        <f t="shared" si="133"/>
        <v/>
      </c>
      <c r="AI2164" s="8" t="str">
        <f t="shared" si="134"/>
        <v/>
      </c>
      <c r="AJ2164" s="8" t="str">
        <f t="shared" si="135"/>
        <v/>
      </c>
      <c r="AL2164" s="8" t="str">
        <f t="shared" si="136"/>
        <v/>
      </c>
    </row>
    <row r="2165" spans="1:38" x14ac:dyDescent="0.25">
      <c r="A2165" s="8" t="s">
        <v>5604</v>
      </c>
      <c r="B2165" s="8" t="s">
        <v>5605</v>
      </c>
      <c r="C2165" s="8">
        <v>30866894</v>
      </c>
      <c r="D2165" s="8">
        <v>5</v>
      </c>
      <c r="E2165" s="11">
        <v>43110</v>
      </c>
      <c r="F2165" s="8" t="s">
        <v>57</v>
      </c>
      <c r="G2165" s="11">
        <v>43112</v>
      </c>
      <c r="H2165" s="8" t="s">
        <v>25</v>
      </c>
      <c r="J2165" s="8" t="s">
        <v>25</v>
      </c>
      <c r="N2165" s="8" t="s">
        <v>58</v>
      </c>
      <c r="O2165" s="8" t="s">
        <v>59</v>
      </c>
      <c r="P2165" s="8" t="s">
        <v>59</v>
      </c>
      <c r="R2165" s="8">
        <v>0</v>
      </c>
      <c r="S2165" s="8">
        <v>0</v>
      </c>
      <c r="T2165" s="8">
        <v>1</v>
      </c>
      <c r="U2165" s="8">
        <v>2</v>
      </c>
      <c r="AG2165" s="8" t="str">
        <f t="shared" si="133"/>
        <v/>
      </c>
      <c r="AI2165" s="8" t="str">
        <f t="shared" si="134"/>
        <v/>
      </c>
      <c r="AJ2165" s="8" t="str">
        <f t="shared" si="135"/>
        <v/>
      </c>
      <c r="AL2165" s="8" t="str">
        <f t="shared" si="136"/>
        <v/>
      </c>
    </row>
    <row r="2166" spans="1:38" x14ac:dyDescent="0.25">
      <c r="A2166" s="8" t="s">
        <v>3994</v>
      </c>
      <c r="B2166" s="8" t="s">
        <v>3995</v>
      </c>
      <c r="C2166" s="8">
        <v>30893029</v>
      </c>
      <c r="D2166" s="8">
        <v>5</v>
      </c>
      <c r="E2166" s="11">
        <v>43111</v>
      </c>
      <c r="F2166" s="8" t="s">
        <v>57</v>
      </c>
      <c r="G2166" s="11">
        <v>43111</v>
      </c>
      <c r="H2166" s="8" t="s">
        <v>25</v>
      </c>
      <c r="J2166" s="8" t="s">
        <v>25</v>
      </c>
      <c r="N2166" s="8" t="s">
        <v>58</v>
      </c>
      <c r="O2166" s="8" t="s">
        <v>59</v>
      </c>
      <c r="P2166" s="8" t="s">
        <v>59</v>
      </c>
      <c r="R2166" s="8">
        <v>0</v>
      </c>
      <c r="S2166" s="8">
        <v>0</v>
      </c>
      <c r="T2166" s="8">
        <v>1</v>
      </c>
      <c r="U2166" s="8">
        <v>2</v>
      </c>
      <c r="AG2166" s="8" t="str">
        <f t="shared" si="133"/>
        <v/>
      </c>
      <c r="AI2166" s="8" t="str">
        <f t="shared" si="134"/>
        <v/>
      </c>
      <c r="AJ2166" s="8" t="str">
        <f t="shared" si="135"/>
        <v/>
      </c>
      <c r="AL2166" s="8" t="str">
        <f t="shared" si="136"/>
        <v/>
      </c>
    </row>
    <row r="2167" spans="1:38" x14ac:dyDescent="0.25">
      <c r="A2167" s="8" t="s">
        <v>7402</v>
      </c>
      <c r="B2167" s="8" t="s">
        <v>7403</v>
      </c>
      <c r="C2167" s="8">
        <v>30899705</v>
      </c>
      <c r="D2167" s="8">
        <v>5</v>
      </c>
      <c r="E2167" s="11">
        <v>43111</v>
      </c>
      <c r="F2167" s="8" t="s">
        <v>58</v>
      </c>
      <c r="G2167" s="11">
        <v>43115</v>
      </c>
      <c r="H2167" s="8" t="s">
        <v>25</v>
      </c>
      <c r="I2167" s="11">
        <v>43115</v>
      </c>
      <c r="J2167" s="8" t="s">
        <v>25</v>
      </c>
      <c r="N2167" s="8" t="s">
        <v>58</v>
      </c>
      <c r="O2167" s="8" t="s">
        <v>59</v>
      </c>
      <c r="P2167" s="8" t="s">
        <v>59</v>
      </c>
      <c r="R2167" s="8">
        <v>0</v>
      </c>
      <c r="S2167" s="8">
        <v>0</v>
      </c>
      <c r="T2167" s="8">
        <v>1</v>
      </c>
      <c r="U2167" s="8">
        <v>2</v>
      </c>
      <c r="X2167" s="8">
        <v>5</v>
      </c>
      <c r="AG2167" s="8" t="str">
        <f t="shared" si="133"/>
        <v/>
      </c>
      <c r="AI2167" s="8" t="str">
        <f t="shared" si="134"/>
        <v/>
      </c>
      <c r="AJ2167" s="8" t="str">
        <f t="shared" si="135"/>
        <v/>
      </c>
      <c r="AL2167" s="8" t="str">
        <f t="shared" si="136"/>
        <v/>
      </c>
    </row>
    <row r="2168" spans="1:38" x14ac:dyDescent="0.25">
      <c r="A2168" s="8" t="s">
        <v>5606</v>
      </c>
      <c r="B2168" s="8" t="s">
        <v>5607</v>
      </c>
      <c r="C2168" s="8">
        <v>30873812</v>
      </c>
      <c r="D2168" s="8">
        <v>4</v>
      </c>
      <c r="E2168" s="11">
        <v>43110</v>
      </c>
      <c r="F2168" s="8" t="s">
        <v>57</v>
      </c>
      <c r="G2168" s="11">
        <v>43112</v>
      </c>
      <c r="H2168" s="8" t="s">
        <v>25</v>
      </c>
      <c r="J2168" s="8" t="s">
        <v>25</v>
      </c>
      <c r="N2168" s="8" t="s">
        <v>58</v>
      </c>
      <c r="O2168" s="8" t="s">
        <v>59</v>
      </c>
      <c r="P2168" s="8" t="s">
        <v>59</v>
      </c>
      <c r="R2168" s="8">
        <v>0</v>
      </c>
      <c r="S2168" s="8">
        <v>0</v>
      </c>
      <c r="T2168" s="8">
        <v>1</v>
      </c>
      <c r="U2168" s="8">
        <v>2</v>
      </c>
      <c r="AG2168" s="8" t="str">
        <f t="shared" si="133"/>
        <v/>
      </c>
      <c r="AI2168" s="8" t="str">
        <f t="shared" si="134"/>
        <v/>
      </c>
      <c r="AJ2168" s="8" t="str">
        <f t="shared" si="135"/>
        <v/>
      </c>
      <c r="AL2168" s="8" t="str">
        <f t="shared" si="136"/>
        <v/>
      </c>
    </row>
    <row r="2169" spans="1:38" x14ac:dyDescent="0.25">
      <c r="A2169" s="8" t="s">
        <v>2505</v>
      </c>
      <c r="B2169" s="8" t="s">
        <v>2506</v>
      </c>
      <c r="C2169" s="8">
        <v>30838982</v>
      </c>
      <c r="D2169" s="8">
        <v>5</v>
      </c>
      <c r="E2169" s="11">
        <v>43109</v>
      </c>
      <c r="F2169" s="8" t="s">
        <v>58</v>
      </c>
      <c r="G2169" s="11">
        <v>43110</v>
      </c>
      <c r="H2169" s="8" t="s">
        <v>25</v>
      </c>
      <c r="I2169" s="11">
        <v>43111</v>
      </c>
      <c r="J2169" s="8" t="s">
        <v>25</v>
      </c>
      <c r="N2169" s="8" t="s">
        <v>58</v>
      </c>
      <c r="O2169" s="8" t="s">
        <v>59</v>
      </c>
      <c r="P2169" s="8" t="s">
        <v>59</v>
      </c>
      <c r="R2169" s="8">
        <v>0</v>
      </c>
      <c r="S2169" s="8">
        <v>0</v>
      </c>
      <c r="T2169" s="8">
        <v>1</v>
      </c>
      <c r="U2169" s="8">
        <v>2</v>
      </c>
      <c r="X2169" s="8">
        <v>5</v>
      </c>
      <c r="AG2169" s="8" t="str">
        <f t="shared" si="133"/>
        <v/>
      </c>
      <c r="AI2169" s="8" t="str">
        <f t="shared" si="134"/>
        <v/>
      </c>
      <c r="AJ2169" s="8" t="str">
        <f t="shared" si="135"/>
        <v/>
      </c>
      <c r="AL2169" s="8" t="str">
        <f t="shared" si="136"/>
        <v/>
      </c>
    </row>
    <row r="2170" spans="1:38" x14ac:dyDescent="0.25">
      <c r="A2170" s="8" t="s">
        <v>3996</v>
      </c>
      <c r="B2170" s="8" t="s">
        <v>3997</v>
      </c>
      <c r="C2170" s="8">
        <v>30849193</v>
      </c>
      <c r="D2170" s="8">
        <v>5</v>
      </c>
      <c r="E2170" s="11">
        <v>43109</v>
      </c>
      <c r="F2170" s="8" t="s">
        <v>58</v>
      </c>
      <c r="G2170" s="11">
        <v>43111</v>
      </c>
      <c r="H2170" s="8" t="s">
        <v>25</v>
      </c>
      <c r="I2170" s="11">
        <v>43111</v>
      </c>
      <c r="J2170" s="8" t="s">
        <v>25</v>
      </c>
      <c r="N2170" s="8" t="s">
        <v>58</v>
      </c>
      <c r="O2170" s="8" t="s">
        <v>59</v>
      </c>
      <c r="P2170" s="8" t="s">
        <v>59</v>
      </c>
      <c r="R2170" s="8">
        <v>0</v>
      </c>
      <c r="S2170" s="8">
        <v>0</v>
      </c>
      <c r="T2170" s="8">
        <v>1</v>
      </c>
      <c r="U2170" s="8">
        <v>2</v>
      </c>
      <c r="X2170" s="8">
        <v>5</v>
      </c>
      <c r="AG2170" s="8" t="str">
        <f t="shared" si="133"/>
        <v/>
      </c>
      <c r="AI2170" s="8" t="str">
        <f t="shared" si="134"/>
        <v/>
      </c>
      <c r="AJ2170" s="8" t="str">
        <f t="shared" si="135"/>
        <v/>
      </c>
      <c r="AL2170" s="8" t="str">
        <f t="shared" si="136"/>
        <v/>
      </c>
    </row>
    <row r="2171" spans="1:38" x14ac:dyDescent="0.25">
      <c r="A2171" s="8" t="s">
        <v>509</v>
      </c>
      <c r="B2171" s="8" t="s">
        <v>510</v>
      </c>
      <c r="C2171" s="8">
        <v>30813672</v>
      </c>
      <c r="D2171" s="8">
        <v>5</v>
      </c>
      <c r="E2171" s="11">
        <v>43108</v>
      </c>
      <c r="F2171" s="8" t="s">
        <v>58</v>
      </c>
      <c r="G2171" s="11">
        <v>43108</v>
      </c>
      <c r="H2171" s="8" t="s">
        <v>25</v>
      </c>
      <c r="I2171" s="11">
        <v>43112</v>
      </c>
      <c r="J2171" s="8" t="s">
        <v>145</v>
      </c>
      <c r="N2171" s="8" t="s">
        <v>58</v>
      </c>
      <c r="O2171" s="8" t="s">
        <v>59</v>
      </c>
      <c r="P2171" s="8" t="s">
        <v>59</v>
      </c>
      <c r="R2171" s="8">
        <v>0</v>
      </c>
      <c r="S2171" s="8">
        <v>0</v>
      </c>
      <c r="T2171" s="8">
        <v>1</v>
      </c>
      <c r="U2171" s="8">
        <v>2</v>
      </c>
      <c r="X2171" s="8">
        <v>5</v>
      </c>
      <c r="AG2171" s="8" t="str">
        <f t="shared" si="133"/>
        <v/>
      </c>
      <c r="AI2171" s="8" t="str">
        <f t="shared" si="134"/>
        <v/>
      </c>
      <c r="AJ2171" s="8" t="str">
        <f t="shared" si="135"/>
        <v/>
      </c>
      <c r="AL2171" s="8" t="str">
        <f t="shared" si="136"/>
        <v/>
      </c>
    </row>
    <row r="2172" spans="1:38" x14ac:dyDescent="0.25">
      <c r="A2172" s="8" t="s">
        <v>5608</v>
      </c>
      <c r="B2172" s="8" t="s">
        <v>5609</v>
      </c>
      <c r="C2172" s="8">
        <v>30878144</v>
      </c>
      <c r="D2172" s="8">
        <v>5</v>
      </c>
      <c r="E2172" s="11">
        <v>43110</v>
      </c>
      <c r="F2172" s="8" t="s">
        <v>58</v>
      </c>
      <c r="G2172" s="11">
        <v>43112</v>
      </c>
      <c r="H2172" s="8" t="s">
        <v>25</v>
      </c>
      <c r="I2172" s="11">
        <v>43112</v>
      </c>
      <c r="J2172" s="8" t="s">
        <v>25</v>
      </c>
      <c r="N2172" s="8" t="s">
        <v>58</v>
      </c>
      <c r="O2172" s="8" t="s">
        <v>59</v>
      </c>
      <c r="P2172" s="8" t="s">
        <v>59</v>
      </c>
      <c r="R2172" s="8">
        <v>0</v>
      </c>
      <c r="S2172" s="8">
        <v>0</v>
      </c>
      <c r="T2172" s="8">
        <v>1</v>
      </c>
      <c r="U2172" s="8">
        <v>2</v>
      </c>
      <c r="X2172" s="8">
        <v>5</v>
      </c>
      <c r="AG2172" s="8" t="str">
        <f t="shared" si="133"/>
        <v/>
      </c>
      <c r="AI2172" s="8" t="str">
        <f t="shared" si="134"/>
        <v/>
      </c>
      <c r="AJ2172" s="8" t="str">
        <f t="shared" si="135"/>
        <v/>
      </c>
      <c r="AL2172" s="8" t="str">
        <f t="shared" si="136"/>
        <v/>
      </c>
    </row>
    <row r="2173" spans="1:38" x14ac:dyDescent="0.25">
      <c r="A2173" s="8" t="s">
        <v>5610</v>
      </c>
      <c r="B2173" s="8" t="s">
        <v>5611</v>
      </c>
      <c r="C2173" s="8">
        <v>30862129</v>
      </c>
      <c r="D2173" s="8">
        <v>5</v>
      </c>
      <c r="E2173" s="11">
        <v>43110</v>
      </c>
      <c r="F2173" s="8" t="s">
        <v>58</v>
      </c>
      <c r="G2173" s="11">
        <v>43112</v>
      </c>
      <c r="H2173" s="8" t="s">
        <v>25</v>
      </c>
      <c r="I2173" s="11">
        <v>43112</v>
      </c>
      <c r="J2173" s="8" t="s">
        <v>25</v>
      </c>
      <c r="N2173" s="8" t="s">
        <v>58</v>
      </c>
      <c r="O2173" s="8" t="s">
        <v>59</v>
      </c>
      <c r="P2173" s="8" t="s">
        <v>59</v>
      </c>
      <c r="R2173" s="8">
        <v>0</v>
      </c>
      <c r="S2173" s="8">
        <v>0</v>
      </c>
      <c r="T2173" s="8">
        <v>1</v>
      </c>
      <c r="U2173" s="8">
        <v>2</v>
      </c>
      <c r="X2173" s="8">
        <v>5</v>
      </c>
      <c r="AG2173" s="8" t="str">
        <f t="shared" si="133"/>
        <v/>
      </c>
      <c r="AI2173" s="8" t="str">
        <f t="shared" si="134"/>
        <v/>
      </c>
      <c r="AJ2173" s="8" t="str">
        <f t="shared" si="135"/>
        <v/>
      </c>
      <c r="AL2173" s="8" t="str">
        <f t="shared" si="136"/>
        <v/>
      </c>
    </row>
    <row r="2174" spans="1:38" x14ac:dyDescent="0.25">
      <c r="A2174" s="8" t="s">
        <v>3998</v>
      </c>
      <c r="B2174" s="8" t="s">
        <v>3999</v>
      </c>
      <c r="C2174" s="8">
        <v>30839955</v>
      </c>
      <c r="D2174" s="8">
        <v>5</v>
      </c>
      <c r="E2174" s="11">
        <v>43109</v>
      </c>
      <c r="F2174" s="8" t="s">
        <v>58</v>
      </c>
      <c r="G2174" s="11">
        <v>43111</v>
      </c>
      <c r="H2174" s="8" t="s">
        <v>25</v>
      </c>
      <c r="I2174" s="11">
        <v>43111</v>
      </c>
      <c r="J2174" s="8" t="s">
        <v>25</v>
      </c>
      <c r="N2174" s="8" t="s">
        <v>58</v>
      </c>
      <c r="O2174" s="8" t="s">
        <v>59</v>
      </c>
      <c r="P2174" s="8" t="s">
        <v>59</v>
      </c>
      <c r="R2174" s="8">
        <v>0</v>
      </c>
      <c r="S2174" s="8">
        <v>0</v>
      </c>
      <c r="T2174" s="8">
        <v>1</v>
      </c>
      <c r="U2174" s="8">
        <v>2</v>
      </c>
      <c r="X2174" s="8">
        <v>5</v>
      </c>
      <c r="AG2174" s="8" t="str">
        <f t="shared" si="133"/>
        <v/>
      </c>
      <c r="AI2174" s="8" t="str">
        <f t="shared" si="134"/>
        <v/>
      </c>
      <c r="AJ2174" s="8" t="str">
        <f t="shared" si="135"/>
        <v/>
      </c>
      <c r="AL2174" s="8" t="str">
        <f t="shared" si="136"/>
        <v/>
      </c>
    </row>
    <row r="2175" spans="1:38" x14ac:dyDescent="0.25">
      <c r="A2175" s="8" t="s">
        <v>5612</v>
      </c>
      <c r="B2175" s="8" t="s">
        <v>5613</v>
      </c>
      <c r="C2175" s="8">
        <v>30861813</v>
      </c>
      <c r="D2175" s="8">
        <v>5</v>
      </c>
      <c r="E2175" s="11">
        <v>43110</v>
      </c>
      <c r="F2175" s="8" t="s">
        <v>57</v>
      </c>
      <c r="G2175" s="11">
        <v>43112</v>
      </c>
      <c r="H2175" s="8" t="s">
        <v>25</v>
      </c>
      <c r="J2175" s="8" t="s">
        <v>25</v>
      </c>
      <c r="N2175" s="8" t="s">
        <v>58</v>
      </c>
      <c r="O2175" s="8" t="s">
        <v>59</v>
      </c>
      <c r="P2175" s="8" t="s">
        <v>59</v>
      </c>
      <c r="R2175" s="8">
        <v>0</v>
      </c>
      <c r="S2175" s="8">
        <v>0</v>
      </c>
      <c r="T2175" s="8">
        <v>1</v>
      </c>
      <c r="U2175" s="8">
        <v>2</v>
      </c>
      <c r="AG2175" s="8" t="str">
        <f t="shared" si="133"/>
        <v/>
      </c>
      <c r="AI2175" s="8" t="str">
        <f t="shared" si="134"/>
        <v/>
      </c>
      <c r="AJ2175" s="8" t="str">
        <f t="shared" si="135"/>
        <v/>
      </c>
      <c r="AL2175" s="8" t="str">
        <f t="shared" si="136"/>
        <v/>
      </c>
    </row>
    <row r="2176" spans="1:38" x14ac:dyDescent="0.25">
      <c r="A2176" s="8" t="s">
        <v>2507</v>
      </c>
      <c r="B2176" s="8" t="s">
        <v>2508</v>
      </c>
      <c r="C2176" s="8">
        <v>30806722</v>
      </c>
      <c r="D2176" s="8">
        <v>5</v>
      </c>
      <c r="E2176" s="11">
        <v>43108</v>
      </c>
      <c r="F2176" s="8" t="s">
        <v>57</v>
      </c>
      <c r="G2176" s="11">
        <v>43110</v>
      </c>
      <c r="H2176" s="8" t="s">
        <v>25</v>
      </c>
      <c r="J2176" s="8" t="s">
        <v>25</v>
      </c>
      <c r="N2176" s="8" t="s">
        <v>58</v>
      </c>
      <c r="O2176" s="8" t="s">
        <v>59</v>
      </c>
      <c r="P2176" s="8" t="s">
        <v>59</v>
      </c>
      <c r="R2176" s="8">
        <v>0</v>
      </c>
      <c r="S2176" s="8">
        <v>0</v>
      </c>
      <c r="T2176" s="8">
        <v>1</v>
      </c>
      <c r="U2176" s="8">
        <v>2</v>
      </c>
      <c r="AG2176" s="8" t="str">
        <f t="shared" si="133"/>
        <v/>
      </c>
      <c r="AI2176" s="8" t="str">
        <f t="shared" si="134"/>
        <v/>
      </c>
      <c r="AJ2176" s="8" t="str">
        <f t="shared" si="135"/>
        <v/>
      </c>
      <c r="AL2176" s="8" t="str">
        <f t="shared" si="136"/>
        <v/>
      </c>
    </row>
    <row r="2177" spans="1:38" x14ac:dyDescent="0.25">
      <c r="A2177" s="8" t="s">
        <v>2509</v>
      </c>
      <c r="B2177" s="8" t="s">
        <v>2510</v>
      </c>
      <c r="C2177" s="8">
        <v>30807904</v>
      </c>
      <c r="D2177" s="8">
        <v>5</v>
      </c>
      <c r="E2177" s="11">
        <v>43108</v>
      </c>
      <c r="F2177" s="8" t="s">
        <v>57</v>
      </c>
      <c r="G2177" s="11">
        <v>43110</v>
      </c>
      <c r="H2177" s="8" t="s">
        <v>25</v>
      </c>
      <c r="J2177" s="8" t="s">
        <v>25</v>
      </c>
      <c r="N2177" s="8" t="s">
        <v>58</v>
      </c>
      <c r="O2177" s="8" t="s">
        <v>59</v>
      </c>
      <c r="P2177" s="8" t="s">
        <v>59</v>
      </c>
      <c r="R2177" s="8">
        <v>0</v>
      </c>
      <c r="S2177" s="8">
        <v>0</v>
      </c>
      <c r="T2177" s="8">
        <v>1</v>
      </c>
      <c r="U2177" s="8">
        <v>2</v>
      </c>
      <c r="AG2177" s="8" t="str">
        <f t="shared" si="133"/>
        <v/>
      </c>
      <c r="AI2177" s="8" t="str">
        <f t="shared" si="134"/>
        <v/>
      </c>
      <c r="AJ2177" s="8" t="str">
        <f t="shared" si="135"/>
        <v/>
      </c>
      <c r="AL2177" s="8" t="str">
        <f t="shared" si="136"/>
        <v/>
      </c>
    </row>
    <row r="2178" spans="1:38" x14ac:dyDescent="0.25">
      <c r="A2178" s="8" t="s">
        <v>5614</v>
      </c>
      <c r="B2178" s="8" t="s">
        <v>5615</v>
      </c>
      <c r="C2178" s="8">
        <v>30863228</v>
      </c>
      <c r="D2178" s="8">
        <v>5</v>
      </c>
      <c r="E2178" s="11">
        <v>43110</v>
      </c>
      <c r="F2178" s="8" t="s">
        <v>57</v>
      </c>
      <c r="G2178" s="11">
        <v>43112</v>
      </c>
      <c r="H2178" s="8" t="s">
        <v>25</v>
      </c>
      <c r="J2178" s="8" t="s">
        <v>25</v>
      </c>
      <c r="N2178" s="8" t="s">
        <v>58</v>
      </c>
      <c r="O2178" s="8" t="s">
        <v>59</v>
      </c>
      <c r="P2178" s="8" t="s">
        <v>59</v>
      </c>
      <c r="R2178" s="8">
        <v>0</v>
      </c>
      <c r="S2178" s="8">
        <v>0</v>
      </c>
      <c r="T2178" s="8">
        <v>1</v>
      </c>
      <c r="U2178" s="8">
        <v>2</v>
      </c>
      <c r="AG2178" s="8" t="str">
        <f t="shared" si="133"/>
        <v/>
      </c>
      <c r="AI2178" s="8" t="str">
        <f t="shared" si="134"/>
        <v/>
      </c>
      <c r="AJ2178" s="8" t="str">
        <f t="shared" si="135"/>
        <v/>
      </c>
      <c r="AL2178" s="8" t="str">
        <f t="shared" si="136"/>
        <v/>
      </c>
    </row>
    <row r="2179" spans="1:38" x14ac:dyDescent="0.25">
      <c r="A2179" s="8" t="s">
        <v>5616</v>
      </c>
      <c r="B2179" s="8" t="s">
        <v>5617</v>
      </c>
      <c r="C2179" s="8">
        <v>30911471</v>
      </c>
      <c r="D2179" s="8">
        <v>4</v>
      </c>
      <c r="E2179" s="11">
        <v>43112</v>
      </c>
      <c r="F2179" s="8" t="s">
        <v>57</v>
      </c>
      <c r="G2179" s="11">
        <v>43112</v>
      </c>
      <c r="H2179" s="8" t="s">
        <v>25</v>
      </c>
      <c r="J2179" s="8" t="s">
        <v>25</v>
      </c>
      <c r="N2179" s="8" t="s">
        <v>58</v>
      </c>
      <c r="O2179" s="8" t="s">
        <v>59</v>
      </c>
      <c r="P2179" s="8" t="s">
        <v>59</v>
      </c>
      <c r="R2179" s="8">
        <v>0</v>
      </c>
      <c r="S2179" s="8">
        <v>0</v>
      </c>
      <c r="T2179" s="8">
        <v>1</v>
      </c>
      <c r="U2179" s="8">
        <v>2</v>
      </c>
      <c r="AG2179" s="8" t="str">
        <f t="shared" ref="AG2179:AG2242" si="137">IF(AND(U2179="",G2179&lt;&gt;"",NOT(OR(R2179,S2179))),IF(NETWORKDAYS.INTL(G2179,TODAY(),11)&lt;5,"En Plazo",IF(NETWORKDAYS.INTL(G2179,TODAY(),11)=5,"Riesgo Incumplimiento","FALTA_02")),"")</f>
        <v/>
      </c>
      <c r="AI2179" s="8" t="str">
        <f t="shared" ref="AI2179:AI2242" si="138">IF(AND(O2179&lt;&gt;"B1",F2179="Rejected"),IF(W2179="","FALTA_04",""),"")</f>
        <v/>
      </c>
      <c r="AJ2179" s="8" t="str">
        <f t="shared" ref="AJ2179:AJ2242" si="139">IF(AND(X2179="",I2179&lt;&gt;"",NOT(OR(R2179,S2179))),IF(NETWORKDAYS.INTL(G2179,TODAY(),11)&lt;=1,"En Plazo",IF(OR(AND(X2179="",O2179&lt;&gt;"M1"),AND(O2179="M1",(OR(Q2179="S - S",Q2179="S - T",)))),"FALTA_05","")),"")</f>
        <v/>
      </c>
      <c r="AL2179" s="8" t="str">
        <f t="shared" ref="AL2179:AL2242" si="140">IF(AND(O2179="B1",F2179="Rejected"),IF(Z2179="","FALTA_07",""),"")</f>
        <v/>
      </c>
    </row>
    <row r="2180" spans="1:38" x14ac:dyDescent="0.25">
      <c r="A2180" s="8" t="s">
        <v>5618</v>
      </c>
      <c r="B2180" s="8" t="s">
        <v>5619</v>
      </c>
      <c r="C2180" s="8">
        <v>30856912</v>
      </c>
      <c r="D2180" s="8">
        <v>5</v>
      </c>
      <c r="E2180" s="11">
        <v>43110</v>
      </c>
      <c r="F2180" s="8" t="s">
        <v>57</v>
      </c>
      <c r="G2180" s="11">
        <v>43112</v>
      </c>
      <c r="H2180" s="8" t="s">
        <v>25</v>
      </c>
      <c r="J2180" s="8" t="s">
        <v>25</v>
      </c>
      <c r="N2180" s="8" t="s">
        <v>58</v>
      </c>
      <c r="O2180" s="8" t="s">
        <v>59</v>
      </c>
      <c r="P2180" s="8" t="s">
        <v>59</v>
      </c>
      <c r="R2180" s="8">
        <v>0</v>
      </c>
      <c r="S2180" s="8">
        <v>0</v>
      </c>
      <c r="T2180" s="8">
        <v>1</v>
      </c>
      <c r="U2180" s="8">
        <v>2</v>
      </c>
      <c r="AG2180" s="8" t="str">
        <f t="shared" si="137"/>
        <v/>
      </c>
      <c r="AI2180" s="8" t="str">
        <f t="shared" si="138"/>
        <v/>
      </c>
      <c r="AJ2180" s="8" t="str">
        <f t="shared" si="139"/>
        <v/>
      </c>
      <c r="AL2180" s="8" t="str">
        <f t="shared" si="140"/>
        <v/>
      </c>
    </row>
    <row r="2181" spans="1:38" x14ac:dyDescent="0.25">
      <c r="A2181" s="8" t="s">
        <v>5620</v>
      </c>
      <c r="B2181" s="8" t="s">
        <v>5621</v>
      </c>
      <c r="C2181" s="8">
        <v>30863216</v>
      </c>
      <c r="D2181" s="8">
        <v>5</v>
      </c>
      <c r="E2181" s="11">
        <v>43110</v>
      </c>
      <c r="F2181" s="8" t="s">
        <v>57</v>
      </c>
      <c r="G2181" s="11">
        <v>43112</v>
      </c>
      <c r="H2181" s="8" t="s">
        <v>25</v>
      </c>
      <c r="J2181" s="8" t="s">
        <v>25</v>
      </c>
      <c r="N2181" s="8" t="s">
        <v>58</v>
      </c>
      <c r="O2181" s="8" t="s">
        <v>59</v>
      </c>
      <c r="P2181" s="8" t="s">
        <v>59</v>
      </c>
      <c r="R2181" s="8">
        <v>0</v>
      </c>
      <c r="S2181" s="8">
        <v>0</v>
      </c>
      <c r="T2181" s="8">
        <v>1</v>
      </c>
      <c r="U2181" s="8">
        <v>2</v>
      </c>
      <c r="AG2181" s="8" t="str">
        <f t="shared" si="137"/>
        <v/>
      </c>
      <c r="AI2181" s="8" t="str">
        <f t="shared" si="138"/>
        <v/>
      </c>
      <c r="AJ2181" s="8" t="str">
        <f t="shared" si="139"/>
        <v/>
      </c>
      <c r="AL2181" s="8" t="str">
        <f t="shared" si="140"/>
        <v/>
      </c>
    </row>
    <row r="2182" spans="1:38" x14ac:dyDescent="0.25">
      <c r="A2182" s="8" t="s">
        <v>2511</v>
      </c>
      <c r="B2182" s="8" t="s">
        <v>2512</v>
      </c>
      <c r="C2182" s="8">
        <v>30828521</v>
      </c>
      <c r="D2182" s="8">
        <v>5</v>
      </c>
      <c r="E2182" s="11">
        <v>43108</v>
      </c>
      <c r="F2182" s="8" t="s">
        <v>58</v>
      </c>
      <c r="G2182" s="11">
        <v>43110</v>
      </c>
      <c r="H2182" s="8" t="s">
        <v>25</v>
      </c>
      <c r="I2182" s="11">
        <v>43115</v>
      </c>
      <c r="J2182" s="8" t="s">
        <v>145</v>
      </c>
      <c r="N2182" s="8" t="s">
        <v>58</v>
      </c>
      <c r="O2182" s="8" t="s">
        <v>59</v>
      </c>
      <c r="P2182" s="8" t="s">
        <v>59</v>
      </c>
      <c r="R2182" s="8">
        <v>0</v>
      </c>
      <c r="S2182" s="8">
        <v>0</v>
      </c>
      <c r="T2182" s="8">
        <v>1</v>
      </c>
      <c r="U2182" s="8">
        <v>2</v>
      </c>
      <c r="X2182" s="8">
        <v>5</v>
      </c>
      <c r="AG2182" s="8" t="str">
        <f t="shared" si="137"/>
        <v/>
      </c>
      <c r="AI2182" s="8" t="str">
        <f t="shared" si="138"/>
        <v/>
      </c>
      <c r="AJ2182" s="8" t="str">
        <f t="shared" si="139"/>
        <v/>
      </c>
      <c r="AL2182" s="8" t="str">
        <f t="shared" si="140"/>
        <v/>
      </c>
    </row>
    <row r="2183" spans="1:38" x14ac:dyDescent="0.25">
      <c r="A2183" s="8" t="s">
        <v>5622</v>
      </c>
      <c r="B2183" s="8" t="s">
        <v>5623</v>
      </c>
      <c r="C2183" s="8">
        <v>30885023</v>
      </c>
      <c r="D2183" s="8">
        <v>5</v>
      </c>
      <c r="E2183" s="11">
        <v>43111</v>
      </c>
      <c r="F2183" s="8" t="s">
        <v>57</v>
      </c>
      <c r="G2183" s="11">
        <v>43112</v>
      </c>
      <c r="H2183" s="8" t="s">
        <v>25</v>
      </c>
      <c r="J2183" s="8" t="s">
        <v>25</v>
      </c>
      <c r="N2183" s="8" t="s">
        <v>58</v>
      </c>
      <c r="O2183" s="8" t="s">
        <v>59</v>
      </c>
      <c r="P2183" s="8" t="s">
        <v>59</v>
      </c>
      <c r="R2183" s="8">
        <v>0</v>
      </c>
      <c r="S2183" s="8">
        <v>0</v>
      </c>
      <c r="T2183" s="8">
        <v>1</v>
      </c>
      <c r="U2183" s="8">
        <v>2</v>
      </c>
      <c r="AG2183" s="8" t="str">
        <f t="shared" si="137"/>
        <v/>
      </c>
      <c r="AI2183" s="8" t="str">
        <f t="shared" si="138"/>
        <v/>
      </c>
      <c r="AJ2183" s="8" t="str">
        <f t="shared" si="139"/>
        <v/>
      </c>
      <c r="AL2183" s="8" t="str">
        <f t="shared" si="140"/>
        <v/>
      </c>
    </row>
    <row r="2184" spans="1:38" x14ac:dyDescent="0.25">
      <c r="A2184" s="8" t="s">
        <v>4000</v>
      </c>
      <c r="B2184" s="8" t="s">
        <v>4001</v>
      </c>
      <c r="C2184" s="8">
        <v>30887178</v>
      </c>
      <c r="D2184" s="8">
        <v>3</v>
      </c>
      <c r="E2184" s="11">
        <v>43111</v>
      </c>
      <c r="F2184" s="8" t="s">
        <v>58</v>
      </c>
      <c r="G2184" s="11">
        <v>43111</v>
      </c>
      <c r="H2184" s="8" t="s">
        <v>25</v>
      </c>
      <c r="I2184" s="11">
        <v>43115</v>
      </c>
      <c r="J2184" s="8" t="s">
        <v>25</v>
      </c>
      <c r="N2184" s="8" t="s">
        <v>58</v>
      </c>
      <c r="O2184" s="8" t="s">
        <v>59</v>
      </c>
      <c r="P2184" s="8" t="s">
        <v>59</v>
      </c>
      <c r="R2184" s="8">
        <v>0</v>
      </c>
      <c r="S2184" s="8">
        <v>0</v>
      </c>
      <c r="T2184" s="8">
        <v>1</v>
      </c>
      <c r="U2184" s="8">
        <v>2</v>
      </c>
      <c r="X2184" s="8">
        <v>5</v>
      </c>
      <c r="AG2184" s="8" t="str">
        <f t="shared" si="137"/>
        <v/>
      </c>
      <c r="AI2184" s="8" t="str">
        <f t="shared" si="138"/>
        <v/>
      </c>
      <c r="AJ2184" s="8" t="str">
        <f t="shared" si="139"/>
        <v/>
      </c>
      <c r="AL2184" s="8" t="str">
        <f t="shared" si="140"/>
        <v/>
      </c>
    </row>
    <row r="2185" spans="1:38" x14ac:dyDescent="0.25">
      <c r="A2185" s="8" t="s">
        <v>5624</v>
      </c>
      <c r="B2185" s="8" t="s">
        <v>5625</v>
      </c>
      <c r="C2185" s="8">
        <v>30875046</v>
      </c>
      <c r="D2185" s="8">
        <v>5</v>
      </c>
      <c r="E2185" s="11">
        <v>43110</v>
      </c>
      <c r="F2185" s="8" t="s">
        <v>57</v>
      </c>
      <c r="G2185" s="11">
        <v>43112</v>
      </c>
      <c r="H2185" s="8" t="s">
        <v>25</v>
      </c>
      <c r="J2185" s="8" t="s">
        <v>25</v>
      </c>
      <c r="N2185" s="8" t="s">
        <v>58</v>
      </c>
      <c r="O2185" s="8" t="s">
        <v>59</v>
      </c>
      <c r="P2185" s="8" t="s">
        <v>59</v>
      </c>
      <c r="R2185" s="8">
        <v>0</v>
      </c>
      <c r="S2185" s="8">
        <v>0</v>
      </c>
      <c r="T2185" s="8">
        <v>1</v>
      </c>
      <c r="U2185" s="8">
        <v>2</v>
      </c>
      <c r="AG2185" s="8" t="str">
        <f t="shared" si="137"/>
        <v/>
      </c>
      <c r="AI2185" s="8" t="str">
        <f t="shared" si="138"/>
        <v/>
      </c>
      <c r="AJ2185" s="8" t="str">
        <f t="shared" si="139"/>
        <v/>
      </c>
      <c r="AL2185" s="8" t="str">
        <f t="shared" si="140"/>
        <v/>
      </c>
    </row>
    <row r="2186" spans="1:38" x14ac:dyDescent="0.25">
      <c r="A2186" s="8" t="s">
        <v>5626</v>
      </c>
      <c r="B2186" s="8" t="s">
        <v>5627</v>
      </c>
      <c r="C2186" s="8">
        <v>30864227</v>
      </c>
      <c r="D2186" s="8">
        <v>4</v>
      </c>
      <c r="E2186" s="11">
        <v>43110</v>
      </c>
      <c r="F2186" s="8" t="s">
        <v>57</v>
      </c>
      <c r="G2186" s="11">
        <v>43112</v>
      </c>
      <c r="H2186" s="8" t="s">
        <v>25</v>
      </c>
      <c r="J2186" s="8" t="s">
        <v>25</v>
      </c>
      <c r="N2186" s="8" t="s">
        <v>58</v>
      </c>
      <c r="O2186" s="8" t="s">
        <v>59</v>
      </c>
      <c r="P2186" s="8" t="s">
        <v>59</v>
      </c>
      <c r="R2186" s="8">
        <v>0</v>
      </c>
      <c r="S2186" s="8">
        <v>0</v>
      </c>
      <c r="T2186" s="8">
        <v>1</v>
      </c>
      <c r="U2186" s="8">
        <v>2</v>
      </c>
      <c r="AG2186" s="8" t="str">
        <f t="shared" si="137"/>
        <v/>
      </c>
      <c r="AI2186" s="8" t="str">
        <f t="shared" si="138"/>
        <v/>
      </c>
      <c r="AJ2186" s="8" t="str">
        <f t="shared" si="139"/>
        <v/>
      </c>
      <c r="AL2186" s="8" t="str">
        <f t="shared" si="140"/>
        <v/>
      </c>
    </row>
    <row r="2187" spans="1:38" x14ac:dyDescent="0.25">
      <c r="A2187" s="8" t="s">
        <v>7404</v>
      </c>
      <c r="B2187" s="8" t="s">
        <v>7405</v>
      </c>
      <c r="C2187" s="8">
        <v>30891108</v>
      </c>
      <c r="D2187" s="8">
        <v>5</v>
      </c>
      <c r="E2187" s="11">
        <v>43111</v>
      </c>
      <c r="F2187" s="8" t="s">
        <v>57</v>
      </c>
      <c r="G2187" s="11">
        <v>43115</v>
      </c>
      <c r="H2187" s="8" t="s">
        <v>25</v>
      </c>
      <c r="J2187" s="8" t="s">
        <v>25</v>
      </c>
      <c r="N2187" s="8" t="s">
        <v>58</v>
      </c>
      <c r="O2187" s="8" t="s">
        <v>59</v>
      </c>
      <c r="P2187" s="8" t="s">
        <v>59</v>
      </c>
      <c r="R2187" s="8">
        <v>0</v>
      </c>
      <c r="S2187" s="8">
        <v>0</v>
      </c>
      <c r="T2187" s="8">
        <v>1</v>
      </c>
      <c r="U2187" s="8">
        <v>2</v>
      </c>
      <c r="AG2187" s="8" t="str">
        <f t="shared" si="137"/>
        <v/>
      </c>
      <c r="AI2187" s="8" t="str">
        <f t="shared" si="138"/>
        <v/>
      </c>
      <c r="AJ2187" s="8" t="str">
        <f t="shared" si="139"/>
        <v/>
      </c>
      <c r="AL2187" s="8" t="str">
        <f t="shared" si="140"/>
        <v/>
      </c>
    </row>
    <row r="2188" spans="1:38" x14ac:dyDescent="0.25">
      <c r="A2188" s="8" t="s">
        <v>4002</v>
      </c>
      <c r="B2188" s="8" t="s">
        <v>4003</v>
      </c>
      <c r="C2188" s="8">
        <v>30854589</v>
      </c>
      <c r="D2188" s="8">
        <v>5</v>
      </c>
      <c r="E2188" s="11">
        <v>43109</v>
      </c>
      <c r="F2188" s="8" t="s">
        <v>58</v>
      </c>
      <c r="G2188" s="11">
        <v>43111</v>
      </c>
      <c r="H2188" s="8" t="s">
        <v>25</v>
      </c>
      <c r="I2188" s="11">
        <v>43111</v>
      </c>
      <c r="J2188" s="8" t="s">
        <v>25</v>
      </c>
      <c r="N2188" s="8" t="s">
        <v>58</v>
      </c>
      <c r="O2188" s="8" t="s">
        <v>59</v>
      </c>
      <c r="P2188" s="8" t="s">
        <v>59</v>
      </c>
      <c r="R2188" s="8">
        <v>0</v>
      </c>
      <c r="S2188" s="8">
        <v>0</v>
      </c>
      <c r="T2188" s="8">
        <v>1</v>
      </c>
      <c r="U2188" s="8">
        <v>2</v>
      </c>
      <c r="X2188" s="8">
        <v>5</v>
      </c>
      <c r="AG2188" s="8" t="str">
        <f t="shared" si="137"/>
        <v/>
      </c>
      <c r="AI2188" s="8" t="str">
        <f t="shared" si="138"/>
        <v/>
      </c>
      <c r="AJ2188" s="8" t="str">
        <f t="shared" si="139"/>
        <v/>
      </c>
      <c r="AL2188" s="8" t="str">
        <f t="shared" si="140"/>
        <v/>
      </c>
    </row>
    <row r="2189" spans="1:38" x14ac:dyDescent="0.25">
      <c r="A2189" s="8" t="s">
        <v>5628</v>
      </c>
      <c r="B2189" s="8" t="s">
        <v>5629</v>
      </c>
      <c r="C2189" s="8">
        <v>30873734</v>
      </c>
      <c r="D2189" s="8">
        <v>5</v>
      </c>
      <c r="E2189" s="11">
        <v>43110</v>
      </c>
      <c r="F2189" s="8" t="s">
        <v>57</v>
      </c>
      <c r="G2189" s="11">
        <v>43112</v>
      </c>
      <c r="H2189" s="8" t="s">
        <v>25</v>
      </c>
      <c r="J2189" s="8" t="s">
        <v>25</v>
      </c>
      <c r="N2189" s="8" t="s">
        <v>58</v>
      </c>
      <c r="O2189" s="8" t="s">
        <v>59</v>
      </c>
      <c r="P2189" s="8" t="s">
        <v>59</v>
      </c>
      <c r="R2189" s="8">
        <v>0</v>
      </c>
      <c r="S2189" s="8">
        <v>0</v>
      </c>
      <c r="T2189" s="8">
        <v>1</v>
      </c>
      <c r="U2189" s="8">
        <v>2</v>
      </c>
      <c r="AG2189" s="8" t="str">
        <f t="shared" si="137"/>
        <v/>
      </c>
      <c r="AI2189" s="8" t="str">
        <f t="shared" si="138"/>
        <v/>
      </c>
      <c r="AJ2189" s="8" t="str">
        <f t="shared" si="139"/>
        <v/>
      </c>
      <c r="AL2189" s="8" t="str">
        <f t="shared" si="140"/>
        <v/>
      </c>
    </row>
    <row r="2190" spans="1:38" x14ac:dyDescent="0.25">
      <c r="A2190" s="8" t="s">
        <v>4004</v>
      </c>
      <c r="B2190" s="8" t="s">
        <v>4005</v>
      </c>
      <c r="C2190" s="8">
        <v>30813689</v>
      </c>
      <c r="D2190" s="8">
        <v>5</v>
      </c>
      <c r="E2190" s="11">
        <v>43108</v>
      </c>
      <c r="F2190" s="8" t="s">
        <v>58</v>
      </c>
      <c r="G2190" s="11">
        <v>43115</v>
      </c>
      <c r="H2190" s="8" t="s">
        <v>856</v>
      </c>
      <c r="I2190" s="11">
        <v>43115</v>
      </c>
      <c r="J2190" s="8" t="s">
        <v>25</v>
      </c>
      <c r="N2190" s="8" t="s">
        <v>58</v>
      </c>
      <c r="O2190" s="8" t="s">
        <v>59</v>
      </c>
      <c r="P2190" s="8" t="s">
        <v>59</v>
      </c>
      <c r="R2190" s="8">
        <v>0</v>
      </c>
      <c r="S2190" s="8">
        <v>0</v>
      </c>
      <c r="T2190" s="8">
        <v>1</v>
      </c>
      <c r="U2190" s="8">
        <v>2</v>
      </c>
      <c r="X2190" s="8">
        <v>5</v>
      </c>
      <c r="AG2190" s="8" t="str">
        <f t="shared" si="137"/>
        <v/>
      </c>
      <c r="AI2190" s="8" t="str">
        <f t="shared" si="138"/>
        <v/>
      </c>
      <c r="AJ2190" s="8" t="str">
        <f t="shared" si="139"/>
        <v/>
      </c>
      <c r="AL2190" s="8" t="str">
        <f t="shared" si="140"/>
        <v/>
      </c>
    </row>
    <row r="2191" spans="1:38" x14ac:dyDescent="0.25">
      <c r="A2191" s="8" t="s">
        <v>4006</v>
      </c>
      <c r="B2191" s="8" t="s">
        <v>4007</v>
      </c>
      <c r="C2191" s="8">
        <v>30852332</v>
      </c>
      <c r="D2191" s="8">
        <v>5</v>
      </c>
      <c r="E2191" s="11">
        <v>43109</v>
      </c>
      <c r="F2191" s="8" t="s">
        <v>58</v>
      </c>
      <c r="G2191" s="11">
        <v>43111</v>
      </c>
      <c r="H2191" s="8" t="s">
        <v>25</v>
      </c>
      <c r="I2191" s="11">
        <v>43111</v>
      </c>
      <c r="J2191" s="8" t="s">
        <v>25</v>
      </c>
      <c r="N2191" s="8" t="s">
        <v>58</v>
      </c>
      <c r="O2191" s="8" t="s">
        <v>59</v>
      </c>
      <c r="P2191" s="8" t="s">
        <v>59</v>
      </c>
      <c r="R2191" s="8">
        <v>0</v>
      </c>
      <c r="S2191" s="8">
        <v>0</v>
      </c>
      <c r="T2191" s="8">
        <v>1</v>
      </c>
      <c r="U2191" s="8">
        <v>2</v>
      </c>
      <c r="X2191" s="8">
        <v>5</v>
      </c>
      <c r="AG2191" s="8" t="str">
        <f t="shared" si="137"/>
        <v/>
      </c>
      <c r="AI2191" s="8" t="str">
        <f t="shared" si="138"/>
        <v/>
      </c>
      <c r="AJ2191" s="8" t="str">
        <f t="shared" si="139"/>
        <v/>
      </c>
      <c r="AL2191" s="8" t="str">
        <f t="shared" si="140"/>
        <v/>
      </c>
    </row>
    <row r="2192" spans="1:38" x14ac:dyDescent="0.25">
      <c r="A2192" s="8" t="s">
        <v>4008</v>
      </c>
      <c r="B2192" s="8" t="s">
        <v>4009</v>
      </c>
      <c r="C2192" s="8">
        <v>30897937</v>
      </c>
      <c r="D2192" s="8">
        <v>5</v>
      </c>
      <c r="E2192" s="11">
        <v>43111</v>
      </c>
      <c r="F2192" s="8" t="s">
        <v>57</v>
      </c>
      <c r="G2192" s="11">
        <v>43111</v>
      </c>
      <c r="H2192" s="8" t="s">
        <v>25</v>
      </c>
      <c r="J2192" s="8" t="s">
        <v>25</v>
      </c>
      <c r="N2192" s="8" t="s">
        <v>58</v>
      </c>
      <c r="O2192" s="8" t="s">
        <v>59</v>
      </c>
      <c r="P2192" s="8" t="s">
        <v>59</v>
      </c>
      <c r="R2192" s="8">
        <v>0</v>
      </c>
      <c r="S2192" s="8">
        <v>0</v>
      </c>
      <c r="T2192" s="8">
        <v>1</v>
      </c>
      <c r="U2192" s="8">
        <v>2</v>
      </c>
      <c r="AG2192" s="8" t="str">
        <f t="shared" si="137"/>
        <v/>
      </c>
      <c r="AI2192" s="8" t="str">
        <f t="shared" si="138"/>
        <v/>
      </c>
      <c r="AJ2192" s="8" t="str">
        <f t="shared" si="139"/>
        <v/>
      </c>
      <c r="AL2192" s="8" t="str">
        <f t="shared" si="140"/>
        <v/>
      </c>
    </row>
    <row r="2193" spans="1:38" x14ac:dyDescent="0.25">
      <c r="A2193" s="8" t="s">
        <v>4010</v>
      </c>
      <c r="B2193" s="8" t="s">
        <v>4011</v>
      </c>
      <c r="C2193" s="8">
        <v>30848401</v>
      </c>
      <c r="D2193" s="8">
        <v>5</v>
      </c>
      <c r="E2193" s="11">
        <v>43109</v>
      </c>
      <c r="F2193" s="8" t="s">
        <v>57</v>
      </c>
      <c r="G2193" s="11">
        <v>43111</v>
      </c>
      <c r="H2193" s="8" t="s">
        <v>25</v>
      </c>
      <c r="J2193" s="8" t="s">
        <v>25</v>
      </c>
      <c r="N2193" s="8" t="s">
        <v>58</v>
      </c>
      <c r="O2193" s="8" t="s">
        <v>59</v>
      </c>
      <c r="P2193" s="8" t="s">
        <v>59</v>
      </c>
      <c r="R2193" s="8">
        <v>0</v>
      </c>
      <c r="S2193" s="8">
        <v>0</v>
      </c>
      <c r="T2193" s="8">
        <v>1</v>
      </c>
      <c r="U2193" s="8">
        <v>2</v>
      </c>
      <c r="AG2193" s="8" t="str">
        <f t="shared" si="137"/>
        <v/>
      </c>
      <c r="AI2193" s="8" t="str">
        <f t="shared" si="138"/>
        <v/>
      </c>
      <c r="AJ2193" s="8" t="str">
        <f t="shared" si="139"/>
        <v/>
      </c>
      <c r="AL2193" s="8" t="str">
        <f t="shared" si="140"/>
        <v/>
      </c>
    </row>
    <row r="2194" spans="1:38" x14ac:dyDescent="0.25">
      <c r="A2194" s="8" t="s">
        <v>5630</v>
      </c>
      <c r="B2194" s="8" t="s">
        <v>5631</v>
      </c>
      <c r="C2194" s="8">
        <v>30861230</v>
      </c>
      <c r="D2194" s="8">
        <v>5</v>
      </c>
      <c r="E2194" s="11">
        <v>43110</v>
      </c>
      <c r="F2194" s="8" t="s">
        <v>57</v>
      </c>
      <c r="G2194" s="11">
        <v>43112</v>
      </c>
      <c r="H2194" s="8" t="s">
        <v>25</v>
      </c>
      <c r="J2194" s="8" t="s">
        <v>25</v>
      </c>
      <c r="N2194" s="8" t="s">
        <v>58</v>
      </c>
      <c r="O2194" s="8" t="s">
        <v>59</v>
      </c>
      <c r="P2194" s="8" t="s">
        <v>59</v>
      </c>
      <c r="R2194" s="8">
        <v>0</v>
      </c>
      <c r="S2194" s="8">
        <v>0</v>
      </c>
      <c r="T2194" s="8">
        <v>1</v>
      </c>
      <c r="U2194" s="8">
        <v>2</v>
      </c>
      <c r="AG2194" s="8" t="str">
        <f t="shared" si="137"/>
        <v/>
      </c>
      <c r="AI2194" s="8" t="str">
        <f t="shared" si="138"/>
        <v/>
      </c>
      <c r="AJ2194" s="8" t="str">
        <f t="shared" si="139"/>
        <v/>
      </c>
      <c r="AL2194" s="8" t="str">
        <f t="shared" si="140"/>
        <v/>
      </c>
    </row>
    <row r="2195" spans="1:38" x14ac:dyDescent="0.25">
      <c r="A2195" s="8" t="s">
        <v>511</v>
      </c>
      <c r="B2195" s="8" t="s">
        <v>512</v>
      </c>
      <c r="C2195" s="8">
        <v>30807132</v>
      </c>
      <c r="D2195" s="8">
        <v>5</v>
      </c>
      <c r="E2195" s="11">
        <v>43108</v>
      </c>
      <c r="F2195" s="8" t="s">
        <v>57</v>
      </c>
      <c r="G2195" s="11">
        <v>43108</v>
      </c>
      <c r="H2195" s="8" t="s">
        <v>25</v>
      </c>
      <c r="J2195" s="8" t="s">
        <v>25</v>
      </c>
      <c r="N2195" s="8" t="s">
        <v>58</v>
      </c>
      <c r="O2195" s="8" t="s">
        <v>59</v>
      </c>
      <c r="P2195" s="8" t="s">
        <v>59</v>
      </c>
      <c r="R2195" s="8">
        <v>0</v>
      </c>
      <c r="S2195" s="8">
        <v>0</v>
      </c>
      <c r="T2195" s="8">
        <v>1</v>
      </c>
      <c r="U2195" s="8">
        <v>2</v>
      </c>
      <c r="AG2195" s="8" t="str">
        <f t="shared" si="137"/>
        <v/>
      </c>
      <c r="AI2195" s="8" t="str">
        <f t="shared" si="138"/>
        <v/>
      </c>
      <c r="AJ2195" s="8" t="str">
        <f t="shared" si="139"/>
        <v/>
      </c>
      <c r="AL2195" s="8" t="str">
        <f t="shared" si="140"/>
        <v/>
      </c>
    </row>
    <row r="2196" spans="1:38" x14ac:dyDescent="0.25">
      <c r="A2196" s="8" t="s">
        <v>5632</v>
      </c>
      <c r="B2196" s="8" t="s">
        <v>5633</v>
      </c>
      <c r="C2196" s="8">
        <v>30862483</v>
      </c>
      <c r="D2196" s="8">
        <v>5</v>
      </c>
      <c r="E2196" s="11">
        <v>43110</v>
      </c>
      <c r="F2196" s="8" t="s">
        <v>57</v>
      </c>
      <c r="G2196" s="11">
        <v>43112</v>
      </c>
      <c r="H2196" s="8" t="s">
        <v>25</v>
      </c>
      <c r="J2196" s="8" t="s">
        <v>25</v>
      </c>
      <c r="N2196" s="8" t="s">
        <v>58</v>
      </c>
      <c r="O2196" s="8" t="s">
        <v>59</v>
      </c>
      <c r="P2196" s="8" t="s">
        <v>59</v>
      </c>
      <c r="R2196" s="8">
        <v>0</v>
      </c>
      <c r="S2196" s="8">
        <v>0</v>
      </c>
      <c r="T2196" s="8">
        <v>1</v>
      </c>
      <c r="U2196" s="8">
        <v>2</v>
      </c>
      <c r="AG2196" s="8" t="str">
        <f t="shared" si="137"/>
        <v/>
      </c>
      <c r="AI2196" s="8" t="str">
        <f t="shared" si="138"/>
        <v/>
      </c>
      <c r="AJ2196" s="8" t="str">
        <f t="shared" si="139"/>
        <v/>
      </c>
      <c r="AL2196" s="8" t="str">
        <f t="shared" si="140"/>
        <v/>
      </c>
    </row>
    <row r="2197" spans="1:38" x14ac:dyDescent="0.25">
      <c r="A2197" s="8" t="s">
        <v>4012</v>
      </c>
      <c r="B2197" s="8" t="s">
        <v>4013</v>
      </c>
      <c r="C2197" s="8">
        <v>30841980</v>
      </c>
      <c r="D2197" s="8">
        <v>5</v>
      </c>
      <c r="E2197" s="11">
        <v>43109</v>
      </c>
      <c r="F2197" s="8" t="s">
        <v>57</v>
      </c>
      <c r="G2197" s="11">
        <v>43111</v>
      </c>
      <c r="H2197" s="8" t="s">
        <v>25</v>
      </c>
      <c r="J2197" s="8" t="s">
        <v>25</v>
      </c>
      <c r="N2197" s="8" t="s">
        <v>58</v>
      </c>
      <c r="O2197" s="8" t="s">
        <v>59</v>
      </c>
      <c r="P2197" s="8" t="s">
        <v>59</v>
      </c>
      <c r="R2197" s="8">
        <v>0</v>
      </c>
      <c r="S2197" s="8">
        <v>0</v>
      </c>
      <c r="T2197" s="8">
        <v>1</v>
      </c>
      <c r="U2197" s="8">
        <v>2</v>
      </c>
      <c r="AG2197" s="8" t="str">
        <f t="shared" si="137"/>
        <v/>
      </c>
      <c r="AI2197" s="8" t="str">
        <f t="shared" si="138"/>
        <v/>
      </c>
      <c r="AJ2197" s="8" t="str">
        <f t="shared" si="139"/>
        <v/>
      </c>
      <c r="AL2197" s="8" t="str">
        <f t="shared" si="140"/>
        <v/>
      </c>
    </row>
    <row r="2198" spans="1:38" x14ac:dyDescent="0.25">
      <c r="A2198" s="8" t="s">
        <v>1318</v>
      </c>
      <c r="B2198" s="8" t="s">
        <v>1319</v>
      </c>
      <c r="C2198" s="8">
        <v>30846512</v>
      </c>
      <c r="D2198" s="8">
        <v>5</v>
      </c>
      <c r="E2198" s="11">
        <v>43109</v>
      </c>
      <c r="F2198" s="8" t="s">
        <v>57</v>
      </c>
      <c r="G2198" s="11">
        <v>43109</v>
      </c>
      <c r="H2198" s="8" t="s">
        <v>25</v>
      </c>
      <c r="J2198" s="8" t="s">
        <v>25</v>
      </c>
      <c r="N2198" s="8" t="s">
        <v>58</v>
      </c>
      <c r="O2198" s="8" t="s">
        <v>59</v>
      </c>
      <c r="P2198" s="8" t="s">
        <v>59</v>
      </c>
      <c r="R2198" s="8">
        <v>0</v>
      </c>
      <c r="S2198" s="8">
        <v>0</v>
      </c>
      <c r="T2198" s="8">
        <v>1</v>
      </c>
      <c r="U2198" s="8">
        <v>2</v>
      </c>
      <c r="AG2198" s="8" t="str">
        <f t="shared" si="137"/>
        <v/>
      </c>
      <c r="AI2198" s="8" t="str">
        <f t="shared" si="138"/>
        <v/>
      </c>
      <c r="AJ2198" s="8" t="str">
        <f t="shared" si="139"/>
        <v/>
      </c>
      <c r="AL2198" s="8" t="str">
        <f t="shared" si="140"/>
        <v/>
      </c>
    </row>
    <row r="2199" spans="1:38" x14ac:dyDescent="0.25">
      <c r="A2199" s="8" t="s">
        <v>5634</v>
      </c>
      <c r="B2199" s="8" t="s">
        <v>5635</v>
      </c>
      <c r="C2199" s="8">
        <v>30890287</v>
      </c>
      <c r="D2199" s="8">
        <v>5</v>
      </c>
      <c r="E2199" s="11">
        <v>43111</v>
      </c>
      <c r="F2199" s="8" t="s">
        <v>57</v>
      </c>
      <c r="G2199" s="11">
        <v>43112</v>
      </c>
      <c r="H2199" s="8" t="s">
        <v>25</v>
      </c>
      <c r="J2199" s="8" t="s">
        <v>25</v>
      </c>
      <c r="N2199" s="8" t="s">
        <v>58</v>
      </c>
      <c r="O2199" s="8" t="s">
        <v>59</v>
      </c>
      <c r="P2199" s="8" t="s">
        <v>59</v>
      </c>
      <c r="R2199" s="8">
        <v>0</v>
      </c>
      <c r="S2199" s="8">
        <v>0</v>
      </c>
      <c r="T2199" s="8">
        <v>1</v>
      </c>
      <c r="U2199" s="8">
        <v>2</v>
      </c>
      <c r="AG2199" s="8" t="str">
        <f t="shared" si="137"/>
        <v/>
      </c>
      <c r="AI2199" s="8" t="str">
        <f t="shared" si="138"/>
        <v/>
      </c>
      <c r="AJ2199" s="8" t="str">
        <f t="shared" si="139"/>
        <v/>
      </c>
      <c r="AL2199" s="8" t="str">
        <f t="shared" si="140"/>
        <v/>
      </c>
    </row>
    <row r="2200" spans="1:38" x14ac:dyDescent="0.25">
      <c r="A2200" s="8" t="s">
        <v>513</v>
      </c>
      <c r="B2200" s="8" t="s">
        <v>514</v>
      </c>
      <c r="C2200" s="8">
        <v>30810412</v>
      </c>
      <c r="D2200" s="8">
        <v>5</v>
      </c>
      <c r="E2200" s="11">
        <v>43108</v>
      </c>
      <c r="F2200" s="8" t="s">
        <v>57</v>
      </c>
      <c r="G2200" s="11">
        <v>43108</v>
      </c>
      <c r="H2200" s="8" t="s">
        <v>25</v>
      </c>
      <c r="J2200" s="8" t="s">
        <v>25</v>
      </c>
      <c r="N2200" s="8" t="s">
        <v>58</v>
      </c>
      <c r="O2200" s="8" t="s">
        <v>59</v>
      </c>
      <c r="P2200" s="8" t="s">
        <v>59</v>
      </c>
      <c r="R2200" s="8">
        <v>0</v>
      </c>
      <c r="S2200" s="8">
        <v>0</v>
      </c>
      <c r="T2200" s="8">
        <v>1</v>
      </c>
      <c r="U2200" s="8">
        <v>2</v>
      </c>
      <c r="AG2200" s="8" t="str">
        <f t="shared" si="137"/>
        <v/>
      </c>
      <c r="AI2200" s="8" t="str">
        <f t="shared" si="138"/>
        <v/>
      </c>
      <c r="AJ2200" s="8" t="str">
        <f t="shared" si="139"/>
        <v/>
      </c>
      <c r="AL2200" s="8" t="str">
        <f t="shared" si="140"/>
        <v/>
      </c>
    </row>
    <row r="2201" spans="1:38" x14ac:dyDescent="0.25">
      <c r="A2201" s="8" t="s">
        <v>7406</v>
      </c>
      <c r="B2201" s="8" t="s">
        <v>7407</v>
      </c>
      <c r="C2201" s="8">
        <v>30897188</v>
      </c>
      <c r="D2201" s="8">
        <v>5</v>
      </c>
      <c r="E2201" s="11">
        <v>43111</v>
      </c>
      <c r="F2201" s="8" t="s">
        <v>57</v>
      </c>
      <c r="G2201" s="11">
        <v>43115</v>
      </c>
      <c r="H2201" s="8" t="s">
        <v>25</v>
      </c>
      <c r="J2201" s="8" t="s">
        <v>25</v>
      </c>
      <c r="N2201" s="8" t="s">
        <v>58</v>
      </c>
      <c r="O2201" s="8" t="s">
        <v>59</v>
      </c>
      <c r="P2201" s="8" t="s">
        <v>59</v>
      </c>
      <c r="R2201" s="8">
        <v>0</v>
      </c>
      <c r="S2201" s="8">
        <v>0</v>
      </c>
      <c r="T2201" s="8">
        <v>1</v>
      </c>
      <c r="U2201" s="8">
        <v>2</v>
      </c>
      <c r="AG2201" s="8" t="str">
        <f t="shared" si="137"/>
        <v/>
      </c>
      <c r="AI2201" s="8" t="str">
        <f t="shared" si="138"/>
        <v/>
      </c>
      <c r="AJ2201" s="8" t="str">
        <f t="shared" si="139"/>
        <v/>
      </c>
      <c r="AL2201" s="8" t="str">
        <f t="shared" si="140"/>
        <v/>
      </c>
    </row>
    <row r="2202" spans="1:38" x14ac:dyDescent="0.25">
      <c r="A2202" s="8" t="s">
        <v>5636</v>
      </c>
      <c r="B2202" s="8" t="s">
        <v>5637</v>
      </c>
      <c r="C2202" s="8">
        <v>30860174</v>
      </c>
      <c r="D2202" s="8">
        <v>5</v>
      </c>
      <c r="E2202" s="11">
        <v>43110</v>
      </c>
      <c r="F2202" s="8" t="s">
        <v>58</v>
      </c>
      <c r="G2202" s="11">
        <v>43112</v>
      </c>
      <c r="H2202" s="8" t="s">
        <v>25</v>
      </c>
      <c r="I2202" s="11">
        <v>43112</v>
      </c>
      <c r="J2202" s="8" t="s">
        <v>25</v>
      </c>
      <c r="N2202" s="8" t="s">
        <v>58</v>
      </c>
      <c r="O2202" s="8" t="s">
        <v>59</v>
      </c>
      <c r="P2202" s="8" t="s">
        <v>59</v>
      </c>
      <c r="R2202" s="8">
        <v>0</v>
      </c>
      <c r="S2202" s="8">
        <v>0</v>
      </c>
      <c r="T2202" s="8">
        <v>1</v>
      </c>
      <c r="U2202" s="8">
        <v>2</v>
      </c>
      <c r="X2202" s="8">
        <v>5</v>
      </c>
      <c r="AG2202" s="8" t="str">
        <f t="shared" si="137"/>
        <v/>
      </c>
      <c r="AI2202" s="8" t="str">
        <f t="shared" si="138"/>
        <v/>
      </c>
      <c r="AJ2202" s="8" t="str">
        <f t="shared" si="139"/>
        <v/>
      </c>
      <c r="AL2202" s="8" t="str">
        <f t="shared" si="140"/>
        <v/>
      </c>
    </row>
    <row r="2203" spans="1:38" x14ac:dyDescent="0.25">
      <c r="A2203" s="8" t="s">
        <v>5638</v>
      </c>
      <c r="B2203" s="8" t="s">
        <v>5639</v>
      </c>
      <c r="C2203" s="8">
        <v>30857096</v>
      </c>
      <c r="D2203" s="8">
        <v>5</v>
      </c>
      <c r="E2203" s="11">
        <v>43110</v>
      </c>
      <c r="F2203" s="8" t="s">
        <v>58</v>
      </c>
      <c r="G2203" s="11">
        <v>43112</v>
      </c>
      <c r="H2203" s="8" t="s">
        <v>25</v>
      </c>
      <c r="I2203" s="11">
        <v>43112</v>
      </c>
      <c r="J2203" s="8" t="s">
        <v>25</v>
      </c>
      <c r="N2203" s="8" t="s">
        <v>58</v>
      </c>
      <c r="O2203" s="8" t="s">
        <v>59</v>
      </c>
      <c r="P2203" s="8" t="s">
        <v>59</v>
      </c>
      <c r="R2203" s="8">
        <v>0</v>
      </c>
      <c r="S2203" s="8">
        <v>0</v>
      </c>
      <c r="T2203" s="8">
        <v>1</v>
      </c>
      <c r="U2203" s="8">
        <v>2</v>
      </c>
      <c r="X2203" s="8">
        <v>5</v>
      </c>
      <c r="AG2203" s="8" t="str">
        <f t="shared" si="137"/>
        <v/>
      </c>
      <c r="AI2203" s="8" t="str">
        <f t="shared" si="138"/>
        <v/>
      </c>
      <c r="AJ2203" s="8" t="str">
        <f t="shared" si="139"/>
        <v/>
      </c>
      <c r="AL2203" s="8" t="str">
        <f t="shared" si="140"/>
        <v/>
      </c>
    </row>
    <row r="2204" spans="1:38" x14ac:dyDescent="0.25">
      <c r="A2204" s="8" t="s">
        <v>7408</v>
      </c>
      <c r="B2204" s="8" t="s">
        <v>7409</v>
      </c>
      <c r="C2204" s="8">
        <v>30884265</v>
      </c>
      <c r="D2204" s="8">
        <v>5</v>
      </c>
      <c r="E2204" s="11">
        <v>43111</v>
      </c>
      <c r="F2204" s="8" t="s">
        <v>57</v>
      </c>
      <c r="G2204" s="11">
        <v>43115</v>
      </c>
      <c r="H2204" s="8" t="s">
        <v>25</v>
      </c>
      <c r="J2204" s="8" t="s">
        <v>25</v>
      </c>
      <c r="N2204" s="8" t="s">
        <v>58</v>
      </c>
      <c r="O2204" s="8" t="s">
        <v>59</v>
      </c>
      <c r="P2204" s="8" t="s">
        <v>59</v>
      </c>
      <c r="R2204" s="8">
        <v>0</v>
      </c>
      <c r="S2204" s="8">
        <v>0</v>
      </c>
      <c r="T2204" s="8">
        <v>1</v>
      </c>
      <c r="U2204" s="8">
        <v>2</v>
      </c>
      <c r="AG2204" s="8" t="str">
        <f t="shared" si="137"/>
        <v/>
      </c>
      <c r="AI2204" s="8" t="str">
        <f t="shared" si="138"/>
        <v/>
      </c>
      <c r="AJ2204" s="8" t="str">
        <f t="shared" si="139"/>
        <v/>
      </c>
      <c r="AL2204" s="8" t="str">
        <f t="shared" si="140"/>
        <v/>
      </c>
    </row>
    <row r="2205" spans="1:38" x14ac:dyDescent="0.25">
      <c r="A2205" s="8" t="s">
        <v>7410</v>
      </c>
      <c r="B2205" s="8" t="s">
        <v>7411</v>
      </c>
      <c r="C2205" s="8">
        <v>30891759</v>
      </c>
      <c r="D2205" s="8">
        <v>4</v>
      </c>
      <c r="E2205" s="11">
        <v>43111</v>
      </c>
      <c r="F2205" s="8" t="s">
        <v>57</v>
      </c>
      <c r="G2205" s="11">
        <v>43115</v>
      </c>
      <c r="H2205" s="8" t="s">
        <v>25</v>
      </c>
      <c r="J2205" s="8" t="s">
        <v>25</v>
      </c>
      <c r="N2205" s="8" t="s">
        <v>58</v>
      </c>
      <c r="O2205" s="8" t="s">
        <v>59</v>
      </c>
      <c r="P2205" s="8" t="s">
        <v>59</v>
      </c>
      <c r="R2205" s="8">
        <v>0</v>
      </c>
      <c r="S2205" s="8">
        <v>0</v>
      </c>
      <c r="T2205" s="8">
        <v>1</v>
      </c>
      <c r="U2205" s="8">
        <v>2</v>
      </c>
      <c r="AG2205" s="8" t="str">
        <f t="shared" si="137"/>
        <v/>
      </c>
      <c r="AI2205" s="8" t="str">
        <f t="shared" si="138"/>
        <v/>
      </c>
      <c r="AJ2205" s="8" t="str">
        <f t="shared" si="139"/>
        <v/>
      </c>
      <c r="AL2205" s="8" t="str">
        <f t="shared" si="140"/>
        <v/>
      </c>
    </row>
    <row r="2206" spans="1:38" x14ac:dyDescent="0.25">
      <c r="A2206" s="8" t="s">
        <v>4014</v>
      </c>
      <c r="B2206" s="8" t="s">
        <v>4015</v>
      </c>
      <c r="C2206" s="8">
        <v>30897802</v>
      </c>
      <c r="D2206" s="8">
        <v>5</v>
      </c>
      <c r="E2206" s="11">
        <v>43111</v>
      </c>
      <c r="F2206" s="8" t="s">
        <v>57</v>
      </c>
      <c r="G2206" s="11">
        <v>43111</v>
      </c>
      <c r="H2206" s="8" t="s">
        <v>25</v>
      </c>
      <c r="J2206" s="8" t="s">
        <v>25</v>
      </c>
      <c r="N2206" s="8" t="s">
        <v>58</v>
      </c>
      <c r="O2206" s="8" t="s">
        <v>59</v>
      </c>
      <c r="P2206" s="8" t="s">
        <v>59</v>
      </c>
      <c r="R2206" s="8">
        <v>0</v>
      </c>
      <c r="S2206" s="8">
        <v>0</v>
      </c>
      <c r="T2206" s="8">
        <v>1</v>
      </c>
      <c r="U2206" s="8">
        <v>2</v>
      </c>
      <c r="AG2206" s="8" t="str">
        <f t="shared" si="137"/>
        <v/>
      </c>
      <c r="AI2206" s="8" t="str">
        <f t="shared" si="138"/>
        <v/>
      </c>
      <c r="AJ2206" s="8" t="str">
        <f t="shared" si="139"/>
        <v/>
      </c>
      <c r="AL2206" s="8" t="str">
        <f t="shared" si="140"/>
        <v/>
      </c>
    </row>
    <row r="2207" spans="1:38" x14ac:dyDescent="0.25">
      <c r="A2207" s="8" t="s">
        <v>4016</v>
      </c>
      <c r="B2207" s="8" t="s">
        <v>4017</v>
      </c>
      <c r="C2207" s="8">
        <v>30847920</v>
      </c>
      <c r="D2207" s="8">
        <v>5</v>
      </c>
      <c r="E2207" s="11">
        <v>43109</v>
      </c>
      <c r="F2207" s="8" t="s">
        <v>57</v>
      </c>
      <c r="G2207" s="11">
        <v>43111</v>
      </c>
      <c r="H2207" s="8" t="s">
        <v>25</v>
      </c>
      <c r="J2207" s="8" t="s">
        <v>25</v>
      </c>
      <c r="N2207" s="8" t="s">
        <v>58</v>
      </c>
      <c r="O2207" s="8" t="s">
        <v>59</v>
      </c>
      <c r="P2207" s="8" t="s">
        <v>59</v>
      </c>
      <c r="R2207" s="8">
        <v>0</v>
      </c>
      <c r="S2207" s="8">
        <v>0</v>
      </c>
      <c r="T2207" s="8">
        <v>1</v>
      </c>
      <c r="U2207" s="8">
        <v>2</v>
      </c>
      <c r="AG2207" s="8" t="str">
        <f t="shared" si="137"/>
        <v/>
      </c>
      <c r="AI2207" s="8" t="str">
        <f t="shared" si="138"/>
        <v/>
      </c>
      <c r="AJ2207" s="8" t="str">
        <f t="shared" si="139"/>
        <v/>
      </c>
      <c r="AL2207" s="8" t="str">
        <f t="shared" si="140"/>
        <v/>
      </c>
    </row>
    <row r="2208" spans="1:38" x14ac:dyDescent="0.25">
      <c r="A2208" s="8" t="s">
        <v>2513</v>
      </c>
      <c r="B2208" s="8" t="s">
        <v>2514</v>
      </c>
      <c r="C2208" s="8">
        <v>30865665</v>
      </c>
      <c r="D2208" s="8">
        <v>5</v>
      </c>
      <c r="E2208" s="11">
        <v>43110</v>
      </c>
      <c r="F2208" s="8" t="s">
        <v>58</v>
      </c>
      <c r="G2208" s="11">
        <v>43110</v>
      </c>
      <c r="H2208" s="8" t="s">
        <v>25</v>
      </c>
      <c r="I2208" s="11">
        <v>43115</v>
      </c>
      <c r="J2208" s="8" t="s">
        <v>145</v>
      </c>
      <c r="N2208" s="8" t="s">
        <v>58</v>
      </c>
      <c r="O2208" s="8" t="s">
        <v>59</v>
      </c>
      <c r="P2208" s="8" t="s">
        <v>59</v>
      </c>
      <c r="R2208" s="8">
        <v>0</v>
      </c>
      <c r="S2208" s="8">
        <v>0</v>
      </c>
      <c r="T2208" s="8">
        <v>1</v>
      </c>
      <c r="U2208" s="8">
        <v>2</v>
      </c>
      <c r="X2208" s="8">
        <v>5</v>
      </c>
      <c r="AG2208" s="8" t="str">
        <f t="shared" si="137"/>
        <v/>
      </c>
      <c r="AI2208" s="8" t="str">
        <f t="shared" si="138"/>
        <v/>
      </c>
      <c r="AJ2208" s="8" t="str">
        <f t="shared" si="139"/>
        <v/>
      </c>
      <c r="AL2208" s="8" t="str">
        <f t="shared" si="140"/>
        <v/>
      </c>
    </row>
    <row r="2209" spans="1:38" x14ac:dyDescent="0.25">
      <c r="A2209" s="8" t="s">
        <v>5640</v>
      </c>
      <c r="B2209" s="8" t="s">
        <v>5641</v>
      </c>
      <c r="C2209" s="8">
        <v>30864713</v>
      </c>
      <c r="D2209" s="8">
        <v>4</v>
      </c>
      <c r="E2209" s="11">
        <v>43110</v>
      </c>
      <c r="F2209" s="8" t="s">
        <v>57</v>
      </c>
      <c r="G2209" s="11">
        <v>43112</v>
      </c>
      <c r="H2209" s="8" t="s">
        <v>25</v>
      </c>
      <c r="J2209" s="8" t="s">
        <v>25</v>
      </c>
      <c r="N2209" s="8" t="s">
        <v>58</v>
      </c>
      <c r="O2209" s="8" t="s">
        <v>59</v>
      </c>
      <c r="P2209" s="8" t="s">
        <v>59</v>
      </c>
      <c r="R2209" s="8">
        <v>0</v>
      </c>
      <c r="S2209" s="8">
        <v>0</v>
      </c>
      <c r="T2209" s="8">
        <v>1</v>
      </c>
      <c r="U2209" s="8">
        <v>2</v>
      </c>
      <c r="AG2209" s="8" t="str">
        <f t="shared" si="137"/>
        <v/>
      </c>
      <c r="AI2209" s="8" t="str">
        <f t="shared" si="138"/>
        <v/>
      </c>
      <c r="AJ2209" s="8" t="str">
        <f t="shared" si="139"/>
        <v/>
      </c>
      <c r="AL2209" s="8" t="str">
        <f t="shared" si="140"/>
        <v/>
      </c>
    </row>
    <row r="2210" spans="1:38" x14ac:dyDescent="0.25">
      <c r="A2210" s="8" t="s">
        <v>4018</v>
      </c>
      <c r="B2210" s="8" t="s">
        <v>4019</v>
      </c>
      <c r="C2210" s="8">
        <v>30835598</v>
      </c>
      <c r="D2210" s="8">
        <v>5</v>
      </c>
      <c r="E2210" s="11">
        <v>43109</v>
      </c>
      <c r="F2210" s="8" t="s">
        <v>57</v>
      </c>
      <c r="G2210" s="11">
        <v>43111</v>
      </c>
      <c r="H2210" s="8" t="s">
        <v>25</v>
      </c>
      <c r="J2210" s="8" t="s">
        <v>25</v>
      </c>
      <c r="N2210" s="8" t="s">
        <v>58</v>
      </c>
      <c r="O2210" s="8" t="s">
        <v>59</v>
      </c>
      <c r="P2210" s="8" t="s">
        <v>59</v>
      </c>
      <c r="R2210" s="8">
        <v>0</v>
      </c>
      <c r="S2210" s="8">
        <v>0</v>
      </c>
      <c r="T2210" s="8">
        <v>1</v>
      </c>
      <c r="U2210" s="8">
        <v>2</v>
      </c>
      <c r="AG2210" s="8" t="str">
        <f t="shared" si="137"/>
        <v/>
      </c>
      <c r="AI2210" s="8" t="str">
        <f t="shared" si="138"/>
        <v/>
      </c>
      <c r="AJ2210" s="8" t="str">
        <f t="shared" si="139"/>
        <v/>
      </c>
      <c r="AL2210" s="8" t="str">
        <f t="shared" si="140"/>
        <v/>
      </c>
    </row>
    <row r="2211" spans="1:38" x14ac:dyDescent="0.25">
      <c r="A2211" s="8" t="s">
        <v>4020</v>
      </c>
      <c r="B2211" s="8" t="s">
        <v>4021</v>
      </c>
      <c r="C2211" s="8">
        <v>30893400</v>
      </c>
      <c r="D2211" s="8">
        <v>5</v>
      </c>
      <c r="E2211" s="11">
        <v>43111</v>
      </c>
      <c r="F2211" s="8" t="s">
        <v>57</v>
      </c>
      <c r="G2211" s="11">
        <v>43111</v>
      </c>
      <c r="H2211" s="8" t="s">
        <v>25</v>
      </c>
      <c r="J2211" s="8" t="s">
        <v>25</v>
      </c>
      <c r="N2211" s="8" t="s">
        <v>58</v>
      </c>
      <c r="O2211" s="8" t="s">
        <v>59</v>
      </c>
      <c r="P2211" s="8" t="s">
        <v>59</v>
      </c>
      <c r="R2211" s="8">
        <v>0</v>
      </c>
      <c r="S2211" s="8">
        <v>0</v>
      </c>
      <c r="T2211" s="8">
        <v>1</v>
      </c>
      <c r="U2211" s="8">
        <v>2</v>
      </c>
      <c r="AG2211" s="8" t="str">
        <f t="shared" si="137"/>
        <v/>
      </c>
      <c r="AI2211" s="8" t="str">
        <f t="shared" si="138"/>
        <v/>
      </c>
      <c r="AJ2211" s="8" t="str">
        <f t="shared" si="139"/>
        <v/>
      </c>
      <c r="AL2211" s="8" t="str">
        <f t="shared" si="140"/>
        <v/>
      </c>
    </row>
    <row r="2212" spans="1:38" x14ac:dyDescent="0.25">
      <c r="A2212" s="8" t="s">
        <v>5642</v>
      </c>
      <c r="B2212" s="8" t="s">
        <v>5643</v>
      </c>
      <c r="C2212" s="8">
        <v>30857949</v>
      </c>
      <c r="D2212" s="8">
        <v>5</v>
      </c>
      <c r="E2212" s="11">
        <v>43110</v>
      </c>
      <c r="F2212" s="8" t="s">
        <v>57</v>
      </c>
      <c r="G2212" s="11">
        <v>43112</v>
      </c>
      <c r="H2212" s="8" t="s">
        <v>25</v>
      </c>
      <c r="J2212" s="8" t="s">
        <v>25</v>
      </c>
      <c r="N2212" s="8" t="s">
        <v>58</v>
      </c>
      <c r="O2212" s="8" t="s">
        <v>59</v>
      </c>
      <c r="P2212" s="8" t="s">
        <v>59</v>
      </c>
      <c r="R2212" s="8">
        <v>0</v>
      </c>
      <c r="S2212" s="8">
        <v>0</v>
      </c>
      <c r="T2212" s="8">
        <v>1</v>
      </c>
      <c r="U2212" s="8">
        <v>2</v>
      </c>
      <c r="AG2212" s="8" t="str">
        <f t="shared" si="137"/>
        <v/>
      </c>
      <c r="AI2212" s="8" t="str">
        <f t="shared" si="138"/>
        <v/>
      </c>
      <c r="AJ2212" s="8" t="str">
        <f t="shared" si="139"/>
        <v/>
      </c>
      <c r="AL2212" s="8" t="str">
        <f t="shared" si="140"/>
        <v/>
      </c>
    </row>
    <row r="2213" spans="1:38" x14ac:dyDescent="0.25">
      <c r="A2213" s="8" t="s">
        <v>7412</v>
      </c>
      <c r="B2213" s="8" t="s">
        <v>7413</v>
      </c>
      <c r="C2213" s="8">
        <v>30899120</v>
      </c>
      <c r="D2213" s="8">
        <v>5</v>
      </c>
      <c r="E2213" s="11">
        <v>43111</v>
      </c>
      <c r="F2213" s="8" t="s">
        <v>58</v>
      </c>
      <c r="G2213" s="11">
        <v>43115</v>
      </c>
      <c r="H2213" s="8" t="s">
        <v>25</v>
      </c>
      <c r="I2213" s="11">
        <v>43115</v>
      </c>
      <c r="J2213" s="8" t="s">
        <v>25</v>
      </c>
      <c r="N2213" s="8" t="s">
        <v>58</v>
      </c>
      <c r="O2213" s="8" t="s">
        <v>59</v>
      </c>
      <c r="P2213" s="8" t="s">
        <v>59</v>
      </c>
      <c r="R2213" s="8">
        <v>0</v>
      </c>
      <c r="S2213" s="8">
        <v>0</v>
      </c>
      <c r="T2213" s="8">
        <v>1</v>
      </c>
      <c r="U2213" s="8">
        <v>2</v>
      </c>
      <c r="X2213" s="8">
        <v>5</v>
      </c>
      <c r="AG2213" s="8" t="str">
        <f t="shared" si="137"/>
        <v/>
      </c>
      <c r="AI2213" s="8" t="str">
        <f t="shared" si="138"/>
        <v/>
      </c>
      <c r="AJ2213" s="8" t="str">
        <f t="shared" si="139"/>
        <v/>
      </c>
      <c r="AL2213" s="8" t="str">
        <f t="shared" si="140"/>
        <v/>
      </c>
    </row>
    <row r="2214" spans="1:38" x14ac:dyDescent="0.25">
      <c r="A2214" s="8" t="s">
        <v>2515</v>
      </c>
      <c r="B2214" s="8" t="s">
        <v>2516</v>
      </c>
      <c r="C2214" s="8">
        <v>30863489</v>
      </c>
      <c r="D2214" s="8">
        <v>5</v>
      </c>
      <c r="E2214" s="11">
        <v>43110</v>
      </c>
      <c r="F2214" s="8" t="s">
        <v>57</v>
      </c>
      <c r="G2214" s="11">
        <v>43110</v>
      </c>
      <c r="H2214" s="8" t="s">
        <v>25</v>
      </c>
      <c r="J2214" s="8" t="s">
        <v>25</v>
      </c>
      <c r="N2214" s="8" t="s">
        <v>58</v>
      </c>
      <c r="O2214" s="8" t="s">
        <v>59</v>
      </c>
      <c r="P2214" s="8" t="s">
        <v>59</v>
      </c>
      <c r="R2214" s="8">
        <v>0</v>
      </c>
      <c r="S2214" s="8">
        <v>0</v>
      </c>
      <c r="T2214" s="8">
        <v>1</v>
      </c>
      <c r="U2214" s="8">
        <v>2</v>
      </c>
      <c r="AG2214" s="8" t="str">
        <f t="shared" si="137"/>
        <v/>
      </c>
      <c r="AI2214" s="8" t="str">
        <f t="shared" si="138"/>
        <v/>
      </c>
      <c r="AJ2214" s="8" t="str">
        <f t="shared" si="139"/>
        <v/>
      </c>
      <c r="AL2214" s="8" t="str">
        <f t="shared" si="140"/>
        <v/>
      </c>
    </row>
    <row r="2215" spans="1:38" x14ac:dyDescent="0.25">
      <c r="A2215" s="8" t="s">
        <v>4022</v>
      </c>
      <c r="B2215" s="8" t="s">
        <v>4023</v>
      </c>
      <c r="C2215" s="8">
        <v>30831677</v>
      </c>
      <c r="D2215" s="8">
        <v>5</v>
      </c>
      <c r="E2215" s="11">
        <v>43109</v>
      </c>
      <c r="F2215" s="8" t="s">
        <v>58</v>
      </c>
      <c r="G2215" s="11">
        <v>43111</v>
      </c>
      <c r="H2215" s="8" t="s">
        <v>25</v>
      </c>
      <c r="I2215" s="11">
        <v>43111</v>
      </c>
      <c r="J2215" s="8" t="s">
        <v>25</v>
      </c>
      <c r="N2215" s="8" t="s">
        <v>58</v>
      </c>
      <c r="O2215" s="8" t="s">
        <v>59</v>
      </c>
      <c r="P2215" s="8" t="s">
        <v>59</v>
      </c>
      <c r="R2215" s="8">
        <v>0</v>
      </c>
      <c r="S2215" s="8">
        <v>0</v>
      </c>
      <c r="T2215" s="8">
        <v>1</v>
      </c>
      <c r="U2215" s="8">
        <v>2</v>
      </c>
      <c r="X2215" s="8">
        <v>5</v>
      </c>
      <c r="AG2215" s="8" t="str">
        <f t="shared" si="137"/>
        <v/>
      </c>
      <c r="AI2215" s="8" t="str">
        <f t="shared" si="138"/>
        <v/>
      </c>
      <c r="AJ2215" s="8" t="str">
        <f t="shared" si="139"/>
        <v/>
      </c>
      <c r="AL2215" s="8" t="str">
        <f t="shared" si="140"/>
        <v/>
      </c>
    </row>
    <row r="2216" spans="1:38" x14ac:dyDescent="0.25">
      <c r="A2216" s="8" t="s">
        <v>7414</v>
      </c>
      <c r="B2216" s="8" t="s">
        <v>7415</v>
      </c>
      <c r="C2216" s="8">
        <v>30943018</v>
      </c>
      <c r="D2216" s="8">
        <v>5</v>
      </c>
      <c r="E2216" s="11">
        <v>43115</v>
      </c>
      <c r="F2216" s="8" t="s">
        <v>57</v>
      </c>
      <c r="G2216" s="11">
        <v>43115</v>
      </c>
      <c r="H2216" s="8" t="s">
        <v>25</v>
      </c>
      <c r="J2216" s="8" t="s">
        <v>25</v>
      </c>
      <c r="N2216" s="8" t="s">
        <v>58</v>
      </c>
      <c r="O2216" s="8" t="s">
        <v>59</v>
      </c>
      <c r="P2216" s="8" t="s">
        <v>59</v>
      </c>
      <c r="R2216" s="8">
        <v>0</v>
      </c>
      <c r="S2216" s="8">
        <v>0</v>
      </c>
      <c r="T2216" s="8">
        <v>1</v>
      </c>
      <c r="U2216" s="8">
        <v>2</v>
      </c>
      <c r="AG2216" s="8" t="str">
        <f t="shared" si="137"/>
        <v/>
      </c>
      <c r="AI2216" s="8" t="str">
        <f t="shared" si="138"/>
        <v/>
      </c>
      <c r="AJ2216" s="8" t="str">
        <f t="shared" si="139"/>
        <v/>
      </c>
      <c r="AL2216" s="8" t="str">
        <f t="shared" si="140"/>
        <v/>
      </c>
    </row>
    <row r="2217" spans="1:38" x14ac:dyDescent="0.25">
      <c r="A2217" s="8" t="s">
        <v>7416</v>
      </c>
      <c r="B2217" s="8" t="s">
        <v>7417</v>
      </c>
      <c r="C2217" s="8">
        <v>30895026</v>
      </c>
      <c r="D2217" s="8">
        <v>5</v>
      </c>
      <c r="E2217" s="11">
        <v>43111</v>
      </c>
      <c r="F2217" s="8" t="s">
        <v>58</v>
      </c>
      <c r="G2217" s="11">
        <v>43115</v>
      </c>
      <c r="H2217" s="8" t="s">
        <v>25</v>
      </c>
      <c r="I2217" s="11">
        <v>43115</v>
      </c>
      <c r="J2217" s="8" t="s">
        <v>25</v>
      </c>
      <c r="N2217" s="8" t="s">
        <v>58</v>
      </c>
      <c r="O2217" s="8" t="s">
        <v>59</v>
      </c>
      <c r="P2217" s="8" t="s">
        <v>59</v>
      </c>
      <c r="R2217" s="8">
        <v>0</v>
      </c>
      <c r="S2217" s="8">
        <v>0</v>
      </c>
      <c r="T2217" s="8">
        <v>1</v>
      </c>
      <c r="U2217" s="8">
        <v>2</v>
      </c>
      <c r="X2217" s="8">
        <v>5</v>
      </c>
      <c r="AG2217" s="8" t="str">
        <f t="shared" si="137"/>
        <v/>
      </c>
      <c r="AI2217" s="8" t="str">
        <f t="shared" si="138"/>
        <v/>
      </c>
      <c r="AJ2217" s="8" t="str">
        <f t="shared" si="139"/>
        <v/>
      </c>
      <c r="AL2217" s="8" t="str">
        <f t="shared" si="140"/>
        <v/>
      </c>
    </row>
    <row r="2218" spans="1:38" x14ac:dyDescent="0.25">
      <c r="A2218" s="8" t="s">
        <v>4024</v>
      </c>
      <c r="B2218" s="8" t="s">
        <v>4025</v>
      </c>
      <c r="C2218" s="8">
        <v>30841489</v>
      </c>
      <c r="D2218" s="8">
        <v>5</v>
      </c>
      <c r="E2218" s="11">
        <v>43109</v>
      </c>
      <c r="F2218" s="8" t="s">
        <v>58</v>
      </c>
      <c r="G2218" s="11">
        <v>43111</v>
      </c>
      <c r="H2218" s="8" t="s">
        <v>25</v>
      </c>
      <c r="I2218" s="11">
        <v>43112</v>
      </c>
      <c r="J2218" s="8" t="s">
        <v>25</v>
      </c>
      <c r="N2218" s="8" t="s">
        <v>58</v>
      </c>
      <c r="O2218" s="8" t="s">
        <v>59</v>
      </c>
      <c r="P2218" s="8" t="s">
        <v>59</v>
      </c>
      <c r="R2218" s="8">
        <v>0</v>
      </c>
      <c r="S2218" s="8">
        <v>0</v>
      </c>
      <c r="T2218" s="8">
        <v>1</v>
      </c>
      <c r="U2218" s="8">
        <v>2</v>
      </c>
      <c r="X2218" s="8">
        <v>5</v>
      </c>
      <c r="AG2218" s="8" t="str">
        <f t="shared" si="137"/>
        <v/>
      </c>
      <c r="AI2218" s="8" t="str">
        <f t="shared" si="138"/>
        <v/>
      </c>
      <c r="AJ2218" s="8" t="str">
        <f t="shared" si="139"/>
        <v/>
      </c>
      <c r="AL2218" s="8" t="str">
        <f t="shared" si="140"/>
        <v/>
      </c>
    </row>
    <row r="2219" spans="1:38" x14ac:dyDescent="0.25">
      <c r="A2219" s="8" t="s">
        <v>7418</v>
      </c>
      <c r="B2219" s="8" t="s">
        <v>7419</v>
      </c>
      <c r="C2219" s="8">
        <v>30884273</v>
      </c>
      <c r="D2219" s="8">
        <v>5</v>
      </c>
      <c r="E2219" s="11">
        <v>43111</v>
      </c>
      <c r="F2219" s="8" t="s">
        <v>57</v>
      </c>
      <c r="G2219" s="11">
        <v>43115</v>
      </c>
      <c r="H2219" s="8" t="s">
        <v>25</v>
      </c>
      <c r="J2219" s="8" t="s">
        <v>25</v>
      </c>
      <c r="N2219" s="8" t="s">
        <v>58</v>
      </c>
      <c r="O2219" s="8" t="s">
        <v>59</v>
      </c>
      <c r="P2219" s="8" t="s">
        <v>59</v>
      </c>
      <c r="R2219" s="8">
        <v>0</v>
      </c>
      <c r="S2219" s="8">
        <v>0</v>
      </c>
      <c r="T2219" s="8">
        <v>1</v>
      </c>
      <c r="U2219" s="8">
        <v>2</v>
      </c>
      <c r="AG2219" s="8" t="str">
        <f t="shared" si="137"/>
        <v/>
      </c>
      <c r="AI2219" s="8" t="str">
        <f t="shared" si="138"/>
        <v/>
      </c>
      <c r="AJ2219" s="8" t="str">
        <f t="shared" si="139"/>
        <v/>
      </c>
      <c r="AL2219" s="8" t="str">
        <f t="shared" si="140"/>
        <v/>
      </c>
    </row>
    <row r="2220" spans="1:38" x14ac:dyDescent="0.25">
      <c r="A2220" s="8" t="s">
        <v>2517</v>
      </c>
      <c r="B2220" s="8" t="s">
        <v>2518</v>
      </c>
      <c r="C2220" s="8">
        <v>30829987</v>
      </c>
      <c r="D2220" s="8">
        <v>5</v>
      </c>
      <c r="E2220" s="11">
        <v>43108</v>
      </c>
      <c r="F2220" s="8" t="s">
        <v>60</v>
      </c>
      <c r="G2220" s="11">
        <v>43110</v>
      </c>
      <c r="H2220" s="8" t="s">
        <v>25</v>
      </c>
      <c r="J2220" s="8" t="s">
        <v>145</v>
      </c>
      <c r="L2220" s="8" t="s">
        <v>6525</v>
      </c>
      <c r="N2220" s="8" t="s">
        <v>58</v>
      </c>
      <c r="O2220" s="8" t="s">
        <v>59</v>
      </c>
      <c r="P2220" s="8" t="s">
        <v>59</v>
      </c>
      <c r="R2220" s="8">
        <v>0</v>
      </c>
      <c r="S2220" s="8">
        <v>0</v>
      </c>
      <c r="T2220" s="8">
        <v>1</v>
      </c>
      <c r="U2220" s="8">
        <v>2</v>
      </c>
      <c r="W2220" s="8">
        <v>4</v>
      </c>
      <c r="AG2220" s="8" t="str">
        <f t="shared" si="137"/>
        <v/>
      </c>
      <c r="AI2220" s="8" t="str">
        <f t="shared" si="138"/>
        <v/>
      </c>
      <c r="AJ2220" s="8" t="str">
        <f t="shared" si="139"/>
        <v/>
      </c>
      <c r="AL2220" s="8" t="str">
        <f t="shared" si="140"/>
        <v/>
      </c>
    </row>
    <row r="2221" spans="1:38" x14ac:dyDescent="0.25">
      <c r="A2221" s="8" t="s">
        <v>5644</v>
      </c>
      <c r="B2221" s="8" t="s">
        <v>5645</v>
      </c>
      <c r="C2221" s="8">
        <v>30860730</v>
      </c>
      <c r="D2221" s="8">
        <v>5</v>
      </c>
      <c r="E2221" s="11">
        <v>43110</v>
      </c>
      <c r="F2221" s="8" t="s">
        <v>58</v>
      </c>
      <c r="G2221" s="11">
        <v>43112</v>
      </c>
      <c r="H2221" s="8" t="s">
        <v>25</v>
      </c>
      <c r="I2221" s="11">
        <v>43112</v>
      </c>
      <c r="J2221" s="8" t="s">
        <v>25</v>
      </c>
      <c r="N2221" s="8" t="s">
        <v>58</v>
      </c>
      <c r="O2221" s="8" t="s">
        <v>59</v>
      </c>
      <c r="P2221" s="8" t="s">
        <v>59</v>
      </c>
      <c r="R2221" s="8">
        <v>0</v>
      </c>
      <c r="S2221" s="8">
        <v>0</v>
      </c>
      <c r="T2221" s="8">
        <v>1</v>
      </c>
      <c r="U2221" s="8">
        <v>2</v>
      </c>
      <c r="X2221" s="8">
        <v>5</v>
      </c>
      <c r="AG2221" s="8" t="str">
        <f t="shared" si="137"/>
        <v/>
      </c>
      <c r="AI2221" s="8" t="str">
        <f t="shared" si="138"/>
        <v/>
      </c>
      <c r="AJ2221" s="8" t="str">
        <f t="shared" si="139"/>
        <v/>
      </c>
      <c r="AL2221" s="8" t="str">
        <f t="shared" si="140"/>
        <v/>
      </c>
    </row>
    <row r="2222" spans="1:38" x14ac:dyDescent="0.25">
      <c r="A2222" s="8" t="s">
        <v>1320</v>
      </c>
      <c r="B2222" s="8" t="s">
        <v>1321</v>
      </c>
      <c r="C2222" s="8">
        <v>30818207</v>
      </c>
      <c r="D2222" s="8">
        <v>5</v>
      </c>
      <c r="E2222" s="11">
        <v>43108</v>
      </c>
      <c r="F2222" s="8" t="s">
        <v>58</v>
      </c>
      <c r="G2222" s="11">
        <v>43109</v>
      </c>
      <c r="H2222" s="8" t="s">
        <v>25</v>
      </c>
      <c r="I2222" s="11">
        <v>43110</v>
      </c>
      <c r="J2222" s="8" t="s">
        <v>25</v>
      </c>
      <c r="N2222" s="8" t="s">
        <v>58</v>
      </c>
      <c r="O2222" s="8" t="s">
        <v>59</v>
      </c>
      <c r="P2222" s="8" t="s">
        <v>59</v>
      </c>
      <c r="R2222" s="8">
        <v>0</v>
      </c>
      <c r="S2222" s="8">
        <v>0</v>
      </c>
      <c r="T2222" s="8">
        <v>1</v>
      </c>
      <c r="U2222" s="8">
        <v>2</v>
      </c>
      <c r="X2222" s="8">
        <v>5</v>
      </c>
      <c r="AG2222" s="8" t="str">
        <f t="shared" si="137"/>
        <v/>
      </c>
      <c r="AI2222" s="8" t="str">
        <f t="shared" si="138"/>
        <v/>
      </c>
      <c r="AJ2222" s="8" t="str">
        <f t="shared" si="139"/>
        <v/>
      </c>
      <c r="AL2222" s="8" t="str">
        <f t="shared" si="140"/>
        <v/>
      </c>
    </row>
    <row r="2223" spans="1:38" x14ac:dyDescent="0.25">
      <c r="A2223" s="8" t="s">
        <v>2519</v>
      </c>
      <c r="B2223" s="8" t="s">
        <v>2520</v>
      </c>
      <c r="C2223" s="8">
        <v>30817329</v>
      </c>
      <c r="D2223" s="8">
        <v>5</v>
      </c>
      <c r="E2223" s="11">
        <v>43108</v>
      </c>
      <c r="F2223" s="8" t="s">
        <v>58</v>
      </c>
      <c r="G2223" s="11">
        <v>43110</v>
      </c>
      <c r="H2223" s="8" t="s">
        <v>25</v>
      </c>
      <c r="I2223" s="11">
        <v>43110</v>
      </c>
      <c r="J2223" s="8" t="s">
        <v>25</v>
      </c>
      <c r="N2223" s="8" t="s">
        <v>58</v>
      </c>
      <c r="O2223" s="8" t="s">
        <v>59</v>
      </c>
      <c r="P2223" s="8" t="s">
        <v>59</v>
      </c>
      <c r="R2223" s="8">
        <v>0</v>
      </c>
      <c r="S2223" s="8">
        <v>0</v>
      </c>
      <c r="T2223" s="8">
        <v>1</v>
      </c>
      <c r="U2223" s="8">
        <v>2</v>
      </c>
      <c r="X2223" s="8">
        <v>5</v>
      </c>
      <c r="AG2223" s="8" t="str">
        <f t="shared" si="137"/>
        <v/>
      </c>
      <c r="AI2223" s="8" t="str">
        <f t="shared" si="138"/>
        <v/>
      </c>
      <c r="AJ2223" s="8" t="str">
        <f t="shared" si="139"/>
        <v/>
      </c>
      <c r="AL2223" s="8" t="str">
        <f t="shared" si="140"/>
        <v/>
      </c>
    </row>
    <row r="2224" spans="1:38" x14ac:dyDescent="0.25">
      <c r="A2224" s="8" t="s">
        <v>7420</v>
      </c>
      <c r="B2224" s="8" t="s">
        <v>7421</v>
      </c>
      <c r="C2224" s="8">
        <v>30934783</v>
      </c>
      <c r="D2224" s="8">
        <v>5</v>
      </c>
      <c r="E2224" s="11">
        <v>43115</v>
      </c>
      <c r="F2224" s="8" t="s">
        <v>57</v>
      </c>
      <c r="G2224" s="11">
        <v>43115</v>
      </c>
      <c r="H2224" s="8" t="s">
        <v>25</v>
      </c>
      <c r="J2224" s="8" t="s">
        <v>25</v>
      </c>
      <c r="N2224" s="8" t="s">
        <v>58</v>
      </c>
      <c r="O2224" s="8" t="s">
        <v>59</v>
      </c>
      <c r="P2224" s="8" t="s">
        <v>59</v>
      </c>
      <c r="R2224" s="8">
        <v>0</v>
      </c>
      <c r="S2224" s="8">
        <v>0</v>
      </c>
      <c r="T2224" s="8">
        <v>1</v>
      </c>
      <c r="U2224" s="8">
        <v>2</v>
      </c>
      <c r="AG2224" s="8" t="str">
        <f t="shared" si="137"/>
        <v/>
      </c>
      <c r="AI2224" s="8" t="str">
        <f t="shared" si="138"/>
        <v/>
      </c>
      <c r="AJ2224" s="8" t="str">
        <f t="shared" si="139"/>
        <v/>
      </c>
      <c r="AL2224" s="8" t="str">
        <f t="shared" si="140"/>
        <v/>
      </c>
    </row>
    <row r="2225" spans="1:38" x14ac:dyDescent="0.25">
      <c r="A2225" s="8" t="s">
        <v>7422</v>
      </c>
      <c r="B2225" s="8" t="s">
        <v>7423</v>
      </c>
      <c r="C2225" s="8">
        <v>30881111</v>
      </c>
      <c r="D2225" s="8">
        <v>4</v>
      </c>
      <c r="E2225" s="11">
        <v>43111</v>
      </c>
      <c r="F2225" s="8" t="s">
        <v>57</v>
      </c>
      <c r="G2225" s="11">
        <v>43115</v>
      </c>
      <c r="H2225" s="8" t="s">
        <v>25</v>
      </c>
      <c r="J2225" s="8" t="s">
        <v>25</v>
      </c>
      <c r="N2225" s="8" t="s">
        <v>58</v>
      </c>
      <c r="O2225" s="8" t="s">
        <v>59</v>
      </c>
      <c r="P2225" s="8" t="s">
        <v>59</v>
      </c>
      <c r="R2225" s="8">
        <v>0</v>
      </c>
      <c r="S2225" s="8">
        <v>0</v>
      </c>
      <c r="T2225" s="8">
        <v>1</v>
      </c>
      <c r="U2225" s="8">
        <v>2</v>
      </c>
      <c r="AG2225" s="8" t="str">
        <f t="shared" si="137"/>
        <v/>
      </c>
      <c r="AI2225" s="8" t="str">
        <f t="shared" si="138"/>
        <v/>
      </c>
      <c r="AJ2225" s="8" t="str">
        <f t="shared" si="139"/>
        <v/>
      </c>
      <c r="AL2225" s="8" t="str">
        <f t="shared" si="140"/>
        <v/>
      </c>
    </row>
    <row r="2226" spans="1:38" x14ac:dyDescent="0.25">
      <c r="A2226" s="8" t="s">
        <v>1322</v>
      </c>
      <c r="B2226" s="8" t="s">
        <v>1323</v>
      </c>
      <c r="C2226" s="8">
        <v>30813562</v>
      </c>
      <c r="D2226" s="8">
        <v>5</v>
      </c>
      <c r="E2226" s="11">
        <v>43108</v>
      </c>
      <c r="F2226" s="8" t="s">
        <v>58</v>
      </c>
      <c r="G2226" s="11">
        <v>43109</v>
      </c>
      <c r="H2226" s="8" t="s">
        <v>25</v>
      </c>
      <c r="I2226" s="11">
        <v>43109</v>
      </c>
      <c r="J2226" s="8" t="s">
        <v>25</v>
      </c>
      <c r="N2226" s="8" t="s">
        <v>58</v>
      </c>
      <c r="O2226" s="8" t="s">
        <v>59</v>
      </c>
      <c r="P2226" s="8" t="s">
        <v>59</v>
      </c>
      <c r="R2226" s="8">
        <v>0</v>
      </c>
      <c r="S2226" s="8">
        <v>0</v>
      </c>
      <c r="T2226" s="8">
        <v>1</v>
      </c>
      <c r="U2226" s="8">
        <v>2</v>
      </c>
      <c r="X2226" s="8">
        <v>5</v>
      </c>
      <c r="AG2226" s="8" t="str">
        <f t="shared" si="137"/>
        <v/>
      </c>
      <c r="AI2226" s="8" t="str">
        <f t="shared" si="138"/>
        <v/>
      </c>
      <c r="AJ2226" s="8" t="str">
        <f t="shared" si="139"/>
        <v/>
      </c>
      <c r="AL2226" s="8" t="str">
        <f t="shared" si="140"/>
        <v/>
      </c>
    </row>
    <row r="2227" spans="1:38" x14ac:dyDescent="0.25">
      <c r="A2227" s="8" t="s">
        <v>4026</v>
      </c>
      <c r="B2227" s="8" t="s">
        <v>4027</v>
      </c>
      <c r="C2227" s="8">
        <v>30881298</v>
      </c>
      <c r="D2227" s="8">
        <v>5</v>
      </c>
      <c r="E2227" s="11">
        <v>43111</v>
      </c>
      <c r="F2227" s="8" t="s">
        <v>58</v>
      </c>
      <c r="G2227" s="11">
        <v>43111</v>
      </c>
      <c r="H2227" s="8" t="s">
        <v>25</v>
      </c>
      <c r="I2227" s="11">
        <v>43115</v>
      </c>
      <c r="J2227" s="8" t="s">
        <v>25</v>
      </c>
      <c r="N2227" s="8" t="s">
        <v>58</v>
      </c>
      <c r="O2227" s="8" t="s">
        <v>59</v>
      </c>
      <c r="P2227" s="8" t="s">
        <v>59</v>
      </c>
      <c r="R2227" s="8">
        <v>0</v>
      </c>
      <c r="S2227" s="8">
        <v>0</v>
      </c>
      <c r="T2227" s="8">
        <v>1</v>
      </c>
      <c r="U2227" s="8">
        <v>2</v>
      </c>
      <c r="X2227" s="8">
        <v>5</v>
      </c>
      <c r="AG2227" s="8" t="str">
        <f t="shared" si="137"/>
        <v/>
      </c>
      <c r="AI2227" s="8" t="str">
        <f t="shared" si="138"/>
        <v/>
      </c>
      <c r="AJ2227" s="8" t="str">
        <f t="shared" si="139"/>
        <v/>
      </c>
      <c r="AL2227" s="8" t="str">
        <f t="shared" si="140"/>
        <v/>
      </c>
    </row>
    <row r="2228" spans="1:38" x14ac:dyDescent="0.25">
      <c r="A2228" s="8" t="s">
        <v>515</v>
      </c>
      <c r="B2228" s="8" t="s">
        <v>516</v>
      </c>
      <c r="C2228" s="8">
        <v>30825086</v>
      </c>
      <c r="D2228" s="8">
        <v>5</v>
      </c>
      <c r="E2228" s="11">
        <v>43108</v>
      </c>
      <c r="F2228" s="8" t="s">
        <v>58</v>
      </c>
      <c r="G2228" s="11">
        <v>43108</v>
      </c>
      <c r="H2228" s="8" t="s">
        <v>25</v>
      </c>
      <c r="I2228" s="11">
        <v>43115</v>
      </c>
      <c r="J2228" s="8" t="s">
        <v>856</v>
      </c>
      <c r="N2228" s="8" t="s">
        <v>58</v>
      </c>
      <c r="O2228" s="8" t="s">
        <v>59</v>
      </c>
      <c r="P2228" s="8" t="s">
        <v>59</v>
      </c>
      <c r="R2228" s="8">
        <v>0</v>
      </c>
      <c r="S2228" s="8">
        <v>0</v>
      </c>
      <c r="T2228" s="8">
        <v>1</v>
      </c>
      <c r="U2228" s="8">
        <v>2</v>
      </c>
      <c r="X2228" s="8">
        <v>5</v>
      </c>
      <c r="AG2228" s="8" t="str">
        <f t="shared" si="137"/>
        <v/>
      </c>
      <c r="AI2228" s="8" t="str">
        <f t="shared" si="138"/>
        <v/>
      </c>
      <c r="AJ2228" s="8" t="str">
        <f t="shared" si="139"/>
        <v/>
      </c>
      <c r="AL2228" s="8" t="str">
        <f t="shared" si="140"/>
        <v/>
      </c>
    </row>
    <row r="2229" spans="1:38" x14ac:dyDescent="0.25">
      <c r="A2229" s="8" t="s">
        <v>1324</v>
      </c>
      <c r="B2229" s="8" t="s">
        <v>1325</v>
      </c>
      <c r="C2229" s="8">
        <v>30834235</v>
      </c>
      <c r="D2229" s="8">
        <v>5</v>
      </c>
      <c r="E2229" s="11">
        <v>43109</v>
      </c>
      <c r="F2229" s="8" t="s">
        <v>58</v>
      </c>
      <c r="G2229" s="11">
        <v>43109</v>
      </c>
      <c r="H2229" s="8" t="s">
        <v>25</v>
      </c>
      <c r="I2229" s="11">
        <v>43110</v>
      </c>
      <c r="J2229" s="8" t="s">
        <v>25</v>
      </c>
      <c r="N2229" s="8" t="s">
        <v>58</v>
      </c>
      <c r="O2229" s="8" t="s">
        <v>59</v>
      </c>
      <c r="P2229" s="8" t="s">
        <v>59</v>
      </c>
      <c r="R2229" s="8">
        <v>0</v>
      </c>
      <c r="S2229" s="8">
        <v>0</v>
      </c>
      <c r="T2229" s="8">
        <v>1</v>
      </c>
      <c r="U2229" s="8">
        <v>2</v>
      </c>
      <c r="X2229" s="8">
        <v>5</v>
      </c>
      <c r="AG2229" s="8" t="str">
        <f t="shared" si="137"/>
        <v/>
      </c>
      <c r="AI2229" s="8" t="str">
        <f t="shared" si="138"/>
        <v/>
      </c>
      <c r="AJ2229" s="8" t="str">
        <f t="shared" si="139"/>
        <v/>
      </c>
      <c r="AL2229" s="8" t="str">
        <f t="shared" si="140"/>
        <v/>
      </c>
    </row>
    <row r="2230" spans="1:38" x14ac:dyDescent="0.25">
      <c r="A2230" s="8" t="s">
        <v>5646</v>
      </c>
      <c r="B2230" s="8" t="s">
        <v>5647</v>
      </c>
      <c r="C2230" s="8">
        <v>30920897</v>
      </c>
      <c r="D2230" s="8">
        <v>5</v>
      </c>
      <c r="E2230" s="11">
        <v>43112</v>
      </c>
      <c r="F2230" s="8" t="s">
        <v>57</v>
      </c>
      <c r="G2230" s="11">
        <v>43112</v>
      </c>
      <c r="H2230" s="8" t="s">
        <v>25</v>
      </c>
      <c r="J2230" s="8" t="s">
        <v>25</v>
      </c>
      <c r="N2230" s="8" t="s">
        <v>58</v>
      </c>
      <c r="O2230" s="8" t="s">
        <v>59</v>
      </c>
      <c r="P2230" s="8" t="s">
        <v>59</v>
      </c>
      <c r="R2230" s="8">
        <v>0</v>
      </c>
      <c r="S2230" s="8">
        <v>0</v>
      </c>
      <c r="T2230" s="8">
        <v>1</v>
      </c>
      <c r="U2230" s="8">
        <v>2</v>
      </c>
      <c r="AG2230" s="8" t="str">
        <f t="shared" si="137"/>
        <v/>
      </c>
      <c r="AI2230" s="8" t="str">
        <f t="shared" si="138"/>
        <v/>
      </c>
      <c r="AJ2230" s="8" t="str">
        <f t="shared" si="139"/>
        <v/>
      </c>
      <c r="AL2230" s="8" t="str">
        <f t="shared" si="140"/>
        <v/>
      </c>
    </row>
    <row r="2231" spans="1:38" x14ac:dyDescent="0.25">
      <c r="A2231" s="8" t="s">
        <v>5648</v>
      </c>
      <c r="B2231" s="8" t="s">
        <v>74</v>
      </c>
      <c r="C2231" s="8">
        <v>30903917</v>
      </c>
      <c r="D2231" s="8">
        <v>5</v>
      </c>
      <c r="E2231" s="11">
        <v>43111</v>
      </c>
      <c r="F2231" s="8" t="s">
        <v>57</v>
      </c>
      <c r="G2231" s="11">
        <v>43112</v>
      </c>
      <c r="H2231" s="8" t="s">
        <v>25</v>
      </c>
      <c r="J2231" s="8" t="s">
        <v>25</v>
      </c>
      <c r="N2231" s="8" t="s">
        <v>58</v>
      </c>
      <c r="O2231" s="8" t="s">
        <v>59</v>
      </c>
      <c r="P2231" s="8" t="s">
        <v>59</v>
      </c>
      <c r="R2231" s="8">
        <v>0</v>
      </c>
      <c r="S2231" s="8">
        <v>0</v>
      </c>
      <c r="T2231" s="8">
        <v>1</v>
      </c>
      <c r="U2231" s="8">
        <v>2</v>
      </c>
      <c r="AG2231" s="8" t="str">
        <f t="shared" si="137"/>
        <v/>
      </c>
      <c r="AI2231" s="8" t="str">
        <f t="shared" si="138"/>
        <v/>
      </c>
      <c r="AJ2231" s="8" t="str">
        <f t="shared" si="139"/>
        <v/>
      </c>
      <c r="AL2231" s="8" t="str">
        <f t="shared" si="140"/>
        <v/>
      </c>
    </row>
    <row r="2232" spans="1:38" x14ac:dyDescent="0.25">
      <c r="A2232" s="8" t="s">
        <v>5649</v>
      </c>
      <c r="B2232" s="8" t="s">
        <v>5650</v>
      </c>
      <c r="C2232" s="8">
        <v>30912521</v>
      </c>
      <c r="D2232" s="8">
        <v>5</v>
      </c>
      <c r="E2232" s="11">
        <v>43112</v>
      </c>
      <c r="F2232" s="8" t="s">
        <v>62</v>
      </c>
      <c r="G2232" s="11">
        <v>43115</v>
      </c>
      <c r="H2232" s="8" t="s">
        <v>25</v>
      </c>
      <c r="J2232" s="8" t="s">
        <v>25</v>
      </c>
      <c r="M2232" s="8" t="s">
        <v>66</v>
      </c>
      <c r="N2232" s="8" t="s">
        <v>63</v>
      </c>
      <c r="O2232" s="8" t="s">
        <v>59</v>
      </c>
      <c r="P2232" s="8" t="s">
        <v>59</v>
      </c>
      <c r="R2232" s="8">
        <v>0</v>
      </c>
      <c r="S2232" s="8">
        <v>0</v>
      </c>
      <c r="T2232" s="8">
        <v>1</v>
      </c>
      <c r="U2232" s="8">
        <v>2</v>
      </c>
      <c r="AG2232" s="8" t="str">
        <f t="shared" si="137"/>
        <v/>
      </c>
      <c r="AI2232" s="8" t="str">
        <f t="shared" si="138"/>
        <v/>
      </c>
      <c r="AJ2232" s="8" t="str">
        <f t="shared" si="139"/>
        <v/>
      </c>
      <c r="AL2232" s="8" t="str">
        <f t="shared" si="140"/>
        <v/>
      </c>
    </row>
    <row r="2233" spans="1:38" x14ac:dyDescent="0.25">
      <c r="A2233" s="8" t="s">
        <v>517</v>
      </c>
      <c r="B2233" s="8" t="s">
        <v>518</v>
      </c>
      <c r="C2233" s="8">
        <v>30814865</v>
      </c>
      <c r="D2233" s="8">
        <v>5</v>
      </c>
      <c r="E2233" s="11">
        <v>43108</v>
      </c>
      <c r="F2233" s="8" t="s">
        <v>57</v>
      </c>
      <c r="G2233" s="11">
        <v>43108</v>
      </c>
      <c r="H2233" s="8" t="s">
        <v>25</v>
      </c>
      <c r="J2233" s="8" t="s">
        <v>25</v>
      </c>
      <c r="N2233" s="8" t="s">
        <v>58</v>
      </c>
      <c r="O2233" s="8" t="s">
        <v>59</v>
      </c>
      <c r="P2233" s="8" t="s">
        <v>59</v>
      </c>
      <c r="R2233" s="8">
        <v>0</v>
      </c>
      <c r="S2233" s="8">
        <v>0</v>
      </c>
      <c r="T2233" s="8">
        <v>1</v>
      </c>
      <c r="U2233" s="8">
        <v>2</v>
      </c>
      <c r="AG2233" s="8" t="str">
        <f t="shared" si="137"/>
        <v/>
      </c>
      <c r="AI2233" s="8" t="str">
        <f t="shared" si="138"/>
        <v/>
      </c>
      <c r="AJ2233" s="8" t="str">
        <f t="shared" si="139"/>
        <v/>
      </c>
      <c r="AL2233" s="8" t="str">
        <f t="shared" si="140"/>
        <v/>
      </c>
    </row>
    <row r="2234" spans="1:38" x14ac:dyDescent="0.25">
      <c r="A2234" s="8" t="s">
        <v>2521</v>
      </c>
      <c r="B2234" s="8" t="s">
        <v>2522</v>
      </c>
      <c r="C2234" s="8">
        <v>30817512</v>
      </c>
      <c r="D2234" s="8">
        <v>5</v>
      </c>
      <c r="E2234" s="11">
        <v>43108</v>
      </c>
      <c r="F2234" s="8" t="s">
        <v>58</v>
      </c>
      <c r="G2234" s="11">
        <v>43110</v>
      </c>
      <c r="H2234" s="8" t="s">
        <v>25</v>
      </c>
      <c r="I2234" s="11">
        <v>43111</v>
      </c>
      <c r="J2234" s="8" t="s">
        <v>25</v>
      </c>
      <c r="N2234" s="8" t="s">
        <v>58</v>
      </c>
      <c r="O2234" s="8" t="s">
        <v>59</v>
      </c>
      <c r="P2234" s="8" t="s">
        <v>59</v>
      </c>
      <c r="R2234" s="8">
        <v>0</v>
      </c>
      <c r="S2234" s="8">
        <v>0</v>
      </c>
      <c r="T2234" s="8">
        <v>1</v>
      </c>
      <c r="U2234" s="8">
        <v>2</v>
      </c>
      <c r="X2234" s="8">
        <v>5</v>
      </c>
      <c r="AG2234" s="8" t="str">
        <f t="shared" si="137"/>
        <v/>
      </c>
      <c r="AI2234" s="8" t="str">
        <f t="shared" si="138"/>
        <v/>
      </c>
      <c r="AJ2234" s="8" t="str">
        <f t="shared" si="139"/>
        <v/>
      </c>
      <c r="AL2234" s="8" t="str">
        <f t="shared" si="140"/>
        <v/>
      </c>
    </row>
    <row r="2235" spans="1:38" x14ac:dyDescent="0.25">
      <c r="A2235" s="8" t="s">
        <v>5651</v>
      </c>
      <c r="B2235" s="8" t="s">
        <v>5652</v>
      </c>
      <c r="C2235" s="8">
        <v>30861464</v>
      </c>
      <c r="D2235" s="8">
        <v>5</v>
      </c>
      <c r="E2235" s="11">
        <v>43110</v>
      </c>
      <c r="F2235" s="8" t="s">
        <v>57</v>
      </c>
      <c r="G2235" s="11">
        <v>43112</v>
      </c>
      <c r="H2235" s="8" t="s">
        <v>25</v>
      </c>
      <c r="J2235" s="8" t="s">
        <v>25</v>
      </c>
      <c r="N2235" s="8" t="s">
        <v>58</v>
      </c>
      <c r="O2235" s="8" t="s">
        <v>59</v>
      </c>
      <c r="P2235" s="8" t="s">
        <v>59</v>
      </c>
      <c r="R2235" s="8">
        <v>0</v>
      </c>
      <c r="S2235" s="8">
        <v>0</v>
      </c>
      <c r="T2235" s="8">
        <v>1</v>
      </c>
      <c r="U2235" s="8">
        <v>2</v>
      </c>
      <c r="AG2235" s="8" t="str">
        <f t="shared" si="137"/>
        <v/>
      </c>
      <c r="AI2235" s="8" t="str">
        <f t="shared" si="138"/>
        <v/>
      </c>
      <c r="AJ2235" s="8" t="str">
        <f t="shared" si="139"/>
        <v/>
      </c>
      <c r="AL2235" s="8" t="str">
        <f t="shared" si="140"/>
        <v/>
      </c>
    </row>
    <row r="2236" spans="1:38" x14ac:dyDescent="0.25">
      <c r="A2236" s="8" t="s">
        <v>7424</v>
      </c>
      <c r="B2236" s="8" t="s">
        <v>7425</v>
      </c>
      <c r="C2236" s="8">
        <v>30885089</v>
      </c>
      <c r="D2236" s="8">
        <v>5</v>
      </c>
      <c r="E2236" s="11">
        <v>43111</v>
      </c>
      <c r="F2236" s="8" t="s">
        <v>57</v>
      </c>
      <c r="G2236" s="11">
        <v>43115</v>
      </c>
      <c r="H2236" s="8" t="s">
        <v>25</v>
      </c>
      <c r="J2236" s="8" t="s">
        <v>25</v>
      </c>
      <c r="N2236" s="8" t="s">
        <v>58</v>
      </c>
      <c r="O2236" s="8" t="s">
        <v>59</v>
      </c>
      <c r="P2236" s="8" t="s">
        <v>59</v>
      </c>
      <c r="R2236" s="8">
        <v>0</v>
      </c>
      <c r="S2236" s="8">
        <v>0</v>
      </c>
      <c r="T2236" s="8">
        <v>1</v>
      </c>
      <c r="U2236" s="8">
        <v>2</v>
      </c>
      <c r="AG2236" s="8" t="str">
        <f t="shared" si="137"/>
        <v/>
      </c>
      <c r="AI2236" s="8" t="str">
        <f t="shared" si="138"/>
        <v/>
      </c>
      <c r="AJ2236" s="8" t="str">
        <f t="shared" si="139"/>
        <v/>
      </c>
      <c r="AL2236" s="8" t="str">
        <f t="shared" si="140"/>
        <v/>
      </c>
    </row>
    <row r="2237" spans="1:38" x14ac:dyDescent="0.25">
      <c r="A2237" s="8" t="s">
        <v>2523</v>
      </c>
      <c r="B2237" s="8" t="s">
        <v>2524</v>
      </c>
      <c r="C2237" s="8">
        <v>30860164</v>
      </c>
      <c r="D2237" s="8">
        <v>5</v>
      </c>
      <c r="E2237" s="11">
        <v>43110</v>
      </c>
      <c r="F2237" s="8" t="s">
        <v>57</v>
      </c>
      <c r="G2237" s="11">
        <v>43110</v>
      </c>
      <c r="H2237" s="8" t="s">
        <v>25</v>
      </c>
      <c r="J2237" s="8" t="s">
        <v>25</v>
      </c>
      <c r="N2237" s="8" t="s">
        <v>58</v>
      </c>
      <c r="O2237" s="8" t="s">
        <v>59</v>
      </c>
      <c r="P2237" s="8" t="s">
        <v>59</v>
      </c>
      <c r="R2237" s="8">
        <v>0</v>
      </c>
      <c r="S2237" s="8">
        <v>0</v>
      </c>
      <c r="T2237" s="8">
        <v>1</v>
      </c>
      <c r="U2237" s="8">
        <v>2</v>
      </c>
      <c r="AG2237" s="8" t="str">
        <f t="shared" si="137"/>
        <v/>
      </c>
      <c r="AI2237" s="8" t="str">
        <f t="shared" si="138"/>
        <v/>
      </c>
      <c r="AJ2237" s="8" t="str">
        <f t="shared" si="139"/>
        <v/>
      </c>
      <c r="AL2237" s="8" t="str">
        <f t="shared" si="140"/>
        <v/>
      </c>
    </row>
    <row r="2238" spans="1:38" x14ac:dyDescent="0.25">
      <c r="A2238" s="8" t="s">
        <v>4028</v>
      </c>
      <c r="B2238" s="8" t="s">
        <v>4029</v>
      </c>
      <c r="C2238" s="8">
        <v>30882235</v>
      </c>
      <c r="D2238" s="8">
        <v>5</v>
      </c>
      <c r="E2238" s="11">
        <v>43111</v>
      </c>
      <c r="F2238" s="8" t="s">
        <v>57</v>
      </c>
      <c r="G2238" s="11">
        <v>43111</v>
      </c>
      <c r="H2238" s="8" t="s">
        <v>25</v>
      </c>
      <c r="J2238" s="8" t="s">
        <v>25</v>
      </c>
      <c r="N2238" s="8" t="s">
        <v>58</v>
      </c>
      <c r="O2238" s="8" t="s">
        <v>59</v>
      </c>
      <c r="P2238" s="8" t="s">
        <v>59</v>
      </c>
      <c r="R2238" s="8">
        <v>0</v>
      </c>
      <c r="S2238" s="8">
        <v>0</v>
      </c>
      <c r="T2238" s="8">
        <v>1</v>
      </c>
      <c r="U2238" s="8">
        <v>2</v>
      </c>
      <c r="AG2238" s="8" t="str">
        <f t="shared" si="137"/>
        <v/>
      </c>
      <c r="AI2238" s="8" t="str">
        <f t="shared" si="138"/>
        <v/>
      </c>
      <c r="AJ2238" s="8" t="str">
        <f t="shared" si="139"/>
        <v/>
      </c>
      <c r="AL2238" s="8" t="str">
        <f t="shared" si="140"/>
        <v/>
      </c>
    </row>
    <row r="2239" spans="1:38" x14ac:dyDescent="0.25">
      <c r="A2239" s="8" t="s">
        <v>2525</v>
      </c>
      <c r="B2239" s="8" t="s">
        <v>2526</v>
      </c>
      <c r="C2239" s="8">
        <v>30871815</v>
      </c>
      <c r="D2239" s="8">
        <v>4</v>
      </c>
      <c r="E2239" s="11">
        <v>43110</v>
      </c>
      <c r="F2239" s="8" t="s">
        <v>57</v>
      </c>
      <c r="G2239" s="11">
        <v>43110</v>
      </c>
      <c r="H2239" s="8" t="s">
        <v>25</v>
      </c>
      <c r="J2239" s="8" t="s">
        <v>25</v>
      </c>
      <c r="N2239" s="8" t="s">
        <v>58</v>
      </c>
      <c r="O2239" s="8" t="s">
        <v>59</v>
      </c>
      <c r="P2239" s="8" t="s">
        <v>59</v>
      </c>
      <c r="R2239" s="8">
        <v>0</v>
      </c>
      <c r="S2239" s="8">
        <v>0</v>
      </c>
      <c r="T2239" s="8">
        <v>1</v>
      </c>
      <c r="U2239" s="8">
        <v>2</v>
      </c>
      <c r="AG2239" s="8" t="str">
        <f t="shared" si="137"/>
        <v/>
      </c>
      <c r="AI2239" s="8" t="str">
        <f t="shared" si="138"/>
        <v/>
      </c>
      <c r="AJ2239" s="8" t="str">
        <f t="shared" si="139"/>
        <v/>
      </c>
      <c r="AL2239" s="8" t="str">
        <f t="shared" si="140"/>
        <v/>
      </c>
    </row>
    <row r="2240" spans="1:38" x14ac:dyDescent="0.25">
      <c r="A2240" s="8" t="s">
        <v>4030</v>
      </c>
      <c r="B2240" s="8" t="s">
        <v>103</v>
      </c>
      <c r="C2240" s="8">
        <v>30881915</v>
      </c>
      <c r="D2240" s="8">
        <v>5</v>
      </c>
      <c r="E2240" s="11">
        <v>43111</v>
      </c>
      <c r="F2240" s="8" t="s">
        <v>57</v>
      </c>
      <c r="G2240" s="11">
        <v>43111</v>
      </c>
      <c r="H2240" s="8" t="s">
        <v>25</v>
      </c>
      <c r="J2240" s="8" t="s">
        <v>25</v>
      </c>
      <c r="N2240" s="8" t="s">
        <v>58</v>
      </c>
      <c r="O2240" s="8" t="s">
        <v>59</v>
      </c>
      <c r="P2240" s="8" t="s">
        <v>59</v>
      </c>
      <c r="R2240" s="8">
        <v>0</v>
      </c>
      <c r="S2240" s="8">
        <v>0</v>
      </c>
      <c r="T2240" s="8">
        <v>1</v>
      </c>
      <c r="U2240" s="8">
        <v>2</v>
      </c>
      <c r="AG2240" s="8" t="str">
        <f t="shared" si="137"/>
        <v/>
      </c>
      <c r="AI2240" s="8" t="str">
        <f t="shared" si="138"/>
        <v/>
      </c>
      <c r="AJ2240" s="8" t="str">
        <f t="shared" si="139"/>
        <v/>
      </c>
      <c r="AL2240" s="8" t="str">
        <f t="shared" si="140"/>
        <v/>
      </c>
    </row>
    <row r="2241" spans="1:38" x14ac:dyDescent="0.25">
      <c r="A2241" s="8" t="s">
        <v>5653</v>
      </c>
      <c r="B2241" s="8" t="s">
        <v>5654</v>
      </c>
      <c r="C2241" s="8">
        <v>30915961</v>
      </c>
      <c r="D2241" s="8">
        <v>5</v>
      </c>
      <c r="E2241" s="11">
        <v>43112</v>
      </c>
      <c r="F2241" s="8" t="s">
        <v>57</v>
      </c>
      <c r="G2241" s="11">
        <v>43112</v>
      </c>
      <c r="H2241" s="8" t="s">
        <v>25</v>
      </c>
      <c r="J2241" s="8" t="s">
        <v>25</v>
      </c>
      <c r="N2241" s="8" t="s">
        <v>58</v>
      </c>
      <c r="O2241" s="8" t="s">
        <v>59</v>
      </c>
      <c r="P2241" s="8" t="s">
        <v>59</v>
      </c>
      <c r="R2241" s="8">
        <v>0</v>
      </c>
      <c r="S2241" s="8">
        <v>0</v>
      </c>
      <c r="T2241" s="8">
        <v>1</v>
      </c>
      <c r="U2241" s="8">
        <v>2</v>
      </c>
      <c r="AG2241" s="8" t="str">
        <f t="shared" si="137"/>
        <v/>
      </c>
      <c r="AI2241" s="8" t="str">
        <f t="shared" si="138"/>
        <v/>
      </c>
      <c r="AJ2241" s="8" t="str">
        <f t="shared" si="139"/>
        <v/>
      </c>
      <c r="AL2241" s="8" t="str">
        <f t="shared" si="140"/>
        <v/>
      </c>
    </row>
    <row r="2242" spans="1:38" x14ac:dyDescent="0.25">
      <c r="A2242" s="8" t="s">
        <v>7426</v>
      </c>
      <c r="B2242" s="8" t="s">
        <v>7427</v>
      </c>
      <c r="C2242" s="8">
        <v>30900364</v>
      </c>
      <c r="D2242" s="8">
        <v>5</v>
      </c>
      <c r="E2242" s="11">
        <v>43111</v>
      </c>
      <c r="F2242" s="8" t="s">
        <v>57</v>
      </c>
      <c r="G2242" s="11">
        <v>43115</v>
      </c>
      <c r="H2242" s="8" t="s">
        <v>25</v>
      </c>
      <c r="J2242" s="8" t="s">
        <v>25</v>
      </c>
      <c r="N2242" s="8" t="s">
        <v>58</v>
      </c>
      <c r="O2242" s="8" t="s">
        <v>59</v>
      </c>
      <c r="P2242" s="8" t="s">
        <v>59</v>
      </c>
      <c r="R2242" s="8">
        <v>0</v>
      </c>
      <c r="S2242" s="8">
        <v>0</v>
      </c>
      <c r="T2242" s="8">
        <v>1</v>
      </c>
      <c r="U2242" s="8">
        <v>2</v>
      </c>
      <c r="AG2242" s="8" t="str">
        <f t="shared" si="137"/>
        <v/>
      </c>
      <c r="AI2242" s="8" t="str">
        <f t="shared" si="138"/>
        <v/>
      </c>
      <c r="AJ2242" s="8" t="str">
        <f t="shared" si="139"/>
        <v/>
      </c>
      <c r="AL2242" s="8" t="str">
        <f t="shared" si="140"/>
        <v/>
      </c>
    </row>
    <row r="2243" spans="1:38" x14ac:dyDescent="0.25">
      <c r="A2243" s="8" t="s">
        <v>2527</v>
      </c>
      <c r="B2243" s="8" t="s">
        <v>2528</v>
      </c>
      <c r="C2243" s="8">
        <v>30829901</v>
      </c>
      <c r="D2243" s="8">
        <v>5</v>
      </c>
      <c r="E2243" s="11">
        <v>43108</v>
      </c>
      <c r="F2243" s="8" t="s">
        <v>57</v>
      </c>
      <c r="G2243" s="11">
        <v>43110</v>
      </c>
      <c r="H2243" s="8" t="s">
        <v>25</v>
      </c>
      <c r="J2243" s="8" t="s">
        <v>25</v>
      </c>
      <c r="N2243" s="8" t="s">
        <v>58</v>
      </c>
      <c r="O2243" s="8" t="s">
        <v>59</v>
      </c>
      <c r="P2243" s="8" t="s">
        <v>59</v>
      </c>
      <c r="R2243" s="8">
        <v>0</v>
      </c>
      <c r="S2243" s="8">
        <v>0</v>
      </c>
      <c r="T2243" s="8">
        <v>1</v>
      </c>
      <c r="U2243" s="8">
        <v>2</v>
      </c>
      <c r="AG2243" s="8" t="str">
        <f t="shared" ref="AG2243:AG2306" si="141">IF(AND(U2243="",G2243&lt;&gt;"",NOT(OR(R2243,S2243))),IF(NETWORKDAYS.INTL(G2243,TODAY(),11)&lt;5,"En Plazo",IF(NETWORKDAYS.INTL(G2243,TODAY(),11)=5,"Riesgo Incumplimiento","FALTA_02")),"")</f>
        <v/>
      </c>
      <c r="AI2243" s="8" t="str">
        <f t="shared" ref="AI2243:AI2306" si="142">IF(AND(O2243&lt;&gt;"B1",F2243="Rejected"),IF(W2243="","FALTA_04",""),"")</f>
        <v/>
      </c>
      <c r="AJ2243" s="8" t="str">
        <f t="shared" ref="AJ2243:AJ2306" si="143">IF(AND(X2243="",I2243&lt;&gt;"",NOT(OR(R2243,S2243))),IF(NETWORKDAYS.INTL(G2243,TODAY(),11)&lt;=1,"En Plazo",IF(OR(AND(X2243="",O2243&lt;&gt;"M1"),AND(O2243="M1",(OR(Q2243="S - S",Q2243="S - T",)))),"FALTA_05","")),"")</f>
        <v/>
      </c>
      <c r="AL2243" s="8" t="str">
        <f t="shared" ref="AL2243:AL2306" si="144">IF(AND(O2243="B1",F2243="Rejected"),IF(Z2243="","FALTA_07",""),"")</f>
        <v/>
      </c>
    </row>
    <row r="2244" spans="1:38" x14ac:dyDescent="0.25">
      <c r="A2244" s="8" t="s">
        <v>4031</v>
      </c>
      <c r="B2244" s="8" t="s">
        <v>4032</v>
      </c>
      <c r="C2244" s="8">
        <v>30841040</v>
      </c>
      <c r="D2244" s="8">
        <v>5</v>
      </c>
      <c r="E2244" s="11">
        <v>43109</v>
      </c>
      <c r="F2244" s="8" t="s">
        <v>57</v>
      </c>
      <c r="G2244" s="11">
        <v>43111</v>
      </c>
      <c r="H2244" s="8" t="s">
        <v>25</v>
      </c>
      <c r="J2244" s="8" t="s">
        <v>25</v>
      </c>
      <c r="N2244" s="8" t="s">
        <v>58</v>
      </c>
      <c r="O2244" s="8" t="s">
        <v>59</v>
      </c>
      <c r="P2244" s="8" t="s">
        <v>59</v>
      </c>
      <c r="R2244" s="8">
        <v>0</v>
      </c>
      <c r="S2244" s="8">
        <v>0</v>
      </c>
      <c r="T2244" s="8">
        <v>1</v>
      </c>
      <c r="U2244" s="8">
        <v>2</v>
      </c>
      <c r="AG2244" s="8" t="str">
        <f t="shared" si="141"/>
        <v/>
      </c>
      <c r="AI2244" s="8" t="str">
        <f t="shared" si="142"/>
        <v/>
      </c>
      <c r="AJ2244" s="8" t="str">
        <f t="shared" si="143"/>
        <v/>
      </c>
      <c r="AL2244" s="8" t="str">
        <f t="shared" si="144"/>
        <v/>
      </c>
    </row>
    <row r="2245" spans="1:38" x14ac:dyDescent="0.25">
      <c r="A2245" s="8" t="s">
        <v>4033</v>
      </c>
      <c r="B2245" s="8" t="s">
        <v>4034</v>
      </c>
      <c r="C2245" s="8">
        <v>30882701</v>
      </c>
      <c r="D2245" s="8">
        <v>5</v>
      </c>
      <c r="E2245" s="11">
        <v>43111</v>
      </c>
      <c r="F2245" s="8" t="s">
        <v>57</v>
      </c>
      <c r="G2245" s="11">
        <v>43111</v>
      </c>
      <c r="H2245" s="8" t="s">
        <v>25</v>
      </c>
      <c r="J2245" s="8" t="s">
        <v>25</v>
      </c>
      <c r="N2245" s="8" t="s">
        <v>58</v>
      </c>
      <c r="O2245" s="8" t="s">
        <v>59</v>
      </c>
      <c r="P2245" s="8" t="s">
        <v>59</v>
      </c>
      <c r="R2245" s="8">
        <v>0</v>
      </c>
      <c r="S2245" s="8">
        <v>0</v>
      </c>
      <c r="T2245" s="8">
        <v>1</v>
      </c>
      <c r="U2245" s="8">
        <v>2</v>
      </c>
      <c r="AG2245" s="8" t="str">
        <f t="shared" si="141"/>
        <v/>
      </c>
      <c r="AI2245" s="8" t="str">
        <f t="shared" si="142"/>
        <v/>
      </c>
      <c r="AJ2245" s="8" t="str">
        <f t="shared" si="143"/>
        <v/>
      </c>
      <c r="AL2245" s="8" t="str">
        <f t="shared" si="144"/>
        <v/>
      </c>
    </row>
    <row r="2246" spans="1:38" x14ac:dyDescent="0.25">
      <c r="A2246" s="8" t="s">
        <v>2529</v>
      </c>
      <c r="B2246" s="8" t="s">
        <v>2530</v>
      </c>
      <c r="C2246" s="8">
        <v>30827301</v>
      </c>
      <c r="D2246" s="8">
        <v>5</v>
      </c>
      <c r="E2246" s="11">
        <v>43108</v>
      </c>
      <c r="F2246" s="8" t="s">
        <v>57</v>
      </c>
      <c r="G2246" s="11">
        <v>43110</v>
      </c>
      <c r="H2246" s="8" t="s">
        <v>25</v>
      </c>
      <c r="J2246" s="8" t="s">
        <v>25</v>
      </c>
      <c r="N2246" s="8" t="s">
        <v>58</v>
      </c>
      <c r="O2246" s="8" t="s">
        <v>59</v>
      </c>
      <c r="P2246" s="8" t="s">
        <v>59</v>
      </c>
      <c r="R2246" s="8">
        <v>0</v>
      </c>
      <c r="S2246" s="8">
        <v>0</v>
      </c>
      <c r="T2246" s="8">
        <v>1</v>
      </c>
      <c r="U2246" s="8">
        <v>2</v>
      </c>
      <c r="AG2246" s="8" t="str">
        <f t="shared" si="141"/>
        <v/>
      </c>
      <c r="AI2246" s="8" t="str">
        <f t="shared" si="142"/>
        <v/>
      </c>
      <c r="AJ2246" s="8" t="str">
        <f t="shared" si="143"/>
        <v/>
      </c>
      <c r="AL2246" s="8" t="str">
        <f t="shared" si="144"/>
        <v/>
      </c>
    </row>
    <row r="2247" spans="1:38" x14ac:dyDescent="0.25">
      <c r="A2247" s="8" t="s">
        <v>7428</v>
      </c>
      <c r="B2247" s="8" t="s">
        <v>7429</v>
      </c>
      <c r="C2247" s="8">
        <v>30867577</v>
      </c>
      <c r="D2247" s="8">
        <v>5</v>
      </c>
      <c r="E2247" s="11">
        <v>43110</v>
      </c>
      <c r="F2247" s="8" t="s">
        <v>57</v>
      </c>
      <c r="G2247" s="11">
        <v>43115</v>
      </c>
      <c r="H2247" s="8" t="s">
        <v>145</v>
      </c>
      <c r="J2247" s="8" t="s">
        <v>25</v>
      </c>
      <c r="N2247" s="8" t="s">
        <v>58</v>
      </c>
      <c r="O2247" s="8" t="s">
        <v>59</v>
      </c>
      <c r="P2247" s="8" t="s">
        <v>59</v>
      </c>
      <c r="R2247" s="8">
        <v>0</v>
      </c>
      <c r="S2247" s="8">
        <v>0</v>
      </c>
      <c r="T2247" s="8">
        <v>1</v>
      </c>
      <c r="U2247" s="8">
        <v>2</v>
      </c>
      <c r="AG2247" s="8" t="str">
        <f t="shared" si="141"/>
        <v/>
      </c>
      <c r="AI2247" s="8" t="str">
        <f t="shared" si="142"/>
        <v/>
      </c>
      <c r="AJ2247" s="8" t="str">
        <f t="shared" si="143"/>
        <v/>
      </c>
      <c r="AL2247" s="8" t="str">
        <f t="shared" si="144"/>
        <v/>
      </c>
    </row>
    <row r="2248" spans="1:38" x14ac:dyDescent="0.25">
      <c r="A2248" s="8" t="s">
        <v>2531</v>
      </c>
      <c r="B2248" s="8" t="s">
        <v>2532</v>
      </c>
      <c r="C2248" s="8">
        <v>30816664</v>
      </c>
      <c r="D2248" s="8">
        <v>5</v>
      </c>
      <c r="E2248" s="11">
        <v>43108</v>
      </c>
      <c r="F2248" s="8" t="s">
        <v>58</v>
      </c>
      <c r="G2248" s="11">
        <v>43110</v>
      </c>
      <c r="H2248" s="8" t="s">
        <v>25</v>
      </c>
      <c r="I2248" s="11">
        <v>43112</v>
      </c>
      <c r="J2248" s="8" t="s">
        <v>25</v>
      </c>
      <c r="N2248" s="8" t="s">
        <v>58</v>
      </c>
      <c r="O2248" s="8" t="s">
        <v>59</v>
      </c>
      <c r="P2248" s="8" t="s">
        <v>59</v>
      </c>
      <c r="R2248" s="8">
        <v>0</v>
      </c>
      <c r="S2248" s="8">
        <v>0</v>
      </c>
      <c r="T2248" s="8">
        <v>1</v>
      </c>
      <c r="U2248" s="8">
        <v>2</v>
      </c>
      <c r="X2248" s="8">
        <v>5</v>
      </c>
      <c r="AG2248" s="8" t="str">
        <f t="shared" si="141"/>
        <v/>
      </c>
      <c r="AI2248" s="8" t="str">
        <f t="shared" si="142"/>
        <v/>
      </c>
      <c r="AJ2248" s="8" t="str">
        <f t="shared" si="143"/>
        <v/>
      </c>
      <c r="AL2248" s="8" t="str">
        <f t="shared" si="144"/>
        <v/>
      </c>
    </row>
    <row r="2249" spans="1:38" x14ac:dyDescent="0.25">
      <c r="A2249" s="8" t="s">
        <v>1326</v>
      </c>
      <c r="B2249" s="8" t="s">
        <v>1327</v>
      </c>
      <c r="C2249" s="8">
        <v>30832803</v>
      </c>
      <c r="D2249" s="8">
        <v>5</v>
      </c>
      <c r="E2249" s="11">
        <v>43109</v>
      </c>
      <c r="F2249" s="8" t="s">
        <v>60</v>
      </c>
      <c r="G2249" s="11">
        <v>43109</v>
      </c>
      <c r="H2249" s="8" t="s">
        <v>25</v>
      </c>
      <c r="J2249" s="8" t="s">
        <v>145</v>
      </c>
      <c r="L2249" s="8" t="s">
        <v>6525</v>
      </c>
      <c r="N2249" s="8" t="s">
        <v>58</v>
      </c>
      <c r="O2249" s="8" t="s">
        <v>59</v>
      </c>
      <c r="P2249" s="8" t="s">
        <v>59</v>
      </c>
      <c r="R2249" s="8">
        <v>0</v>
      </c>
      <c r="S2249" s="8">
        <v>0</v>
      </c>
      <c r="T2249" s="8">
        <v>1</v>
      </c>
      <c r="U2249" s="8">
        <v>2</v>
      </c>
      <c r="W2249" s="8">
        <v>4</v>
      </c>
      <c r="AG2249" s="8" t="str">
        <f t="shared" si="141"/>
        <v/>
      </c>
      <c r="AI2249" s="8" t="str">
        <f t="shared" si="142"/>
        <v/>
      </c>
      <c r="AJ2249" s="8" t="str">
        <f t="shared" si="143"/>
        <v/>
      </c>
      <c r="AL2249" s="8" t="str">
        <f t="shared" si="144"/>
        <v/>
      </c>
    </row>
    <row r="2250" spans="1:38" x14ac:dyDescent="0.25">
      <c r="A2250" s="8" t="s">
        <v>2533</v>
      </c>
      <c r="B2250" s="8" t="s">
        <v>2534</v>
      </c>
      <c r="C2250" s="8">
        <v>30818765</v>
      </c>
      <c r="D2250" s="8">
        <v>5</v>
      </c>
      <c r="E2250" s="11">
        <v>43108</v>
      </c>
      <c r="F2250" s="8" t="s">
        <v>58</v>
      </c>
      <c r="G2250" s="11">
        <v>43110</v>
      </c>
      <c r="H2250" s="8" t="s">
        <v>25</v>
      </c>
      <c r="I2250" s="11">
        <v>43110</v>
      </c>
      <c r="J2250" s="8" t="s">
        <v>25</v>
      </c>
      <c r="N2250" s="8" t="s">
        <v>58</v>
      </c>
      <c r="O2250" s="8" t="s">
        <v>59</v>
      </c>
      <c r="P2250" s="8" t="s">
        <v>59</v>
      </c>
      <c r="R2250" s="8">
        <v>0</v>
      </c>
      <c r="S2250" s="8">
        <v>0</v>
      </c>
      <c r="T2250" s="8">
        <v>1</v>
      </c>
      <c r="U2250" s="8">
        <v>2</v>
      </c>
      <c r="X2250" s="8">
        <v>5</v>
      </c>
      <c r="AG2250" s="8" t="str">
        <f t="shared" si="141"/>
        <v/>
      </c>
      <c r="AI2250" s="8" t="str">
        <f t="shared" si="142"/>
        <v/>
      </c>
      <c r="AJ2250" s="8" t="str">
        <f t="shared" si="143"/>
        <v/>
      </c>
      <c r="AL2250" s="8" t="str">
        <f t="shared" si="144"/>
        <v/>
      </c>
    </row>
    <row r="2251" spans="1:38" x14ac:dyDescent="0.25">
      <c r="A2251" s="8" t="s">
        <v>1328</v>
      </c>
      <c r="B2251" s="8" t="s">
        <v>1329</v>
      </c>
      <c r="C2251" s="8">
        <v>30850390</v>
      </c>
      <c r="D2251" s="8">
        <v>5</v>
      </c>
      <c r="E2251" s="11">
        <v>43109</v>
      </c>
      <c r="F2251" s="8" t="s">
        <v>57</v>
      </c>
      <c r="G2251" s="11">
        <v>43109</v>
      </c>
      <c r="H2251" s="8" t="s">
        <v>25</v>
      </c>
      <c r="J2251" s="8" t="s">
        <v>25</v>
      </c>
      <c r="N2251" s="8" t="s">
        <v>58</v>
      </c>
      <c r="O2251" s="8" t="s">
        <v>59</v>
      </c>
      <c r="P2251" s="8" t="s">
        <v>59</v>
      </c>
      <c r="R2251" s="8">
        <v>0</v>
      </c>
      <c r="S2251" s="8">
        <v>0</v>
      </c>
      <c r="T2251" s="8">
        <v>1</v>
      </c>
      <c r="U2251" s="8">
        <v>2</v>
      </c>
      <c r="AG2251" s="8" t="str">
        <f t="shared" si="141"/>
        <v/>
      </c>
      <c r="AI2251" s="8" t="str">
        <f t="shared" si="142"/>
        <v/>
      </c>
      <c r="AJ2251" s="8" t="str">
        <f t="shared" si="143"/>
        <v/>
      </c>
      <c r="AL2251" s="8" t="str">
        <f t="shared" si="144"/>
        <v/>
      </c>
    </row>
    <row r="2252" spans="1:38" x14ac:dyDescent="0.25">
      <c r="A2252" s="8" t="s">
        <v>7430</v>
      </c>
      <c r="B2252" s="8" t="s">
        <v>7431</v>
      </c>
      <c r="C2252" s="8">
        <v>30913022</v>
      </c>
      <c r="D2252" s="8">
        <v>5</v>
      </c>
      <c r="E2252" s="11">
        <v>43112</v>
      </c>
      <c r="F2252" s="8" t="s">
        <v>57</v>
      </c>
      <c r="G2252" s="11">
        <v>43115</v>
      </c>
      <c r="H2252" s="8" t="s">
        <v>25</v>
      </c>
      <c r="J2252" s="8" t="s">
        <v>25</v>
      </c>
      <c r="N2252" s="8" t="s">
        <v>58</v>
      </c>
      <c r="O2252" s="8" t="s">
        <v>59</v>
      </c>
      <c r="P2252" s="8" t="s">
        <v>59</v>
      </c>
      <c r="R2252" s="8">
        <v>0</v>
      </c>
      <c r="S2252" s="8">
        <v>0</v>
      </c>
      <c r="T2252" s="8">
        <v>1</v>
      </c>
      <c r="U2252" s="8">
        <v>2</v>
      </c>
      <c r="AG2252" s="8" t="str">
        <f t="shared" si="141"/>
        <v/>
      </c>
      <c r="AI2252" s="8" t="str">
        <f t="shared" si="142"/>
        <v/>
      </c>
      <c r="AJ2252" s="8" t="str">
        <f t="shared" si="143"/>
        <v/>
      </c>
      <c r="AL2252" s="8" t="str">
        <f t="shared" si="144"/>
        <v/>
      </c>
    </row>
    <row r="2253" spans="1:38" x14ac:dyDescent="0.25">
      <c r="A2253" s="8" t="s">
        <v>5655</v>
      </c>
      <c r="B2253" s="8" t="s">
        <v>5656</v>
      </c>
      <c r="C2253" s="8">
        <v>30861374</v>
      </c>
      <c r="D2253" s="8">
        <v>5</v>
      </c>
      <c r="E2253" s="11">
        <v>43110</v>
      </c>
      <c r="F2253" s="8" t="s">
        <v>57</v>
      </c>
      <c r="G2253" s="11">
        <v>43112</v>
      </c>
      <c r="H2253" s="8" t="s">
        <v>25</v>
      </c>
      <c r="J2253" s="8" t="s">
        <v>25</v>
      </c>
      <c r="N2253" s="8" t="s">
        <v>58</v>
      </c>
      <c r="O2253" s="8" t="s">
        <v>59</v>
      </c>
      <c r="P2253" s="8" t="s">
        <v>59</v>
      </c>
      <c r="R2253" s="8">
        <v>0</v>
      </c>
      <c r="S2253" s="8">
        <v>0</v>
      </c>
      <c r="T2253" s="8">
        <v>1</v>
      </c>
      <c r="U2253" s="8">
        <v>2</v>
      </c>
      <c r="AG2253" s="8" t="str">
        <f t="shared" si="141"/>
        <v/>
      </c>
      <c r="AI2253" s="8" t="str">
        <f t="shared" si="142"/>
        <v/>
      </c>
      <c r="AJ2253" s="8" t="str">
        <f t="shared" si="143"/>
        <v/>
      </c>
      <c r="AL2253" s="8" t="str">
        <f t="shared" si="144"/>
        <v/>
      </c>
    </row>
    <row r="2254" spans="1:38" x14ac:dyDescent="0.25">
      <c r="A2254" s="8" t="s">
        <v>7432</v>
      </c>
      <c r="B2254" s="8" t="s">
        <v>7433</v>
      </c>
      <c r="C2254" s="8">
        <v>30944793</v>
      </c>
      <c r="D2254" s="8">
        <v>5</v>
      </c>
      <c r="E2254" s="11">
        <v>43115</v>
      </c>
      <c r="F2254" s="8" t="s">
        <v>57</v>
      </c>
      <c r="G2254" s="11">
        <v>43115</v>
      </c>
      <c r="H2254" s="8" t="s">
        <v>25</v>
      </c>
      <c r="J2254" s="8" t="s">
        <v>25</v>
      </c>
      <c r="N2254" s="8" t="s">
        <v>58</v>
      </c>
      <c r="O2254" s="8" t="s">
        <v>59</v>
      </c>
      <c r="P2254" s="8" t="s">
        <v>59</v>
      </c>
      <c r="R2254" s="8">
        <v>0</v>
      </c>
      <c r="S2254" s="8">
        <v>0</v>
      </c>
      <c r="T2254" s="8">
        <v>1</v>
      </c>
      <c r="U2254" s="8">
        <v>2</v>
      </c>
      <c r="AG2254" s="8" t="str">
        <f t="shared" si="141"/>
        <v/>
      </c>
      <c r="AI2254" s="8" t="str">
        <f t="shared" si="142"/>
        <v/>
      </c>
      <c r="AJ2254" s="8" t="str">
        <f t="shared" si="143"/>
        <v/>
      </c>
      <c r="AL2254" s="8" t="str">
        <f t="shared" si="144"/>
        <v/>
      </c>
    </row>
    <row r="2255" spans="1:38" x14ac:dyDescent="0.25">
      <c r="A2255" s="8" t="s">
        <v>5657</v>
      </c>
      <c r="B2255" s="8" t="s">
        <v>5658</v>
      </c>
      <c r="C2255" s="8">
        <v>30874562</v>
      </c>
      <c r="D2255" s="8">
        <v>5</v>
      </c>
      <c r="E2255" s="11">
        <v>43110</v>
      </c>
      <c r="F2255" s="8" t="s">
        <v>57</v>
      </c>
      <c r="G2255" s="11">
        <v>43112</v>
      </c>
      <c r="H2255" s="8" t="s">
        <v>25</v>
      </c>
      <c r="J2255" s="8" t="s">
        <v>25</v>
      </c>
      <c r="N2255" s="8" t="s">
        <v>58</v>
      </c>
      <c r="O2255" s="8" t="s">
        <v>59</v>
      </c>
      <c r="P2255" s="8" t="s">
        <v>59</v>
      </c>
      <c r="R2255" s="8">
        <v>0</v>
      </c>
      <c r="S2255" s="8">
        <v>0</v>
      </c>
      <c r="T2255" s="8">
        <v>1</v>
      </c>
      <c r="U2255" s="8">
        <v>2</v>
      </c>
      <c r="AG2255" s="8" t="str">
        <f t="shared" si="141"/>
        <v/>
      </c>
      <c r="AI2255" s="8" t="str">
        <f t="shared" si="142"/>
        <v/>
      </c>
      <c r="AJ2255" s="8" t="str">
        <f t="shared" si="143"/>
        <v/>
      </c>
      <c r="AL2255" s="8" t="str">
        <f t="shared" si="144"/>
        <v/>
      </c>
    </row>
    <row r="2256" spans="1:38" x14ac:dyDescent="0.25">
      <c r="A2256" s="8" t="s">
        <v>2535</v>
      </c>
      <c r="B2256" s="8" t="s">
        <v>2536</v>
      </c>
      <c r="C2256" s="8">
        <v>30827179</v>
      </c>
      <c r="D2256" s="8">
        <v>5</v>
      </c>
      <c r="E2256" s="11">
        <v>43108</v>
      </c>
      <c r="F2256" s="8" t="s">
        <v>57</v>
      </c>
      <c r="G2256" s="11">
        <v>43110</v>
      </c>
      <c r="H2256" s="8" t="s">
        <v>25</v>
      </c>
      <c r="J2256" s="8" t="s">
        <v>25</v>
      </c>
      <c r="N2256" s="8" t="s">
        <v>58</v>
      </c>
      <c r="O2256" s="8" t="s">
        <v>59</v>
      </c>
      <c r="P2256" s="8" t="s">
        <v>59</v>
      </c>
      <c r="R2256" s="8">
        <v>0</v>
      </c>
      <c r="S2256" s="8">
        <v>0</v>
      </c>
      <c r="T2256" s="8">
        <v>1</v>
      </c>
      <c r="U2256" s="8">
        <v>2</v>
      </c>
      <c r="AG2256" s="8" t="str">
        <f t="shared" si="141"/>
        <v/>
      </c>
      <c r="AI2256" s="8" t="str">
        <f t="shared" si="142"/>
        <v/>
      </c>
      <c r="AJ2256" s="8" t="str">
        <f t="shared" si="143"/>
        <v/>
      </c>
      <c r="AL2256" s="8" t="str">
        <f t="shared" si="144"/>
        <v/>
      </c>
    </row>
    <row r="2257" spans="1:38" x14ac:dyDescent="0.25">
      <c r="A2257" s="8" t="s">
        <v>5659</v>
      </c>
      <c r="B2257" s="8" t="s">
        <v>5660</v>
      </c>
      <c r="C2257" s="8">
        <v>30860028</v>
      </c>
      <c r="D2257" s="8">
        <v>5</v>
      </c>
      <c r="E2257" s="11">
        <v>43110</v>
      </c>
      <c r="F2257" s="8" t="s">
        <v>57</v>
      </c>
      <c r="G2257" s="11">
        <v>43112</v>
      </c>
      <c r="H2257" s="8" t="s">
        <v>25</v>
      </c>
      <c r="J2257" s="8" t="s">
        <v>25</v>
      </c>
      <c r="N2257" s="8" t="s">
        <v>58</v>
      </c>
      <c r="O2257" s="8" t="s">
        <v>59</v>
      </c>
      <c r="P2257" s="8" t="s">
        <v>59</v>
      </c>
      <c r="R2257" s="8">
        <v>0</v>
      </c>
      <c r="S2257" s="8">
        <v>0</v>
      </c>
      <c r="T2257" s="8">
        <v>1</v>
      </c>
      <c r="U2257" s="8">
        <v>2</v>
      </c>
      <c r="AG2257" s="8" t="str">
        <f t="shared" si="141"/>
        <v/>
      </c>
      <c r="AI2257" s="8" t="str">
        <f t="shared" si="142"/>
        <v/>
      </c>
      <c r="AJ2257" s="8" t="str">
        <f t="shared" si="143"/>
        <v/>
      </c>
      <c r="AL2257" s="8" t="str">
        <f t="shared" si="144"/>
        <v/>
      </c>
    </row>
    <row r="2258" spans="1:38" x14ac:dyDescent="0.25">
      <c r="A2258" s="8" t="s">
        <v>2537</v>
      </c>
      <c r="B2258" s="8" t="s">
        <v>2538</v>
      </c>
      <c r="C2258" s="8">
        <v>30858048</v>
      </c>
      <c r="D2258" s="8">
        <v>5</v>
      </c>
      <c r="E2258" s="11">
        <v>43110</v>
      </c>
      <c r="F2258" s="8" t="s">
        <v>57</v>
      </c>
      <c r="G2258" s="11">
        <v>43110</v>
      </c>
      <c r="H2258" s="8" t="s">
        <v>25</v>
      </c>
      <c r="J2258" s="8" t="s">
        <v>25</v>
      </c>
      <c r="N2258" s="8" t="s">
        <v>58</v>
      </c>
      <c r="O2258" s="8" t="s">
        <v>59</v>
      </c>
      <c r="P2258" s="8" t="s">
        <v>59</v>
      </c>
      <c r="R2258" s="8">
        <v>0</v>
      </c>
      <c r="S2258" s="8">
        <v>0</v>
      </c>
      <c r="T2258" s="8">
        <v>1</v>
      </c>
      <c r="U2258" s="8">
        <v>2</v>
      </c>
      <c r="AG2258" s="8" t="str">
        <f t="shared" si="141"/>
        <v/>
      </c>
      <c r="AI2258" s="8" t="str">
        <f t="shared" si="142"/>
        <v/>
      </c>
      <c r="AJ2258" s="8" t="str">
        <f t="shared" si="143"/>
        <v/>
      </c>
      <c r="AL2258" s="8" t="str">
        <f t="shared" si="144"/>
        <v/>
      </c>
    </row>
    <row r="2259" spans="1:38" x14ac:dyDescent="0.25">
      <c r="A2259" s="8" t="s">
        <v>2539</v>
      </c>
      <c r="B2259" s="8" t="s">
        <v>2540</v>
      </c>
      <c r="C2259" s="8">
        <v>30808108</v>
      </c>
      <c r="D2259" s="8">
        <v>5</v>
      </c>
      <c r="E2259" s="11">
        <v>43108</v>
      </c>
      <c r="F2259" s="8" t="s">
        <v>58</v>
      </c>
      <c r="G2259" s="11">
        <v>43110</v>
      </c>
      <c r="H2259" s="8" t="s">
        <v>25</v>
      </c>
      <c r="I2259" s="11">
        <v>43111</v>
      </c>
      <c r="J2259" s="8" t="s">
        <v>25</v>
      </c>
      <c r="N2259" s="8" t="s">
        <v>58</v>
      </c>
      <c r="O2259" s="8" t="s">
        <v>59</v>
      </c>
      <c r="P2259" s="8" t="s">
        <v>59</v>
      </c>
      <c r="R2259" s="8">
        <v>0</v>
      </c>
      <c r="S2259" s="8">
        <v>0</v>
      </c>
      <c r="T2259" s="8">
        <v>1</v>
      </c>
      <c r="U2259" s="8">
        <v>2</v>
      </c>
      <c r="X2259" s="8">
        <v>5</v>
      </c>
      <c r="AG2259" s="8" t="str">
        <f t="shared" si="141"/>
        <v/>
      </c>
      <c r="AI2259" s="8" t="str">
        <f t="shared" si="142"/>
        <v/>
      </c>
      <c r="AJ2259" s="8" t="str">
        <f t="shared" si="143"/>
        <v/>
      </c>
      <c r="AL2259" s="8" t="str">
        <f t="shared" si="144"/>
        <v/>
      </c>
    </row>
    <row r="2260" spans="1:38" x14ac:dyDescent="0.25">
      <c r="A2260" s="8" t="s">
        <v>5661</v>
      </c>
      <c r="B2260" s="8" t="s">
        <v>5662</v>
      </c>
      <c r="C2260" s="8">
        <v>30905885</v>
      </c>
      <c r="D2260" s="8">
        <v>5</v>
      </c>
      <c r="E2260" s="11">
        <v>43112</v>
      </c>
      <c r="F2260" s="8" t="s">
        <v>57</v>
      </c>
      <c r="G2260" s="11">
        <v>43112</v>
      </c>
      <c r="H2260" s="8" t="s">
        <v>25</v>
      </c>
      <c r="J2260" s="8" t="s">
        <v>25</v>
      </c>
      <c r="N2260" s="8" t="s">
        <v>58</v>
      </c>
      <c r="O2260" s="8" t="s">
        <v>59</v>
      </c>
      <c r="P2260" s="8" t="s">
        <v>59</v>
      </c>
      <c r="R2260" s="8">
        <v>0</v>
      </c>
      <c r="S2260" s="8">
        <v>0</v>
      </c>
      <c r="T2260" s="8">
        <v>1</v>
      </c>
      <c r="U2260" s="8">
        <v>2</v>
      </c>
      <c r="AG2260" s="8" t="str">
        <f t="shared" si="141"/>
        <v/>
      </c>
      <c r="AI2260" s="8" t="str">
        <f t="shared" si="142"/>
        <v/>
      </c>
      <c r="AJ2260" s="8" t="str">
        <f t="shared" si="143"/>
        <v/>
      </c>
      <c r="AL2260" s="8" t="str">
        <f t="shared" si="144"/>
        <v/>
      </c>
    </row>
    <row r="2261" spans="1:38" x14ac:dyDescent="0.25">
      <c r="A2261" s="8" t="s">
        <v>5663</v>
      </c>
      <c r="B2261" s="8" t="s">
        <v>5664</v>
      </c>
      <c r="C2261" s="8">
        <v>30885520</v>
      </c>
      <c r="D2261" s="8">
        <v>5</v>
      </c>
      <c r="E2261" s="11">
        <v>43111</v>
      </c>
      <c r="F2261" s="8" t="s">
        <v>57</v>
      </c>
      <c r="G2261" s="11">
        <v>43112</v>
      </c>
      <c r="H2261" s="8" t="s">
        <v>25</v>
      </c>
      <c r="J2261" s="8" t="s">
        <v>25</v>
      </c>
      <c r="N2261" s="8" t="s">
        <v>58</v>
      </c>
      <c r="O2261" s="8" t="s">
        <v>59</v>
      </c>
      <c r="P2261" s="8" t="s">
        <v>59</v>
      </c>
      <c r="R2261" s="8">
        <v>0</v>
      </c>
      <c r="S2261" s="8">
        <v>0</v>
      </c>
      <c r="T2261" s="8">
        <v>1</v>
      </c>
      <c r="U2261" s="8">
        <v>2</v>
      </c>
      <c r="AG2261" s="8" t="str">
        <f t="shared" si="141"/>
        <v/>
      </c>
      <c r="AI2261" s="8" t="str">
        <f t="shared" si="142"/>
        <v/>
      </c>
      <c r="AJ2261" s="8" t="str">
        <f t="shared" si="143"/>
        <v/>
      </c>
      <c r="AL2261" s="8" t="str">
        <f t="shared" si="144"/>
        <v/>
      </c>
    </row>
    <row r="2262" spans="1:38" x14ac:dyDescent="0.25">
      <c r="A2262" s="8" t="s">
        <v>7434</v>
      </c>
      <c r="B2262" s="8" t="s">
        <v>7435</v>
      </c>
      <c r="C2262" s="8">
        <v>30944078</v>
      </c>
      <c r="D2262" s="8">
        <v>5</v>
      </c>
      <c r="E2262" s="11">
        <v>43115</v>
      </c>
      <c r="F2262" s="8" t="s">
        <v>57</v>
      </c>
      <c r="G2262" s="11">
        <v>43115</v>
      </c>
      <c r="H2262" s="8" t="s">
        <v>25</v>
      </c>
      <c r="J2262" s="8" t="s">
        <v>25</v>
      </c>
      <c r="N2262" s="8" t="s">
        <v>58</v>
      </c>
      <c r="O2262" s="8" t="s">
        <v>59</v>
      </c>
      <c r="P2262" s="8" t="s">
        <v>59</v>
      </c>
      <c r="R2262" s="8">
        <v>0</v>
      </c>
      <c r="S2262" s="8">
        <v>0</v>
      </c>
      <c r="T2262" s="8">
        <v>1</v>
      </c>
      <c r="U2262" s="8">
        <v>2</v>
      </c>
      <c r="AG2262" s="8" t="str">
        <f t="shared" si="141"/>
        <v/>
      </c>
      <c r="AI2262" s="8" t="str">
        <f t="shared" si="142"/>
        <v/>
      </c>
      <c r="AJ2262" s="8" t="str">
        <f t="shared" si="143"/>
        <v/>
      </c>
      <c r="AL2262" s="8" t="str">
        <f t="shared" si="144"/>
        <v/>
      </c>
    </row>
    <row r="2263" spans="1:38" x14ac:dyDescent="0.25">
      <c r="A2263" s="8" t="s">
        <v>5665</v>
      </c>
      <c r="B2263" s="8" t="s">
        <v>5666</v>
      </c>
      <c r="C2263" s="8">
        <v>30901820</v>
      </c>
      <c r="D2263" s="8">
        <v>5</v>
      </c>
      <c r="E2263" s="11">
        <v>43111</v>
      </c>
      <c r="F2263" s="8" t="s">
        <v>57</v>
      </c>
      <c r="G2263" s="11">
        <v>43112</v>
      </c>
      <c r="H2263" s="8" t="s">
        <v>25</v>
      </c>
      <c r="J2263" s="8" t="s">
        <v>25</v>
      </c>
      <c r="N2263" s="8" t="s">
        <v>58</v>
      </c>
      <c r="O2263" s="8" t="s">
        <v>59</v>
      </c>
      <c r="P2263" s="8" t="s">
        <v>59</v>
      </c>
      <c r="R2263" s="8">
        <v>0</v>
      </c>
      <c r="S2263" s="8">
        <v>0</v>
      </c>
      <c r="T2263" s="8">
        <v>1</v>
      </c>
      <c r="U2263" s="8">
        <v>2</v>
      </c>
      <c r="AG2263" s="8" t="str">
        <f t="shared" si="141"/>
        <v/>
      </c>
      <c r="AI2263" s="8" t="str">
        <f t="shared" si="142"/>
        <v/>
      </c>
      <c r="AJ2263" s="8" t="str">
        <f t="shared" si="143"/>
        <v/>
      </c>
      <c r="AL2263" s="8" t="str">
        <f t="shared" si="144"/>
        <v/>
      </c>
    </row>
    <row r="2264" spans="1:38" x14ac:dyDescent="0.25">
      <c r="A2264" s="8" t="s">
        <v>2541</v>
      </c>
      <c r="B2264" s="8" t="s">
        <v>2542</v>
      </c>
      <c r="C2264" s="8">
        <v>30826028</v>
      </c>
      <c r="D2264" s="8">
        <v>5</v>
      </c>
      <c r="E2264" s="11">
        <v>43108</v>
      </c>
      <c r="F2264" s="8" t="s">
        <v>57</v>
      </c>
      <c r="G2264" s="11">
        <v>43110</v>
      </c>
      <c r="H2264" s="8" t="s">
        <v>25</v>
      </c>
      <c r="J2264" s="8" t="s">
        <v>25</v>
      </c>
      <c r="N2264" s="8" t="s">
        <v>58</v>
      </c>
      <c r="O2264" s="8" t="s">
        <v>59</v>
      </c>
      <c r="P2264" s="8" t="s">
        <v>59</v>
      </c>
      <c r="R2264" s="8">
        <v>0</v>
      </c>
      <c r="S2264" s="8">
        <v>0</v>
      </c>
      <c r="T2264" s="8">
        <v>1</v>
      </c>
      <c r="U2264" s="8">
        <v>2</v>
      </c>
      <c r="AG2264" s="8" t="str">
        <f t="shared" si="141"/>
        <v/>
      </c>
      <c r="AI2264" s="8" t="str">
        <f t="shared" si="142"/>
        <v/>
      </c>
      <c r="AJ2264" s="8" t="str">
        <f t="shared" si="143"/>
        <v/>
      </c>
      <c r="AL2264" s="8" t="str">
        <f t="shared" si="144"/>
        <v/>
      </c>
    </row>
    <row r="2265" spans="1:38" x14ac:dyDescent="0.25">
      <c r="A2265" s="8" t="s">
        <v>5667</v>
      </c>
      <c r="B2265" s="8" t="s">
        <v>5668</v>
      </c>
      <c r="C2265" s="8">
        <v>30865737</v>
      </c>
      <c r="D2265" s="8">
        <v>5</v>
      </c>
      <c r="E2265" s="11">
        <v>43110</v>
      </c>
      <c r="F2265" s="8" t="s">
        <v>57</v>
      </c>
      <c r="G2265" s="11">
        <v>43112</v>
      </c>
      <c r="H2265" s="8" t="s">
        <v>25</v>
      </c>
      <c r="J2265" s="8" t="s">
        <v>25</v>
      </c>
      <c r="N2265" s="8" t="s">
        <v>58</v>
      </c>
      <c r="O2265" s="8" t="s">
        <v>59</v>
      </c>
      <c r="P2265" s="8" t="s">
        <v>59</v>
      </c>
      <c r="R2265" s="8">
        <v>0</v>
      </c>
      <c r="S2265" s="8">
        <v>0</v>
      </c>
      <c r="T2265" s="8">
        <v>1</v>
      </c>
      <c r="U2265" s="8">
        <v>2</v>
      </c>
      <c r="AG2265" s="8" t="str">
        <f t="shared" si="141"/>
        <v/>
      </c>
      <c r="AI2265" s="8" t="str">
        <f t="shared" si="142"/>
        <v/>
      </c>
      <c r="AJ2265" s="8" t="str">
        <f t="shared" si="143"/>
        <v/>
      </c>
      <c r="AL2265" s="8" t="str">
        <f t="shared" si="144"/>
        <v/>
      </c>
    </row>
    <row r="2266" spans="1:38" x14ac:dyDescent="0.25">
      <c r="A2266" s="8" t="s">
        <v>5669</v>
      </c>
      <c r="B2266" s="8" t="s">
        <v>5670</v>
      </c>
      <c r="C2266" s="8">
        <v>30877099</v>
      </c>
      <c r="D2266" s="8">
        <v>5</v>
      </c>
      <c r="E2266" s="11">
        <v>43110</v>
      </c>
      <c r="F2266" s="8" t="s">
        <v>57</v>
      </c>
      <c r="G2266" s="11">
        <v>43112</v>
      </c>
      <c r="H2266" s="8" t="s">
        <v>25</v>
      </c>
      <c r="J2266" s="8" t="s">
        <v>25</v>
      </c>
      <c r="N2266" s="8" t="s">
        <v>58</v>
      </c>
      <c r="O2266" s="8" t="s">
        <v>59</v>
      </c>
      <c r="P2266" s="8" t="s">
        <v>59</v>
      </c>
      <c r="R2266" s="8">
        <v>0</v>
      </c>
      <c r="S2266" s="8">
        <v>0</v>
      </c>
      <c r="T2266" s="8">
        <v>1</v>
      </c>
      <c r="U2266" s="8">
        <v>2</v>
      </c>
      <c r="AG2266" s="8" t="str">
        <f t="shared" si="141"/>
        <v/>
      </c>
      <c r="AI2266" s="8" t="str">
        <f t="shared" si="142"/>
        <v/>
      </c>
      <c r="AJ2266" s="8" t="str">
        <f t="shared" si="143"/>
        <v/>
      </c>
      <c r="AL2266" s="8" t="str">
        <f t="shared" si="144"/>
        <v/>
      </c>
    </row>
    <row r="2267" spans="1:38" x14ac:dyDescent="0.25">
      <c r="A2267" s="8" t="s">
        <v>7436</v>
      </c>
      <c r="B2267" s="8" t="s">
        <v>7437</v>
      </c>
      <c r="C2267" s="8">
        <v>30919753</v>
      </c>
      <c r="D2267" s="8">
        <v>5</v>
      </c>
      <c r="E2267" s="11">
        <v>43112</v>
      </c>
      <c r="F2267" s="8" t="s">
        <v>57</v>
      </c>
      <c r="G2267" s="11">
        <v>43115</v>
      </c>
      <c r="H2267" s="8" t="s">
        <v>25</v>
      </c>
      <c r="J2267" s="8" t="s">
        <v>25</v>
      </c>
      <c r="N2267" s="8" t="s">
        <v>58</v>
      </c>
      <c r="O2267" s="8" t="s">
        <v>59</v>
      </c>
      <c r="P2267" s="8" t="s">
        <v>59</v>
      </c>
      <c r="R2267" s="8">
        <v>0</v>
      </c>
      <c r="S2267" s="8">
        <v>0</v>
      </c>
      <c r="T2267" s="8">
        <v>1</v>
      </c>
      <c r="U2267" s="8">
        <v>2</v>
      </c>
      <c r="AG2267" s="8" t="str">
        <f t="shared" si="141"/>
        <v/>
      </c>
      <c r="AI2267" s="8" t="str">
        <f t="shared" si="142"/>
        <v/>
      </c>
      <c r="AJ2267" s="8" t="str">
        <f t="shared" si="143"/>
        <v/>
      </c>
      <c r="AL2267" s="8" t="str">
        <f t="shared" si="144"/>
        <v/>
      </c>
    </row>
    <row r="2268" spans="1:38" x14ac:dyDescent="0.25">
      <c r="A2268" s="8" t="s">
        <v>4035</v>
      </c>
      <c r="B2268" s="8" t="s">
        <v>4036</v>
      </c>
      <c r="C2268" s="8">
        <v>30852639</v>
      </c>
      <c r="D2268" s="8">
        <v>5</v>
      </c>
      <c r="E2268" s="11">
        <v>43109</v>
      </c>
      <c r="F2268" s="8" t="s">
        <v>57</v>
      </c>
      <c r="G2268" s="11">
        <v>43111</v>
      </c>
      <c r="H2268" s="8" t="s">
        <v>25</v>
      </c>
      <c r="J2268" s="8" t="s">
        <v>25</v>
      </c>
      <c r="N2268" s="8" t="s">
        <v>58</v>
      </c>
      <c r="O2268" s="8" t="s">
        <v>59</v>
      </c>
      <c r="P2268" s="8" t="s">
        <v>59</v>
      </c>
      <c r="R2268" s="8">
        <v>0</v>
      </c>
      <c r="S2268" s="8">
        <v>0</v>
      </c>
      <c r="T2268" s="8">
        <v>1</v>
      </c>
      <c r="U2268" s="8">
        <v>2</v>
      </c>
      <c r="AG2268" s="8" t="str">
        <f t="shared" si="141"/>
        <v/>
      </c>
      <c r="AI2268" s="8" t="str">
        <f t="shared" si="142"/>
        <v/>
      </c>
      <c r="AJ2268" s="8" t="str">
        <f t="shared" si="143"/>
        <v/>
      </c>
      <c r="AL2268" s="8" t="str">
        <f t="shared" si="144"/>
        <v/>
      </c>
    </row>
    <row r="2269" spans="1:38" x14ac:dyDescent="0.25">
      <c r="A2269" s="8" t="s">
        <v>5671</v>
      </c>
      <c r="B2269" s="8" t="s">
        <v>5672</v>
      </c>
      <c r="C2269" s="8">
        <v>30868067</v>
      </c>
      <c r="D2269" s="8">
        <v>5</v>
      </c>
      <c r="E2269" s="11">
        <v>43110</v>
      </c>
      <c r="F2269" s="8" t="s">
        <v>58</v>
      </c>
      <c r="G2269" s="11">
        <v>43112</v>
      </c>
      <c r="H2269" s="8" t="s">
        <v>25</v>
      </c>
      <c r="I2269" s="11">
        <v>43112</v>
      </c>
      <c r="J2269" s="8" t="s">
        <v>25</v>
      </c>
      <c r="N2269" s="8" t="s">
        <v>58</v>
      </c>
      <c r="O2269" s="8" t="s">
        <v>59</v>
      </c>
      <c r="P2269" s="8" t="s">
        <v>59</v>
      </c>
      <c r="R2269" s="8">
        <v>0</v>
      </c>
      <c r="S2269" s="8">
        <v>0</v>
      </c>
      <c r="T2269" s="8">
        <v>1</v>
      </c>
      <c r="U2269" s="8">
        <v>2</v>
      </c>
      <c r="X2269" s="8">
        <v>5</v>
      </c>
      <c r="AG2269" s="8" t="str">
        <f t="shared" si="141"/>
        <v/>
      </c>
      <c r="AI2269" s="8" t="str">
        <f t="shared" si="142"/>
        <v/>
      </c>
      <c r="AJ2269" s="8" t="str">
        <f t="shared" si="143"/>
        <v/>
      </c>
      <c r="AL2269" s="8" t="str">
        <f t="shared" si="144"/>
        <v/>
      </c>
    </row>
    <row r="2270" spans="1:38" x14ac:dyDescent="0.25">
      <c r="A2270" s="8" t="s">
        <v>5673</v>
      </c>
      <c r="B2270" s="8" t="s">
        <v>5674</v>
      </c>
      <c r="C2270" s="8">
        <v>30923166</v>
      </c>
      <c r="D2270" s="8">
        <v>5</v>
      </c>
      <c r="E2270" s="11">
        <v>43112</v>
      </c>
      <c r="F2270" s="8" t="s">
        <v>57</v>
      </c>
      <c r="G2270" s="11">
        <v>43112</v>
      </c>
      <c r="H2270" s="8" t="s">
        <v>25</v>
      </c>
      <c r="J2270" s="8" t="s">
        <v>25</v>
      </c>
      <c r="N2270" s="8" t="s">
        <v>58</v>
      </c>
      <c r="O2270" s="8" t="s">
        <v>59</v>
      </c>
      <c r="P2270" s="8" t="s">
        <v>59</v>
      </c>
      <c r="R2270" s="8">
        <v>0</v>
      </c>
      <c r="S2270" s="8">
        <v>0</v>
      </c>
      <c r="T2270" s="8">
        <v>1</v>
      </c>
      <c r="U2270" s="8">
        <v>2</v>
      </c>
      <c r="AG2270" s="8" t="str">
        <f t="shared" si="141"/>
        <v/>
      </c>
      <c r="AI2270" s="8" t="str">
        <f t="shared" si="142"/>
        <v/>
      </c>
      <c r="AJ2270" s="8" t="str">
        <f t="shared" si="143"/>
        <v/>
      </c>
      <c r="AL2270" s="8" t="str">
        <f t="shared" si="144"/>
        <v/>
      </c>
    </row>
    <row r="2271" spans="1:38" x14ac:dyDescent="0.25">
      <c r="A2271" s="8" t="s">
        <v>7438</v>
      </c>
      <c r="B2271" s="8" t="s">
        <v>7439</v>
      </c>
      <c r="C2271" s="8">
        <v>30947951</v>
      </c>
      <c r="D2271" s="8">
        <v>5</v>
      </c>
      <c r="E2271" s="11">
        <v>43115</v>
      </c>
      <c r="F2271" s="8" t="s">
        <v>57</v>
      </c>
      <c r="G2271" s="11">
        <v>43115</v>
      </c>
      <c r="H2271" s="8" t="s">
        <v>25</v>
      </c>
      <c r="J2271" s="8" t="s">
        <v>25</v>
      </c>
      <c r="N2271" s="8" t="s">
        <v>58</v>
      </c>
      <c r="O2271" s="8" t="s">
        <v>59</v>
      </c>
      <c r="P2271" s="8" t="s">
        <v>59</v>
      </c>
      <c r="R2271" s="8">
        <v>0</v>
      </c>
      <c r="S2271" s="8">
        <v>0</v>
      </c>
      <c r="T2271" s="8">
        <v>1</v>
      </c>
      <c r="U2271" s="8">
        <v>2</v>
      </c>
      <c r="AG2271" s="8" t="str">
        <f t="shared" si="141"/>
        <v/>
      </c>
      <c r="AI2271" s="8" t="str">
        <f t="shared" si="142"/>
        <v/>
      </c>
      <c r="AJ2271" s="8" t="str">
        <f t="shared" si="143"/>
        <v/>
      </c>
      <c r="AL2271" s="8" t="str">
        <f t="shared" si="144"/>
        <v/>
      </c>
    </row>
    <row r="2272" spans="1:38" x14ac:dyDescent="0.25">
      <c r="A2272" s="8" t="s">
        <v>1330</v>
      </c>
      <c r="B2272" s="8" t="s">
        <v>1331</v>
      </c>
      <c r="C2272" s="8">
        <v>30852689</v>
      </c>
      <c r="D2272" s="8">
        <v>5</v>
      </c>
      <c r="E2272" s="11">
        <v>43109</v>
      </c>
      <c r="F2272" s="8" t="s">
        <v>57</v>
      </c>
      <c r="G2272" s="11">
        <v>43109</v>
      </c>
      <c r="H2272" s="8" t="s">
        <v>25</v>
      </c>
      <c r="J2272" s="8" t="s">
        <v>25</v>
      </c>
      <c r="N2272" s="8" t="s">
        <v>58</v>
      </c>
      <c r="O2272" s="8" t="s">
        <v>59</v>
      </c>
      <c r="P2272" s="8" t="s">
        <v>59</v>
      </c>
      <c r="R2272" s="8">
        <v>0</v>
      </c>
      <c r="S2272" s="8">
        <v>0</v>
      </c>
      <c r="T2272" s="8">
        <v>1</v>
      </c>
      <c r="U2272" s="8">
        <v>2</v>
      </c>
      <c r="AG2272" s="8" t="str">
        <f t="shared" si="141"/>
        <v/>
      </c>
      <c r="AI2272" s="8" t="str">
        <f t="shared" si="142"/>
        <v/>
      </c>
      <c r="AJ2272" s="8" t="str">
        <f t="shared" si="143"/>
        <v/>
      </c>
      <c r="AL2272" s="8" t="str">
        <f t="shared" si="144"/>
        <v/>
      </c>
    </row>
    <row r="2273" spans="1:38" x14ac:dyDescent="0.25">
      <c r="A2273" s="8" t="s">
        <v>2543</v>
      </c>
      <c r="B2273" s="8" t="s">
        <v>2544</v>
      </c>
      <c r="C2273" s="8">
        <v>30821352</v>
      </c>
      <c r="D2273" s="8">
        <v>5</v>
      </c>
      <c r="E2273" s="11">
        <v>43108</v>
      </c>
      <c r="F2273" s="8" t="s">
        <v>57</v>
      </c>
      <c r="G2273" s="11">
        <v>43110</v>
      </c>
      <c r="H2273" s="8" t="s">
        <v>25</v>
      </c>
      <c r="J2273" s="8" t="s">
        <v>25</v>
      </c>
      <c r="N2273" s="8" t="s">
        <v>58</v>
      </c>
      <c r="O2273" s="8" t="s">
        <v>59</v>
      </c>
      <c r="P2273" s="8" t="s">
        <v>59</v>
      </c>
      <c r="R2273" s="8">
        <v>0</v>
      </c>
      <c r="S2273" s="8">
        <v>0</v>
      </c>
      <c r="T2273" s="8">
        <v>1</v>
      </c>
      <c r="U2273" s="8">
        <v>2</v>
      </c>
      <c r="AG2273" s="8" t="str">
        <f t="shared" si="141"/>
        <v/>
      </c>
      <c r="AI2273" s="8" t="str">
        <f t="shared" si="142"/>
        <v/>
      </c>
      <c r="AJ2273" s="8" t="str">
        <f t="shared" si="143"/>
        <v/>
      </c>
      <c r="AL2273" s="8" t="str">
        <f t="shared" si="144"/>
        <v/>
      </c>
    </row>
    <row r="2274" spans="1:38" x14ac:dyDescent="0.25">
      <c r="A2274" s="8" t="s">
        <v>7440</v>
      </c>
      <c r="B2274" s="8" t="s">
        <v>7441</v>
      </c>
      <c r="C2274" s="8">
        <v>30944895</v>
      </c>
      <c r="D2274" s="8">
        <v>5</v>
      </c>
      <c r="E2274" s="11">
        <v>43115</v>
      </c>
      <c r="F2274" s="8" t="s">
        <v>57</v>
      </c>
      <c r="G2274" s="11">
        <v>43115</v>
      </c>
      <c r="H2274" s="8" t="s">
        <v>25</v>
      </c>
      <c r="J2274" s="8" t="s">
        <v>25</v>
      </c>
      <c r="N2274" s="8" t="s">
        <v>58</v>
      </c>
      <c r="O2274" s="8" t="s">
        <v>59</v>
      </c>
      <c r="P2274" s="8" t="s">
        <v>59</v>
      </c>
      <c r="R2274" s="8">
        <v>0</v>
      </c>
      <c r="S2274" s="8">
        <v>0</v>
      </c>
      <c r="T2274" s="8">
        <v>1</v>
      </c>
      <c r="U2274" s="8">
        <v>2</v>
      </c>
      <c r="AG2274" s="8" t="str">
        <f t="shared" si="141"/>
        <v/>
      </c>
      <c r="AI2274" s="8" t="str">
        <f t="shared" si="142"/>
        <v/>
      </c>
      <c r="AJ2274" s="8" t="str">
        <f t="shared" si="143"/>
        <v/>
      </c>
      <c r="AL2274" s="8" t="str">
        <f t="shared" si="144"/>
        <v/>
      </c>
    </row>
    <row r="2275" spans="1:38" x14ac:dyDescent="0.25">
      <c r="A2275" s="8" t="s">
        <v>4037</v>
      </c>
      <c r="B2275" s="8" t="s">
        <v>4038</v>
      </c>
      <c r="C2275" s="8">
        <v>30832302</v>
      </c>
      <c r="D2275" s="8">
        <v>5</v>
      </c>
      <c r="E2275" s="11">
        <v>43109</v>
      </c>
      <c r="F2275" s="8" t="s">
        <v>57</v>
      </c>
      <c r="G2275" s="11">
        <v>43111</v>
      </c>
      <c r="H2275" s="8" t="s">
        <v>25</v>
      </c>
      <c r="J2275" s="8" t="s">
        <v>25</v>
      </c>
      <c r="N2275" s="8" t="s">
        <v>58</v>
      </c>
      <c r="O2275" s="8" t="s">
        <v>59</v>
      </c>
      <c r="P2275" s="8" t="s">
        <v>59</v>
      </c>
      <c r="R2275" s="8">
        <v>0</v>
      </c>
      <c r="S2275" s="8">
        <v>0</v>
      </c>
      <c r="T2275" s="8">
        <v>1</v>
      </c>
      <c r="U2275" s="8">
        <v>2</v>
      </c>
      <c r="AG2275" s="8" t="str">
        <f t="shared" si="141"/>
        <v/>
      </c>
      <c r="AI2275" s="8" t="str">
        <f t="shared" si="142"/>
        <v/>
      </c>
      <c r="AJ2275" s="8" t="str">
        <f t="shared" si="143"/>
        <v/>
      </c>
      <c r="AL2275" s="8" t="str">
        <f t="shared" si="144"/>
        <v/>
      </c>
    </row>
    <row r="2276" spans="1:38" x14ac:dyDescent="0.25">
      <c r="A2276" s="8" t="s">
        <v>2545</v>
      </c>
      <c r="B2276" s="8" t="s">
        <v>2546</v>
      </c>
      <c r="C2276" s="8">
        <v>30875282</v>
      </c>
      <c r="D2276" s="8">
        <v>5</v>
      </c>
      <c r="E2276" s="11">
        <v>43110</v>
      </c>
      <c r="F2276" s="8" t="s">
        <v>57</v>
      </c>
      <c r="G2276" s="11">
        <v>43110</v>
      </c>
      <c r="H2276" s="8" t="s">
        <v>25</v>
      </c>
      <c r="J2276" s="8" t="s">
        <v>25</v>
      </c>
      <c r="N2276" s="8" t="s">
        <v>58</v>
      </c>
      <c r="O2276" s="8" t="s">
        <v>59</v>
      </c>
      <c r="P2276" s="8" t="s">
        <v>59</v>
      </c>
      <c r="R2276" s="8">
        <v>0</v>
      </c>
      <c r="S2276" s="8">
        <v>0</v>
      </c>
      <c r="T2276" s="8">
        <v>1</v>
      </c>
      <c r="U2276" s="8">
        <v>2</v>
      </c>
      <c r="AG2276" s="8" t="str">
        <f t="shared" si="141"/>
        <v/>
      </c>
      <c r="AI2276" s="8" t="str">
        <f t="shared" si="142"/>
        <v/>
      </c>
      <c r="AJ2276" s="8" t="str">
        <f t="shared" si="143"/>
        <v/>
      </c>
      <c r="AL2276" s="8" t="str">
        <f t="shared" si="144"/>
        <v/>
      </c>
    </row>
    <row r="2277" spans="1:38" x14ac:dyDescent="0.25">
      <c r="A2277" s="8" t="s">
        <v>4039</v>
      </c>
      <c r="B2277" s="8" t="s">
        <v>4040</v>
      </c>
      <c r="C2277" s="8">
        <v>30850346</v>
      </c>
      <c r="D2277" s="8">
        <v>5</v>
      </c>
      <c r="E2277" s="11">
        <v>43109</v>
      </c>
      <c r="F2277" s="8" t="s">
        <v>57</v>
      </c>
      <c r="G2277" s="11">
        <v>43111</v>
      </c>
      <c r="H2277" s="8" t="s">
        <v>25</v>
      </c>
      <c r="J2277" s="8" t="s">
        <v>25</v>
      </c>
      <c r="N2277" s="8" t="s">
        <v>58</v>
      </c>
      <c r="O2277" s="8" t="s">
        <v>59</v>
      </c>
      <c r="P2277" s="8" t="s">
        <v>59</v>
      </c>
      <c r="R2277" s="8">
        <v>0</v>
      </c>
      <c r="S2277" s="8">
        <v>0</v>
      </c>
      <c r="T2277" s="8">
        <v>1</v>
      </c>
      <c r="U2277" s="8">
        <v>2</v>
      </c>
      <c r="AG2277" s="8" t="str">
        <f t="shared" si="141"/>
        <v/>
      </c>
      <c r="AI2277" s="8" t="str">
        <f t="shared" si="142"/>
        <v/>
      </c>
      <c r="AJ2277" s="8" t="str">
        <f t="shared" si="143"/>
        <v/>
      </c>
      <c r="AL2277" s="8" t="str">
        <f t="shared" si="144"/>
        <v/>
      </c>
    </row>
    <row r="2278" spans="1:38" x14ac:dyDescent="0.25">
      <c r="A2278" s="8" t="s">
        <v>7442</v>
      </c>
      <c r="B2278" s="8" t="s">
        <v>7443</v>
      </c>
      <c r="C2278" s="8">
        <v>30910903</v>
      </c>
      <c r="D2278" s="8">
        <v>4</v>
      </c>
      <c r="E2278" s="11">
        <v>43112</v>
      </c>
      <c r="F2278" s="8" t="s">
        <v>57</v>
      </c>
      <c r="G2278" s="11">
        <v>43115</v>
      </c>
      <c r="H2278" s="8" t="s">
        <v>25</v>
      </c>
      <c r="J2278" s="8" t="s">
        <v>25</v>
      </c>
      <c r="N2278" s="8" t="s">
        <v>58</v>
      </c>
      <c r="O2278" s="8" t="s">
        <v>59</v>
      </c>
      <c r="P2278" s="8" t="s">
        <v>59</v>
      </c>
      <c r="R2278" s="8">
        <v>0</v>
      </c>
      <c r="S2278" s="8">
        <v>0</v>
      </c>
      <c r="T2278" s="8">
        <v>1</v>
      </c>
      <c r="U2278" s="8">
        <v>2</v>
      </c>
      <c r="AG2278" s="8" t="str">
        <f t="shared" si="141"/>
        <v/>
      </c>
      <c r="AI2278" s="8" t="str">
        <f t="shared" si="142"/>
        <v/>
      </c>
      <c r="AJ2278" s="8" t="str">
        <f t="shared" si="143"/>
        <v/>
      </c>
      <c r="AL2278" s="8" t="str">
        <f t="shared" si="144"/>
        <v/>
      </c>
    </row>
    <row r="2279" spans="1:38" x14ac:dyDescent="0.25">
      <c r="A2279" s="8" t="s">
        <v>4041</v>
      </c>
      <c r="B2279" s="8" t="s">
        <v>4042</v>
      </c>
      <c r="C2279" s="8">
        <v>30848813</v>
      </c>
      <c r="D2279" s="8">
        <v>5</v>
      </c>
      <c r="E2279" s="11">
        <v>43109</v>
      </c>
      <c r="F2279" s="8" t="s">
        <v>58</v>
      </c>
      <c r="G2279" s="11">
        <v>43111</v>
      </c>
      <c r="H2279" s="8" t="s">
        <v>25</v>
      </c>
      <c r="I2279" s="11">
        <v>43115</v>
      </c>
      <c r="J2279" s="8" t="s">
        <v>25</v>
      </c>
      <c r="N2279" s="8" t="s">
        <v>58</v>
      </c>
      <c r="O2279" s="8" t="s">
        <v>59</v>
      </c>
      <c r="P2279" s="8" t="s">
        <v>59</v>
      </c>
      <c r="R2279" s="8">
        <v>0</v>
      </c>
      <c r="S2279" s="8">
        <v>0</v>
      </c>
      <c r="T2279" s="8">
        <v>1</v>
      </c>
      <c r="U2279" s="8">
        <v>2</v>
      </c>
      <c r="X2279" s="8">
        <v>5</v>
      </c>
      <c r="AG2279" s="8" t="str">
        <f t="shared" si="141"/>
        <v/>
      </c>
      <c r="AI2279" s="8" t="str">
        <f t="shared" si="142"/>
        <v/>
      </c>
      <c r="AJ2279" s="8" t="str">
        <f t="shared" si="143"/>
        <v/>
      </c>
      <c r="AL2279" s="8" t="str">
        <f t="shared" si="144"/>
        <v/>
      </c>
    </row>
    <row r="2280" spans="1:38" x14ac:dyDescent="0.25">
      <c r="A2280" s="8" t="s">
        <v>5675</v>
      </c>
      <c r="B2280" s="8" t="s">
        <v>5676</v>
      </c>
      <c r="C2280" s="8">
        <v>30915219</v>
      </c>
      <c r="D2280" s="8">
        <v>5</v>
      </c>
      <c r="E2280" s="11">
        <v>43112</v>
      </c>
      <c r="F2280" s="8" t="s">
        <v>58</v>
      </c>
      <c r="G2280" s="11">
        <v>43112</v>
      </c>
      <c r="H2280" s="8" t="s">
        <v>25</v>
      </c>
      <c r="I2280" s="11">
        <v>43115</v>
      </c>
      <c r="J2280" s="8" t="s">
        <v>25</v>
      </c>
      <c r="N2280" s="8" t="s">
        <v>58</v>
      </c>
      <c r="O2280" s="8" t="s">
        <v>59</v>
      </c>
      <c r="P2280" s="8" t="s">
        <v>59</v>
      </c>
      <c r="R2280" s="8">
        <v>0</v>
      </c>
      <c r="S2280" s="8">
        <v>0</v>
      </c>
      <c r="T2280" s="8">
        <v>1</v>
      </c>
      <c r="U2280" s="8">
        <v>2</v>
      </c>
      <c r="X2280" s="8">
        <v>5</v>
      </c>
      <c r="AG2280" s="8" t="str">
        <f t="shared" si="141"/>
        <v/>
      </c>
      <c r="AI2280" s="8" t="str">
        <f t="shared" si="142"/>
        <v/>
      </c>
      <c r="AJ2280" s="8" t="str">
        <f t="shared" si="143"/>
        <v/>
      </c>
      <c r="AL2280" s="8" t="str">
        <f t="shared" si="144"/>
        <v/>
      </c>
    </row>
    <row r="2281" spans="1:38" x14ac:dyDescent="0.25">
      <c r="A2281" s="8" t="s">
        <v>2547</v>
      </c>
      <c r="B2281" s="8" t="s">
        <v>2548</v>
      </c>
      <c r="C2281" s="8">
        <v>30817948</v>
      </c>
      <c r="D2281" s="8">
        <v>5</v>
      </c>
      <c r="E2281" s="11">
        <v>43108</v>
      </c>
      <c r="F2281" s="8" t="s">
        <v>57</v>
      </c>
      <c r="G2281" s="11">
        <v>43110</v>
      </c>
      <c r="H2281" s="8" t="s">
        <v>25</v>
      </c>
      <c r="J2281" s="8" t="s">
        <v>25</v>
      </c>
      <c r="N2281" s="8" t="s">
        <v>58</v>
      </c>
      <c r="O2281" s="8" t="s">
        <v>59</v>
      </c>
      <c r="P2281" s="8" t="s">
        <v>59</v>
      </c>
      <c r="R2281" s="8">
        <v>0</v>
      </c>
      <c r="S2281" s="8">
        <v>0</v>
      </c>
      <c r="T2281" s="8">
        <v>1</v>
      </c>
      <c r="U2281" s="8">
        <v>2</v>
      </c>
      <c r="AG2281" s="8" t="str">
        <f t="shared" si="141"/>
        <v/>
      </c>
      <c r="AI2281" s="8" t="str">
        <f t="shared" si="142"/>
        <v/>
      </c>
      <c r="AJ2281" s="8" t="str">
        <f t="shared" si="143"/>
        <v/>
      </c>
      <c r="AL2281" s="8" t="str">
        <f t="shared" si="144"/>
        <v/>
      </c>
    </row>
    <row r="2282" spans="1:38" x14ac:dyDescent="0.25">
      <c r="A2282" s="8" t="s">
        <v>2549</v>
      </c>
      <c r="B2282" s="8" t="s">
        <v>2550</v>
      </c>
      <c r="C2282" s="8">
        <v>30825384</v>
      </c>
      <c r="D2282" s="8">
        <v>5</v>
      </c>
      <c r="E2282" s="11">
        <v>43108</v>
      </c>
      <c r="F2282" s="8" t="s">
        <v>58</v>
      </c>
      <c r="G2282" s="11">
        <v>43110</v>
      </c>
      <c r="H2282" s="8" t="s">
        <v>25</v>
      </c>
      <c r="I2282" s="11">
        <v>43110</v>
      </c>
      <c r="J2282" s="8" t="s">
        <v>25</v>
      </c>
      <c r="N2282" s="8" t="s">
        <v>58</v>
      </c>
      <c r="O2282" s="8" t="s">
        <v>59</v>
      </c>
      <c r="P2282" s="8" t="s">
        <v>59</v>
      </c>
      <c r="R2282" s="8">
        <v>0</v>
      </c>
      <c r="S2282" s="8">
        <v>0</v>
      </c>
      <c r="T2282" s="8">
        <v>1</v>
      </c>
      <c r="U2282" s="8">
        <v>2</v>
      </c>
      <c r="X2282" s="8">
        <v>5</v>
      </c>
      <c r="AG2282" s="8" t="str">
        <f t="shared" si="141"/>
        <v/>
      </c>
      <c r="AI2282" s="8" t="str">
        <f t="shared" si="142"/>
        <v/>
      </c>
      <c r="AJ2282" s="8" t="str">
        <f t="shared" si="143"/>
        <v/>
      </c>
      <c r="AL2282" s="8" t="str">
        <f t="shared" si="144"/>
        <v/>
      </c>
    </row>
    <row r="2283" spans="1:38" x14ac:dyDescent="0.25">
      <c r="A2283" s="8" t="s">
        <v>5677</v>
      </c>
      <c r="B2283" s="8" t="s">
        <v>5678</v>
      </c>
      <c r="C2283" s="8">
        <v>30900476</v>
      </c>
      <c r="D2283" s="8">
        <v>5</v>
      </c>
      <c r="E2283" s="11">
        <v>43111</v>
      </c>
      <c r="F2283" s="8" t="s">
        <v>57</v>
      </c>
      <c r="G2283" s="11">
        <v>43112</v>
      </c>
      <c r="H2283" s="8" t="s">
        <v>25</v>
      </c>
      <c r="J2283" s="8" t="s">
        <v>25</v>
      </c>
      <c r="N2283" s="8" t="s">
        <v>58</v>
      </c>
      <c r="O2283" s="8" t="s">
        <v>59</v>
      </c>
      <c r="P2283" s="8" t="s">
        <v>59</v>
      </c>
      <c r="R2283" s="8">
        <v>0</v>
      </c>
      <c r="S2283" s="8">
        <v>0</v>
      </c>
      <c r="T2283" s="8">
        <v>1</v>
      </c>
      <c r="U2283" s="8">
        <v>2</v>
      </c>
      <c r="AG2283" s="8" t="str">
        <f t="shared" si="141"/>
        <v/>
      </c>
      <c r="AI2283" s="8" t="str">
        <f t="shared" si="142"/>
        <v/>
      </c>
      <c r="AJ2283" s="8" t="str">
        <f t="shared" si="143"/>
        <v/>
      </c>
      <c r="AL2283" s="8" t="str">
        <f t="shared" si="144"/>
        <v/>
      </c>
    </row>
    <row r="2284" spans="1:38" x14ac:dyDescent="0.25">
      <c r="A2284" s="8" t="s">
        <v>4043</v>
      </c>
      <c r="B2284" s="8" t="s">
        <v>4044</v>
      </c>
      <c r="C2284" s="8">
        <v>30883236</v>
      </c>
      <c r="D2284" s="8">
        <v>5</v>
      </c>
      <c r="E2284" s="11">
        <v>43111</v>
      </c>
      <c r="F2284" s="8" t="s">
        <v>57</v>
      </c>
      <c r="G2284" s="11">
        <v>43111</v>
      </c>
      <c r="H2284" s="8" t="s">
        <v>25</v>
      </c>
      <c r="J2284" s="8" t="s">
        <v>25</v>
      </c>
      <c r="N2284" s="8" t="s">
        <v>58</v>
      </c>
      <c r="O2284" s="8" t="s">
        <v>59</v>
      </c>
      <c r="P2284" s="8" t="s">
        <v>59</v>
      </c>
      <c r="R2284" s="8">
        <v>0</v>
      </c>
      <c r="S2284" s="8">
        <v>0</v>
      </c>
      <c r="T2284" s="8">
        <v>1</v>
      </c>
      <c r="U2284" s="8">
        <v>2</v>
      </c>
      <c r="AG2284" s="8" t="str">
        <f t="shared" si="141"/>
        <v/>
      </c>
      <c r="AI2284" s="8" t="str">
        <f t="shared" si="142"/>
        <v/>
      </c>
      <c r="AJ2284" s="8" t="str">
        <f t="shared" si="143"/>
        <v/>
      </c>
      <c r="AL2284" s="8" t="str">
        <f t="shared" si="144"/>
        <v/>
      </c>
    </row>
    <row r="2285" spans="1:38" x14ac:dyDescent="0.25">
      <c r="A2285" s="8" t="s">
        <v>2551</v>
      </c>
      <c r="B2285" s="8" t="s">
        <v>2552</v>
      </c>
      <c r="C2285" s="8">
        <v>30822370</v>
      </c>
      <c r="D2285" s="8">
        <v>5</v>
      </c>
      <c r="E2285" s="11">
        <v>43108</v>
      </c>
      <c r="F2285" s="8" t="s">
        <v>58</v>
      </c>
      <c r="G2285" s="11">
        <v>43110</v>
      </c>
      <c r="H2285" s="8" t="s">
        <v>25</v>
      </c>
      <c r="I2285" s="11">
        <v>43110</v>
      </c>
      <c r="J2285" s="8" t="s">
        <v>25</v>
      </c>
      <c r="N2285" s="8" t="s">
        <v>58</v>
      </c>
      <c r="O2285" s="8" t="s">
        <v>59</v>
      </c>
      <c r="P2285" s="8" t="s">
        <v>59</v>
      </c>
      <c r="R2285" s="8">
        <v>0</v>
      </c>
      <c r="S2285" s="8">
        <v>0</v>
      </c>
      <c r="T2285" s="8">
        <v>1</v>
      </c>
      <c r="U2285" s="8">
        <v>2</v>
      </c>
      <c r="X2285" s="8">
        <v>5</v>
      </c>
      <c r="AG2285" s="8" t="str">
        <f t="shared" si="141"/>
        <v/>
      </c>
      <c r="AI2285" s="8" t="str">
        <f t="shared" si="142"/>
        <v/>
      </c>
      <c r="AJ2285" s="8" t="str">
        <f t="shared" si="143"/>
        <v/>
      </c>
      <c r="AL2285" s="8" t="str">
        <f t="shared" si="144"/>
        <v/>
      </c>
    </row>
    <row r="2286" spans="1:38" x14ac:dyDescent="0.25">
      <c r="A2286" s="8" t="s">
        <v>2553</v>
      </c>
      <c r="B2286" s="8" t="s">
        <v>2554</v>
      </c>
      <c r="C2286" s="8">
        <v>30827245</v>
      </c>
      <c r="D2286" s="8">
        <v>5</v>
      </c>
      <c r="E2286" s="11">
        <v>43108</v>
      </c>
      <c r="F2286" s="8" t="s">
        <v>57</v>
      </c>
      <c r="G2286" s="11">
        <v>43110</v>
      </c>
      <c r="H2286" s="8" t="s">
        <v>25</v>
      </c>
      <c r="J2286" s="8" t="s">
        <v>25</v>
      </c>
      <c r="N2286" s="8" t="s">
        <v>58</v>
      </c>
      <c r="O2286" s="8" t="s">
        <v>59</v>
      </c>
      <c r="P2286" s="8" t="s">
        <v>59</v>
      </c>
      <c r="R2286" s="8">
        <v>0</v>
      </c>
      <c r="S2286" s="8">
        <v>0</v>
      </c>
      <c r="T2286" s="8">
        <v>1</v>
      </c>
      <c r="U2286" s="8">
        <v>2</v>
      </c>
      <c r="AG2286" s="8" t="str">
        <f t="shared" si="141"/>
        <v/>
      </c>
      <c r="AI2286" s="8" t="str">
        <f t="shared" si="142"/>
        <v/>
      </c>
      <c r="AJ2286" s="8" t="str">
        <f t="shared" si="143"/>
        <v/>
      </c>
      <c r="AL2286" s="8" t="str">
        <f t="shared" si="144"/>
        <v/>
      </c>
    </row>
    <row r="2287" spans="1:38" x14ac:dyDescent="0.25">
      <c r="A2287" s="8" t="s">
        <v>2555</v>
      </c>
      <c r="B2287" s="8" t="s">
        <v>2556</v>
      </c>
      <c r="C2287" s="8">
        <v>30824623</v>
      </c>
      <c r="D2287" s="8">
        <v>5</v>
      </c>
      <c r="E2287" s="11">
        <v>43108</v>
      </c>
      <c r="F2287" s="8" t="s">
        <v>57</v>
      </c>
      <c r="G2287" s="11">
        <v>43110</v>
      </c>
      <c r="H2287" s="8" t="s">
        <v>25</v>
      </c>
      <c r="J2287" s="8" t="s">
        <v>25</v>
      </c>
      <c r="N2287" s="8" t="s">
        <v>58</v>
      </c>
      <c r="O2287" s="8" t="s">
        <v>59</v>
      </c>
      <c r="P2287" s="8" t="s">
        <v>59</v>
      </c>
      <c r="R2287" s="8">
        <v>0</v>
      </c>
      <c r="S2287" s="8">
        <v>0</v>
      </c>
      <c r="T2287" s="8">
        <v>1</v>
      </c>
      <c r="U2287" s="8">
        <v>2</v>
      </c>
      <c r="AG2287" s="8" t="str">
        <f t="shared" si="141"/>
        <v/>
      </c>
      <c r="AI2287" s="8" t="str">
        <f t="shared" si="142"/>
        <v/>
      </c>
      <c r="AJ2287" s="8" t="str">
        <f t="shared" si="143"/>
        <v/>
      </c>
      <c r="AL2287" s="8" t="str">
        <f t="shared" si="144"/>
        <v/>
      </c>
    </row>
    <row r="2288" spans="1:38" x14ac:dyDescent="0.25">
      <c r="A2288" s="8" t="s">
        <v>2557</v>
      </c>
      <c r="B2288" s="8" t="s">
        <v>2558</v>
      </c>
      <c r="C2288" s="8">
        <v>30806861</v>
      </c>
      <c r="D2288" s="8">
        <v>5</v>
      </c>
      <c r="E2288" s="11">
        <v>43108</v>
      </c>
      <c r="F2288" s="8" t="s">
        <v>57</v>
      </c>
      <c r="G2288" s="11">
        <v>43110</v>
      </c>
      <c r="H2288" s="8" t="s">
        <v>25</v>
      </c>
      <c r="J2288" s="8" t="s">
        <v>25</v>
      </c>
      <c r="N2288" s="8" t="s">
        <v>58</v>
      </c>
      <c r="O2288" s="8" t="s">
        <v>59</v>
      </c>
      <c r="P2288" s="8" t="s">
        <v>59</v>
      </c>
      <c r="R2288" s="8">
        <v>0</v>
      </c>
      <c r="S2288" s="8">
        <v>0</v>
      </c>
      <c r="T2288" s="8">
        <v>1</v>
      </c>
      <c r="U2288" s="8">
        <v>2</v>
      </c>
      <c r="AG2288" s="8" t="str">
        <f t="shared" si="141"/>
        <v/>
      </c>
      <c r="AI2288" s="8" t="str">
        <f t="shared" si="142"/>
        <v/>
      </c>
      <c r="AJ2288" s="8" t="str">
        <f t="shared" si="143"/>
        <v/>
      </c>
      <c r="AL2288" s="8" t="str">
        <f t="shared" si="144"/>
        <v/>
      </c>
    </row>
    <row r="2289" spans="1:38" x14ac:dyDescent="0.25">
      <c r="A2289" s="8" t="s">
        <v>4045</v>
      </c>
      <c r="B2289" s="8" t="s">
        <v>4046</v>
      </c>
      <c r="C2289" s="8">
        <v>30853482</v>
      </c>
      <c r="D2289" s="8">
        <v>5</v>
      </c>
      <c r="E2289" s="11">
        <v>43109</v>
      </c>
      <c r="F2289" s="8" t="s">
        <v>57</v>
      </c>
      <c r="G2289" s="11">
        <v>43111</v>
      </c>
      <c r="H2289" s="8" t="s">
        <v>25</v>
      </c>
      <c r="J2289" s="8" t="s">
        <v>25</v>
      </c>
      <c r="N2289" s="8" t="s">
        <v>58</v>
      </c>
      <c r="O2289" s="8" t="s">
        <v>59</v>
      </c>
      <c r="P2289" s="8" t="s">
        <v>59</v>
      </c>
      <c r="R2289" s="8">
        <v>0</v>
      </c>
      <c r="S2289" s="8">
        <v>0</v>
      </c>
      <c r="T2289" s="8">
        <v>1</v>
      </c>
      <c r="U2289" s="8">
        <v>2</v>
      </c>
      <c r="AG2289" s="8" t="str">
        <f t="shared" si="141"/>
        <v/>
      </c>
      <c r="AI2289" s="8" t="str">
        <f t="shared" si="142"/>
        <v/>
      </c>
      <c r="AJ2289" s="8" t="str">
        <f t="shared" si="143"/>
        <v/>
      </c>
      <c r="AL2289" s="8" t="str">
        <f t="shared" si="144"/>
        <v/>
      </c>
    </row>
    <row r="2290" spans="1:38" x14ac:dyDescent="0.25">
      <c r="A2290" s="8" t="s">
        <v>5679</v>
      </c>
      <c r="B2290" s="8" t="s">
        <v>5680</v>
      </c>
      <c r="C2290" s="8">
        <v>30919705</v>
      </c>
      <c r="D2290" s="8">
        <v>5</v>
      </c>
      <c r="E2290" s="11">
        <v>43112</v>
      </c>
      <c r="F2290" s="8" t="s">
        <v>57</v>
      </c>
      <c r="G2290" s="11">
        <v>43112</v>
      </c>
      <c r="H2290" s="8" t="s">
        <v>25</v>
      </c>
      <c r="J2290" s="8" t="s">
        <v>25</v>
      </c>
      <c r="N2290" s="8" t="s">
        <v>58</v>
      </c>
      <c r="O2290" s="8" t="s">
        <v>59</v>
      </c>
      <c r="P2290" s="8" t="s">
        <v>59</v>
      </c>
      <c r="R2290" s="8">
        <v>0</v>
      </c>
      <c r="S2290" s="8">
        <v>0</v>
      </c>
      <c r="T2290" s="8">
        <v>1</v>
      </c>
      <c r="U2290" s="8">
        <v>2</v>
      </c>
      <c r="AG2290" s="8" t="str">
        <f t="shared" si="141"/>
        <v/>
      </c>
      <c r="AI2290" s="8" t="str">
        <f t="shared" si="142"/>
        <v/>
      </c>
      <c r="AJ2290" s="8" t="str">
        <f t="shared" si="143"/>
        <v/>
      </c>
      <c r="AL2290" s="8" t="str">
        <f t="shared" si="144"/>
        <v/>
      </c>
    </row>
    <row r="2291" spans="1:38" x14ac:dyDescent="0.25">
      <c r="A2291" s="8" t="s">
        <v>1332</v>
      </c>
      <c r="B2291" s="8" t="s">
        <v>1333</v>
      </c>
      <c r="C2291" s="8">
        <v>30854045</v>
      </c>
      <c r="D2291" s="8">
        <v>5</v>
      </c>
      <c r="E2291" s="11">
        <v>43109</v>
      </c>
      <c r="F2291" s="8" t="s">
        <v>60</v>
      </c>
      <c r="G2291" s="11">
        <v>43109</v>
      </c>
      <c r="H2291" s="8" t="s">
        <v>25</v>
      </c>
      <c r="J2291" s="8" t="s">
        <v>25</v>
      </c>
      <c r="L2291" s="8" t="s">
        <v>4797</v>
      </c>
      <c r="N2291" s="8" t="s">
        <v>58</v>
      </c>
      <c r="O2291" s="8" t="s">
        <v>59</v>
      </c>
      <c r="P2291" s="8" t="s">
        <v>59</v>
      </c>
      <c r="R2291" s="8">
        <v>0</v>
      </c>
      <c r="S2291" s="8">
        <v>0</v>
      </c>
      <c r="T2291" s="8">
        <v>1</v>
      </c>
      <c r="U2291" s="8">
        <v>2</v>
      </c>
      <c r="W2291" s="8">
        <v>4</v>
      </c>
      <c r="AG2291" s="8" t="str">
        <f t="shared" si="141"/>
        <v/>
      </c>
      <c r="AI2291" s="8" t="str">
        <f t="shared" si="142"/>
        <v/>
      </c>
      <c r="AJ2291" s="8" t="str">
        <f t="shared" si="143"/>
        <v/>
      </c>
      <c r="AL2291" s="8" t="str">
        <f t="shared" si="144"/>
        <v/>
      </c>
    </row>
    <row r="2292" spans="1:38" x14ac:dyDescent="0.25">
      <c r="A2292" s="8" t="s">
        <v>5681</v>
      </c>
      <c r="B2292" s="8" t="s">
        <v>5682</v>
      </c>
      <c r="C2292" s="8">
        <v>30917720</v>
      </c>
      <c r="D2292" s="8">
        <v>5</v>
      </c>
      <c r="E2292" s="11">
        <v>43112</v>
      </c>
      <c r="F2292" s="8" t="s">
        <v>57</v>
      </c>
      <c r="G2292" s="11">
        <v>43112</v>
      </c>
      <c r="H2292" s="8" t="s">
        <v>25</v>
      </c>
      <c r="J2292" s="8" t="s">
        <v>25</v>
      </c>
      <c r="N2292" s="8" t="s">
        <v>58</v>
      </c>
      <c r="O2292" s="8" t="s">
        <v>59</v>
      </c>
      <c r="P2292" s="8" t="s">
        <v>59</v>
      </c>
      <c r="R2292" s="8">
        <v>0</v>
      </c>
      <c r="S2292" s="8">
        <v>0</v>
      </c>
      <c r="T2292" s="8">
        <v>1</v>
      </c>
      <c r="U2292" s="8">
        <v>2</v>
      </c>
      <c r="AG2292" s="8" t="str">
        <f t="shared" si="141"/>
        <v/>
      </c>
      <c r="AI2292" s="8" t="str">
        <f t="shared" si="142"/>
        <v/>
      </c>
      <c r="AJ2292" s="8" t="str">
        <f t="shared" si="143"/>
        <v/>
      </c>
      <c r="AL2292" s="8" t="str">
        <f t="shared" si="144"/>
        <v/>
      </c>
    </row>
    <row r="2293" spans="1:38" x14ac:dyDescent="0.25">
      <c r="A2293" s="8" t="s">
        <v>2559</v>
      </c>
      <c r="B2293" s="8" t="s">
        <v>135</v>
      </c>
      <c r="C2293" s="8">
        <v>30858218</v>
      </c>
      <c r="D2293" s="8">
        <v>5</v>
      </c>
      <c r="E2293" s="11">
        <v>43110</v>
      </c>
      <c r="F2293" s="8" t="s">
        <v>57</v>
      </c>
      <c r="G2293" s="11">
        <v>43110</v>
      </c>
      <c r="H2293" s="8" t="s">
        <v>25</v>
      </c>
      <c r="J2293" s="8" t="s">
        <v>25</v>
      </c>
      <c r="N2293" s="8" t="s">
        <v>58</v>
      </c>
      <c r="O2293" s="8" t="s">
        <v>59</v>
      </c>
      <c r="P2293" s="8" t="s">
        <v>59</v>
      </c>
      <c r="R2293" s="8">
        <v>0</v>
      </c>
      <c r="S2293" s="8">
        <v>0</v>
      </c>
      <c r="T2293" s="8">
        <v>1</v>
      </c>
      <c r="U2293" s="8">
        <v>2</v>
      </c>
      <c r="AG2293" s="8" t="str">
        <f t="shared" si="141"/>
        <v/>
      </c>
      <c r="AI2293" s="8" t="str">
        <f t="shared" si="142"/>
        <v/>
      </c>
      <c r="AJ2293" s="8" t="str">
        <f t="shared" si="143"/>
        <v/>
      </c>
      <c r="AL2293" s="8" t="str">
        <f t="shared" si="144"/>
        <v/>
      </c>
    </row>
    <row r="2294" spans="1:38" x14ac:dyDescent="0.25">
      <c r="A2294" s="8" t="s">
        <v>4047</v>
      </c>
      <c r="B2294" s="8" t="s">
        <v>4048</v>
      </c>
      <c r="C2294" s="8">
        <v>30831502</v>
      </c>
      <c r="D2294" s="8">
        <v>5</v>
      </c>
      <c r="E2294" s="11">
        <v>43109</v>
      </c>
      <c r="F2294" s="8" t="s">
        <v>58</v>
      </c>
      <c r="G2294" s="11">
        <v>43111</v>
      </c>
      <c r="H2294" s="8" t="s">
        <v>25</v>
      </c>
      <c r="I2294" s="11">
        <v>43113</v>
      </c>
      <c r="J2294" s="8" t="s">
        <v>25</v>
      </c>
      <c r="N2294" s="8" t="s">
        <v>58</v>
      </c>
      <c r="O2294" s="8" t="s">
        <v>59</v>
      </c>
      <c r="P2294" s="8" t="s">
        <v>59</v>
      </c>
      <c r="R2294" s="8">
        <v>0</v>
      </c>
      <c r="S2294" s="8">
        <v>0</v>
      </c>
      <c r="T2294" s="8">
        <v>1</v>
      </c>
      <c r="U2294" s="8">
        <v>2</v>
      </c>
      <c r="X2294" s="8">
        <v>5</v>
      </c>
      <c r="AG2294" s="8" t="str">
        <f t="shared" si="141"/>
        <v/>
      </c>
      <c r="AI2294" s="8" t="str">
        <f t="shared" si="142"/>
        <v/>
      </c>
      <c r="AJ2294" s="8" t="str">
        <f t="shared" si="143"/>
        <v/>
      </c>
      <c r="AL2294" s="8" t="str">
        <f t="shared" si="144"/>
        <v/>
      </c>
    </row>
    <row r="2295" spans="1:38" x14ac:dyDescent="0.25">
      <c r="A2295" s="8" t="s">
        <v>7444</v>
      </c>
      <c r="B2295" s="8" t="s">
        <v>7445</v>
      </c>
      <c r="C2295" s="8">
        <v>30900564</v>
      </c>
      <c r="D2295" s="8">
        <v>5</v>
      </c>
      <c r="E2295" s="11">
        <v>43111</v>
      </c>
      <c r="F2295" s="8" t="s">
        <v>58</v>
      </c>
      <c r="G2295" s="11">
        <v>43115</v>
      </c>
      <c r="H2295" s="8" t="s">
        <v>25</v>
      </c>
      <c r="I2295" s="11">
        <v>43115</v>
      </c>
      <c r="J2295" s="8" t="s">
        <v>25</v>
      </c>
      <c r="N2295" s="8" t="s">
        <v>58</v>
      </c>
      <c r="O2295" s="8" t="s">
        <v>59</v>
      </c>
      <c r="P2295" s="8" t="s">
        <v>59</v>
      </c>
      <c r="R2295" s="8">
        <v>0</v>
      </c>
      <c r="S2295" s="8">
        <v>0</v>
      </c>
      <c r="T2295" s="8">
        <v>1</v>
      </c>
      <c r="U2295" s="8">
        <v>2</v>
      </c>
      <c r="X2295" s="8">
        <v>5</v>
      </c>
      <c r="AG2295" s="8" t="str">
        <f t="shared" si="141"/>
        <v/>
      </c>
      <c r="AI2295" s="8" t="str">
        <f t="shared" si="142"/>
        <v/>
      </c>
      <c r="AJ2295" s="8" t="str">
        <f t="shared" si="143"/>
        <v/>
      </c>
      <c r="AL2295" s="8" t="str">
        <f t="shared" si="144"/>
        <v/>
      </c>
    </row>
    <row r="2296" spans="1:38" x14ac:dyDescent="0.25">
      <c r="A2296" s="8" t="s">
        <v>7446</v>
      </c>
      <c r="B2296" s="8" t="s">
        <v>7447</v>
      </c>
      <c r="C2296" s="8">
        <v>30895593</v>
      </c>
      <c r="D2296" s="8">
        <v>5</v>
      </c>
      <c r="E2296" s="11">
        <v>43111</v>
      </c>
      <c r="F2296" s="8" t="s">
        <v>57</v>
      </c>
      <c r="G2296" s="11">
        <v>43115</v>
      </c>
      <c r="H2296" s="8" t="s">
        <v>25</v>
      </c>
      <c r="J2296" s="8" t="s">
        <v>25</v>
      </c>
      <c r="N2296" s="8" t="s">
        <v>58</v>
      </c>
      <c r="O2296" s="8" t="s">
        <v>59</v>
      </c>
      <c r="P2296" s="8" t="s">
        <v>59</v>
      </c>
      <c r="R2296" s="8">
        <v>0</v>
      </c>
      <c r="S2296" s="8">
        <v>0</v>
      </c>
      <c r="T2296" s="8">
        <v>1</v>
      </c>
      <c r="U2296" s="8">
        <v>2</v>
      </c>
      <c r="AG2296" s="8" t="str">
        <f t="shared" si="141"/>
        <v/>
      </c>
      <c r="AI2296" s="8" t="str">
        <f t="shared" si="142"/>
        <v/>
      </c>
      <c r="AJ2296" s="8" t="str">
        <f t="shared" si="143"/>
        <v/>
      </c>
      <c r="AL2296" s="8" t="str">
        <f t="shared" si="144"/>
        <v/>
      </c>
    </row>
    <row r="2297" spans="1:38" x14ac:dyDescent="0.25">
      <c r="A2297" s="8" t="s">
        <v>4049</v>
      </c>
      <c r="B2297" s="8" t="s">
        <v>4050</v>
      </c>
      <c r="C2297" s="8">
        <v>30902884</v>
      </c>
      <c r="D2297" s="8">
        <v>5</v>
      </c>
      <c r="E2297" s="11">
        <v>43111</v>
      </c>
      <c r="F2297" s="8" t="s">
        <v>57</v>
      </c>
      <c r="G2297" s="11">
        <v>43111</v>
      </c>
      <c r="H2297" s="8" t="s">
        <v>25</v>
      </c>
      <c r="J2297" s="8" t="s">
        <v>25</v>
      </c>
      <c r="N2297" s="8" t="s">
        <v>58</v>
      </c>
      <c r="O2297" s="8" t="s">
        <v>59</v>
      </c>
      <c r="P2297" s="8" t="s">
        <v>59</v>
      </c>
      <c r="R2297" s="8">
        <v>0</v>
      </c>
      <c r="S2297" s="8">
        <v>0</v>
      </c>
      <c r="T2297" s="8">
        <v>1</v>
      </c>
      <c r="U2297" s="8">
        <v>2</v>
      </c>
      <c r="AG2297" s="8" t="str">
        <f t="shared" si="141"/>
        <v/>
      </c>
      <c r="AI2297" s="8" t="str">
        <f t="shared" si="142"/>
        <v/>
      </c>
      <c r="AJ2297" s="8" t="str">
        <f t="shared" si="143"/>
        <v/>
      </c>
      <c r="AL2297" s="8" t="str">
        <f t="shared" si="144"/>
        <v/>
      </c>
    </row>
    <row r="2298" spans="1:38" x14ac:dyDescent="0.25">
      <c r="A2298" s="8" t="s">
        <v>2560</v>
      </c>
      <c r="B2298" s="8" t="s">
        <v>2561</v>
      </c>
      <c r="C2298" s="8">
        <v>30856593</v>
      </c>
      <c r="D2298" s="8">
        <v>5</v>
      </c>
      <c r="E2298" s="11">
        <v>43110</v>
      </c>
      <c r="F2298" s="8" t="s">
        <v>57</v>
      </c>
      <c r="G2298" s="11">
        <v>43110</v>
      </c>
      <c r="H2298" s="8" t="s">
        <v>25</v>
      </c>
      <c r="J2298" s="8" t="s">
        <v>25</v>
      </c>
      <c r="N2298" s="8" t="s">
        <v>58</v>
      </c>
      <c r="O2298" s="8" t="s">
        <v>59</v>
      </c>
      <c r="P2298" s="8" t="s">
        <v>59</v>
      </c>
      <c r="R2298" s="8">
        <v>0</v>
      </c>
      <c r="S2298" s="8">
        <v>0</v>
      </c>
      <c r="T2298" s="8">
        <v>1</v>
      </c>
      <c r="U2298" s="8">
        <v>2</v>
      </c>
      <c r="AG2298" s="8" t="str">
        <f t="shared" si="141"/>
        <v/>
      </c>
      <c r="AI2298" s="8" t="str">
        <f t="shared" si="142"/>
        <v/>
      </c>
      <c r="AJ2298" s="8" t="str">
        <f t="shared" si="143"/>
        <v/>
      </c>
      <c r="AL2298" s="8" t="str">
        <f t="shared" si="144"/>
        <v/>
      </c>
    </row>
    <row r="2299" spans="1:38" x14ac:dyDescent="0.25">
      <c r="A2299" s="8" t="s">
        <v>5683</v>
      </c>
      <c r="B2299" s="8" t="s">
        <v>5684</v>
      </c>
      <c r="C2299" s="8">
        <v>30865071</v>
      </c>
      <c r="D2299" s="8">
        <v>5</v>
      </c>
      <c r="E2299" s="11">
        <v>43110</v>
      </c>
      <c r="F2299" s="8" t="s">
        <v>57</v>
      </c>
      <c r="G2299" s="11">
        <v>43112</v>
      </c>
      <c r="H2299" s="8" t="s">
        <v>25</v>
      </c>
      <c r="J2299" s="8" t="s">
        <v>25</v>
      </c>
      <c r="N2299" s="8" t="s">
        <v>58</v>
      </c>
      <c r="O2299" s="8" t="s">
        <v>59</v>
      </c>
      <c r="P2299" s="8" t="s">
        <v>59</v>
      </c>
      <c r="R2299" s="8">
        <v>0</v>
      </c>
      <c r="S2299" s="8">
        <v>0</v>
      </c>
      <c r="T2299" s="8">
        <v>1</v>
      </c>
      <c r="U2299" s="8">
        <v>2</v>
      </c>
      <c r="AG2299" s="8" t="str">
        <f t="shared" si="141"/>
        <v/>
      </c>
      <c r="AI2299" s="8" t="str">
        <f t="shared" si="142"/>
        <v/>
      </c>
      <c r="AJ2299" s="8" t="str">
        <f t="shared" si="143"/>
        <v/>
      </c>
      <c r="AL2299" s="8" t="str">
        <f t="shared" si="144"/>
        <v/>
      </c>
    </row>
    <row r="2300" spans="1:38" x14ac:dyDescent="0.25">
      <c r="A2300" s="8" t="s">
        <v>7448</v>
      </c>
      <c r="B2300" s="8" t="s">
        <v>7449</v>
      </c>
      <c r="C2300" s="8">
        <v>30900647</v>
      </c>
      <c r="D2300" s="8">
        <v>5</v>
      </c>
      <c r="E2300" s="11">
        <v>43111</v>
      </c>
      <c r="F2300" s="8" t="s">
        <v>57</v>
      </c>
      <c r="G2300" s="11">
        <v>43115</v>
      </c>
      <c r="H2300" s="8" t="s">
        <v>25</v>
      </c>
      <c r="J2300" s="8" t="s">
        <v>25</v>
      </c>
      <c r="N2300" s="8" t="s">
        <v>58</v>
      </c>
      <c r="O2300" s="8" t="s">
        <v>59</v>
      </c>
      <c r="P2300" s="8" t="s">
        <v>59</v>
      </c>
      <c r="R2300" s="8">
        <v>0</v>
      </c>
      <c r="S2300" s="8">
        <v>0</v>
      </c>
      <c r="T2300" s="8">
        <v>1</v>
      </c>
      <c r="U2300" s="8">
        <v>2</v>
      </c>
      <c r="AG2300" s="8" t="str">
        <f t="shared" si="141"/>
        <v/>
      </c>
      <c r="AI2300" s="8" t="str">
        <f t="shared" si="142"/>
        <v/>
      </c>
      <c r="AJ2300" s="8" t="str">
        <f t="shared" si="143"/>
        <v/>
      </c>
      <c r="AL2300" s="8" t="str">
        <f t="shared" si="144"/>
        <v/>
      </c>
    </row>
    <row r="2301" spans="1:38" x14ac:dyDescent="0.25">
      <c r="A2301" s="8" t="s">
        <v>5685</v>
      </c>
      <c r="B2301" s="8" t="s">
        <v>122</v>
      </c>
      <c r="C2301" s="8">
        <v>30913118</v>
      </c>
      <c r="D2301" s="8">
        <v>5</v>
      </c>
      <c r="E2301" s="11">
        <v>43112</v>
      </c>
      <c r="F2301" s="8" t="s">
        <v>57</v>
      </c>
      <c r="G2301" s="11">
        <v>43112</v>
      </c>
      <c r="H2301" s="8" t="s">
        <v>25</v>
      </c>
      <c r="J2301" s="8" t="s">
        <v>25</v>
      </c>
      <c r="N2301" s="8" t="s">
        <v>58</v>
      </c>
      <c r="O2301" s="8" t="s">
        <v>59</v>
      </c>
      <c r="P2301" s="8" t="s">
        <v>59</v>
      </c>
      <c r="R2301" s="8">
        <v>0</v>
      </c>
      <c r="S2301" s="8">
        <v>0</v>
      </c>
      <c r="T2301" s="8">
        <v>1</v>
      </c>
      <c r="U2301" s="8">
        <v>2</v>
      </c>
      <c r="AG2301" s="8" t="str">
        <f t="shared" si="141"/>
        <v/>
      </c>
      <c r="AI2301" s="8" t="str">
        <f t="shared" si="142"/>
        <v/>
      </c>
      <c r="AJ2301" s="8" t="str">
        <f t="shared" si="143"/>
        <v/>
      </c>
      <c r="AL2301" s="8" t="str">
        <f t="shared" si="144"/>
        <v/>
      </c>
    </row>
    <row r="2302" spans="1:38" x14ac:dyDescent="0.25">
      <c r="A2302" s="8" t="s">
        <v>5686</v>
      </c>
      <c r="B2302" s="8" t="s">
        <v>5687</v>
      </c>
      <c r="C2302" s="8">
        <v>30865157</v>
      </c>
      <c r="D2302" s="8">
        <v>5</v>
      </c>
      <c r="E2302" s="11">
        <v>43110</v>
      </c>
      <c r="F2302" s="8" t="s">
        <v>57</v>
      </c>
      <c r="G2302" s="11">
        <v>43112</v>
      </c>
      <c r="H2302" s="8" t="s">
        <v>25</v>
      </c>
      <c r="J2302" s="8" t="s">
        <v>25</v>
      </c>
      <c r="N2302" s="8" t="s">
        <v>58</v>
      </c>
      <c r="O2302" s="8" t="s">
        <v>59</v>
      </c>
      <c r="P2302" s="8" t="s">
        <v>59</v>
      </c>
      <c r="R2302" s="8">
        <v>0</v>
      </c>
      <c r="S2302" s="8">
        <v>0</v>
      </c>
      <c r="T2302" s="8">
        <v>1</v>
      </c>
      <c r="U2302" s="8">
        <v>2</v>
      </c>
      <c r="AG2302" s="8" t="str">
        <f t="shared" si="141"/>
        <v/>
      </c>
      <c r="AI2302" s="8" t="str">
        <f t="shared" si="142"/>
        <v/>
      </c>
      <c r="AJ2302" s="8" t="str">
        <f t="shared" si="143"/>
        <v/>
      </c>
      <c r="AL2302" s="8" t="str">
        <f t="shared" si="144"/>
        <v/>
      </c>
    </row>
    <row r="2303" spans="1:38" x14ac:dyDescent="0.25">
      <c r="A2303" s="8" t="s">
        <v>1334</v>
      </c>
      <c r="B2303" s="8" t="s">
        <v>1335</v>
      </c>
      <c r="C2303" s="8">
        <v>30846634</v>
      </c>
      <c r="D2303" s="8">
        <v>5</v>
      </c>
      <c r="E2303" s="11">
        <v>43109</v>
      </c>
      <c r="F2303" s="8" t="s">
        <v>57</v>
      </c>
      <c r="G2303" s="11">
        <v>43109</v>
      </c>
      <c r="H2303" s="8" t="s">
        <v>25</v>
      </c>
      <c r="J2303" s="8" t="s">
        <v>25</v>
      </c>
      <c r="N2303" s="8" t="s">
        <v>58</v>
      </c>
      <c r="O2303" s="8" t="s">
        <v>59</v>
      </c>
      <c r="P2303" s="8" t="s">
        <v>59</v>
      </c>
      <c r="R2303" s="8">
        <v>0</v>
      </c>
      <c r="S2303" s="8">
        <v>0</v>
      </c>
      <c r="T2303" s="8">
        <v>1</v>
      </c>
      <c r="U2303" s="8">
        <v>2</v>
      </c>
      <c r="AG2303" s="8" t="str">
        <f t="shared" si="141"/>
        <v/>
      </c>
      <c r="AI2303" s="8" t="str">
        <f t="shared" si="142"/>
        <v/>
      </c>
      <c r="AJ2303" s="8" t="str">
        <f t="shared" si="143"/>
        <v/>
      </c>
      <c r="AL2303" s="8" t="str">
        <f t="shared" si="144"/>
        <v/>
      </c>
    </row>
    <row r="2304" spans="1:38" x14ac:dyDescent="0.25">
      <c r="A2304" s="8" t="s">
        <v>5688</v>
      </c>
      <c r="B2304" s="8" t="s">
        <v>5689</v>
      </c>
      <c r="C2304" s="8">
        <v>30865693</v>
      </c>
      <c r="D2304" s="8">
        <v>5</v>
      </c>
      <c r="E2304" s="11">
        <v>43110</v>
      </c>
      <c r="F2304" s="8" t="s">
        <v>58</v>
      </c>
      <c r="G2304" s="11">
        <v>43112</v>
      </c>
      <c r="H2304" s="8" t="s">
        <v>25</v>
      </c>
      <c r="I2304" s="11">
        <v>43112</v>
      </c>
      <c r="J2304" s="8" t="s">
        <v>25</v>
      </c>
      <c r="N2304" s="8" t="s">
        <v>58</v>
      </c>
      <c r="O2304" s="8" t="s">
        <v>59</v>
      </c>
      <c r="P2304" s="8" t="s">
        <v>59</v>
      </c>
      <c r="R2304" s="8">
        <v>0</v>
      </c>
      <c r="S2304" s="8">
        <v>0</v>
      </c>
      <c r="T2304" s="8">
        <v>1</v>
      </c>
      <c r="U2304" s="8">
        <v>2</v>
      </c>
      <c r="X2304" s="8">
        <v>5</v>
      </c>
      <c r="AG2304" s="8" t="str">
        <f t="shared" si="141"/>
        <v/>
      </c>
      <c r="AI2304" s="8" t="str">
        <f t="shared" si="142"/>
        <v/>
      </c>
      <c r="AJ2304" s="8" t="str">
        <f t="shared" si="143"/>
        <v/>
      </c>
      <c r="AL2304" s="8" t="str">
        <f t="shared" si="144"/>
        <v/>
      </c>
    </row>
    <row r="2305" spans="1:38" x14ac:dyDescent="0.25">
      <c r="A2305" s="8" t="s">
        <v>519</v>
      </c>
      <c r="B2305" s="8" t="s">
        <v>520</v>
      </c>
      <c r="C2305" s="8">
        <v>30810996</v>
      </c>
      <c r="D2305" s="8">
        <v>5</v>
      </c>
      <c r="E2305" s="11">
        <v>43108</v>
      </c>
      <c r="F2305" s="8" t="s">
        <v>57</v>
      </c>
      <c r="G2305" s="11">
        <v>43108</v>
      </c>
      <c r="H2305" s="8" t="s">
        <v>25</v>
      </c>
      <c r="J2305" s="8" t="s">
        <v>25</v>
      </c>
      <c r="N2305" s="8" t="s">
        <v>58</v>
      </c>
      <c r="O2305" s="8" t="s">
        <v>59</v>
      </c>
      <c r="P2305" s="8" t="s">
        <v>59</v>
      </c>
      <c r="R2305" s="8">
        <v>0</v>
      </c>
      <c r="S2305" s="8">
        <v>0</v>
      </c>
      <c r="T2305" s="8">
        <v>1</v>
      </c>
      <c r="U2305" s="8">
        <v>2</v>
      </c>
      <c r="AG2305" s="8" t="str">
        <f t="shared" si="141"/>
        <v/>
      </c>
      <c r="AI2305" s="8" t="str">
        <f t="shared" si="142"/>
        <v/>
      </c>
      <c r="AJ2305" s="8" t="str">
        <f t="shared" si="143"/>
        <v/>
      </c>
      <c r="AL2305" s="8" t="str">
        <f t="shared" si="144"/>
        <v/>
      </c>
    </row>
    <row r="2306" spans="1:38" x14ac:dyDescent="0.25">
      <c r="A2306" s="8" t="s">
        <v>7450</v>
      </c>
      <c r="B2306" s="8" t="s">
        <v>7451</v>
      </c>
      <c r="C2306" s="8">
        <v>30930590</v>
      </c>
      <c r="D2306" s="8">
        <v>5</v>
      </c>
      <c r="E2306" s="11">
        <v>43115</v>
      </c>
      <c r="F2306" s="8" t="s">
        <v>57</v>
      </c>
      <c r="G2306" s="11">
        <v>43115</v>
      </c>
      <c r="H2306" s="8" t="s">
        <v>25</v>
      </c>
      <c r="J2306" s="8" t="s">
        <v>25</v>
      </c>
      <c r="N2306" s="8" t="s">
        <v>58</v>
      </c>
      <c r="O2306" s="8" t="s">
        <v>59</v>
      </c>
      <c r="P2306" s="8" t="s">
        <v>59</v>
      </c>
      <c r="R2306" s="8">
        <v>0</v>
      </c>
      <c r="S2306" s="8">
        <v>0</v>
      </c>
      <c r="T2306" s="8">
        <v>1</v>
      </c>
      <c r="U2306" s="8">
        <v>2</v>
      </c>
      <c r="AG2306" s="8" t="str">
        <f t="shared" si="141"/>
        <v/>
      </c>
      <c r="AI2306" s="8" t="str">
        <f t="shared" si="142"/>
        <v/>
      </c>
      <c r="AJ2306" s="8" t="str">
        <f t="shared" si="143"/>
        <v/>
      </c>
      <c r="AL2306" s="8" t="str">
        <f t="shared" si="144"/>
        <v/>
      </c>
    </row>
    <row r="2307" spans="1:38" x14ac:dyDescent="0.25">
      <c r="A2307" s="8" t="s">
        <v>4051</v>
      </c>
      <c r="B2307" s="8" t="s">
        <v>4052</v>
      </c>
      <c r="C2307" s="8">
        <v>30882771</v>
      </c>
      <c r="D2307" s="8">
        <v>5</v>
      </c>
      <c r="E2307" s="11">
        <v>43111</v>
      </c>
      <c r="F2307" s="8" t="s">
        <v>57</v>
      </c>
      <c r="G2307" s="11">
        <v>43111</v>
      </c>
      <c r="H2307" s="8" t="s">
        <v>25</v>
      </c>
      <c r="J2307" s="8" t="s">
        <v>25</v>
      </c>
      <c r="N2307" s="8" t="s">
        <v>58</v>
      </c>
      <c r="O2307" s="8" t="s">
        <v>59</v>
      </c>
      <c r="P2307" s="8" t="s">
        <v>59</v>
      </c>
      <c r="R2307" s="8">
        <v>0</v>
      </c>
      <c r="S2307" s="8">
        <v>0</v>
      </c>
      <c r="T2307" s="8">
        <v>1</v>
      </c>
      <c r="U2307" s="8">
        <v>2</v>
      </c>
      <c r="AG2307" s="8" t="str">
        <f t="shared" ref="AG2307:AG2370" si="145">IF(AND(U2307="",G2307&lt;&gt;"",NOT(OR(R2307,S2307))),IF(NETWORKDAYS.INTL(G2307,TODAY(),11)&lt;5,"En Plazo",IF(NETWORKDAYS.INTL(G2307,TODAY(),11)=5,"Riesgo Incumplimiento","FALTA_02")),"")</f>
        <v/>
      </c>
      <c r="AI2307" s="8" t="str">
        <f t="shared" ref="AI2307:AI2370" si="146">IF(AND(O2307&lt;&gt;"B1",F2307="Rejected"),IF(W2307="","FALTA_04",""),"")</f>
        <v/>
      </c>
      <c r="AJ2307" s="8" t="str">
        <f t="shared" ref="AJ2307:AJ2370" si="147">IF(AND(X2307="",I2307&lt;&gt;"",NOT(OR(R2307,S2307))),IF(NETWORKDAYS.INTL(G2307,TODAY(),11)&lt;=1,"En Plazo",IF(OR(AND(X2307="",O2307&lt;&gt;"M1"),AND(O2307="M1",(OR(Q2307="S - S",Q2307="S - T",)))),"FALTA_05","")),"")</f>
        <v/>
      </c>
      <c r="AL2307" s="8" t="str">
        <f t="shared" ref="AL2307:AL2370" si="148">IF(AND(O2307="B1",F2307="Rejected"),IF(Z2307="","FALTA_07",""),"")</f>
        <v/>
      </c>
    </row>
    <row r="2308" spans="1:38" x14ac:dyDescent="0.25">
      <c r="A2308" s="8" t="s">
        <v>1336</v>
      </c>
      <c r="B2308" s="8" t="s">
        <v>1337</v>
      </c>
      <c r="C2308" s="8">
        <v>30839756</v>
      </c>
      <c r="D2308" s="8">
        <v>5</v>
      </c>
      <c r="E2308" s="11">
        <v>43109</v>
      </c>
      <c r="F2308" s="8" t="s">
        <v>57</v>
      </c>
      <c r="G2308" s="11">
        <v>43109</v>
      </c>
      <c r="H2308" s="8" t="s">
        <v>25</v>
      </c>
      <c r="J2308" s="8" t="s">
        <v>25</v>
      </c>
      <c r="N2308" s="8" t="s">
        <v>58</v>
      </c>
      <c r="O2308" s="8" t="s">
        <v>59</v>
      </c>
      <c r="P2308" s="8" t="s">
        <v>59</v>
      </c>
      <c r="R2308" s="8">
        <v>0</v>
      </c>
      <c r="S2308" s="8">
        <v>0</v>
      </c>
      <c r="T2308" s="8">
        <v>1</v>
      </c>
      <c r="U2308" s="8">
        <v>2</v>
      </c>
      <c r="AG2308" s="8" t="str">
        <f t="shared" si="145"/>
        <v/>
      </c>
      <c r="AI2308" s="8" t="str">
        <f t="shared" si="146"/>
        <v/>
      </c>
      <c r="AJ2308" s="8" t="str">
        <f t="shared" si="147"/>
        <v/>
      </c>
      <c r="AL2308" s="8" t="str">
        <f t="shared" si="148"/>
        <v/>
      </c>
    </row>
    <row r="2309" spans="1:38" x14ac:dyDescent="0.25">
      <c r="A2309" s="8" t="s">
        <v>2562</v>
      </c>
      <c r="B2309" s="8" t="s">
        <v>2563</v>
      </c>
      <c r="C2309" s="8">
        <v>30807045</v>
      </c>
      <c r="D2309" s="8">
        <v>5</v>
      </c>
      <c r="E2309" s="11">
        <v>43108</v>
      </c>
      <c r="F2309" s="8" t="s">
        <v>58</v>
      </c>
      <c r="G2309" s="11">
        <v>43110</v>
      </c>
      <c r="H2309" s="8" t="s">
        <v>25</v>
      </c>
      <c r="I2309" s="11">
        <v>43112</v>
      </c>
      <c r="J2309" s="8" t="s">
        <v>25</v>
      </c>
      <c r="N2309" s="8" t="s">
        <v>58</v>
      </c>
      <c r="O2309" s="8" t="s">
        <v>59</v>
      </c>
      <c r="P2309" s="8" t="s">
        <v>59</v>
      </c>
      <c r="R2309" s="8">
        <v>0</v>
      </c>
      <c r="S2309" s="8">
        <v>0</v>
      </c>
      <c r="T2309" s="8">
        <v>1</v>
      </c>
      <c r="U2309" s="8">
        <v>2</v>
      </c>
      <c r="X2309" s="8">
        <v>5</v>
      </c>
      <c r="AG2309" s="8" t="str">
        <f t="shared" si="145"/>
        <v/>
      </c>
      <c r="AI2309" s="8" t="str">
        <f t="shared" si="146"/>
        <v/>
      </c>
      <c r="AJ2309" s="8" t="str">
        <f t="shared" si="147"/>
        <v/>
      </c>
      <c r="AL2309" s="8" t="str">
        <f t="shared" si="148"/>
        <v/>
      </c>
    </row>
    <row r="2310" spans="1:38" x14ac:dyDescent="0.25">
      <c r="A2310" s="8" t="s">
        <v>4053</v>
      </c>
      <c r="B2310" s="8" t="s">
        <v>4054</v>
      </c>
      <c r="C2310" s="8">
        <v>30843978</v>
      </c>
      <c r="D2310" s="8">
        <v>5</v>
      </c>
      <c r="E2310" s="11">
        <v>43109</v>
      </c>
      <c r="F2310" s="8" t="s">
        <v>58</v>
      </c>
      <c r="G2310" s="11">
        <v>43111</v>
      </c>
      <c r="H2310" s="8" t="s">
        <v>25</v>
      </c>
      <c r="I2310" s="11">
        <v>43112</v>
      </c>
      <c r="J2310" s="8" t="s">
        <v>25</v>
      </c>
      <c r="N2310" s="8" t="s">
        <v>58</v>
      </c>
      <c r="O2310" s="8" t="s">
        <v>59</v>
      </c>
      <c r="P2310" s="8" t="s">
        <v>59</v>
      </c>
      <c r="R2310" s="8">
        <v>0</v>
      </c>
      <c r="S2310" s="8">
        <v>0</v>
      </c>
      <c r="T2310" s="8">
        <v>1</v>
      </c>
      <c r="U2310" s="8">
        <v>2</v>
      </c>
      <c r="X2310" s="8">
        <v>5</v>
      </c>
      <c r="AG2310" s="8" t="str">
        <f t="shared" si="145"/>
        <v/>
      </c>
      <c r="AI2310" s="8" t="str">
        <f t="shared" si="146"/>
        <v/>
      </c>
      <c r="AJ2310" s="8" t="str">
        <f t="shared" si="147"/>
        <v/>
      </c>
      <c r="AL2310" s="8" t="str">
        <f t="shared" si="148"/>
        <v/>
      </c>
    </row>
    <row r="2311" spans="1:38" x14ac:dyDescent="0.25">
      <c r="A2311" s="8" t="s">
        <v>2564</v>
      </c>
      <c r="B2311" s="8" t="s">
        <v>104</v>
      </c>
      <c r="C2311" s="8">
        <v>30876095</v>
      </c>
      <c r="D2311" s="8">
        <v>5</v>
      </c>
      <c r="E2311" s="11">
        <v>43110</v>
      </c>
      <c r="F2311" s="8" t="s">
        <v>58</v>
      </c>
      <c r="G2311" s="11">
        <v>43110</v>
      </c>
      <c r="H2311" s="8" t="s">
        <v>25</v>
      </c>
      <c r="I2311" s="11">
        <v>43115</v>
      </c>
      <c r="J2311" s="8" t="s">
        <v>145</v>
      </c>
      <c r="N2311" s="8" t="s">
        <v>58</v>
      </c>
      <c r="O2311" s="8" t="s">
        <v>59</v>
      </c>
      <c r="P2311" s="8" t="s">
        <v>59</v>
      </c>
      <c r="R2311" s="8">
        <v>0</v>
      </c>
      <c r="S2311" s="8">
        <v>0</v>
      </c>
      <c r="T2311" s="8">
        <v>1</v>
      </c>
      <c r="U2311" s="8">
        <v>2</v>
      </c>
      <c r="X2311" s="8">
        <v>5</v>
      </c>
      <c r="AG2311" s="8" t="str">
        <f t="shared" si="145"/>
        <v/>
      </c>
      <c r="AI2311" s="8" t="str">
        <f t="shared" si="146"/>
        <v/>
      </c>
      <c r="AJ2311" s="8" t="str">
        <f t="shared" si="147"/>
        <v/>
      </c>
      <c r="AL2311" s="8" t="str">
        <f t="shared" si="148"/>
        <v/>
      </c>
    </row>
    <row r="2312" spans="1:38" x14ac:dyDescent="0.25">
      <c r="A2312" s="8" t="s">
        <v>2565</v>
      </c>
      <c r="B2312" s="8" t="s">
        <v>2566</v>
      </c>
      <c r="C2312" s="8">
        <v>30867270</v>
      </c>
      <c r="D2312" s="8">
        <v>5</v>
      </c>
      <c r="E2312" s="11">
        <v>43110</v>
      </c>
      <c r="F2312" s="8" t="s">
        <v>58</v>
      </c>
      <c r="G2312" s="11">
        <v>43110</v>
      </c>
      <c r="H2312" s="8" t="s">
        <v>25</v>
      </c>
      <c r="I2312" s="11">
        <v>43115</v>
      </c>
      <c r="J2312" s="8" t="s">
        <v>145</v>
      </c>
      <c r="N2312" s="8" t="s">
        <v>58</v>
      </c>
      <c r="O2312" s="8" t="s">
        <v>59</v>
      </c>
      <c r="P2312" s="8" t="s">
        <v>59</v>
      </c>
      <c r="R2312" s="8">
        <v>0</v>
      </c>
      <c r="S2312" s="8">
        <v>0</v>
      </c>
      <c r="T2312" s="8">
        <v>1</v>
      </c>
      <c r="U2312" s="8">
        <v>2</v>
      </c>
      <c r="X2312" s="8">
        <v>5</v>
      </c>
      <c r="AG2312" s="8" t="str">
        <f t="shared" si="145"/>
        <v/>
      </c>
      <c r="AI2312" s="8" t="str">
        <f t="shared" si="146"/>
        <v/>
      </c>
      <c r="AJ2312" s="8" t="str">
        <f t="shared" si="147"/>
        <v/>
      </c>
      <c r="AL2312" s="8" t="str">
        <f t="shared" si="148"/>
        <v/>
      </c>
    </row>
    <row r="2313" spans="1:38" x14ac:dyDescent="0.25">
      <c r="A2313" s="8" t="s">
        <v>2567</v>
      </c>
      <c r="B2313" s="8" t="s">
        <v>2568</v>
      </c>
      <c r="C2313" s="8">
        <v>30827779</v>
      </c>
      <c r="D2313" s="8">
        <v>5</v>
      </c>
      <c r="E2313" s="11">
        <v>43108</v>
      </c>
      <c r="F2313" s="8" t="s">
        <v>58</v>
      </c>
      <c r="G2313" s="11">
        <v>43110</v>
      </c>
      <c r="H2313" s="8" t="s">
        <v>25</v>
      </c>
      <c r="I2313" s="11">
        <v>43112</v>
      </c>
      <c r="J2313" s="8" t="s">
        <v>25</v>
      </c>
      <c r="N2313" s="8" t="s">
        <v>58</v>
      </c>
      <c r="O2313" s="8" t="s">
        <v>59</v>
      </c>
      <c r="P2313" s="8" t="s">
        <v>59</v>
      </c>
      <c r="R2313" s="8">
        <v>0</v>
      </c>
      <c r="S2313" s="8">
        <v>0</v>
      </c>
      <c r="T2313" s="8">
        <v>1</v>
      </c>
      <c r="U2313" s="8">
        <v>2</v>
      </c>
      <c r="X2313" s="8">
        <v>5</v>
      </c>
      <c r="AG2313" s="8" t="str">
        <f t="shared" si="145"/>
        <v/>
      </c>
      <c r="AI2313" s="8" t="str">
        <f t="shared" si="146"/>
        <v/>
      </c>
      <c r="AJ2313" s="8" t="str">
        <f t="shared" si="147"/>
        <v/>
      </c>
      <c r="AL2313" s="8" t="str">
        <f t="shared" si="148"/>
        <v/>
      </c>
    </row>
    <row r="2314" spans="1:38" x14ac:dyDescent="0.25">
      <c r="A2314" s="8" t="s">
        <v>2569</v>
      </c>
      <c r="B2314" s="8" t="s">
        <v>2570</v>
      </c>
      <c r="C2314" s="8">
        <v>30819067</v>
      </c>
      <c r="D2314" s="8">
        <v>5</v>
      </c>
      <c r="E2314" s="11">
        <v>43108</v>
      </c>
      <c r="F2314" s="8" t="s">
        <v>57</v>
      </c>
      <c r="G2314" s="11">
        <v>43110</v>
      </c>
      <c r="H2314" s="8" t="s">
        <v>25</v>
      </c>
      <c r="J2314" s="8" t="s">
        <v>25</v>
      </c>
      <c r="N2314" s="8" t="s">
        <v>58</v>
      </c>
      <c r="O2314" s="8" t="s">
        <v>59</v>
      </c>
      <c r="P2314" s="8" t="s">
        <v>59</v>
      </c>
      <c r="R2314" s="8">
        <v>0</v>
      </c>
      <c r="S2314" s="8">
        <v>0</v>
      </c>
      <c r="T2314" s="8">
        <v>1</v>
      </c>
      <c r="U2314" s="8">
        <v>2</v>
      </c>
      <c r="AG2314" s="8" t="str">
        <f t="shared" si="145"/>
        <v/>
      </c>
      <c r="AI2314" s="8" t="str">
        <f t="shared" si="146"/>
        <v/>
      </c>
      <c r="AJ2314" s="8" t="str">
        <f t="shared" si="147"/>
        <v/>
      </c>
      <c r="AL2314" s="8" t="str">
        <f t="shared" si="148"/>
        <v/>
      </c>
    </row>
    <row r="2315" spans="1:38" x14ac:dyDescent="0.25">
      <c r="A2315" s="8" t="s">
        <v>4055</v>
      </c>
      <c r="B2315" s="8" t="s">
        <v>4056</v>
      </c>
      <c r="C2315" s="8">
        <v>30845164</v>
      </c>
      <c r="D2315" s="8">
        <v>5</v>
      </c>
      <c r="E2315" s="11">
        <v>43109</v>
      </c>
      <c r="F2315" s="8" t="s">
        <v>58</v>
      </c>
      <c r="G2315" s="11">
        <v>43111</v>
      </c>
      <c r="H2315" s="8" t="s">
        <v>25</v>
      </c>
      <c r="I2315" s="11">
        <v>43111</v>
      </c>
      <c r="J2315" s="8" t="s">
        <v>25</v>
      </c>
      <c r="N2315" s="8" t="s">
        <v>58</v>
      </c>
      <c r="O2315" s="8" t="s">
        <v>59</v>
      </c>
      <c r="P2315" s="8" t="s">
        <v>59</v>
      </c>
      <c r="R2315" s="8">
        <v>0</v>
      </c>
      <c r="S2315" s="8">
        <v>0</v>
      </c>
      <c r="T2315" s="8">
        <v>1</v>
      </c>
      <c r="U2315" s="8">
        <v>2</v>
      </c>
      <c r="X2315" s="8">
        <v>5</v>
      </c>
      <c r="AG2315" s="8" t="str">
        <f t="shared" si="145"/>
        <v/>
      </c>
      <c r="AI2315" s="8" t="str">
        <f t="shared" si="146"/>
        <v/>
      </c>
      <c r="AJ2315" s="8" t="str">
        <f t="shared" si="147"/>
        <v/>
      </c>
      <c r="AL2315" s="8" t="str">
        <f t="shared" si="148"/>
        <v/>
      </c>
    </row>
    <row r="2316" spans="1:38" x14ac:dyDescent="0.25">
      <c r="A2316" s="8" t="s">
        <v>5690</v>
      </c>
      <c r="B2316" s="8" t="s">
        <v>5691</v>
      </c>
      <c r="C2316" s="8">
        <v>30889606</v>
      </c>
      <c r="D2316" s="8">
        <v>5</v>
      </c>
      <c r="E2316" s="11">
        <v>43111</v>
      </c>
      <c r="F2316" s="8" t="s">
        <v>57</v>
      </c>
      <c r="G2316" s="11">
        <v>43112</v>
      </c>
      <c r="H2316" s="8" t="s">
        <v>25</v>
      </c>
      <c r="J2316" s="8" t="s">
        <v>25</v>
      </c>
      <c r="N2316" s="8" t="s">
        <v>58</v>
      </c>
      <c r="O2316" s="8" t="s">
        <v>59</v>
      </c>
      <c r="P2316" s="8" t="s">
        <v>59</v>
      </c>
      <c r="R2316" s="8">
        <v>0</v>
      </c>
      <c r="S2316" s="8">
        <v>0</v>
      </c>
      <c r="T2316" s="8">
        <v>1</v>
      </c>
      <c r="U2316" s="8">
        <v>2</v>
      </c>
      <c r="AG2316" s="8" t="str">
        <f t="shared" si="145"/>
        <v/>
      </c>
      <c r="AI2316" s="8" t="str">
        <f t="shared" si="146"/>
        <v/>
      </c>
      <c r="AJ2316" s="8" t="str">
        <f t="shared" si="147"/>
        <v/>
      </c>
      <c r="AL2316" s="8" t="str">
        <f t="shared" si="148"/>
        <v/>
      </c>
    </row>
    <row r="2317" spans="1:38" x14ac:dyDescent="0.25">
      <c r="A2317" s="8" t="s">
        <v>5692</v>
      </c>
      <c r="B2317" s="8" t="s">
        <v>5693</v>
      </c>
      <c r="C2317" s="8">
        <v>30862232</v>
      </c>
      <c r="D2317" s="8">
        <v>5</v>
      </c>
      <c r="E2317" s="11">
        <v>43110</v>
      </c>
      <c r="F2317" s="8" t="s">
        <v>57</v>
      </c>
      <c r="G2317" s="11">
        <v>43112</v>
      </c>
      <c r="H2317" s="8" t="s">
        <v>25</v>
      </c>
      <c r="J2317" s="8" t="s">
        <v>25</v>
      </c>
      <c r="N2317" s="8" t="s">
        <v>58</v>
      </c>
      <c r="O2317" s="8" t="s">
        <v>59</v>
      </c>
      <c r="P2317" s="8" t="s">
        <v>59</v>
      </c>
      <c r="R2317" s="8">
        <v>0</v>
      </c>
      <c r="S2317" s="8">
        <v>0</v>
      </c>
      <c r="T2317" s="8">
        <v>1</v>
      </c>
      <c r="U2317" s="8">
        <v>2</v>
      </c>
      <c r="AG2317" s="8" t="str">
        <f t="shared" si="145"/>
        <v/>
      </c>
      <c r="AI2317" s="8" t="str">
        <f t="shared" si="146"/>
        <v/>
      </c>
      <c r="AJ2317" s="8" t="str">
        <f t="shared" si="147"/>
        <v/>
      </c>
      <c r="AL2317" s="8" t="str">
        <f t="shared" si="148"/>
        <v/>
      </c>
    </row>
    <row r="2318" spans="1:38" x14ac:dyDescent="0.25">
      <c r="A2318" s="8" t="s">
        <v>7452</v>
      </c>
      <c r="B2318" s="8" t="s">
        <v>7453</v>
      </c>
      <c r="C2318" s="8">
        <v>30890530</v>
      </c>
      <c r="D2318" s="8">
        <v>5</v>
      </c>
      <c r="E2318" s="11">
        <v>43111</v>
      </c>
      <c r="F2318" s="8" t="s">
        <v>57</v>
      </c>
      <c r="G2318" s="11">
        <v>43115</v>
      </c>
      <c r="H2318" s="8" t="s">
        <v>25</v>
      </c>
      <c r="J2318" s="8" t="s">
        <v>25</v>
      </c>
      <c r="N2318" s="8" t="s">
        <v>58</v>
      </c>
      <c r="O2318" s="8" t="s">
        <v>59</v>
      </c>
      <c r="P2318" s="8" t="s">
        <v>59</v>
      </c>
      <c r="R2318" s="8">
        <v>0</v>
      </c>
      <c r="S2318" s="8">
        <v>0</v>
      </c>
      <c r="T2318" s="8">
        <v>1</v>
      </c>
      <c r="U2318" s="8">
        <v>2</v>
      </c>
      <c r="AG2318" s="8" t="str">
        <f t="shared" si="145"/>
        <v/>
      </c>
      <c r="AI2318" s="8" t="str">
        <f t="shared" si="146"/>
        <v/>
      </c>
      <c r="AJ2318" s="8" t="str">
        <f t="shared" si="147"/>
        <v/>
      </c>
      <c r="AL2318" s="8" t="str">
        <f t="shared" si="148"/>
        <v/>
      </c>
    </row>
    <row r="2319" spans="1:38" x14ac:dyDescent="0.25">
      <c r="A2319" s="8" t="s">
        <v>7454</v>
      </c>
      <c r="B2319" s="8" t="s">
        <v>7455</v>
      </c>
      <c r="C2319" s="8">
        <v>30936629</v>
      </c>
      <c r="D2319" s="8">
        <v>5</v>
      </c>
      <c r="E2319" s="11">
        <v>43115</v>
      </c>
      <c r="F2319" s="8" t="s">
        <v>57</v>
      </c>
      <c r="G2319" s="11">
        <v>43115</v>
      </c>
      <c r="H2319" s="8" t="s">
        <v>25</v>
      </c>
      <c r="J2319" s="8" t="s">
        <v>25</v>
      </c>
      <c r="N2319" s="8" t="s">
        <v>58</v>
      </c>
      <c r="O2319" s="8" t="s">
        <v>59</v>
      </c>
      <c r="P2319" s="8" t="s">
        <v>59</v>
      </c>
      <c r="R2319" s="8">
        <v>0</v>
      </c>
      <c r="S2319" s="8">
        <v>0</v>
      </c>
      <c r="T2319" s="8">
        <v>1</v>
      </c>
      <c r="U2319" s="8">
        <v>2</v>
      </c>
      <c r="AG2319" s="8" t="str">
        <f t="shared" si="145"/>
        <v/>
      </c>
      <c r="AI2319" s="8" t="str">
        <f t="shared" si="146"/>
        <v/>
      </c>
      <c r="AJ2319" s="8" t="str">
        <f t="shared" si="147"/>
        <v/>
      </c>
      <c r="AL2319" s="8" t="str">
        <f t="shared" si="148"/>
        <v/>
      </c>
    </row>
    <row r="2320" spans="1:38" x14ac:dyDescent="0.25">
      <c r="A2320" s="8" t="s">
        <v>7456</v>
      </c>
      <c r="B2320" s="8" t="s">
        <v>7457</v>
      </c>
      <c r="C2320" s="8">
        <v>30936759</v>
      </c>
      <c r="D2320" s="8">
        <v>5</v>
      </c>
      <c r="E2320" s="11">
        <v>43115</v>
      </c>
      <c r="F2320" s="8" t="s">
        <v>57</v>
      </c>
      <c r="G2320" s="11">
        <v>43115</v>
      </c>
      <c r="H2320" s="8" t="s">
        <v>25</v>
      </c>
      <c r="J2320" s="8" t="s">
        <v>25</v>
      </c>
      <c r="N2320" s="8" t="s">
        <v>58</v>
      </c>
      <c r="O2320" s="8" t="s">
        <v>59</v>
      </c>
      <c r="P2320" s="8" t="s">
        <v>59</v>
      </c>
      <c r="R2320" s="8">
        <v>0</v>
      </c>
      <c r="S2320" s="8">
        <v>0</v>
      </c>
      <c r="T2320" s="8">
        <v>1</v>
      </c>
      <c r="U2320" s="8">
        <v>2</v>
      </c>
      <c r="AG2320" s="8" t="str">
        <f t="shared" si="145"/>
        <v/>
      </c>
      <c r="AI2320" s="8" t="str">
        <f t="shared" si="146"/>
        <v/>
      </c>
      <c r="AJ2320" s="8" t="str">
        <f t="shared" si="147"/>
        <v/>
      </c>
      <c r="AL2320" s="8" t="str">
        <f t="shared" si="148"/>
        <v/>
      </c>
    </row>
    <row r="2321" spans="1:38" x14ac:dyDescent="0.25">
      <c r="A2321" s="8" t="s">
        <v>7458</v>
      </c>
      <c r="B2321" s="8" t="s">
        <v>7459</v>
      </c>
      <c r="C2321" s="8">
        <v>30939673</v>
      </c>
      <c r="D2321" s="8">
        <v>5</v>
      </c>
      <c r="E2321" s="11">
        <v>43115</v>
      </c>
      <c r="F2321" s="8" t="s">
        <v>57</v>
      </c>
      <c r="G2321" s="11">
        <v>43115</v>
      </c>
      <c r="H2321" s="8" t="s">
        <v>25</v>
      </c>
      <c r="J2321" s="8" t="s">
        <v>25</v>
      </c>
      <c r="N2321" s="8" t="s">
        <v>58</v>
      </c>
      <c r="O2321" s="8" t="s">
        <v>59</v>
      </c>
      <c r="P2321" s="8" t="s">
        <v>59</v>
      </c>
      <c r="R2321" s="8">
        <v>0</v>
      </c>
      <c r="S2321" s="8">
        <v>0</v>
      </c>
      <c r="T2321" s="8">
        <v>1</v>
      </c>
      <c r="U2321" s="8">
        <v>2</v>
      </c>
      <c r="AG2321" s="8" t="str">
        <f t="shared" si="145"/>
        <v/>
      </c>
      <c r="AI2321" s="8" t="str">
        <f t="shared" si="146"/>
        <v/>
      </c>
      <c r="AJ2321" s="8" t="str">
        <f t="shared" si="147"/>
        <v/>
      </c>
      <c r="AL2321" s="8" t="str">
        <f t="shared" si="148"/>
        <v/>
      </c>
    </row>
    <row r="2322" spans="1:38" x14ac:dyDescent="0.25">
      <c r="A2322" s="8" t="s">
        <v>7460</v>
      </c>
      <c r="B2322" s="8" t="s">
        <v>7461</v>
      </c>
      <c r="C2322" s="8">
        <v>30939858</v>
      </c>
      <c r="D2322" s="8">
        <v>5</v>
      </c>
      <c r="E2322" s="11">
        <v>43115</v>
      </c>
      <c r="F2322" s="8" t="s">
        <v>57</v>
      </c>
      <c r="G2322" s="11">
        <v>43115</v>
      </c>
      <c r="H2322" s="8" t="s">
        <v>25</v>
      </c>
      <c r="J2322" s="8" t="s">
        <v>25</v>
      </c>
      <c r="N2322" s="8" t="s">
        <v>58</v>
      </c>
      <c r="O2322" s="8" t="s">
        <v>59</v>
      </c>
      <c r="P2322" s="8" t="s">
        <v>59</v>
      </c>
      <c r="R2322" s="8">
        <v>0</v>
      </c>
      <c r="S2322" s="8">
        <v>0</v>
      </c>
      <c r="T2322" s="8">
        <v>1</v>
      </c>
      <c r="U2322" s="8">
        <v>2</v>
      </c>
      <c r="AG2322" s="8" t="str">
        <f t="shared" si="145"/>
        <v/>
      </c>
      <c r="AI2322" s="8" t="str">
        <f t="shared" si="146"/>
        <v/>
      </c>
      <c r="AJ2322" s="8" t="str">
        <f t="shared" si="147"/>
        <v/>
      </c>
      <c r="AL2322" s="8" t="str">
        <f t="shared" si="148"/>
        <v/>
      </c>
    </row>
    <row r="2323" spans="1:38" x14ac:dyDescent="0.25">
      <c r="A2323" s="8" t="s">
        <v>2571</v>
      </c>
      <c r="B2323" s="8" t="s">
        <v>2572</v>
      </c>
      <c r="C2323" s="8">
        <v>30817032</v>
      </c>
      <c r="D2323" s="8">
        <v>4</v>
      </c>
      <c r="E2323" s="11">
        <v>43108</v>
      </c>
      <c r="F2323" s="8" t="s">
        <v>57</v>
      </c>
      <c r="G2323" s="11">
        <v>43110</v>
      </c>
      <c r="H2323" s="8" t="s">
        <v>25</v>
      </c>
      <c r="J2323" s="8" t="s">
        <v>25</v>
      </c>
      <c r="N2323" s="8" t="s">
        <v>58</v>
      </c>
      <c r="O2323" s="8" t="s">
        <v>59</v>
      </c>
      <c r="P2323" s="8" t="s">
        <v>59</v>
      </c>
      <c r="R2323" s="8">
        <v>0</v>
      </c>
      <c r="S2323" s="8">
        <v>0</v>
      </c>
      <c r="T2323" s="8">
        <v>1</v>
      </c>
      <c r="U2323" s="8">
        <v>2</v>
      </c>
      <c r="AG2323" s="8" t="str">
        <f t="shared" si="145"/>
        <v/>
      </c>
      <c r="AI2323" s="8" t="str">
        <f t="shared" si="146"/>
        <v/>
      </c>
      <c r="AJ2323" s="8" t="str">
        <f t="shared" si="147"/>
        <v/>
      </c>
      <c r="AL2323" s="8" t="str">
        <f t="shared" si="148"/>
        <v/>
      </c>
    </row>
    <row r="2324" spans="1:38" x14ac:dyDescent="0.25">
      <c r="A2324" s="8" t="s">
        <v>1338</v>
      </c>
      <c r="B2324" s="8" t="s">
        <v>85</v>
      </c>
      <c r="C2324" s="8">
        <v>30840657</v>
      </c>
      <c r="D2324" s="8">
        <v>5</v>
      </c>
      <c r="E2324" s="11">
        <v>43109</v>
      </c>
      <c r="F2324" s="8" t="s">
        <v>57</v>
      </c>
      <c r="G2324" s="11">
        <v>43109</v>
      </c>
      <c r="H2324" s="8" t="s">
        <v>25</v>
      </c>
      <c r="J2324" s="8" t="s">
        <v>25</v>
      </c>
      <c r="N2324" s="8" t="s">
        <v>58</v>
      </c>
      <c r="O2324" s="8" t="s">
        <v>59</v>
      </c>
      <c r="P2324" s="8" t="s">
        <v>59</v>
      </c>
      <c r="R2324" s="8">
        <v>0</v>
      </c>
      <c r="S2324" s="8">
        <v>0</v>
      </c>
      <c r="T2324" s="8">
        <v>1</v>
      </c>
      <c r="U2324" s="8">
        <v>2</v>
      </c>
      <c r="AG2324" s="8" t="str">
        <f t="shared" si="145"/>
        <v/>
      </c>
      <c r="AI2324" s="8" t="str">
        <f t="shared" si="146"/>
        <v/>
      </c>
      <c r="AJ2324" s="8" t="str">
        <f t="shared" si="147"/>
        <v/>
      </c>
      <c r="AL2324" s="8" t="str">
        <f t="shared" si="148"/>
        <v/>
      </c>
    </row>
    <row r="2325" spans="1:38" x14ac:dyDescent="0.25">
      <c r="A2325" s="8" t="s">
        <v>2573</v>
      </c>
      <c r="B2325" s="8" t="s">
        <v>2574</v>
      </c>
      <c r="C2325" s="8">
        <v>30859964</v>
      </c>
      <c r="D2325" s="8">
        <v>4</v>
      </c>
      <c r="E2325" s="11">
        <v>43110</v>
      </c>
      <c r="F2325" s="8" t="s">
        <v>57</v>
      </c>
      <c r="G2325" s="11">
        <v>43110</v>
      </c>
      <c r="H2325" s="8" t="s">
        <v>25</v>
      </c>
      <c r="J2325" s="8" t="s">
        <v>25</v>
      </c>
      <c r="N2325" s="8" t="s">
        <v>58</v>
      </c>
      <c r="O2325" s="8" t="s">
        <v>59</v>
      </c>
      <c r="P2325" s="8" t="s">
        <v>59</v>
      </c>
      <c r="R2325" s="8">
        <v>0</v>
      </c>
      <c r="S2325" s="8">
        <v>0</v>
      </c>
      <c r="T2325" s="8">
        <v>1</v>
      </c>
      <c r="U2325" s="8">
        <v>2</v>
      </c>
      <c r="AG2325" s="8" t="str">
        <f t="shared" si="145"/>
        <v/>
      </c>
      <c r="AI2325" s="8" t="str">
        <f t="shared" si="146"/>
        <v/>
      </c>
      <c r="AJ2325" s="8" t="str">
        <f t="shared" si="147"/>
        <v/>
      </c>
      <c r="AL2325" s="8" t="str">
        <f t="shared" si="148"/>
        <v/>
      </c>
    </row>
    <row r="2326" spans="1:38" x14ac:dyDescent="0.25">
      <c r="A2326" s="8" t="s">
        <v>7462</v>
      </c>
      <c r="B2326" s="8" t="s">
        <v>7463</v>
      </c>
      <c r="C2326" s="8">
        <v>30946537</v>
      </c>
      <c r="D2326" s="8">
        <v>5</v>
      </c>
      <c r="E2326" s="11">
        <v>43115</v>
      </c>
      <c r="F2326" s="8" t="s">
        <v>57</v>
      </c>
      <c r="G2326" s="11">
        <v>43115</v>
      </c>
      <c r="H2326" s="8" t="s">
        <v>25</v>
      </c>
      <c r="J2326" s="8" t="s">
        <v>25</v>
      </c>
      <c r="N2326" s="8" t="s">
        <v>58</v>
      </c>
      <c r="O2326" s="8" t="s">
        <v>59</v>
      </c>
      <c r="P2326" s="8" t="s">
        <v>59</v>
      </c>
      <c r="R2326" s="8">
        <v>0</v>
      </c>
      <c r="S2326" s="8">
        <v>0</v>
      </c>
      <c r="T2326" s="8">
        <v>1</v>
      </c>
      <c r="U2326" s="8">
        <v>2</v>
      </c>
      <c r="AG2326" s="8" t="str">
        <f t="shared" si="145"/>
        <v/>
      </c>
      <c r="AI2326" s="8" t="str">
        <f t="shared" si="146"/>
        <v/>
      </c>
      <c r="AJ2326" s="8" t="str">
        <f t="shared" si="147"/>
        <v/>
      </c>
      <c r="AL2326" s="8" t="str">
        <f t="shared" si="148"/>
        <v/>
      </c>
    </row>
    <row r="2327" spans="1:38" x14ac:dyDescent="0.25">
      <c r="A2327" s="8" t="s">
        <v>2575</v>
      </c>
      <c r="B2327" s="8" t="s">
        <v>2576</v>
      </c>
      <c r="C2327" s="8">
        <v>30815650</v>
      </c>
      <c r="D2327" s="8">
        <v>5</v>
      </c>
      <c r="E2327" s="11">
        <v>43108</v>
      </c>
      <c r="F2327" s="8" t="s">
        <v>57</v>
      </c>
      <c r="G2327" s="11">
        <v>43110</v>
      </c>
      <c r="H2327" s="8" t="s">
        <v>25</v>
      </c>
      <c r="J2327" s="8" t="s">
        <v>25</v>
      </c>
      <c r="N2327" s="8" t="s">
        <v>58</v>
      </c>
      <c r="O2327" s="8" t="s">
        <v>59</v>
      </c>
      <c r="P2327" s="8" t="s">
        <v>59</v>
      </c>
      <c r="R2327" s="8">
        <v>0</v>
      </c>
      <c r="S2327" s="8">
        <v>0</v>
      </c>
      <c r="T2327" s="8">
        <v>1</v>
      </c>
      <c r="U2327" s="8">
        <v>2</v>
      </c>
      <c r="AG2327" s="8" t="str">
        <f t="shared" si="145"/>
        <v/>
      </c>
      <c r="AI2327" s="8" t="str">
        <f t="shared" si="146"/>
        <v/>
      </c>
      <c r="AJ2327" s="8" t="str">
        <f t="shared" si="147"/>
        <v/>
      </c>
      <c r="AL2327" s="8" t="str">
        <f t="shared" si="148"/>
        <v/>
      </c>
    </row>
    <row r="2328" spans="1:38" x14ac:dyDescent="0.25">
      <c r="A2328" s="8" t="s">
        <v>7464</v>
      </c>
      <c r="B2328" s="8" t="s">
        <v>7465</v>
      </c>
      <c r="C2328" s="8">
        <v>30887180</v>
      </c>
      <c r="D2328" s="8">
        <v>5</v>
      </c>
      <c r="E2328" s="11">
        <v>43111</v>
      </c>
      <c r="F2328" s="8" t="s">
        <v>57</v>
      </c>
      <c r="G2328" s="11">
        <v>43115</v>
      </c>
      <c r="H2328" s="8" t="s">
        <v>25</v>
      </c>
      <c r="J2328" s="8" t="s">
        <v>25</v>
      </c>
      <c r="N2328" s="8" t="s">
        <v>58</v>
      </c>
      <c r="O2328" s="8" t="s">
        <v>59</v>
      </c>
      <c r="P2328" s="8" t="s">
        <v>59</v>
      </c>
      <c r="R2328" s="8">
        <v>0</v>
      </c>
      <c r="S2328" s="8">
        <v>0</v>
      </c>
      <c r="T2328" s="8">
        <v>1</v>
      </c>
      <c r="U2328" s="8">
        <v>2</v>
      </c>
      <c r="AG2328" s="8" t="str">
        <f t="shared" si="145"/>
        <v/>
      </c>
      <c r="AI2328" s="8" t="str">
        <f t="shared" si="146"/>
        <v/>
      </c>
      <c r="AJ2328" s="8" t="str">
        <f t="shared" si="147"/>
        <v/>
      </c>
      <c r="AL2328" s="8" t="str">
        <f t="shared" si="148"/>
        <v/>
      </c>
    </row>
    <row r="2329" spans="1:38" x14ac:dyDescent="0.25">
      <c r="A2329" s="8" t="s">
        <v>7466</v>
      </c>
      <c r="B2329" s="8" t="s">
        <v>7467</v>
      </c>
      <c r="C2329" s="8">
        <v>30896975</v>
      </c>
      <c r="D2329" s="8">
        <v>5</v>
      </c>
      <c r="E2329" s="11">
        <v>43111</v>
      </c>
      <c r="F2329" s="8" t="s">
        <v>57</v>
      </c>
      <c r="G2329" s="11">
        <v>43115</v>
      </c>
      <c r="H2329" s="8" t="s">
        <v>25</v>
      </c>
      <c r="J2329" s="8" t="s">
        <v>25</v>
      </c>
      <c r="N2329" s="8" t="s">
        <v>58</v>
      </c>
      <c r="O2329" s="8" t="s">
        <v>59</v>
      </c>
      <c r="P2329" s="8" t="s">
        <v>59</v>
      </c>
      <c r="R2329" s="8">
        <v>0</v>
      </c>
      <c r="S2329" s="8">
        <v>0</v>
      </c>
      <c r="T2329" s="8">
        <v>1</v>
      </c>
      <c r="U2329" s="8">
        <v>2</v>
      </c>
      <c r="AG2329" s="8" t="str">
        <f t="shared" si="145"/>
        <v/>
      </c>
      <c r="AI2329" s="8" t="str">
        <f t="shared" si="146"/>
        <v/>
      </c>
      <c r="AJ2329" s="8" t="str">
        <f t="shared" si="147"/>
        <v/>
      </c>
      <c r="AL2329" s="8" t="str">
        <f t="shared" si="148"/>
        <v/>
      </c>
    </row>
    <row r="2330" spans="1:38" x14ac:dyDescent="0.25">
      <c r="A2330" s="8" t="s">
        <v>5694</v>
      </c>
      <c r="B2330" s="8" t="s">
        <v>5695</v>
      </c>
      <c r="C2330" s="8">
        <v>30910366</v>
      </c>
      <c r="D2330" s="8">
        <v>5</v>
      </c>
      <c r="E2330" s="11">
        <v>43112</v>
      </c>
      <c r="F2330" s="8" t="s">
        <v>57</v>
      </c>
      <c r="G2330" s="11">
        <v>43112</v>
      </c>
      <c r="H2330" s="8" t="s">
        <v>25</v>
      </c>
      <c r="J2330" s="8" t="s">
        <v>25</v>
      </c>
      <c r="N2330" s="8" t="s">
        <v>58</v>
      </c>
      <c r="O2330" s="8" t="s">
        <v>59</v>
      </c>
      <c r="P2330" s="8" t="s">
        <v>59</v>
      </c>
      <c r="R2330" s="8">
        <v>0</v>
      </c>
      <c r="S2330" s="8">
        <v>0</v>
      </c>
      <c r="T2330" s="8">
        <v>1</v>
      </c>
      <c r="U2330" s="8">
        <v>2</v>
      </c>
      <c r="AG2330" s="8" t="str">
        <f t="shared" si="145"/>
        <v/>
      </c>
      <c r="AI2330" s="8" t="str">
        <f t="shared" si="146"/>
        <v/>
      </c>
      <c r="AJ2330" s="8" t="str">
        <f t="shared" si="147"/>
        <v/>
      </c>
      <c r="AL2330" s="8" t="str">
        <f t="shared" si="148"/>
        <v/>
      </c>
    </row>
    <row r="2331" spans="1:38" x14ac:dyDescent="0.25">
      <c r="A2331" s="8" t="s">
        <v>4057</v>
      </c>
      <c r="B2331" s="8" t="s">
        <v>4058</v>
      </c>
      <c r="C2331" s="8">
        <v>30841904</v>
      </c>
      <c r="D2331" s="8">
        <v>5</v>
      </c>
      <c r="E2331" s="11">
        <v>43109</v>
      </c>
      <c r="F2331" s="8" t="s">
        <v>58</v>
      </c>
      <c r="G2331" s="11">
        <v>43111</v>
      </c>
      <c r="H2331" s="8" t="s">
        <v>25</v>
      </c>
      <c r="I2331" s="11">
        <v>43111</v>
      </c>
      <c r="J2331" s="8" t="s">
        <v>25</v>
      </c>
      <c r="N2331" s="8" t="s">
        <v>58</v>
      </c>
      <c r="O2331" s="8" t="s">
        <v>59</v>
      </c>
      <c r="P2331" s="8" t="s">
        <v>59</v>
      </c>
      <c r="R2331" s="8">
        <v>0</v>
      </c>
      <c r="S2331" s="8">
        <v>0</v>
      </c>
      <c r="T2331" s="8">
        <v>1</v>
      </c>
      <c r="U2331" s="8">
        <v>2</v>
      </c>
      <c r="X2331" s="8">
        <v>5</v>
      </c>
      <c r="AG2331" s="8" t="str">
        <f t="shared" si="145"/>
        <v/>
      </c>
      <c r="AI2331" s="8" t="str">
        <f t="shared" si="146"/>
        <v/>
      </c>
      <c r="AJ2331" s="8" t="str">
        <f t="shared" si="147"/>
        <v/>
      </c>
      <c r="AL2331" s="8" t="str">
        <f t="shared" si="148"/>
        <v/>
      </c>
    </row>
    <row r="2332" spans="1:38" x14ac:dyDescent="0.25">
      <c r="A2332" s="8" t="s">
        <v>7468</v>
      </c>
      <c r="B2332" s="8" t="s">
        <v>7469</v>
      </c>
      <c r="C2332" s="8">
        <v>30901483</v>
      </c>
      <c r="D2332" s="8">
        <v>5</v>
      </c>
      <c r="E2332" s="11">
        <v>43111</v>
      </c>
      <c r="F2332" s="8" t="s">
        <v>57</v>
      </c>
      <c r="G2332" s="11">
        <v>43115</v>
      </c>
      <c r="H2332" s="8" t="s">
        <v>25</v>
      </c>
      <c r="J2332" s="8" t="s">
        <v>25</v>
      </c>
      <c r="N2332" s="8" t="s">
        <v>58</v>
      </c>
      <c r="O2332" s="8" t="s">
        <v>59</v>
      </c>
      <c r="P2332" s="8" t="s">
        <v>59</v>
      </c>
      <c r="R2332" s="8">
        <v>0</v>
      </c>
      <c r="S2332" s="8">
        <v>0</v>
      </c>
      <c r="T2332" s="8">
        <v>1</v>
      </c>
      <c r="U2332" s="8">
        <v>2</v>
      </c>
      <c r="AG2332" s="8" t="str">
        <f t="shared" si="145"/>
        <v/>
      </c>
      <c r="AI2332" s="8" t="str">
        <f t="shared" si="146"/>
        <v/>
      </c>
      <c r="AJ2332" s="8" t="str">
        <f t="shared" si="147"/>
        <v/>
      </c>
      <c r="AL2332" s="8" t="str">
        <f t="shared" si="148"/>
        <v/>
      </c>
    </row>
    <row r="2333" spans="1:38" x14ac:dyDescent="0.25">
      <c r="A2333" s="8" t="s">
        <v>2577</v>
      </c>
      <c r="B2333" s="8" t="s">
        <v>2578</v>
      </c>
      <c r="C2333" s="8">
        <v>30823663</v>
      </c>
      <c r="D2333" s="8">
        <v>5</v>
      </c>
      <c r="E2333" s="11">
        <v>43108</v>
      </c>
      <c r="F2333" s="8" t="s">
        <v>58</v>
      </c>
      <c r="G2333" s="11">
        <v>43110</v>
      </c>
      <c r="H2333" s="8" t="s">
        <v>25</v>
      </c>
      <c r="I2333" s="11">
        <v>43110</v>
      </c>
      <c r="J2333" s="8" t="s">
        <v>25</v>
      </c>
      <c r="N2333" s="8" t="s">
        <v>58</v>
      </c>
      <c r="O2333" s="8" t="s">
        <v>59</v>
      </c>
      <c r="P2333" s="8" t="s">
        <v>59</v>
      </c>
      <c r="R2333" s="8">
        <v>0</v>
      </c>
      <c r="S2333" s="8">
        <v>0</v>
      </c>
      <c r="T2333" s="8">
        <v>1</v>
      </c>
      <c r="U2333" s="8">
        <v>2</v>
      </c>
      <c r="X2333" s="8">
        <v>5</v>
      </c>
      <c r="AG2333" s="8" t="str">
        <f t="shared" si="145"/>
        <v/>
      </c>
      <c r="AI2333" s="8" t="str">
        <f t="shared" si="146"/>
        <v/>
      </c>
      <c r="AJ2333" s="8" t="str">
        <f t="shared" si="147"/>
        <v/>
      </c>
      <c r="AL2333" s="8" t="str">
        <f t="shared" si="148"/>
        <v/>
      </c>
    </row>
    <row r="2334" spans="1:38" x14ac:dyDescent="0.25">
      <c r="A2334" s="8" t="s">
        <v>5696</v>
      </c>
      <c r="B2334" s="8" t="s">
        <v>5697</v>
      </c>
      <c r="C2334" s="8">
        <v>30867469</v>
      </c>
      <c r="D2334" s="8">
        <v>5</v>
      </c>
      <c r="E2334" s="11">
        <v>43110</v>
      </c>
      <c r="F2334" s="8" t="s">
        <v>58</v>
      </c>
      <c r="G2334" s="11">
        <v>43112</v>
      </c>
      <c r="H2334" s="8" t="s">
        <v>25</v>
      </c>
      <c r="I2334" s="11">
        <v>43112</v>
      </c>
      <c r="J2334" s="8" t="s">
        <v>25</v>
      </c>
      <c r="N2334" s="8" t="s">
        <v>58</v>
      </c>
      <c r="O2334" s="8" t="s">
        <v>59</v>
      </c>
      <c r="P2334" s="8" t="s">
        <v>59</v>
      </c>
      <c r="R2334" s="8">
        <v>0</v>
      </c>
      <c r="S2334" s="8">
        <v>0</v>
      </c>
      <c r="T2334" s="8">
        <v>1</v>
      </c>
      <c r="U2334" s="8">
        <v>2</v>
      </c>
      <c r="X2334" s="8">
        <v>5</v>
      </c>
      <c r="AG2334" s="8" t="str">
        <f t="shared" si="145"/>
        <v/>
      </c>
      <c r="AI2334" s="8" t="str">
        <f t="shared" si="146"/>
        <v/>
      </c>
      <c r="AJ2334" s="8" t="str">
        <f t="shared" si="147"/>
        <v/>
      </c>
      <c r="AL2334" s="8" t="str">
        <f t="shared" si="148"/>
        <v/>
      </c>
    </row>
    <row r="2335" spans="1:38" x14ac:dyDescent="0.25">
      <c r="A2335" s="8" t="s">
        <v>521</v>
      </c>
      <c r="B2335" s="8" t="s">
        <v>522</v>
      </c>
      <c r="C2335" s="8">
        <v>30826294</v>
      </c>
      <c r="D2335" s="8">
        <v>5</v>
      </c>
      <c r="E2335" s="11">
        <v>43108</v>
      </c>
      <c r="F2335" s="8" t="s">
        <v>60</v>
      </c>
      <c r="G2335" s="11">
        <v>43108</v>
      </c>
      <c r="H2335" s="8" t="s">
        <v>25</v>
      </c>
      <c r="J2335" s="8" t="s">
        <v>856</v>
      </c>
      <c r="L2335" s="8" t="s">
        <v>6525</v>
      </c>
      <c r="N2335" s="8" t="s">
        <v>58</v>
      </c>
      <c r="O2335" s="8" t="s">
        <v>59</v>
      </c>
      <c r="P2335" s="8" t="s">
        <v>59</v>
      </c>
      <c r="R2335" s="8">
        <v>0</v>
      </c>
      <c r="S2335" s="8">
        <v>0</v>
      </c>
      <c r="T2335" s="8">
        <v>1</v>
      </c>
      <c r="U2335" s="8">
        <v>2</v>
      </c>
      <c r="W2335" s="8">
        <v>4</v>
      </c>
      <c r="AG2335" s="8" t="str">
        <f t="shared" si="145"/>
        <v/>
      </c>
      <c r="AI2335" s="8" t="str">
        <f t="shared" si="146"/>
        <v/>
      </c>
      <c r="AJ2335" s="8" t="str">
        <f t="shared" si="147"/>
        <v/>
      </c>
      <c r="AL2335" s="8" t="str">
        <f t="shared" si="148"/>
        <v/>
      </c>
    </row>
    <row r="2336" spans="1:38" x14ac:dyDescent="0.25">
      <c r="A2336" s="8" t="s">
        <v>2579</v>
      </c>
      <c r="B2336" s="8" t="s">
        <v>86</v>
      </c>
      <c r="C2336" s="8">
        <v>30857057</v>
      </c>
      <c r="D2336" s="8">
        <v>5</v>
      </c>
      <c r="E2336" s="11">
        <v>43110</v>
      </c>
      <c r="F2336" s="8" t="s">
        <v>57</v>
      </c>
      <c r="G2336" s="11">
        <v>43110</v>
      </c>
      <c r="H2336" s="8" t="s">
        <v>25</v>
      </c>
      <c r="J2336" s="8" t="s">
        <v>25</v>
      </c>
      <c r="N2336" s="8" t="s">
        <v>58</v>
      </c>
      <c r="O2336" s="8" t="s">
        <v>59</v>
      </c>
      <c r="P2336" s="8" t="s">
        <v>59</v>
      </c>
      <c r="R2336" s="8">
        <v>0</v>
      </c>
      <c r="S2336" s="8">
        <v>0</v>
      </c>
      <c r="T2336" s="8">
        <v>1</v>
      </c>
      <c r="U2336" s="8">
        <v>2</v>
      </c>
      <c r="AG2336" s="8" t="str">
        <f t="shared" si="145"/>
        <v/>
      </c>
      <c r="AI2336" s="8" t="str">
        <f t="shared" si="146"/>
        <v/>
      </c>
      <c r="AJ2336" s="8" t="str">
        <f t="shared" si="147"/>
        <v/>
      </c>
      <c r="AL2336" s="8" t="str">
        <f t="shared" si="148"/>
        <v/>
      </c>
    </row>
    <row r="2337" spans="1:38" x14ac:dyDescent="0.25">
      <c r="A2337" s="8" t="s">
        <v>5698</v>
      </c>
      <c r="B2337" s="8" t="s">
        <v>5699</v>
      </c>
      <c r="C2337" s="8">
        <v>30876542</v>
      </c>
      <c r="D2337" s="8">
        <v>5</v>
      </c>
      <c r="E2337" s="11">
        <v>43110</v>
      </c>
      <c r="F2337" s="8" t="s">
        <v>57</v>
      </c>
      <c r="G2337" s="11">
        <v>43112</v>
      </c>
      <c r="H2337" s="8" t="s">
        <v>25</v>
      </c>
      <c r="J2337" s="8" t="s">
        <v>25</v>
      </c>
      <c r="N2337" s="8" t="s">
        <v>58</v>
      </c>
      <c r="O2337" s="8" t="s">
        <v>59</v>
      </c>
      <c r="P2337" s="8" t="s">
        <v>59</v>
      </c>
      <c r="R2337" s="8">
        <v>0</v>
      </c>
      <c r="S2337" s="8">
        <v>0</v>
      </c>
      <c r="T2337" s="8">
        <v>1</v>
      </c>
      <c r="U2337" s="8">
        <v>2</v>
      </c>
      <c r="AG2337" s="8" t="str">
        <f t="shared" si="145"/>
        <v/>
      </c>
      <c r="AI2337" s="8" t="str">
        <f t="shared" si="146"/>
        <v/>
      </c>
      <c r="AJ2337" s="8" t="str">
        <f t="shared" si="147"/>
        <v/>
      </c>
      <c r="AL2337" s="8" t="str">
        <f t="shared" si="148"/>
        <v/>
      </c>
    </row>
    <row r="2338" spans="1:38" x14ac:dyDescent="0.25">
      <c r="A2338" s="8" t="s">
        <v>7470</v>
      </c>
      <c r="B2338" s="8" t="s">
        <v>7471</v>
      </c>
      <c r="C2338" s="8">
        <v>30899552</v>
      </c>
      <c r="D2338" s="8">
        <v>5</v>
      </c>
      <c r="E2338" s="11">
        <v>43111</v>
      </c>
      <c r="F2338" s="8" t="s">
        <v>57</v>
      </c>
      <c r="G2338" s="11">
        <v>43115</v>
      </c>
      <c r="H2338" s="8" t="s">
        <v>25</v>
      </c>
      <c r="J2338" s="8" t="s">
        <v>25</v>
      </c>
      <c r="N2338" s="8" t="s">
        <v>58</v>
      </c>
      <c r="O2338" s="8" t="s">
        <v>59</v>
      </c>
      <c r="P2338" s="8" t="s">
        <v>59</v>
      </c>
      <c r="R2338" s="8">
        <v>0</v>
      </c>
      <c r="S2338" s="8">
        <v>0</v>
      </c>
      <c r="T2338" s="8">
        <v>1</v>
      </c>
      <c r="U2338" s="8">
        <v>2</v>
      </c>
      <c r="AG2338" s="8" t="str">
        <f t="shared" si="145"/>
        <v/>
      </c>
      <c r="AI2338" s="8" t="str">
        <f t="shared" si="146"/>
        <v/>
      </c>
      <c r="AJ2338" s="8" t="str">
        <f t="shared" si="147"/>
        <v/>
      </c>
      <c r="AL2338" s="8" t="str">
        <f t="shared" si="148"/>
        <v/>
      </c>
    </row>
    <row r="2339" spans="1:38" x14ac:dyDescent="0.25">
      <c r="A2339" s="8" t="s">
        <v>4059</v>
      </c>
      <c r="B2339" s="8" t="s">
        <v>105</v>
      </c>
      <c r="C2339" s="8">
        <v>30895290</v>
      </c>
      <c r="D2339" s="8">
        <v>5</v>
      </c>
      <c r="E2339" s="11">
        <v>43111</v>
      </c>
      <c r="F2339" s="8" t="s">
        <v>57</v>
      </c>
      <c r="G2339" s="11">
        <v>43111</v>
      </c>
      <c r="H2339" s="8" t="s">
        <v>25</v>
      </c>
      <c r="J2339" s="8" t="s">
        <v>25</v>
      </c>
      <c r="N2339" s="8" t="s">
        <v>58</v>
      </c>
      <c r="O2339" s="8" t="s">
        <v>59</v>
      </c>
      <c r="P2339" s="8" t="s">
        <v>59</v>
      </c>
      <c r="R2339" s="8">
        <v>0</v>
      </c>
      <c r="S2339" s="8">
        <v>0</v>
      </c>
      <c r="T2339" s="8">
        <v>1</v>
      </c>
      <c r="U2339" s="8">
        <v>2</v>
      </c>
      <c r="AG2339" s="8" t="str">
        <f t="shared" si="145"/>
        <v/>
      </c>
      <c r="AI2339" s="8" t="str">
        <f t="shared" si="146"/>
        <v/>
      </c>
      <c r="AJ2339" s="8" t="str">
        <f t="shared" si="147"/>
        <v/>
      </c>
      <c r="AL2339" s="8" t="str">
        <f t="shared" si="148"/>
        <v/>
      </c>
    </row>
    <row r="2340" spans="1:38" x14ac:dyDescent="0.25">
      <c r="A2340" s="8" t="s">
        <v>7472</v>
      </c>
      <c r="B2340" s="8" t="s">
        <v>7473</v>
      </c>
      <c r="C2340" s="8">
        <v>30887523</v>
      </c>
      <c r="D2340" s="8">
        <v>5</v>
      </c>
      <c r="E2340" s="11">
        <v>43111</v>
      </c>
      <c r="F2340" s="8" t="s">
        <v>57</v>
      </c>
      <c r="G2340" s="11">
        <v>43115</v>
      </c>
      <c r="H2340" s="8" t="s">
        <v>25</v>
      </c>
      <c r="J2340" s="8" t="s">
        <v>25</v>
      </c>
      <c r="N2340" s="8" t="s">
        <v>58</v>
      </c>
      <c r="O2340" s="8" t="s">
        <v>59</v>
      </c>
      <c r="P2340" s="8" t="s">
        <v>59</v>
      </c>
      <c r="R2340" s="8">
        <v>0</v>
      </c>
      <c r="S2340" s="8">
        <v>0</v>
      </c>
      <c r="T2340" s="8">
        <v>1</v>
      </c>
      <c r="U2340" s="8">
        <v>2</v>
      </c>
      <c r="AG2340" s="8" t="str">
        <f t="shared" si="145"/>
        <v/>
      </c>
      <c r="AI2340" s="8" t="str">
        <f t="shared" si="146"/>
        <v/>
      </c>
      <c r="AJ2340" s="8" t="str">
        <f t="shared" si="147"/>
        <v/>
      </c>
      <c r="AL2340" s="8" t="str">
        <f t="shared" si="148"/>
        <v/>
      </c>
    </row>
    <row r="2341" spans="1:38" x14ac:dyDescent="0.25">
      <c r="A2341" s="8" t="s">
        <v>4060</v>
      </c>
      <c r="B2341" s="8" t="s">
        <v>4061</v>
      </c>
      <c r="C2341" s="8">
        <v>30842800</v>
      </c>
      <c r="D2341" s="8">
        <v>5</v>
      </c>
      <c r="E2341" s="11">
        <v>43109</v>
      </c>
      <c r="F2341" s="8" t="s">
        <v>57</v>
      </c>
      <c r="G2341" s="11">
        <v>43111</v>
      </c>
      <c r="H2341" s="8" t="s">
        <v>25</v>
      </c>
      <c r="J2341" s="8" t="s">
        <v>25</v>
      </c>
      <c r="N2341" s="8" t="s">
        <v>58</v>
      </c>
      <c r="O2341" s="8" t="s">
        <v>59</v>
      </c>
      <c r="P2341" s="8" t="s">
        <v>59</v>
      </c>
      <c r="R2341" s="8">
        <v>0</v>
      </c>
      <c r="S2341" s="8">
        <v>0</v>
      </c>
      <c r="T2341" s="8">
        <v>1</v>
      </c>
      <c r="U2341" s="8">
        <v>2</v>
      </c>
      <c r="AG2341" s="8" t="str">
        <f t="shared" si="145"/>
        <v/>
      </c>
      <c r="AI2341" s="8" t="str">
        <f t="shared" si="146"/>
        <v/>
      </c>
      <c r="AJ2341" s="8" t="str">
        <f t="shared" si="147"/>
        <v/>
      </c>
      <c r="AL2341" s="8" t="str">
        <f t="shared" si="148"/>
        <v/>
      </c>
    </row>
    <row r="2342" spans="1:38" x14ac:dyDescent="0.25">
      <c r="A2342" s="8" t="s">
        <v>1339</v>
      </c>
      <c r="B2342" s="8" t="s">
        <v>1340</v>
      </c>
      <c r="C2342" s="8">
        <v>30844635</v>
      </c>
      <c r="D2342" s="8">
        <v>5</v>
      </c>
      <c r="E2342" s="11">
        <v>43109</v>
      </c>
      <c r="F2342" s="8" t="s">
        <v>57</v>
      </c>
      <c r="G2342" s="11">
        <v>43109</v>
      </c>
      <c r="H2342" s="8" t="s">
        <v>25</v>
      </c>
      <c r="J2342" s="8" t="s">
        <v>25</v>
      </c>
      <c r="N2342" s="8" t="s">
        <v>58</v>
      </c>
      <c r="O2342" s="8" t="s">
        <v>59</v>
      </c>
      <c r="P2342" s="8" t="s">
        <v>59</v>
      </c>
      <c r="R2342" s="8">
        <v>0</v>
      </c>
      <c r="S2342" s="8">
        <v>0</v>
      </c>
      <c r="T2342" s="8">
        <v>1</v>
      </c>
      <c r="U2342" s="8">
        <v>2</v>
      </c>
      <c r="AG2342" s="8" t="str">
        <f t="shared" si="145"/>
        <v/>
      </c>
      <c r="AI2342" s="8" t="str">
        <f t="shared" si="146"/>
        <v/>
      </c>
      <c r="AJ2342" s="8" t="str">
        <f t="shared" si="147"/>
        <v/>
      </c>
      <c r="AL2342" s="8" t="str">
        <f t="shared" si="148"/>
        <v/>
      </c>
    </row>
    <row r="2343" spans="1:38" x14ac:dyDescent="0.25">
      <c r="A2343" s="8" t="s">
        <v>2580</v>
      </c>
      <c r="B2343" s="8" t="s">
        <v>2581</v>
      </c>
      <c r="C2343" s="8">
        <v>30806889</v>
      </c>
      <c r="D2343" s="8">
        <v>5</v>
      </c>
      <c r="E2343" s="11">
        <v>43108</v>
      </c>
      <c r="F2343" s="8" t="s">
        <v>57</v>
      </c>
      <c r="G2343" s="11">
        <v>43110</v>
      </c>
      <c r="H2343" s="8" t="s">
        <v>25</v>
      </c>
      <c r="J2343" s="8" t="s">
        <v>25</v>
      </c>
      <c r="N2343" s="8" t="s">
        <v>58</v>
      </c>
      <c r="O2343" s="8" t="s">
        <v>59</v>
      </c>
      <c r="P2343" s="8" t="s">
        <v>59</v>
      </c>
      <c r="R2343" s="8">
        <v>0</v>
      </c>
      <c r="S2343" s="8">
        <v>0</v>
      </c>
      <c r="T2343" s="8">
        <v>1</v>
      </c>
      <c r="U2343" s="8">
        <v>2</v>
      </c>
      <c r="AG2343" s="8" t="str">
        <f t="shared" si="145"/>
        <v/>
      </c>
      <c r="AI2343" s="8" t="str">
        <f t="shared" si="146"/>
        <v/>
      </c>
      <c r="AJ2343" s="8" t="str">
        <f t="shared" si="147"/>
        <v/>
      </c>
      <c r="AL2343" s="8" t="str">
        <f t="shared" si="148"/>
        <v/>
      </c>
    </row>
    <row r="2344" spans="1:38" x14ac:dyDescent="0.25">
      <c r="A2344" s="8" t="s">
        <v>7474</v>
      </c>
      <c r="B2344" s="8" t="s">
        <v>7475</v>
      </c>
      <c r="C2344" s="8">
        <v>30899477</v>
      </c>
      <c r="D2344" s="8">
        <v>5</v>
      </c>
      <c r="E2344" s="11">
        <v>43111</v>
      </c>
      <c r="F2344" s="8" t="s">
        <v>57</v>
      </c>
      <c r="G2344" s="11">
        <v>43115</v>
      </c>
      <c r="H2344" s="8" t="s">
        <v>25</v>
      </c>
      <c r="J2344" s="8" t="s">
        <v>25</v>
      </c>
      <c r="N2344" s="8" t="s">
        <v>58</v>
      </c>
      <c r="O2344" s="8" t="s">
        <v>59</v>
      </c>
      <c r="P2344" s="8" t="s">
        <v>59</v>
      </c>
      <c r="R2344" s="8">
        <v>0</v>
      </c>
      <c r="S2344" s="8">
        <v>0</v>
      </c>
      <c r="T2344" s="8">
        <v>1</v>
      </c>
      <c r="U2344" s="8">
        <v>2</v>
      </c>
      <c r="AG2344" s="8" t="str">
        <f t="shared" si="145"/>
        <v/>
      </c>
      <c r="AI2344" s="8" t="str">
        <f t="shared" si="146"/>
        <v/>
      </c>
      <c r="AJ2344" s="8" t="str">
        <f t="shared" si="147"/>
        <v/>
      </c>
      <c r="AL2344" s="8" t="str">
        <f t="shared" si="148"/>
        <v/>
      </c>
    </row>
    <row r="2345" spans="1:38" x14ac:dyDescent="0.25">
      <c r="A2345" s="8" t="s">
        <v>4062</v>
      </c>
      <c r="B2345" s="8" t="s">
        <v>4063</v>
      </c>
      <c r="C2345" s="8">
        <v>30839439</v>
      </c>
      <c r="D2345" s="8">
        <v>5</v>
      </c>
      <c r="E2345" s="11">
        <v>43109</v>
      </c>
      <c r="F2345" s="8" t="s">
        <v>58</v>
      </c>
      <c r="G2345" s="11">
        <v>43111</v>
      </c>
      <c r="H2345" s="8" t="s">
        <v>25</v>
      </c>
      <c r="I2345" s="11">
        <v>43115</v>
      </c>
      <c r="J2345" s="8" t="s">
        <v>25</v>
      </c>
      <c r="N2345" s="8" t="s">
        <v>58</v>
      </c>
      <c r="O2345" s="8" t="s">
        <v>59</v>
      </c>
      <c r="P2345" s="8" t="s">
        <v>59</v>
      </c>
      <c r="R2345" s="8">
        <v>0</v>
      </c>
      <c r="S2345" s="8">
        <v>0</v>
      </c>
      <c r="T2345" s="8">
        <v>1</v>
      </c>
      <c r="U2345" s="8">
        <v>2</v>
      </c>
      <c r="X2345" s="8">
        <v>5</v>
      </c>
      <c r="AG2345" s="8" t="str">
        <f t="shared" si="145"/>
        <v/>
      </c>
      <c r="AI2345" s="8" t="str">
        <f t="shared" si="146"/>
        <v/>
      </c>
      <c r="AJ2345" s="8" t="str">
        <f t="shared" si="147"/>
        <v/>
      </c>
      <c r="AL2345" s="8" t="str">
        <f t="shared" si="148"/>
        <v/>
      </c>
    </row>
    <row r="2346" spans="1:38" x14ac:dyDescent="0.25">
      <c r="A2346" s="8" t="s">
        <v>523</v>
      </c>
      <c r="B2346" s="8" t="s">
        <v>524</v>
      </c>
      <c r="C2346" s="8">
        <v>30819855</v>
      </c>
      <c r="D2346" s="8">
        <v>5</v>
      </c>
      <c r="E2346" s="11">
        <v>43108</v>
      </c>
      <c r="F2346" s="8" t="s">
        <v>57</v>
      </c>
      <c r="G2346" s="11">
        <v>43115</v>
      </c>
      <c r="H2346" s="8" t="s">
        <v>856</v>
      </c>
      <c r="J2346" s="8" t="s">
        <v>25</v>
      </c>
      <c r="N2346" s="8" t="s">
        <v>58</v>
      </c>
      <c r="O2346" s="8" t="s">
        <v>59</v>
      </c>
      <c r="P2346" s="8" t="s">
        <v>59</v>
      </c>
      <c r="R2346" s="8">
        <v>0</v>
      </c>
      <c r="S2346" s="8">
        <v>0</v>
      </c>
      <c r="T2346" s="8">
        <v>1</v>
      </c>
      <c r="U2346" s="8">
        <v>2</v>
      </c>
      <c r="AG2346" s="8" t="str">
        <f t="shared" si="145"/>
        <v/>
      </c>
      <c r="AI2346" s="8" t="str">
        <f t="shared" si="146"/>
        <v/>
      </c>
      <c r="AJ2346" s="8" t="str">
        <f t="shared" si="147"/>
        <v/>
      </c>
      <c r="AL2346" s="8" t="str">
        <f t="shared" si="148"/>
        <v/>
      </c>
    </row>
    <row r="2347" spans="1:38" x14ac:dyDescent="0.25">
      <c r="A2347" s="8" t="s">
        <v>1341</v>
      </c>
      <c r="B2347" s="8" t="s">
        <v>1342</v>
      </c>
      <c r="C2347" s="8">
        <v>30847750</v>
      </c>
      <c r="D2347" s="8">
        <v>5</v>
      </c>
      <c r="E2347" s="11">
        <v>43109</v>
      </c>
      <c r="F2347" s="8" t="s">
        <v>57</v>
      </c>
      <c r="G2347" s="11">
        <v>43109</v>
      </c>
      <c r="H2347" s="8" t="s">
        <v>25</v>
      </c>
      <c r="J2347" s="8" t="s">
        <v>25</v>
      </c>
      <c r="N2347" s="8" t="s">
        <v>58</v>
      </c>
      <c r="O2347" s="8" t="s">
        <v>59</v>
      </c>
      <c r="P2347" s="8" t="s">
        <v>59</v>
      </c>
      <c r="R2347" s="8">
        <v>0</v>
      </c>
      <c r="S2347" s="8">
        <v>0</v>
      </c>
      <c r="T2347" s="8">
        <v>1</v>
      </c>
      <c r="U2347" s="8">
        <v>2</v>
      </c>
      <c r="AG2347" s="8" t="str">
        <f t="shared" si="145"/>
        <v/>
      </c>
      <c r="AI2347" s="8" t="str">
        <f t="shared" si="146"/>
        <v/>
      </c>
      <c r="AJ2347" s="8" t="str">
        <f t="shared" si="147"/>
        <v/>
      </c>
      <c r="AL2347" s="8" t="str">
        <f t="shared" si="148"/>
        <v/>
      </c>
    </row>
    <row r="2348" spans="1:38" x14ac:dyDescent="0.25">
      <c r="A2348" s="8" t="s">
        <v>4064</v>
      </c>
      <c r="B2348" s="8" t="s">
        <v>4065</v>
      </c>
      <c r="C2348" s="8">
        <v>30852070</v>
      </c>
      <c r="D2348" s="8">
        <v>5</v>
      </c>
      <c r="E2348" s="11">
        <v>43109</v>
      </c>
      <c r="F2348" s="8" t="s">
        <v>57</v>
      </c>
      <c r="G2348" s="11">
        <v>43111</v>
      </c>
      <c r="H2348" s="8" t="s">
        <v>25</v>
      </c>
      <c r="J2348" s="8" t="s">
        <v>25</v>
      </c>
      <c r="N2348" s="8" t="s">
        <v>58</v>
      </c>
      <c r="O2348" s="8" t="s">
        <v>59</v>
      </c>
      <c r="P2348" s="8" t="s">
        <v>59</v>
      </c>
      <c r="R2348" s="8">
        <v>0</v>
      </c>
      <c r="S2348" s="8">
        <v>0</v>
      </c>
      <c r="T2348" s="8">
        <v>1</v>
      </c>
      <c r="U2348" s="8">
        <v>2</v>
      </c>
      <c r="AG2348" s="8" t="str">
        <f t="shared" si="145"/>
        <v/>
      </c>
      <c r="AI2348" s="8" t="str">
        <f t="shared" si="146"/>
        <v/>
      </c>
      <c r="AJ2348" s="8" t="str">
        <f t="shared" si="147"/>
        <v/>
      </c>
      <c r="AL2348" s="8" t="str">
        <f t="shared" si="148"/>
        <v/>
      </c>
    </row>
    <row r="2349" spans="1:38" x14ac:dyDescent="0.25">
      <c r="A2349" s="8" t="s">
        <v>1343</v>
      </c>
      <c r="B2349" s="8" t="s">
        <v>1344</v>
      </c>
      <c r="C2349" s="8">
        <v>30834101</v>
      </c>
      <c r="D2349" s="8">
        <v>5</v>
      </c>
      <c r="E2349" s="11">
        <v>43109</v>
      </c>
      <c r="F2349" s="8" t="s">
        <v>57</v>
      </c>
      <c r="G2349" s="11">
        <v>43109</v>
      </c>
      <c r="H2349" s="8" t="s">
        <v>25</v>
      </c>
      <c r="J2349" s="8" t="s">
        <v>25</v>
      </c>
      <c r="N2349" s="8" t="s">
        <v>58</v>
      </c>
      <c r="O2349" s="8" t="s">
        <v>59</v>
      </c>
      <c r="P2349" s="8" t="s">
        <v>59</v>
      </c>
      <c r="R2349" s="8">
        <v>0</v>
      </c>
      <c r="S2349" s="8">
        <v>0</v>
      </c>
      <c r="T2349" s="8">
        <v>1</v>
      </c>
      <c r="U2349" s="8">
        <v>2</v>
      </c>
      <c r="AG2349" s="8" t="str">
        <f t="shared" si="145"/>
        <v/>
      </c>
      <c r="AI2349" s="8" t="str">
        <f t="shared" si="146"/>
        <v/>
      </c>
      <c r="AJ2349" s="8" t="str">
        <f t="shared" si="147"/>
        <v/>
      </c>
      <c r="AL2349" s="8" t="str">
        <f t="shared" si="148"/>
        <v/>
      </c>
    </row>
    <row r="2350" spans="1:38" x14ac:dyDescent="0.25">
      <c r="A2350" s="8" t="s">
        <v>7476</v>
      </c>
      <c r="B2350" s="8" t="s">
        <v>7477</v>
      </c>
      <c r="C2350" s="8">
        <v>30941271</v>
      </c>
      <c r="D2350" s="8">
        <v>5</v>
      </c>
      <c r="E2350" s="11">
        <v>43115</v>
      </c>
      <c r="F2350" s="8" t="s">
        <v>57</v>
      </c>
      <c r="G2350" s="11">
        <v>43115</v>
      </c>
      <c r="H2350" s="8" t="s">
        <v>25</v>
      </c>
      <c r="J2350" s="8" t="s">
        <v>25</v>
      </c>
      <c r="N2350" s="8" t="s">
        <v>58</v>
      </c>
      <c r="O2350" s="8" t="s">
        <v>59</v>
      </c>
      <c r="P2350" s="8" t="s">
        <v>59</v>
      </c>
      <c r="R2350" s="8">
        <v>0</v>
      </c>
      <c r="S2350" s="8">
        <v>0</v>
      </c>
      <c r="T2350" s="8">
        <v>1</v>
      </c>
      <c r="U2350" s="8">
        <v>2</v>
      </c>
      <c r="AG2350" s="8" t="str">
        <f t="shared" si="145"/>
        <v/>
      </c>
      <c r="AI2350" s="8" t="str">
        <f t="shared" si="146"/>
        <v/>
      </c>
      <c r="AJ2350" s="8" t="str">
        <f t="shared" si="147"/>
        <v/>
      </c>
      <c r="AL2350" s="8" t="str">
        <f t="shared" si="148"/>
        <v/>
      </c>
    </row>
    <row r="2351" spans="1:38" x14ac:dyDescent="0.25">
      <c r="A2351" s="8" t="s">
        <v>2582</v>
      </c>
      <c r="B2351" s="8" t="s">
        <v>2583</v>
      </c>
      <c r="C2351" s="8">
        <v>30826479</v>
      </c>
      <c r="D2351" s="8">
        <v>5</v>
      </c>
      <c r="E2351" s="11">
        <v>43108</v>
      </c>
      <c r="F2351" s="8" t="s">
        <v>58</v>
      </c>
      <c r="G2351" s="11">
        <v>43110</v>
      </c>
      <c r="H2351" s="8" t="s">
        <v>25</v>
      </c>
      <c r="I2351" s="11">
        <v>43110</v>
      </c>
      <c r="J2351" s="8" t="s">
        <v>25</v>
      </c>
      <c r="N2351" s="8" t="s">
        <v>58</v>
      </c>
      <c r="O2351" s="8" t="s">
        <v>59</v>
      </c>
      <c r="P2351" s="8" t="s">
        <v>59</v>
      </c>
      <c r="R2351" s="8">
        <v>0</v>
      </c>
      <c r="S2351" s="8">
        <v>0</v>
      </c>
      <c r="T2351" s="8">
        <v>1</v>
      </c>
      <c r="U2351" s="8">
        <v>2</v>
      </c>
      <c r="X2351" s="8">
        <v>5</v>
      </c>
      <c r="AG2351" s="8" t="str">
        <f t="shared" si="145"/>
        <v/>
      </c>
      <c r="AI2351" s="8" t="str">
        <f t="shared" si="146"/>
        <v/>
      </c>
      <c r="AJ2351" s="8" t="str">
        <f t="shared" si="147"/>
        <v/>
      </c>
      <c r="AL2351" s="8" t="str">
        <f t="shared" si="148"/>
        <v/>
      </c>
    </row>
    <row r="2352" spans="1:38" x14ac:dyDescent="0.25">
      <c r="A2352" s="8" t="s">
        <v>4066</v>
      </c>
      <c r="B2352" s="8" t="s">
        <v>4067</v>
      </c>
      <c r="C2352" s="8">
        <v>30847476</v>
      </c>
      <c r="D2352" s="8">
        <v>5</v>
      </c>
      <c r="E2352" s="11">
        <v>43109</v>
      </c>
      <c r="F2352" s="8" t="s">
        <v>58</v>
      </c>
      <c r="G2352" s="11">
        <v>43111</v>
      </c>
      <c r="H2352" s="8" t="s">
        <v>25</v>
      </c>
      <c r="I2352" s="11">
        <v>43112</v>
      </c>
      <c r="J2352" s="8" t="s">
        <v>25</v>
      </c>
      <c r="N2352" s="8" t="s">
        <v>58</v>
      </c>
      <c r="O2352" s="8" t="s">
        <v>59</v>
      </c>
      <c r="P2352" s="8" t="s">
        <v>59</v>
      </c>
      <c r="R2352" s="8">
        <v>0</v>
      </c>
      <c r="S2352" s="8">
        <v>0</v>
      </c>
      <c r="T2352" s="8">
        <v>1</v>
      </c>
      <c r="U2352" s="8">
        <v>2</v>
      </c>
      <c r="X2352" s="8">
        <v>5</v>
      </c>
      <c r="AG2352" s="8" t="str">
        <f t="shared" si="145"/>
        <v/>
      </c>
      <c r="AI2352" s="8" t="str">
        <f t="shared" si="146"/>
        <v/>
      </c>
      <c r="AJ2352" s="8" t="str">
        <f t="shared" si="147"/>
        <v/>
      </c>
      <c r="AL2352" s="8" t="str">
        <f t="shared" si="148"/>
        <v/>
      </c>
    </row>
    <row r="2353" spans="1:38" x14ac:dyDescent="0.25">
      <c r="A2353" s="8" t="s">
        <v>4068</v>
      </c>
      <c r="B2353" s="8" t="s">
        <v>4069</v>
      </c>
      <c r="C2353" s="8">
        <v>30882399</v>
      </c>
      <c r="D2353" s="8">
        <v>5</v>
      </c>
      <c r="E2353" s="11">
        <v>43111</v>
      </c>
      <c r="F2353" s="8" t="s">
        <v>57</v>
      </c>
      <c r="G2353" s="11">
        <v>43111</v>
      </c>
      <c r="H2353" s="8" t="s">
        <v>25</v>
      </c>
      <c r="J2353" s="8" t="s">
        <v>25</v>
      </c>
      <c r="N2353" s="8" t="s">
        <v>58</v>
      </c>
      <c r="O2353" s="8" t="s">
        <v>59</v>
      </c>
      <c r="P2353" s="8" t="s">
        <v>59</v>
      </c>
      <c r="R2353" s="8">
        <v>0</v>
      </c>
      <c r="S2353" s="8">
        <v>0</v>
      </c>
      <c r="T2353" s="8">
        <v>1</v>
      </c>
      <c r="U2353" s="8">
        <v>2</v>
      </c>
      <c r="AG2353" s="8" t="str">
        <f t="shared" si="145"/>
        <v/>
      </c>
      <c r="AI2353" s="8" t="str">
        <f t="shared" si="146"/>
        <v/>
      </c>
      <c r="AJ2353" s="8" t="str">
        <f t="shared" si="147"/>
        <v/>
      </c>
      <c r="AL2353" s="8" t="str">
        <f t="shared" si="148"/>
        <v/>
      </c>
    </row>
    <row r="2354" spans="1:38" x14ac:dyDescent="0.25">
      <c r="A2354" s="8" t="s">
        <v>7478</v>
      </c>
      <c r="B2354" s="8" t="s">
        <v>7479</v>
      </c>
      <c r="C2354" s="8">
        <v>30901803</v>
      </c>
      <c r="D2354" s="8">
        <v>5</v>
      </c>
      <c r="E2354" s="11">
        <v>43111</v>
      </c>
      <c r="F2354" s="8" t="s">
        <v>58</v>
      </c>
      <c r="G2354" s="11">
        <v>43115</v>
      </c>
      <c r="H2354" s="8" t="s">
        <v>25</v>
      </c>
      <c r="I2354" s="11">
        <v>43115</v>
      </c>
      <c r="J2354" s="8" t="s">
        <v>25</v>
      </c>
      <c r="N2354" s="8" t="s">
        <v>58</v>
      </c>
      <c r="O2354" s="8" t="s">
        <v>59</v>
      </c>
      <c r="P2354" s="8" t="s">
        <v>59</v>
      </c>
      <c r="R2354" s="8">
        <v>0</v>
      </c>
      <c r="S2354" s="8">
        <v>0</v>
      </c>
      <c r="T2354" s="8">
        <v>1</v>
      </c>
      <c r="U2354" s="8">
        <v>2</v>
      </c>
      <c r="X2354" s="8">
        <v>5</v>
      </c>
      <c r="AG2354" s="8" t="str">
        <f t="shared" si="145"/>
        <v/>
      </c>
      <c r="AI2354" s="8" t="str">
        <f t="shared" si="146"/>
        <v/>
      </c>
      <c r="AJ2354" s="8" t="str">
        <f t="shared" si="147"/>
        <v/>
      </c>
      <c r="AL2354" s="8" t="str">
        <f t="shared" si="148"/>
        <v/>
      </c>
    </row>
    <row r="2355" spans="1:38" x14ac:dyDescent="0.25">
      <c r="A2355" s="8" t="s">
        <v>2584</v>
      </c>
      <c r="B2355" s="8" t="s">
        <v>2585</v>
      </c>
      <c r="C2355" s="8">
        <v>30861251</v>
      </c>
      <c r="D2355" s="8">
        <v>5</v>
      </c>
      <c r="E2355" s="11">
        <v>43110</v>
      </c>
      <c r="F2355" s="8" t="s">
        <v>58</v>
      </c>
      <c r="G2355" s="11">
        <v>43110</v>
      </c>
      <c r="H2355" s="8" t="s">
        <v>25</v>
      </c>
      <c r="I2355" s="11">
        <v>43111</v>
      </c>
      <c r="J2355" s="8" t="s">
        <v>25</v>
      </c>
      <c r="N2355" s="8" t="s">
        <v>58</v>
      </c>
      <c r="O2355" s="8" t="s">
        <v>59</v>
      </c>
      <c r="P2355" s="8" t="s">
        <v>59</v>
      </c>
      <c r="R2355" s="8">
        <v>0</v>
      </c>
      <c r="S2355" s="8">
        <v>0</v>
      </c>
      <c r="T2355" s="8">
        <v>1</v>
      </c>
      <c r="U2355" s="8">
        <v>2</v>
      </c>
      <c r="X2355" s="8">
        <v>5</v>
      </c>
      <c r="AG2355" s="8" t="str">
        <f t="shared" si="145"/>
        <v/>
      </c>
      <c r="AI2355" s="8" t="str">
        <f t="shared" si="146"/>
        <v/>
      </c>
      <c r="AJ2355" s="8" t="str">
        <f t="shared" si="147"/>
        <v/>
      </c>
      <c r="AL2355" s="8" t="str">
        <f t="shared" si="148"/>
        <v/>
      </c>
    </row>
    <row r="2356" spans="1:38" x14ac:dyDescent="0.25">
      <c r="A2356" s="8" t="s">
        <v>7480</v>
      </c>
      <c r="B2356" s="8" t="s">
        <v>7481</v>
      </c>
      <c r="C2356" s="8">
        <v>30901863</v>
      </c>
      <c r="D2356" s="8">
        <v>5</v>
      </c>
      <c r="E2356" s="11">
        <v>43111</v>
      </c>
      <c r="F2356" s="8" t="s">
        <v>57</v>
      </c>
      <c r="G2356" s="11">
        <v>43115</v>
      </c>
      <c r="H2356" s="8" t="s">
        <v>25</v>
      </c>
      <c r="J2356" s="8" t="s">
        <v>25</v>
      </c>
      <c r="N2356" s="8" t="s">
        <v>58</v>
      </c>
      <c r="O2356" s="8" t="s">
        <v>59</v>
      </c>
      <c r="P2356" s="8" t="s">
        <v>59</v>
      </c>
      <c r="R2356" s="8">
        <v>0</v>
      </c>
      <c r="S2356" s="8">
        <v>0</v>
      </c>
      <c r="T2356" s="8">
        <v>1</v>
      </c>
      <c r="U2356" s="8">
        <v>2</v>
      </c>
      <c r="AG2356" s="8" t="str">
        <f t="shared" si="145"/>
        <v/>
      </c>
      <c r="AI2356" s="8" t="str">
        <f t="shared" si="146"/>
        <v/>
      </c>
      <c r="AJ2356" s="8" t="str">
        <f t="shared" si="147"/>
        <v/>
      </c>
      <c r="AL2356" s="8" t="str">
        <f t="shared" si="148"/>
        <v/>
      </c>
    </row>
    <row r="2357" spans="1:38" x14ac:dyDescent="0.25">
      <c r="A2357" s="8" t="s">
        <v>7482</v>
      </c>
      <c r="B2357" s="8" t="s">
        <v>7483</v>
      </c>
      <c r="C2357" s="8">
        <v>30901928</v>
      </c>
      <c r="D2357" s="8">
        <v>5</v>
      </c>
      <c r="E2357" s="11">
        <v>43111</v>
      </c>
      <c r="F2357" s="8" t="s">
        <v>57</v>
      </c>
      <c r="G2357" s="11">
        <v>43115</v>
      </c>
      <c r="H2357" s="8" t="s">
        <v>25</v>
      </c>
      <c r="J2357" s="8" t="s">
        <v>25</v>
      </c>
      <c r="N2357" s="8" t="s">
        <v>58</v>
      </c>
      <c r="O2357" s="8" t="s">
        <v>59</v>
      </c>
      <c r="P2357" s="8" t="s">
        <v>59</v>
      </c>
      <c r="R2357" s="8">
        <v>0</v>
      </c>
      <c r="S2357" s="8">
        <v>0</v>
      </c>
      <c r="T2357" s="8">
        <v>1</v>
      </c>
      <c r="U2357" s="8">
        <v>2</v>
      </c>
      <c r="AG2357" s="8" t="str">
        <f t="shared" si="145"/>
        <v/>
      </c>
      <c r="AI2357" s="8" t="str">
        <f t="shared" si="146"/>
        <v/>
      </c>
      <c r="AJ2357" s="8" t="str">
        <f t="shared" si="147"/>
        <v/>
      </c>
      <c r="AL2357" s="8" t="str">
        <f t="shared" si="148"/>
        <v/>
      </c>
    </row>
    <row r="2358" spans="1:38" x14ac:dyDescent="0.25">
      <c r="A2358" s="8" t="s">
        <v>4070</v>
      </c>
      <c r="B2358" s="8" t="s">
        <v>4071</v>
      </c>
      <c r="C2358" s="8">
        <v>30836741</v>
      </c>
      <c r="D2358" s="8">
        <v>5</v>
      </c>
      <c r="E2358" s="11">
        <v>43109</v>
      </c>
      <c r="F2358" s="8" t="s">
        <v>57</v>
      </c>
      <c r="G2358" s="11">
        <v>43111</v>
      </c>
      <c r="H2358" s="8" t="s">
        <v>25</v>
      </c>
      <c r="J2358" s="8" t="s">
        <v>25</v>
      </c>
      <c r="N2358" s="8" t="s">
        <v>58</v>
      </c>
      <c r="O2358" s="8" t="s">
        <v>59</v>
      </c>
      <c r="P2358" s="8" t="s">
        <v>59</v>
      </c>
      <c r="R2358" s="8">
        <v>0</v>
      </c>
      <c r="S2358" s="8">
        <v>0</v>
      </c>
      <c r="T2358" s="8">
        <v>1</v>
      </c>
      <c r="U2358" s="8">
        <v>2</v>
      </c>
      <c r="AG2358" s="8" t="str">
        <f t="shared" si="145"/>
        <v/>
      </c>
      <c r="AI2358" s="8" t="str">
        <f t="shared" si="146"/>
        <v/>
      </c>
      <c r="AJ2358" s="8" t="str">
        <f t="shared" si="147"/>
        <v/>
      </c>
      <c r="AL2358" s="8" t="str">
        <f t="shared" si="148"/>
        <v/>
      </c>
    </row>
    <row r="2359" spans="1:38" x14ac:dyDescent="0.25">
      <c r="A2359" s="8" t="s">
        <v>7484</v>
      </c>
      <c r="B2359" s="8" t="s">
        <v>7485</v>
      </c>
      <c r="C2359" s="8">
        <v>30941750</v>
      </c>
      <c r="D2359" s="8">
        <v>5</v>
      </c>
      <c r="E2359" s="11">
        <v>43115</v>
      </c>
      <c r="F2359" s="8" t="s">
        <v>57</v>
      </c>
      <c r="G2359" s="11">
        <v>43115</v>
      </c>
      <c r="H2359" s="8" t="s">
        <v>25</v>
      </c>
      <c r="J2359" s="8" t="s">
        <v>25</v>
      </c>
      <c r="N2359" s="8" t="s">
        <v>58</v>
      </c>
      <c r="O2359" s="8" t="s">
        <v>59</v>
      </c>
      <c r="P2359" s="8" t="s">
        <v>59</v>
      </c>
      <c r="R2359" s="8">
        <v>0</v>
      </c>
      <c r="S2359" s="8">
        <v>0</v>
      </c>
      <c r="T2359" s="8">
        <v>1</v>
      </c>
      <c r="U2359" s="8">
        <v>2</v>
      </c>
      <c r="AG2359" s="8" t="str">
        <f t="shared" si="145"/>
        <v/>
      </c>
      <c r="AI2359" s="8" t="str">
        <f t="shared" si="146"/>
        <v/>
      </c>
      <c r="AJ2359" s="8" t="str">
        <f t="shared" si="147"/>
        <v/>
      </c>
      <c r="AL2359" s="8" t="str">
        <f t="shared" si="148"/>
        <v/>
      </c>
    </row>
    <row r="2360" spans="1:38" x14ac:dyDescent="0.25">
      <c r="A2360" s="8" t="s">
        <v>7486</v>
      </c>
      <c r="B2360" s="8" t="s">
        <v>7487</v>
      </c>
      <c r="C2360" s="8">
        <v>30902005</v>
      </c>
      <c r="D2360" s="8">
        <v>5</v>
      </c>
      <c r="E2360" s="11">
        <v>43111</v>
      </c>
      <c r="F2360" s="8" t="s">
        <v>57</v>
      </c>
      <c r="G2360" s="11">
        <v>43115</v>
      </c>
      <c r="H2360" s="8" t="s">
        <v>25</v>
      </c>
      <c r="J2360" s="8" t="s">
        <v>25</v>
      </c>
      <c r="N2360" s="8" t="s">
        <v>58</v>
      </c>
      <c r="O2360" s="8" t="s">
        <v>59</v>
      </c>
      <c r="P2360" s="8" t="s">
        <v>59</v>
      </c>
      <c r="R2360" s="8">
        <v>0</v>
      </c>
      <c r="S2360" s="8">
        <v>0</v>
      </c>
      <c r="T2360" s="8">
        <v>1</v>
      </c>
      <c r="U2360" s="8">
        <v>2</v>
      </c>
      <c r="AG2360" s="8" t="str">
        <f t="shared" si="145"/>
        <v/>
      </c>
      <c r="AI2360" s="8" t="str">
        <f t="shared" si="146"/>
        <v/>
      </c>
      <c r="AJ2360" s="8" t="str">
        <f t="shared" si="147"/>
        <v/>
      </c>
      <c r="AL2360" s="8" t="str">
        <f t="shared" si="148"/>
        <v/>
      </c>
    </row>
    <row r="2361" spans="1:38" x14ac:dyDescent="0.25">
      <c r="A2361" s="8" t="s">
        <v>2586</v>
      </c>
      <c r="B2361" s="8" t="s">
        <v>2587</v>
      </c>
      <c r="C2361" s="8">
        <v>30868873</v>
      </c>
      <c r="D2361" s="8">
        <v>5</v>
      </c>
      <c r="E2361" s="11">
        <v>43110</v>
      </c>
      <c r="F2361" s="8" t="s">
        <v>57</v>
      </c>
      <c r="G2361" s="11">
        <v>43110</v>
      </c>
      <c r="H2361" s="8" t="s">
        <v>25</v>
      </c>
      <c r="J2361" s="8" t="s">
        <v>25</v>
      </c>
      <c r="N2361" s="8" t="s">
        <v>58</v>
      </c>
      <c r="O2361" s="8" t="s">
        <v>59</v>
      </c>
      <c r="P2361" s="8" t="s">
        <v>59</v>
      </c>
      <c r="R2361" s="8">
        <v>0</v>
      </c>
      <c r="S2361" s="8">
        <v>0</v>
      </c>
      <c r="T2361" s="8">
        <v>1</v>
      </c>
      <c r="U2361" s="8">
        <v>2</v>
      </c>
      <c r="AG2361" s="8" t="str">
        <f t="shared" si="145"/>
        <v/>
      </c>
      <c r="AI2361" s="8" t="str">
        <f t="shared" si="146"/>
        <v/>
      </c>
      <c r="AJ2361" s="8" t="str">
        <f t="shared" si="147"/>
        <v/>
      </c>
      <c r="AL2361" s="8" t="str">
        <f t="shared" si="148"/>
        <v/>
      </c>
    </row>
    <row r="2362" spans="1:38" x14ac:dyDescent="0.25">
      <c r="A2362" s="8" t="s">
        <v>525</v>
      </c>
      <c r="B2362" s="8" t="s">
        <v>526</v>
      </c>
      <c r="C2362" s="8">
        <v>30806748</v>
      </c>
      <c r="D2362" s="8">
        <v>5</v>
      </c>
      <c r="E2362" s="11">
        <v>43108</v>
      </c>
      <c r="F2362" s="8" t="s">
        <v>57</v>
      </c>
      <c r="G2362" s="11">
        <v>43112</v>
      </c>
      <c r="H2362" s="8" t="s">
        <v>145</v>
      </c>
      <c r="J2362" s="8" t="s">
        <v>25</v>
      </c>
      <c r="N2362" s="8" t="s">
        <v>58</v>
      </c>
      <c r="O2362" s="8" t="s">
        <v>59</v>
      </c>
      <c r="P2362" s="8" t="s">
        <v>59</v>
      </c>
      <c r="R2362" s="8">
        <v>0</v>
      </c>
      <c r="S2362" s="8">
        <v>0</v>
      </c>
      <c r="T2362" s="8">
        <v>1</v>
      </c>
      <c r="U2362" s="8">
        <v>2</v>
      </c>
      <c r="AG2362" s="8" t="str">
        <f t="shared" si="145"/>
        <v/>
      </c>
      <c r="AI2362" s="8" t="str">
        <f t="shared" si="146"/>
        <v/>
      </c>
      <c r="AJ2362" s="8" t="str">
        <f t="shared" si="147"/>
        <v/>
      </c>
      <c r="AL2362" s="8" t="str">
        <f t="shared" si="148"/>
        <v/>
      </c>
    </row>
    <row r="2363" spans="1:38" x14ac:dyDescent="0.25">
      <c r="A2363" s="8" t="s">
        <v>2588</v>
      </c>
      <c r="B2363" s="8" t="s">
        <v>2589</v>
      </c>
      <c r="C2363" s="8">
        <v>30826295</v>
      </c>
      <c r="D2363" s="8">
        <v>5</v>
      </c>
      <c r="E2363" s="11">
        <v>43108</v>
      </c>
      <c r="F2363" s="8" t="s">
        <v>57</v>
      </c>
      <c r="G2363" s="11">
        <v>43110</v>
      </c>
      <c r="H2363" s="8" t="s">
        <v>25</v>
      </c>
      <c r="J2363" s="8" t="s">
        <v>25</v>
      </c>
      <c r="N2363" s="8" t="s">
        <v>58</v>
      </c>
      <c r="O2363" s="8" t="s">
        <v>59</v>
      </c>
      <c r="P2363" s="8" t="s">
        <v>59</v>
      </c>
      <c r="R2363" s="8">
        <v>0</v>
      </c>
      <c r="S2363" s="8">
        <v>0</v>
      </c>
      <c r="T2363" s="8">
        <v>1</v>
      </c>
      <c r="U2363" s="8">
        <v>2</v>
      </c>
      <c r="AG2363" s="8" t="str">
        <f t="shared" si="145"/>
        <v/>
      </c>
      <c r="AI2363" s="8" t="str">
        <f t="shared" si="146"/>
        <v/>
      </c>
      <c r="AJ2363" s="8" t="str">
        <f t="shared" si="147"/>
        <v/>
      </c>
      <c r="AL2363" s="8" t="str">
        <f t="shared" si="148"/>
        <v/>
      </c>
    </row>
    <row r="2364" spans="1:38" x14ac:dyDescent="0.25">
      <c r="A2364" s="8" t="s">
        <v>5700</v>
      </c>
      <c r="B2364" s="8" t="s">
        <v>5701</v>
      </c>
      <c r="C2364" s="8">
        <v>30863508</v>
      </c>
      <c r="D2364" s="8">
        <v>5</v>
      </c>
      <c r="E2364" s="11">
        <v>43110</v>
      </c>
      <c r="F2364" s="8" t="s">
        <v>58</v>
      </c>
      <c r="G2364" s="11">
        <v>43112</v>
      </c>
      <c r="H2364" s="8" t="s">
        <v>25</v>
      </c>
      <c r="I2364" s="11">
        <v>43112</v>
      </c>
      <c r="J2364" s="8" t="s">
        <v>25</v>
      </c>
      <c r="N2364" s="8" t="s">
        <v>58</v>
      </c>
      <c r="O2364" s="8" t="s">
        <v>59</v>
      </c>
      <c r="P2364" s="8" t="s">
        <v>59</v>
      </c>
      <c r="R2364" s="8">
        <v>0</v>
      </c>
      <c r="S2364" s="8">
        <v>0</v>
      </c>
      <c r="T2364" s="8">
        <v>1</v>
      </c>
      <c r="U2364" s="8">
        <v>2</v>
      </c>
      <c r="X2364" s="8">
        <v>5</v>
      </c>
      <c r="AG2364" s="8" t="str">
        <f t="shared" si="145"/>
        <v/>
      </c>
      <c r="AI2364" s="8" t="str">
        <f t="shared" si="146"/>
        <v/>
      </c>
      <c r="AJ2364" s="8" t="str">
        <f t="shared" si="147"/>
        <v/>
      </c>
      <c r="AL2364" s="8" t="str">
        <f t="shared" si="148"/>
        <v/>
      </c>
    </row>
    <row r="2365" spans="1:38" x14ac:dyDescent="0.25">
      <c r="A2365" s="8" t="s">
        <v>1345</v>
      </c>
      <c r="B2365" s="8" t="s">
        <v>1346</v>
      </c>
      <c r="C2365" s="8">
        <v>30851167</v>
      </c>
      <c r="D2365" s="8">
        <v>5</v>
      </c>
      <c r="E2365" s="11">
        <v>43109</v>
      </c>
      <c r="F2365" s="8" t="s">
        <v>58</v>
      </c>
      <c r="G2365" s="11">
        <v>43109</v>
      </c>
      <c r="H2365" s="8" t="s">
        <v>25</v>
      </c>
      <c r="I2365" s="11">
        <v>43112</v>
      </c>
      <c r="J2365" s="8" t="s">
        <v>25</v>
      </c>
      <c r="N2365" s="8" t="s">
        <v>58</v>
      </c>
      <c r="O2365" s="8" t="s">
        <v>59</v>
      </c>
      <c r="P2365" s="8" t="s">
        <v>59</v>
      </c>
      <c r="R2365" s="8">
        <v>0</v>
      </c>
      <c r="S2365" s="8">
        <v>0</v>
      </c>
      <c r="T2365" s="8">
        <v>1</v>
      </c>
      <c r="U2365" s="8">
        <v>2</v>
      </c>
      <c r="X2365" s="8">
        <v>5</v>
      </c>
      <c r="AG2365" s="8" t="str">
        <f t="shared" si="145"/>
        <v/>
      </c>
      <c r="AI2365" s="8" t="str">
        <f t="shared" si="146"/>
        <v/>
      </c>
      <c r="AJ2365" s="8" t="str">
        <f t="shared" si="147"/>
        <v/>
      </c>
      <c r="AL2365" s="8" t="str">
        <f t="shared" si="148"/>
        <v/>
      </c>
    </row>
    <row r="2366" spans="1:38" x14ac:dyDescent="0.25">
      <c r="A2366" s="8" t="s">
        <v>5702</v>
      </c>
      <c r="B2366" s="8" t="s">
        <v>5703</v>
      </c>
      <c r="C2366" s="8">
        <v>30906079</v>
      </c>
      <c r="D2366" s="8">
        <v>5</v>
      </c>
      <c r="E2366" s="11">
        <v>43112</v>
      </c>
      <c r="F2366" s="8" t="s">
        <v>57</v>
      </c>
      <c r="G2366" s="11">
        <v>43112</v>
      </c>
      <c r="H2366" s="8" t="s">
        <v>25</v>
      </c>
      <c r="J2366" s="8" t="s">
        <v>25</v>
      </c>
      <c r="N2366" s="8" t="s">
        <v>58</v>
      </c>
      <c r="O2366" s="8" t="s">
        <v>59</v>
      </c>
      <c r="P2366" s="8" t="s">
        <v>59</v>
      </c>
      <c r="R2366" s="8">
        <v>0</v>
      </c>
      <c r="S2366" s="8">
        <v>0</v>
      </c>
      <c r="T2366" s="8">
        <v>1</v>
      </c>
      <c r="U2366" s="8">
        <v>2</v>
      </c>
      <c r="AG2366" s="8" t="str">
        <f t="shared" si="145"/>
        <v/>
      </c>
      <c r="AI2366" s="8" t="str">
        <f t="shared" si="146"/>
        <v/>
      </c>
      <c r="AJ2366" s="8" t="str">
        <f t="shared" si="147"/>
        <v/>
      </c>
      <c r="AL2366" s="8" t="str">
        <f t="shared" si="148"/>
        <v/>
      </c>
    </row>
    <row r="2367" spans="1:38" x14ac:dyDescent="0.25">
      <c r="A2367" s="8" t="s">
        <v>2590</v>
      </c>
      <c r="B2367" s="8" t="s">
        <v>2591</v>
      </c>
      <c r="C2367" s="8">
        <v>30819455</v>
      </c>
      <c r="D2367" s="8">
        <v>5</v>
      </c>
      <c r="E2367" s="11">
        <v>43108</v>
      </c>
      <c r="F2367" s="8" t="s">
        <v>57</v>
      </c>
      <c r="G2367" s="11">
        <v>43110</v>
      </c>
      <c r="H2367" s="8" t="s">
        <v>25</v>
      </c>
      <c r="J2367" s="8" t="s">
        <v>25</v>
      </c>
      <c r="N2367" s="8" t="s">
        <v>58</v>
      </c>
      <c r="O2367" s="8" t="s">
        <v>59</v>
      </c>
      <c r="P2367" s="8" t="s">
        <v>59</v>
      </c>
      <c r="R2367" s="8">
        <v>0</v>
      </c>
      <c r="S2367" s="8">
        <v>0</v>
      </c>
      <c r="T2367" s="8">
        <v>1</v>
      </c>
      <c r="U2367" s="8">
        <v>2</v>
      </c>
      <c r="AG2367" s="8" t="str">
        <f t="shared" si="145"/>
        <v/>
      </c>
      <c r="AI2367" s="8" t="str">
        <f t="shared" si="146"/>
        <v/>
      </c>
      <c r="AJ2367" s="8" t="str">
        <f t="shared" si="147"/>
        <v/>
      </c>
      <c r="AL2367" s="8" t="str">
        <f t="shared" si="148"/>
        <v/>
      </c>
    </row>
    <row r="2368" spans="1:38" x14ac:dyDescent="0.25">
      <c r="A2368" s="8" t="s">
        <v>7488</v>
      </c>
      <c r="B2368" s="8" t="s">
        <v>7489</v>
      </c>
      <c r="C2368" s="8">
        <v>30945296</v>
      </c>
      <c r="D2368" s="8">
        <v>5</v>
      </c>
      <c r="E2368" s="11">
        <v>43115</v>
      </c>
      <c r="F2368" s="8" t="s">
        <v>57</v>
      </c>
      <c r="G2368" s="11">
        <v>43115</v>
      </c>
      <c r="H2368" s="8" t="s">
        <v>25</v>
      </c>
      <c r="J2368" s="8" t="s">
        <v>25</v>
      </c>
      <c r="N2368" s="8" t="s">
        <v>58</v>
      </c>
      <c r="O2368" s="8" t="s">
        <v>59</v>
      </c>
      <c r="P2368" s="8" t="s">
        <v>59</v>
      </c>
      <c r="R2368" s="8">
        <v>0</v>
      </c>
      <c r="S2368" s="8">
        <v>0</v>
      </c>
      <c r="T2368" s="8">
        <v>1</v>
      </c>
      <c r="U2368" s="8">
        <v>2</v>
      </c>
      <c r="AG2368" s="8" t="str">
        <f t="shared" si="145"/>
        <v/>
      </c>
      <c r="AI2368" s="8" t="str">
        <f t="shared" si="146"/>
        <v/>
      </c>
      <c r="AJ2368" s="8" t="str">
        <f t="shared" si="147"/>
        <v/>
      </c>
      <c r="AL2368" s="8" t="str">
        <f t="shared" si="148"/>
        <v/>
      </c>
    </row>
    <row r="2369" spans="1:38" x14ac:dyDescent="0.25">
      <c r="A2369" s="8" t="s">
        <v>4072</v>
      </c>
      <c r="B2369" s="8" t="s">
        <v>4073</v>
      </c>
      <c r="C2369" s="8">
        <v>30833480</v>
      </c>
      <c r="D2369" s="8">
        <v>5</v>
      </c>
      <c r="E2369" s="11">
        <v>43109</v>
      </c>
      <c r="F2369" s="8" t="s">
        <v>57</v>
      </c>
      <c r="G2369" s="11">
        <v>43111</v>
      </c>
      <c r="H2369" s="8" t="s">
        <v>25</v>
      </c>
      <c r="J2369" s="8" t="s">
        <v>25</v>
      </c>
      <c r="N2369" s="8" t="s">
        <v>58</v>
      </c>
      <c r="O2369" s="8" t="s">
        <v>59</v>
      </c>
      <c r="P2369" s="8" t="s">
        <v>59</v>
      </c>
      <c r="R2369" s="8">
        <v>0</v>
      </c>
      <c r="S2369" s="8">
        <v>0</v>
      </c>
      <c r="T2369" s="8">
        <v>1</v>
      </c>
      <c r="U2369" s="8">
        <v>2</v>
      </c>
      <c r="AG2369" s="8" t="str">
        <f t="shared" si="145"/>
        <v/>
      </c>
      <c r="AI2369" s="8" t="str">
        <f t="shared" si="146"/>
        <v/>
      </c>
      <c r="AJ2369" s="8" t="str">
        <f t="shared" si="147"/>
        <v/>
      </c>
      <c r="AL2369" s="8" t="str">
        <f t="shared" si="148"/>
        <v/>
      </c>
    </row>
    <row r="2370" spans="1:38" x14ac:dyDescent="0.25">
      <c r="A2370" s="8" t="s">
        <v>2592</v>
      </c>
      <c r="B2370" s="8" t="s">
        <v>2593</v>
      </c>
      <c r="C2370" s="8">
        <v>30863866</v>
      </c>
      <c r="D2370" s="8">
        <v>5</v>
      </c>
      <c r="E2370" s="11">
        <v>43110</v>
      </c>
      <c r="F2370" s="8" t="s">
        <v>57</v>
      </c>
      <c r="G2370" s="11">
        <v>43110</v>
      </c>
      <c r="H2370" s="8" t="s">
        <v>25</v>
      </c>
      <c r="J2370" s="8" t="s">
        <v>25</v>
      </c>
      <c r="N2370" s="8" t="s">
        <v>58</v>
      </c>
      <c r="O2370" s="8" t="s">
        <v>59</v>
      </c>
      <c r="P2370" s="8" t="s">
        <v>59</v>
      </c>
      <c r="R2370" s="8">
        <v>0</v>
      </c>
      <c r="S2370" s="8">
        <v>0</v>
      </c>
      <c r="T2370" s="8">
        <v>1</v>
      </c>
      <c r="U2370" s="8">
        <v>2</v>
      </c>
      <c r="AG2370" s="8" t="str">
        <f t="shared" si="145"/>
        <v/>
      </c>
      <c r="AI2370" s="8" t="str">
        <f t="shared" si="146"/>
        <v/>
      </c>
      <c r="AJ2370" s="8" t="str">
        <f t="shared" si="147"/>
        <v/>
      </c>
      <c r="AL2370" s="8" t="str">
        <f t="shared" si="148"/>
        <v/>
      </c>
    </row>
    <row r="2371" spans="1:38" x14ac:dyDescent="0.25">
      <c r="A2371" s="8" t="s">
        <v>7490</v>
      </c>
      <c r="B2371" s="8" t="s">
        <v>7491</v>
      </c>
      <c r="C2371" s="8">
        <v>30940002</v>
      </c>
      <c r="D2371" s="8">
        <v>5</v>
      </c>
      <c r="E2371" s="11">
        <v>43115</v>
      </c>
      <c r="F2371" s="8" t="s">
        <v>57</v>
      </c>
      <c r="G2371" s="11">
        <v>43115</v>
      </c>
      <c r="H2371" s="8" t="s">
        <v>25</v>
      </c>
      <c r="J2371" s="8" t="s">
        <v>25</v>
      </c>
      <c r="N2371" s="8" t="s">
        <v>58</v>
      </c>
      <c r="O2371" s="8" t="s">
        <v>59</v>
      </c>
      <c r="P2371" s="8" t="s">
        <v>59</v>
      </c>
      <c r="R2371" s="8">
        <v>0</v>
      </c>
      <c r="S2371" s="8">
        <v>0</v>
      </c>
      <c r="T2371" s="8">
        <v>1</v>
      </c>
      <c r="U2371" s="8">
        <v>2</v>
      </c>
      <c r="AG2371" s="8" t="str">
        <f t="shared" ref="AG2371:AG2434" si="149">IF(AND(U2371="",G2371&lt;&gt;"",NOT(OR(R2371,S2371))),IF(NETWORKDAYS.INTL(G2371,TODAY(),11)&lt;5,"En Plazo",IF(NETWORKDAYS.INTL(G2371,TODAY(),11)=5,"Riesgo Incumplimiento","FALTA_02")),"")</f>
        <v/>
      </c>
      <c r="AI2371" s="8" t="str">
        <f t="shared" ref="AI2371:AI2434" si="150">IF(AND(O2371&lt;&gt;"B1",F2371="Rejected"),IF(W2371="","FALTA_04",""),"")</f>
        <v/>
      </c>
      <c r="AJ2371" s="8" t="str">
        <f t="shared" ref="AJ2371:AJ2434" si="151">IF(AND(X2371="",I2371&lt;&gt;"",NOT(OR(R2371,S2371))),IF(NETWORKDAYS.INTL(G2371,TODAY(),11)&lt;=1,"En Plazo",IF(OR(AND(X2371="",O2371&lt;&gt;"M1"),AND(O2371="M1",(OR(Q2371="S - S",Q2371="S - T",)))),"FALTA_05","")),"")</f>
        <v/>
      </c>
      <c r="AL2371" s="8" t="str">
        <f t="shared" ref="AL2371:AL2434" si="152">IF(AND(O2371="B1",F2371="Rejected"),IF(Z2371="","FALTA_07",""),"")</f>
        <v/>
      </c>
    </row>
    <row r="2372" spans="1:38" x14ac:dyDescent="0.25">
      <c r="A2372" s="8" t="s">
        <v>4074</v>
      </c>
      <c r="B2372" s="8" t="s">
        <v>4075</v>
      </c>
      <c r="C2372" s="8">
        <v>30899728</v>
      </c>
      <c r="D2372" s="8">
        <v>5</v>
      </c>
      <c r="E2372" s="11">
        <v>43111</v>
      </c>
      <c r="F2372" s="8" t="s">
        <v>57</v>
      </c>
      <c r="G2372" s="11">
        <v>43111</v>
      </c>
      <c r="H2372" s="8" t="s">
        <v>25</v>
      </c>
      <c r="J2372" s="8" t="s">
        <v>25</v>
      </c>
      <c r="N2372" s="8" t="s">
        <v>58</v>
      </c>
      <c r="O2372" s="8" t="s">
        <v>59</v>
      </c>
      <c r="P2372" s="8" t="s">
        <v>59</v>
      </c>
      <c r="R2372" s="8">
        <v>0</v>
      </c>
      <c r="S2372" s="8">
        <v>0</v>
      </c>
      <c r="T2372" s="8">
        <v>1</v>
      </c>
      <c r="U2372" s="8">
        <v>2</v>
      </c>
      <c r="AG2372" s="8" t="str">
        <f t="shared" si="149"/>
        <v/>
      </c>
      <c r="AI2372" s="8" t="str">
        <f t="shared" si="150"/>
        <v/>
      </c>
      <c r="AJ2372" s="8" t="str">
        <f t="shared" si="151"/>
        <v/>
      </c>
      <c r="AL2372" s="8" t="str">
        <f t="shared" si="152"/>
        <v/>
      </c>
    </row>
    <row r="2373" spans="1:38" x14ac:dyDescent="0.25">
      <c r="A2373" s="8" t="s">
        <v>5704</v>
      </c>
      <c r="B2373" s="8" t="s">
        <v>5705</v>
      </c>
      <c r="C2373" s="8">
        <v>30902098</v>
      </c>
      <c r="D2373" s="8">
        <v>5</v>
      </c>
      <c r="E2373" s="11">
        <v>43111</v>
      </c>
      <c r="F2373" s="8" t="s">
        <v>57</v>
      </c>
      <c r="G2373" s="11">
        <v>43112</v>
      </c>
      <c r="H2373" s="8" t="s">
        <v>25</v>
      </c>
      <c r="J2373" s="8" t="s">
        <v>25</v>
      </c>
      <c r="N2373" s="8" t="s">
        <v>58</v>
      </c>
      <c r="O2373" s="8" t="s">
        <v>59</v>
      </c>
      <c r="P2373" s="8" t="s">
        <v>59</v>
      </c>
      <c r="R2373" s="8">
        <v>0</v>
      </c>
      <c r="S2373" s="8">
        <v>0</v>
      </c>
      <c r="T2373" s="8">
        <v>1</v>
      </c>
      <c r="U2373" s="8">
        <v>2</v>
      </c>
      <c r="AG2373" s="8" t="str">
        <f t="shared" si="149"/>
        <v/>
      </c>
      <c r="AI2373" s="8" t="str">
        <f t="shared" si="150"/>
        <v/>
      </c>
      <c r="AJ2373" s="8" t="str">
        <f t="shared" si="151"/>
        <v/>
      </c>
      <c r="AL2373" s="8" t="str">
        <f t="shared" si="152"/>
        <v/>
      </c>
    </row>
    <row r="2374" spans="1:38" x14ac:dyDescent="0.25">
      <c r="A2374" s="8" t="s">
        <v>7492</v>
      </c>
      <c r="B2374" s="8" t="s">
        <v>7493</v>
      </c>
      <c r="C2374" s="8">
        <v>30902163</v>
      </c>
      <c r="D2374" s="8">
        <v>5</v>
      </c>
      <c r="E2374" s="11">
        <v>43111</v>
      </c>
      <c r="F2374" s="8" t="s">
        <v>57</v>
      </c>
      <c r="G2374" s="11">
        <v>43115</v>
      </c>
      <c r="H2374" s="8" t="s">
        <v>25</v>
      </c>
      <c r="J2374" s="8" t="s">
        <v>25</v>
      </c>
      <c r="N2374" s="8" t="s">
        <v>58</v>
      </c>
      <c r="O2374" s="8" t="s">
        <v>59</v>
      </c>
      <c r="P2374" s="8" t="s">
        <v>59</v>
      </c>
      <c r="R2374" s="8">
        <v>0</v>
      </c>
      <c r="S2374" s="8">
        <v>0</v>
      </c>
      <c r="T2374" s="8">
        <v>1</v>
      </c>
      <c r="U2374" s="8">
        <v>2</v>
      </c>
      <c r="AG2374" s="8" t="str">
        <f t="shared" si="149"/>
        <v/>
      </c>
      <c r="AI2374" s="8" t="str">
        <f t="shared" si="150"/>
        <v/>
      </c>
      <c r="AJ2374" s="8" t="str">
        <f t="shared" si="151"/>
        <v/>
      </c>
      <c r="AL2374" s="8" t="str">
        <f t="shared" si="152"/>
        <v/>
      </c>
    </row>
    <row r="2375" spans="1:38" x14ac:dyDescent="0.25">
      <c r="A2375" s="8" t="s">
        <v>1347</v>
      </c>
      <c r="B2375" s="8" t="s">
        <v>1348</v>
      </c>
      <c r="C2375" s="8">
        <v>30847855</v>
      </c>
      <c r="D2375" s="8">
        <v>5</v>
      </c>
      <c r="E2375" s="11">
        <v>43109</v>
      </c>
      <c r="F2375" s="8" t="s">
        <v>60</v>
      </c>
      <c r="G2375" s="11">
        <v>43109</v>
      </c>
      <c r="H2375" s="8" t="s">
        <v>25</v>
      </c>
      <c r="J2375" s="8" t="s">
        <v>145</v>
      </c>
      <c r="L2375" s="8" t="s">
        <v>6525</v>
      </c>
      <c r="N2375" s="8" t="s">
        <v>58</v>
      </c>
      <c r="O2375" s="8" t="s">
        <v>59</v>
      </c>
      <c r="P2375" s="8" t="s">
        <v>59</v>
      </c>
      <c r="R2375" s="8">
        <v>0</v>
      </c>
      <c r="S2375" s="8">
        <v>0</v>
      </c>
      <c r="T2375" s="8">
        <v>1</v>
      </c>
      <c r="U2375" s="8">
        <v>2</v>
      </c>
      <c r="W2375" s="8">
        <v>4</v>
      </c>
      <c r="AG2375" s="8" t="str">
        <f t="shared" si="149"/>
        <v/>
      </c>
      <c r="AI2375" s="8" t="str">
        <f t="shared" si="150"/>
        <v/>
      </c>
      <c r="AJ2375" s="8" t="str">
        <f t="shared" si="151"/>
        <v/>
      </c>
      <c r="AL2375" s="8" t="str">
        <f t="shared" si="152"/>
        <v/>
      </c>
    </row>
    <row r="2376" spans="1:38" x14ac:dyDescent="0.25">
      <c r="A2376" s="8" t="s">
        <v>2594</v>
      </c>
      <c r="B2376" s="8" t="s">
        <v>2595</v>
      </c>
      <c r="C2376" s="8">
        <v>30860455</v>
      </c>
      <c r="D2376" s="8">
        <v>5</v>
      </c>
      <c r="E2376" s="11">
        <v>43110</v>
      </c>
      <c r="F2376" s="8" t="s">
        <v>58</v>
      </c>
      <c r="G2376" s="11">
        <v>43110</v>
      </c>
      <c r="H2376" s="8" t="s">
        <v>25</v>
      </c>
      <c r="I2376" s="11">
        <v>43115</v>
      </c>
      <c r="J2376" s="8" t="s">
        <v>145</v>
      </c>
      <c r="N2376" s="8" t="s">
        <v>58</v>
      </c>
      <c r="O2376" s="8" t="s">
        <v>59</v>
      </c>
      <c r="P2376" s="8" t="s">
        <v>59</v>
      </c>
      <c r="R2376" s="8">
        <v>0</v>
      </c>
      <c r="S2376" s="8">
        <v>0</v>
      </c>
      <c r="T2376" s="8">
        <v>1</v>
      </c>
      <c r="U2376" s="8">
        <v>2</v>
      </c>
      <c r="X2376" s="8">
        <v>5</v>
      </c>
      <c r="AG2376" s="8" t="str">
        <f t="shared" si="149"/>
        <v/>
      </c>
      <c r="AI2376" s="8" t="str">
        <f t="shared" si="150"/>
        <v/>
      </c>
      <c r="AJ2376" s="8" t="str">
        <f t="shared" si="151"/>
        <v/>
      </c>
      <c r="AL2376" s="8" t="str">
        <f t="shared" si="152"/>
        <v/>
      </c>
    </row>
    <row r="2377" spans="1:38" x14ac:dyDescent="0.25">
      <c r="A2377" s="8" t="s">
        <v>4076</v>
      </c>
      <c r="B2377" s="8" t="s">
        <v>4077</v>
      </c>
      <c r="C2377" s="8">
        <v>30850621</v>
      </c>
      <c r="D2377" s="8">
        <v>5</v>
      </c>
      <c r="E2377" s="11">
        <v>43109</v>
      </c>
      <c r="F2377" s="8" t="s">
        <v>57</v>
      </c>
      <c r="G2377" s="11">
        <v>43111</v>
      </c>
      <c r="H2377" s="8" t="s">
        <v>25</v>
      </c>
      <c r="J2377" s="8" t="s">
        <v>25</v>
      </c>
      <c r="N2377" s="8" t="s">
        <v>58</v>
      </c>
      <c r="O2377" s="8" t="s">
        <v>59</v>
      </c>
      <c r="P2377" s="8" t="s">
        <v>59</v>
      </c>
      <c r="R2377" s="8">
        <v>0</v>
      </c>
      <c r="S2377" s="8">
        <v>0</v>
      </c>
      <c r="T2377" s="8">
        <v>1</v>
      </c>
      <c r="U2377" s="8">
        <v>2</v>
      </c>
      <c r="AG2377" s="8" t="str">
        <f t="shared" si="149"/>
        <v/>
      </c>
      <c r="AI2377" s="8" t="str">
        <f t="shared" si="150"/>
        <v/>
      </c>
      <c r="AJ2377" s="8" t="str">
        <f t="shared" si="151"/>
        <v/>
      </c>
      <c r="AL2377" s="8" t="str">
        <f t="shared" si="152"/>
        <v/>
      </c>
    </row>
    <row r="2378" spans="1:38" x14ac:dyDescent="0.25">
      <c r="A2378" s="8" t="s">
        <v>527</v>
      </c>
      <c r="B2378" s="8" t="s">
        <v>528</v>
      </c>
      <c r="C2378" s="8">
        <v>30811484</v>
      </c>
      <c r="D2378" s="8">
        <v>5</v>
      </c>
      <c r="E2378" s="11">
        <v>43108</v>
      </c>
      <c r="F2378" s="8" t="s">
        <v>57</v>
      </c>
      <c r="G2378" s="11">
        <v>43108</v>
      </c>
      <c r="H2378" s="8" t="s">
        <v>25</v>
      </c>
      <c r="J2378" s="8" t="s">
        <v>25</v>
      </c>
      <c r="N2378" s="8" t="s">
        <v>58</v>
      </c>
      <c r="O2378" s="8" t="s">
        <v>59</v>
      </c>
      <c r="P2378" s="8" t="s">
        <v>59</v>
      </c>
      <c r="R2378" s="8">
        <v>0</v>
      </c>
      <c r="S2378" s="8">
        <v>0</v>
      </c>
      <c r="T2378" s="8">
        <v>1</v>
      </c>
      <c r="U2378" s="8">
        <v>2</v>
      </c>
      <c r="AG2378" s="8" t="str">
        <f t="shared" si="149"/>
        <v/>
      </c>
      <c r="AI2378" s="8" t="str">
        <f t="shared" si="150"/>
        <v/>
      </c>
      <c r="AJ2378" s="8" t="str">
        <f t="shared" si="151"/>
        <v/>
      </c>
      <c r="AL2378" s="8" t="str">
        <f t="shared" si="152"/>
        <v/>
      </c>
    </row>
    <row r="2379" spans="1:38" x14ac:dyDescent="0.25">
      <c r="A2379" s="8" t="s">
        <v>7494</v>
      </c>
      <c r="B2379" s="8" t="s">
        <v>7495</v>
      </c>
      <c r="C2379" s="8">
        <v>30902272</v>
      </c>
      <c r="D2379" s="8">
        <v>5</v>
      </c>
      <c r="E2379" s="11">
        <v>43111</v>
      </c>
      <c r="F2379" s="8" t="s">
        <v>57</v>
      </c>
      <c r="G2379" s="11">
        <v>43115</v>
      </c>
      <c r="H2379" s="8" t="s">
        <v>25</v>
      </c>
      <c r="J2379" s="8" t="s">
        <v>25</v>
      </c>
      <c r="N2379" s="8" t="s">
        <v>58</v>
      </c>
      <c r="O2379" s="8" t="s">
        <v>59</v>
      </c>
      <c r="P2379" s="8" t="s">
        <v>59</v>
      </c>
      <c r="R2379" s="8">
        <v>0</v>
      </c>
      <c r="S2379" s="8">
        <v>0</v>
      </c>
      <c r="T2379" s="8">
        <v>1</v>
      </c>
      <c r="U2379" s="8">
        <v>2</v>
      </c>
      <c r="AG2379" s="8" t="str">
        <f t="shared" si="149"/>
        <v/>
      </c>
      <c r="AI2379" s="8" t="str">
        <f t="shared" si="150"/>
        <v/>
      </c>
      <c r="AJ2379" s="8" t="str">
        <f t="shared" si="151"/>
        <v/>
      </c>
      <c r="AL2379" s="8" t="str">
        <f t="shared" si="152"/>
        <v/>
      </c>
    </row>
    <row r="2380" spans="1:38" x14ac:dyDescent="0.25">
      <c r="A2380" s="8" t="s">
        <v>2596</v>
      </c>
      <c r="B2380" s="8" t="s">
        <v>2597</v>
      </c>
      <c r="C2380" s="8">
        <v>30818535</v>
      </c>
      <c r="D2380" s="8">
        <v>5</v>
      </c>
      <c r="E2380" s="11">
        <v>43108</v>
      </c>
      <c r="F2380" s="8" t="s">
        <v>58</v>
      </c>
      <c r="G2380" s="11">
        <v>43110</v>
      </c>
      <c r="H2380" s="8" t="s">
        <v>25</v>
      </c>
      <c r="I2380" s="11">
        <v>43110</v>
      </c>
      <c r="J2380" s="8" t="s">
        <v>25</v>
      </c>
      <c r="N2380" s="8" t="s">
        <v>58</v>
      </c>
      <c r="O2380" s="8" t="s">
        <v>59</v>
      </c>
      <c r="P2380" s="8" t="s">
        <v>59</v>
      </c>
      <c r="R2380" s="8">
        <v>0</v>
      </c>
      <c r="S2380" s="8">
        <v>0</v>
      </c>
      <c r="T2380" s="8">
        <v>1</v>
      </c>
      <c r="U2380" s="8">
        <v>2</v>
      </c>
      <c r="X2380" s="8">
        <v>5</v>
      </c>
      <c r="AG2380" s="8" t="str">
        <f t="shared" si="149"/>
        <v/>
      </c>
      <c r="AI2380" s="8" t="str">
        <f t="shared" si="150"/>
        <v/>
      </c>
      <c r="AJ2380" s="8" t="str">
        <f t="shared" si="151"/>
        <v/>
      </c>
      <c r="AL2380" s="8" t="str">
        <f t="shared" si="152"/>
        <v/>
      </c>
    </row>
    <row r="2381" spans="1:38" x14ac:dyDescent="0.25">
      <c r="A2381" s="8" t="s">
        <v>4078</v>
      </c>
      <c r="B2381" s="8" t="s">
        <v>4079</v>
      </c>
      <c r="C2381" s="8">
        <v>30899663</v>
      </c>
      <c r="D2381" s="8">
        <v>5</v>
      </c>
      <c r="E2381" s="11">
        <v>43111</v>
      </c>
      <c r="F2381" s="8" t="s">
        <v>57</v>
      </c>
      <c r="G2381" s="11">
        <v>43111</v>
      </c>
      <c r="H2381" s="8" t="s">
        <v>25</v>
      </c>
      <c r="J2381" s="8" t="s">
        <v>25</v>
      </c>
      <c r="N2381" s="8" t="s">
        <v>58</v>
      </c>
      <c r="O2381" s="8" t="s">
        <v>59</v>
      </c>
      <c r="P2381" s="8" t="s">
        <v>59</v>
      </c>
      <c r="R2381" s="8">
        <v>0</v>
      </c>
      <c r="S2381" s="8">
        <v>0</v>
      </c>
      <c r="T2381" s="8">
        <v>1</v>
      </c>
      <c r="U2381" s="8">
        <v>2</v>
      </c>
      <c r="AG2381" s="8" t="str">
        <f t="shared" si="149"/>
        <v/>
      </c>
      <c r="AI2381" s="8" t="str">
        <f t="shared" si="150"/>
        <v/>
      </c>
      <c r="AJ2381" s="8" t="str">
        <f t="shared" si="151"/>
        <v/>
      </c>
      <c r="AL2381" s="8" t="str">
        <f t="shared" si="152"/>
        <v/>
      </c>
    </row>
    <row r="2382" spans="1:38" x14ac:dyDescent="0.25">
      <c r="A2382" s="8" t="s">
        <v>5706</v>
      </c>
      <c r="B2382" s="8" t="s">
        <v>5707</v>
      </c>
      <c r="C2382" s="8">
        <v>30868721</v>
      </c>
      <c r="D2382" s="8">
        <v>5</v>
      </c>
      <c r="E2382" s="11">
        <v>43110</v>
      </c>
      <c r="F2382" s="8" t="s">
        <v>57</v>
      </c>
      <c r="G2382" s="11">
        <v>43112</v>
      </c>
      <c r="H2382" s="8" t="s">
        <v>25</v>
      </c>
      <c r="J2382" s="8" t="s">
        <v>25</v>
      </c>
      <c r="N2382" s="8" t="s">
        <v>58</v>
      </c>
      <c r="O2382" s="8" t="s">
        <v>59</v>
      </c>
      <c r="P2382" s="8" t="s">
        <v>59</v>
      </c>
      <c r="R2382" s="8">
        <v>0</v>
      </c>
      <c r="S2382" s="8">
        <v>0</v>
      </c>
      <c r="T2382" s="8">
        <v>1</v>
      </c>
      <c r="U2382" s="8">
        <v>2</v>
      </c>
      <c r="AG2382" s="8" t="str">
        <f t="shared" si="149"/>
        <v/>
      </c>
      <c r="AI2382" s="8" t="str">
        <f t="shared" si="150"/>
        <v/>
      </c>
      <c r="AJ2382" s="8" t="str">
        <f t="shared" si="151"/>
        <v/>
      </c>
      <c r="AL2382" s="8" t="str">
        <f t="shared" si="152"/>
        <v/>
      </c>
    </row>
    <row r="2383" spans="1:38" x14ac:dyDescent="0.25">
      <c r="A2383" s="8" t="s">
        <v>5708</v>
      </c>
      <c r="B2383" s="8" t="s">
        <v>5709</v>
      </c>
      <c r="C2383" s="8">
        <v>30864571</v>
      </c>
      <c r="D2383" s="8">
        <v>5</v>
      </c>
      <c r="E2383" s="11">
        <v>43110</v>
      </c>
      <c r="F2383" s="8" t="s">
        <v>57</v>
      </c>
      <c r="G2383" s="11">
        <v>43112</v>
      </c>
      <c r="H2383" s="8" t="s">
        <v>25</v>
      </c>
      <c r="J2383" s="8" t="s">
        <v>25</v>
      </c>
      <c r="N2383" s="8" t="s">
        <v>58</v>
      </c>
      <c r="O2383" s="8" t="s">
        <v>59</v>
      </c>
      <c r="P2383" s="8" t="s">
        <v>59</v>
      </c>
      <c r="R2383" s="8">
        <v>0</v>
      </c>
      <c r="S2383" s="8">
        <v>0</v>
      </c>
      <c r="T2383" s="8">
        <v>1</v>
      </c>
      <c r="U2383" s="8">
        <v>2</v>
      </c>
      <c r="AG2383" s="8" t="str">
        <f t="shared" si="149"/>
        <v/>
      </c>
      <c r="AI2383" s="8" t="str">
        <f t="shared" si="150"/>
        <v/>
      </c>
      <c r="AJ2383" s="8" t="str">
        <f t="shared" si="151"/>
        <v/>
      </c>
      <c r="AL2383" s="8" t="str">
        <f t="shared" si="152"/>
        <v/>
      </c>
    </row>
    <row r="2384" spans="1:38" x14ac:dyDescent="0.25">
      <c r="A2384" s="8" t="s">
        <v>7496</v>
      </c>
      <c r="B2384" s="8" t="s">
        <v>7497</v>
      </c>
      <c r="C2384" s="8">
        <v>30881626</v>
      </c>
      <c r="D2384" s="8">
        <v>5</v>
      </c>
      <c r="E2384" s="11">
        <v>43111</v>
      </c>
      <c r="F2384" s="8" t="s">
        <v>57</v>
      </c>
      <c r="G2384" s="11">
        <v>43115</v>
      </c>
      <c r="H2384" s="8" t="s">
        <v>25</v>
      </c>
      <c r="J2384" s="8" t="s">
        <v>25</v>
      </c>
      <c r="N2384" s="8" t="s">
        <v>58</v>
      </c>
      <c r="O2384" s="8" t="s">
        <v>59</v>
      </c>
      <c r="P2384" s="8" t="s">
        <v>59</v>
      </c>
      <c r="R2384" s="8">
        <v>0</v>
      </c>
      <c r="S2384" s="8">
        <v>0</v>
      </c>
      <c r="T2384" s="8">
        <v>1</v>
      </c>
      <c r="U2384" s="8">
        <v>2</v>
      </c>
      <c r="AG2384" s="8" t="str">
        <f t="shared" si="149"/>
        <v/>
      </c>
      <c r="AI2384" s="8" t="str">
        <f t="shared" si="150"/>
        <v/>
      </c>
      <c r="AJ2384" s="8" t="str">
        <f t="shared" si="151"/>
        <v/>
      </c>
      <c r="AL2384" s="8" t="str">
        <f t="shared" si="152"/>
        <v/>
      </c>
    </row>
    <row r="2385" spans="1:38" x14ac:dyDescent="0.25">
      <c r="A2385" s="8" t="s">
        <v>1349</v>
      </c>
      <c r="B2385" s="8" t="s">
        <v>1350</v>
      </c>
      <c r="C2385" s="8">
        <v>30839835</v>
      </c>
      <c r="D2385" s="8">
        <v>5</v>
      </c>
      <c r="E2385" s="11">
        <v>43109</v>
      </c>
      <c r="F2385" s="8" t="s">
        <v>58</v>
      </c>
      <c r="G2385" s="11">
        <v>43109</v>
      </c>
      <c r="H2385" s="8" t="s">
        <v>25</v>
      </c>
      <c r="I2385" s="11">
        <v>43115</v>
      </c>
      <c r="J2385" s="8" t="s">
        <v>145</v>
      </c>
      <c r="N2385" s="8" t="s">
        <v>58</v>
      </c>
      <c r="O2385" s="8" t="s">
        <v>59</v>
      </c>
      <c r="P2385" s="8" t="s">
        <v>59</v>
      </c>
      <c r="R2385" s="8">
        <v>0</v>
      </c>
      <c r="S2385" s="8">
        <v>0</v>
      </c>
      <c r="T2385" s="8">
        <v>1</v>
      </c>
      <c r="U2385" s="8">
        <v>2</v>
      </c>
      <c r="X2385" s="8">
        <v>5</v>
      </c>
      <c r="AG2385" s="8" t="str">
        <f t="shared" si="149"/>
        <v/>
      </c>
      <c r="AI2385" s="8" t="str">
        <f t="shared" si="150"/>
        <v/>
      </c>
      <c r="AJ2385" s="8" t="str">
        <f t="shared" si="151"/>
        <v/>
      </c>
      <c r="AL2385" s="8" t="str">
        <f t="shared" si="152"/>
        <v/>
      </c>
    </row>
    <row r="2386" spans="1:38" x14ac:dyDescent="0.25">
      <c r="A2386" s="8" t="s">
        <v>4080</v>
      </c>
      <c r="B2386" s="8" t="s">
        <v>4081</v>
      </c>
      <c r="C2386" s="8">
        <v>30840109</v>
      </c>
      <c r="D2386" s="8">
        <v>5</v>
      </c>
      <c r="E2386" s="11">
        <v>43109</v>
      </c>
      <c r="F2386" s="8" t="s">
        <v>57</v>
      </c>
      <c r="G2386" s="11">
        <v>43111</v>
      </c>
      <c r="H2386" s="8" t="s">
        <v>25</v>
      </c>
      <c r="J2386" s="8" t="s">
        <v>25</v>
      </c>
      <c r="N2386" s="8" t="s">
        <v>58</v>
      </c>
      <c r="O2386" s="8" t="s">
        <v>59</v>
      </c>
      <c r="P2386" s="8" t="s">
        <v>59</v>
      </c>
      <c r="R2386" s="8">
        <v>0</v>
      </c>
      <c r="S2386" s="8">
        <v>0</v>
      </c>
      <c r="T2386" s="8">
        <v>1</v>
      </c>
      <c r="U2386" s="8">
        <v>2</v>
      </c>
      <c r="AG2386" s="8" t="str">
        <f t="shared" si="149"/>
        <v/>
      </c>
      <c r="AI2386" s="8" t="str">
        <f t="shared" si="150"/>
        <v/>
      </c>
      <c r="AJ2386" s="8" t="str">
        <f t="shared" si="151"/>
        <v/>
      </c>
      <c r="AL2386" s="8" t="str">
        <f t="shared" si="152"/>
        <v/>
      </c>
    </row>
    <row r="2387" spans="1:38" x14ac:dyDescent="0.25">
      <c r="A2387" s="8" t="s">
        <v>2598</v>
      </c>
      <c r="B2387" s="8" t="s">
        <v>2599</v>
      </c>
      <c r="C2387" s="8">
        <v>30820636</v>
      </c>
      <c r="D2387" s="8">
        <v>5</v>
      </c>
      <c r="E2387" s="11">
        <v>43108</v>
      </c>
      <c r="F2387" s="8" t="s">
        <v>58</v>
      </c>
      <c r="G2387" s="11">
        <v>43110</v>
      </c>
      <c r="H2387" s="8" t="s">
        <v>25</v>
      </c>
      <c r="I2387" s="11">
        <v>43113</v>
      </c>
      <c r="J2387" s="8" t="s">
        <v>25</v>
      </c>
      <c r="N2387" s="8" t="s">
        <v>58</v>
      </c>
      <c r="O2387" s="8" t="s">
        <v>59</v>
      </c>
      <c r="P2387" s="8" t="s">
        <v>59</v>
      </c>
      <c r="R2387" s="8">
        <v>0</v>
      </c>
      <c r="S2387" s="8">
        <v>0</v>
      </c>
      <c r="T2387" s="8">
        <v>1</v>
      </c>
      <c r="U2387" s="8">
        <v>2</v>
      </c>
      <c r="X2387" s="8">
        <v>5</v>
      </c>
      <c r="AG2387" s="8" t="str">
        <f t="shared" si="149"/>
        <v/>
      </c>
      <c r="AI2387" s="8" t="str">
        <f t="shared" si="150"/>
        <v/>
      </c>
      <c r="AJ2387" s="8" t="str">
        <f t="shared" si="151"/>
        <v/>
      </c>
      <c r="AL2387" s="8" t="str">
        <f t="shared" si="152"/>
        <v/>
      </c>
    </row>
    <row r="2388" spans="1:38" x14ac:dyDescent="0.25">
      <c r="A2388" s="8" t="s">
        <v>4082</v>
      </c>
      <c r="B2388" s="8" t="s">
        <v>4083</v>
      </c>
      <c r="C2388" s="8">
        <v>30881446</v>
      </c>
      <c r="D2388" s="8">
        <v>5</v>
      </c>
      <c r="E2388" s="11">
        <v>43111</v>
      </c>
      <c r="F2388" s="8" t="s">
        <v>57</v>
      </c>
      <c r="G2388" s="11">
        <v>43111</v>
      </c>
      <c r="H2388" s="8" t="s">
        <v>25</v>
      </c>
      <c r="J2388" s="8" t="s">
        <v>25</v>
      </c>
      <c r="N2388" s="8" t="s">
        <v>58</v>
      </c>
      <c r="O2388" s="8" t="s">
        <v>59</v>
      </c>
      <c r="P2388" s="8" t="s">
        <v>59</v>
      </c>
      <c r="R2388" s="8">
        <v>0</v>
      </c>
      <c r="S2388" s="8">
        <v>0</v>
      </c>
      <c r="T2388" s="8">
        <v>1</v>
      </c>
      <c r="U2388" s="8">
        <v>2</v>
      </c>
      <c r="AG2388" s="8" t="str">
        <f t="shared" si="149"/>
        <v/>
      </c>
      <c r="AI2388" s="8" t="str">
        <f t="shared" si="150"/>
        <v/>
      </c>
      <c r="AJ2388" s="8" t="str">
        <f t="shared" si="151"/>
        <v/>
      </c>
      <c r="AL2388" s="8" t="str">
        <f t="shared" si="152"/>
        <v/>
      </c>
    </row>
    <row r="2389" spans="1:38" x14ac:dyDescent="0.25">
      <c r="A2389" s="8" t="s">
        <v>2600</v>
      </c>
      <c r="B2389" s="8" t="s">
        <v>2601</v>
      </c>
      <c r="C2389" s="8">
        <v>30863737</v>
      </c>
      <c r="D2389" s="8">
        <v>5</v>
      </c>
      <c r="E2389" s="11">
        <v>43110</v>
      </c>
      <c r="F2389" s="8" t="s">
        <v>57</v>
      </c>
      <c r="G2389" s="11">
        <v>43110</v>
      </c>
      <c r="H2389" s="8" t="s">
        <v>25</v>
      </c>
      <c r="J2389" s="8" t="s">
        <v>25</v>
      </c>
      <c r="N2389" s="8" t="s">
        <v>58</v>
      </c>
      <c r="O2389" s="8" t="s">
        <v>59</v>
      </c>
      <c r="P2389" s="8" t="s">
        <v>59</v>
      </c>
      <c r="R2389" s="8">
        <v>0</v>
      </c>
      <c r="S2389" s="8">
        <v>0</v>
      </c>
      <c r="T2389" s="8">
        <v>1</v>
      </c>
      <c r="U2389" s="8">
        <v>2</v>
      </c>
      <c r="AG2389" s="8" t="str">
        <f t="shared" si="149"/>
        <v/>
      </c>
      <c r="AI2389" s="8" t="str">
        <f t="shared" si="150"/>
        <v/>
      </c>
      <c r="AJ2389" s="8" t="str">
        <f t="shared" si="151"/>
        <v/>
      </c>
      <c r="AL2389" s="8" t="str">
        <f t="shared" si="152"/>
        <v/>
      </c>
    </row>
    <row r="2390" spans="1:38" x14ac:dyDescent="0.25">
      <c r="A2390" s="8" t="s">
        <v>1351</v>
      </c>
      <c r="B2390" s="8" t="s">
        <v>1352</v>
      </c>
      <c r="C2390" s="8">
        <v>30851202</v>
      </c>
      <c r="D2390" s="8">
        <v>5</v>
      </c>
      <c r="E2390" s="11">
        <v>43109</v>
      </c>
      <c r="F2390" s="8" t="s">
        <v>57</v>
      </c>
      <c r="G2390" s="11">
        <v>43109</v>
      </c>
      <c r="H2390" s="8" t="s">
        <v>25</v>
      </c>
      <c r="J2390" s="8" t="s">
        <v>25</v>
      </c>
      <c r="N2390" s="8" t="s">
        <v>58</v>
      </c>
      <c r="O2390" s="8" t="s">
        <v>59</v>
      </c>
      <c r="P2390" s="8" t="s">
        <v>59</v>
      </c>
      <c r="R2390" s="8">
        <v>0</v>
      </c>
      <c r="S2390" s="8">
        <v>0</v>
      </c>
      <c r="T2390" s="8">
        <v>1</v>
      </c>
      <c r="U2390" s="8">
        <v>2</v>
      </c>
      <c r="AG2390" s="8" t="str">
        <f t="shared" si="149"/>
        <v/>
      </c>
      <c r="AI2390" s="8" t="str">
        <f t="shared" si="150"/>
        <v/>
      </c>
      <c r="AJ2390" s="8" t="str">
        <f t="shared" si="151"/>
        <v/>
      </c>
      <c r="AL2390" s="8" t="str">
        <f t="shared" si="152"/>
        <v/>
      </c>
    </row>
    <row r="2391" spans="1:38" x14ac:dyDescent="0.25">
      <c r="A2391" s="8" t="s">
        <v>2602</v>
      </c>
      <c r="B2391" s="8" t="s">
        <v>2603</v>
      </c>
      <c r="C2391" s="8">
        <v>30820805</v>
      </c>
      <c r="D2391" s="8">
        <v>5</v>
      </c>
      <c r="E2391" s="11">
        <v>43108</v>
      </c>
      <c r="F2391" s="8" t="s">
        <v>57</v>
      </c>
      <c r="G2391" s="11">
        <v>43110</v>
      </c>
      <c r="H2391" s="8" t="s">
        <v>25</v>
      </c>
      <c r="J2391" s="8" t="s">
        <v>25</v>
      </c>
      <c r="N2391" s="8" t="s">
        <v>58</v>
      </c>
      <c r="O2391" s="8" t="s">
        <v>59</v>
      </c>
      <c r="P2391" s="8" t="s">
        <v>59</v>
      </c>
      <c r="R2391" s="8">
        <v>0</v>
      </c>
      <c r="S2391" s="8">
        <v>0</v>
      </c>
      <c r="T2391" s="8">
        <v>1</v>
      </c>
      <c r="U2391" s="8">
        <v>2</v>
      </c>
      <c r="AG2391" s="8" t="str">
        <f t="shared" si="149"/>
        <v/>
      </c>
      <c r="AI2391" s="8" t="str">
        <f t="shared" si="150"/>
        <v/>
      </c>
      <c r="AJ2391" s="8" t="str">
        <f t="shared" si="151"/>
        <v/>
      </c>
      <c r="AL2391" s="8" t="str">
        <f t="shared" si="152"/>
        <v/>
      </c>
    </row>
    <row r="2392" spans="1:38" x14ac:dyDescent="0.25">
      <c r="A2392" s="8" t="s">
        <v>529</v>
      </c>
      <c r="B2392" s="8" t="s">
        <v>530</v>
      </c>
      <c r="C2392" s="8">
        <v>30812608</v>
      </c>
      <c r="D2392" s="8">
        <v>5</v>
      </c>
      <c r="E2392" s="11">
        <v>43108</v>
      </c>
      <c r="F2392" s="8" t="s">
        <v>57</v>
      </c>
      <c r="G2392" s="11">
        <v>43108</v>
      </c>
      <c r="H2392" s="8" t="s">
        <v>25</v>
      </c>
      <c r="J2392" s="8" t="s">
        <v>25</v>
      </c>
      <c r="N2392" s="8" t="s">
        <v>58</v>
      </c>
      <c r="O2392" s="8" t="s">
        <v>59</v>
      </c>
      <c r="P2392" s="8" t="s">
        <v>59</v>
      </c>
      <c r="R2392" s="8">
        <v>0</v>
      </c>
      <c r="S2392" s="8">
        <v>0</v>
      </c>
      <c r="T2392" s="8">
        <v>1</v>
      </c>
      <c r="U2392" s="8">
        <v>2</v>
      </c>
      <c r="AG2392" s="8" t="str">
        <f t="shared" si="149"/>
        <v/>
      </c>
      <c r="AI2392" s="8" t="str">
        <f t="shared" si="150"/>
        <v/>
      </c>
      <c r="AJ2392" s="8" t="str">
        <f t="shared" si="151"/>
        <v/>
      </c>
      <c r="AL2392" s="8" t="str">
        <f t="shared" si="152"/>
        <v/>
      </c>
    </row>
    <row r="2393" spans="1:38" x14ac:dyDescent="0.25">
      <c r="A2393" s="8" t="s">
        <v>2604</v>
      </c>
      <c r="B2393" s="8" t="s">
        <v>2605</v>
      </c>
      <c r="C2393" s="8">
        <v>30821442</v>
      </c>
      <c r="D2393" s="8">
        <v>5</v>
      </c>
      <c r="E2393" s="11">
        <v>43108</v>
      </c>
      <c r="F2393" s="8" t="s">
        <v>58</v>
      </c>
      <c r="G2393" s="11">
        <v>43110</v>
      </c>
      <c r="H2393" s="8" t="s">
        <v>25</v>
      </c>
      <c r="I2393" s="11">
        <v>43110</v>
      </c>
      <c r="J2393" s="8" t="s">
        <v>25</v>
      </c>
      <c r="N2393" s="8" t="s">
        <v>58</v>
      </c>
      <c r="O2393" s="8" t="s">
        <v>59</v>
      </c>
      <c r="P2393" s="8" t="s">
        <v>59</v>
      </c>
      <c r="R2393" s="8">
        <v>0</v>
      </c>
      <c r="S2393" s="8">
        <v>0</v>
      </c>
      <c r="T2393" s="8">
        <v>1</v>
      </c>
      <c r="U2393" s="8">
        <v>2</v>
      </c>
      <c r="X2393" s="8">
        <v>5</v>
      </c>
      <c r="AG2393" s="8" t="str">
        <f t="shared" si="149"/>
        <v/>
      </c>
      <c r="AI2393" s="8" t="str">
        <f t="shared" si="150"/>
        <v/>
      </c>
      <c r="AJ2393" s="8" t="str">
        <f t="shared" si="151"/>
        <v/>
      </c>
      <c r="AL2393" s="8" t="str">
        <f t="shared" si="152"/>
        <v/>
      </c>
    </row>
    <row r="2394" spans="1:38" x14ac:dyDescent="0.25">
      <c r="A2394" s="8" t="s">
        <v>531</v>
      </c>
      <c r="B2394" s="8" t="s">
        <v>532</v>
      </c>
      <c r="C2394" s="8">
        <v>30806714</v>
      </c>
      <c r="D2394" s="8">
        <v>5</v>
      </c>
      <c r="E2394" s="11">
        <v>43108</v>
      </c>
      <c r="F2394" s="8" t="s">
        <v>58</v>
      </c>
      <c r="G2394" s="11">
        <v>43108</v>
      </c>
      <c r="H2394" s="8" t="s">
        <v>25</v>
      </c>
      <c r="I2394" s="11">
        <v>43115</v>
      </c>
      <c r="J2394" s="8" t="s">
        <v>856</v>
      </c>
      <c r="N2394" s="8" t="s">
        <v>58</v>
      </c>
      <c r="O2394" s="8" t="s">
        <v>59</v>
      </c>
      <c r="P2394" s="8" t="s">
        <v>59</v>
      </c>
      <c r="R2394" s="8">
        <v>0</v>
      </c>
      <c r="S2394" s="8">
        <v>0</v>
      </c>
      <c r="T2394" s="8">
        <v>1</v>
      </c>
      <c r="U2394" s="8">
        <v>2</v>
      </c>
      <c r="X2394" s="8">
        <v>5</v>
      </c>
      <c r="AG2394" s="8" t="str">
        <f t="shared" si="149"/>
        <v/>
      </c>
      <c r="AI2394" s="8" t="str">
        <f t="shared" si="150"/>
        <v/>
      </c>
      <c r="AJ2394" s="8" t="str">
        <f t="shared" si="151"/>
        <v/>
      </c>
      <c r="AL2394" s="8" t="str">
        <f t="shared" si="152"/>
        <v/>
      </c>
    </row>
    <row r="2395" spans="1:38" x14ac:dyDescent="0.25">
      <c r="A2395" s="8" t="s">
        <v>4084</v>
      </c>
      <c r="B2395" s="8" t="s">
        <v>4085</v>
      </c>
      <c r="C2395" s="8">
        <v>30838434</v>
      </c>
      <c r="D2395" s="8">
        <v>5</v>
      </c>
      <c r="E2395" s="11">
        <v>43109</v>
      </c>
      <c r="F2395" s="8" t="s">
        <v>57</v>
      </c>
      <c r="G2395" s="11">
        <v>43111</v>
      </c>
      <c r="H2395" s="8" t="s">
        <v>25</v>
      </c>
      <c r="J2395" s="8" t="s">
        <v>25</v>
      </c>
      <c r="N2395" s="8" t="s">
        <v>58</v>
      </c>
      <c r="O2395" s="8" t="s">
        <v>59</v>
      </c>
      <c r="P2395" s="8" t="s">
        <v>59</v>
      </c>
      <c r="R2395" s="8">
        <v>0</v>
      </c>
      <c r="S2395" s="8">
        <v>0</v>
      </c>
      <c r="T2395" s="8">
        <v>1</v>
      </c>
      <c r="U2395" s="8">
        <v>2</v>
      </c>
      <c r="AG2395" s="8" t="str">
        <f t="shared" si="149"/>
        <v/>
      </c>
      <c r="AI2395" s="8" t="str">
        <f t="shared" si="150"/>
        <v/>
      </c>
      <c r="AJ2395" s="8" t="str">
        <f t="shared" si="151"/>
        <v/>
      </c>
      <c r="AL2395" s="8" t="str">
        <f t="shared" si="152"/>
        <v/>
      </c>
    </row>
    <row r="2396" spans="1:38" x14ac:dyDescent="0.25">
      <c r="A2396" s="8" t="s">
        <v>2606</v>
      </c>
      <c r="B2396" s="8" t="s">
        <v>87</v>
      </c>
      <c r="C2396" s="8">
        <v>30861099</v>
      </c>
      <c r="D2396" s="8">
        <v>5</v>
      </c>
      <c r="E2396" s="11">
        <v>43110</v>
      </c>
      <c r="F2396" s="8" t="s">
        <v>58</v>
      </c>
      <c r="G2396" s="11">
        <v>43110</v>
      </c>
      <c r="H2396" s="8" t="s">
        <v>25</v>
      </c>
      <c r="I2396" s="11">
        <v>43112</v>
      </c>
      <c r="J2396" s="8" t="s">
        <v>25</v>
      </c>
      <c r="N2396" s="8" t="s">
        <v>58</v>
      </c>
      <c r="O2396" s="8" t="s">
        <v>59</v>
      </c>
      <c r="P2396" s="8" t="s">
        <v>59</v>
      </c>
      <c r="R2396" s="8">
        <v>0</v>
      </c>
      <c r="S2396" s="8">
        <v>0</v>
      </c>
      <c r="T2396" s="8">
        <v>1</v>
      </c>
      <c r="U2396" s="8">
        <v>2</v>
      </c>
      <c r="X2396" s="8">
        <v>5</v>
      </c>
      <c r="AG2396" s="8" t="str">
        <f t="shared" si="149"/>
        <v/>
      </c>
      <c r="AI2396" s="8" t="str">
        <f t="shared" si="150"/>
        <v/>
      </c>
      <c r="AJ2396" s="8" t="str">
        <f t="shared" si="151"/>
        <v/>
      </c>
      <c r="AL2396" s="8" t="str">
        <f t="shared" si="152"/>
        <v/>
      </c>
    </row>
    <row r="2397" spans="1:38" x14ac:dyDescent="0.25">
      <c r="A2397" s="8" t="s">
        <v>1353</v>
      </c>
      <c r="B2397" s="8" t="s">
        <v>1354</v>
      </c>
      <c r="C2397" s="8">
        <v>30833490</v>
      </c>
      <c r="D2397" s="8">
        <v>5</v>
      </c>
      <c r="E2397" s="11">
        <v>43109</v>
      </c>
      <c r="F2397" s="8" t="s">
        <v>58</v>
      </c>
      <c r="G2397" s="11">
        <v>43109</v>
      </c>
      <c r="H2397" s="8" t="s">
        <v>25</v>
      </c>
      <c r="I2397" s="11">
        <v>43115</v>
      </c>
      <c r="J2397" s="8" t="s">
        <v>145</v>
      </c>
      <c r="N2397" s="8" t="s">
        <v>58</v>
      </c>
      <c r="O2397" s="8" t="s">
        <v>59</v>
      </c>
      <c r="P2397" s="8" t="s">
        <v>59</v>
      </c>
      <c r="R2397" s="8">
        <v>0</v>
      </c>
      <c r="S2397" s="8">
        <v>0</v>
      </c>
      <c r="T2397" s="8">
        <v>1</v>
      </c>
      <c r="U2397" s="8">
        <v>2</v>
      </c>
      <c r="X2397" s="8">
        <v>5</v>
      </c>
      <c r="AG2397" s="8" t="str">
        <f t="shared" si="149"/>
        <v/>
      </c>
      <c r="AI2397" s="8" t="str">
        <f t="shared" si="150"/>
        <v/>
      </c>
      <c r="AJ2397" s="8" t="str">
        <f t="shared" si="151"/>
        <v/>
      </c>
      <c r="AL2397" s="8" t="str">
        <f t="shared" si="152"/>
        <v/>
      </c>
    </row>
    <row r="2398" spans="1:38" x14ac:dyDescent="0.25">
      <c r="A2398" s="8" t="s">
        <v>5710</v>
      </c>
      <c r="B2398" s="8" t="s">
        <v>5711</v>
      </c>
      <c r="C2398" s="8">
        <v>30862201</v>
      </c>
      <c r="D2398" s="8">
        <v>5</v>
      </c>
      <c r="E2398" s="11">
        <v>43110</v>
      </c>
      <c r="F2398" s="8" t="s">
        <v>57</v>
      </c>
      <c r="G2398" s="11">
        <v>43112</v>
      </c>
      <c r="H2398" s="8" t="s">
        <v>25</v>
      </c>
      <c r="J2398" s="8" t="s">
        <v>25</v>
      </c>
      <c r="N2398" s="8" t="s">
        <v>58</v>
      </c>
      <c r="O2398" s="8" t="s">
        <v>59</v>
      </c>
      <c r="P2398" s="8" t="s">
        <v>59</v>
      </c>
      <c r="R2398" s="8">
        <v>0</v>
      </c>
      <c r="S2398" s="8">
        <v>0</v>
      </c>
      <c r="T2398" s="8">
        <v>1</v>
      </c>
      <c r="U2398" s="8">
        <v>2</v>
      </c>
      <c r="AG2398" s="8" t="str">
        <f t="shared" si="149"/>
        <v/>
      </c>
      <c r="AI2398" s="8" t="str">
        <f t="shared" si="150"/>
        <v/>
      </c>
      <c r="AJ2398" s="8" t="str">
        <f t="shared" si="151"/>
        <v/>
      </c>
      <c r="AL2398" s="8" t="str">
        <f t="shared" si="152"/>
        <v/>
      </c>
    </row>
    <row r="2399" spans="1:38" x14ac:dyDescent="0.25">
      <c r="A2399" s="8" t="s">
        <v>7498</v>
      </c>
      <c r="B2399" s="8" t="s">
        <v>7499</v>
      </c>
      <c r="C2399" s="8">
        <v>30902317</v>
      </c>
      <c r="D2399" s="8">
        <v>5</v>
      </c>
      <c r="E2399" s="11">
        <v>43111</v>
      </c>
      <c r="F2399" s="8" t="s">
        <v>58</v>
      </c>
      <c r="G2399" s="11">
        <v>43115</v>
      </c>
      <c r="H2399" s="8" t="s">
        <v>25</v>
      </c>
      <c r="I2399" s="11">
        <v>43115</v>
      </c>
      <c r="J2399" s="8" t="s">
        <v>25</v>
      </c>
      <c r="N2399" s="8" t="s">
        <v>58</v>
      </c>
      <c r="O2399" s="8" t="s">
        <v>59</v>
      </c>
      <c r="P2399" s="8" t="s">
        <v>59</v>
      </c>
      <c r="R2399" s="8">
        <v>0</v>
      </c>
      <c r="S2399" s="8">
        <v>0</v>
      </c>
      <c r="T2399" s="8">
        <v>1</v>
      </c>
      <c r="U2399" s="8">
        <v>2</v>
      </c>
      <c r="X2399" s="8">
        <v>5</v>
      </c>
      <c r="AG2399" s="8" t="str">
        <f t="shared" si="149"/>
        <v/>
      </c>
      <c r="AI2399" s="8" t="str">
        <f t="shared" si="150"/>
        <v/>
      </c>
      <c r="AJ2399" s="8" t="str">
        <f t="shared" si="151"/>
        <v/>
      </c>
      <c r="AL2399" s="8" t="str">
        <f t="shared" si="152"/>
        <v/>
      </c>
    </row>
    <row r="2400" spans="1:38" x14ac:dyDescent="0.25">
      <c r="A2400" s="8" t="s">
        <v>5712</v>
      </c>
      <c r="B2400" s="8" t="s">
        <v>5713</v>
      </c>
      <c r="C2400" s="8">
        <v>30891028</v>
      </c>
      <c r="D2400" s="8">
        <v>5</v>
      </c>
      <c r="E2400" s="11">
        <v>43111</v>
      </c>
      <c r="F2400" s="8" t="s">
        <v>57</v>
      </c>
      <c r="G2400" s="11">
        <v>43112</v>
      </c>
      <c r="H2400" s="8" t="s">
        <v>25</v>
      </c>
      <c r="J2400" s="8" t="s">
        <v>25</v>
      </c>
      <c r="N2400" s="8" t="s">
        <v>58</v>
      </c>
      <c r="O2400" s="8" t="s">
        <v>59</v>
      </c>
      <c r="P2400" s="8" t="s">
        <v>59</v>
      </c>
      <c r="R2400" s="8">
        <v>0</v>
      </c>
      <c r="S2400" s="8">
        <v>0</v>
      </c>
      <c r="T2400" s="8">
        <v>1</v>
      </c>
      <c r="U2400" s="8">
        <v>2</v>
      </c>
      <c r="AG2400" s="8" t="str">
        <f t="shared" si="149"/>
        <v/>
      </c>
      <c r="AI2400" s="8" t="str">
        <f t="shared" si="150"/>
        <v/>
      </c>
      <c r="AJ2400" s="8" t="str">
        <f t="shared" si="151"/>
        <v/>
      </c>
      <c r="AL2400" s="8" t="str">
        <f t="shared" si="152"/>
        <v/>
      </c>
    </row>
    <row r="2401" spans="1:38" x14ac:dyDescent="0.25">
      <c r="A2401" s="8" t="s">
        <v>7500</v>
      </c>
      <c r="B2401" s="8" t="s">
        <v>7501</v>
      </c>
      <c r="C2401" s="8">
        <v>30947025</v>
      </c>
      <c r="D2401" s="8">
        <v>5</v>
      </c>
      <c r="E2401" s="11">
        <v>43115</v>
      </c>
      <c r="F2401" s="8" t="s">
        <v>57</v>
      </c>
      <c r="G2401" s="11">
        <v>43115</v>
      </c>
      <c r="H2401" s="8" t="s">
        <v>25</v>
      </c>
      <c r="J2401" s="8" t="s">
        <v>25</v>
      </c>
      <c r="N2401" s="8" t="s">
        <v>58</v>
      </c>
      <c r="O2401" s="8" t="s">
        <v>59</v>
      </c>
      <c r="P2401" s="8" t="s">
        <v>59</v>
      </c>
      <c r="R2401" s="8">
        <v>0</v>
      </c>
      <c r="S2401" s="8">
        <v>0</v>
      </c>
      <c r="T2401" s="8">
        <v>1</v>
      </c>
      <c r="U2401" s="8">
        <v>2</v>
      </c>
      <c r="AG2401" s="8" t="str">
        <f t="shared" si="149"/>
        <v/>
      </c>
      <c r="AI2401" s="8" t="str">
        <f t="shared" si="150"/>
        <v/>
      </c>
      <c r="AJ2401" s="8" t="str">
        <f t="shared" si="151"/>
        <v/>
      </c>
      <c r="AL2401" s="8" t="str">
        <f t="shared" si="152"/>
        <v/>
      </c>
    </row>
    <row r="2402" spans="1:38" x14ac:dyDescent="0.25">
      <c r="A2402" s="8" t="s">
        <v>7502</v>
      </c>
      <c r="B2402" s="8" t="s">
        <v>7503</v>
      </c>
      <c r="C2402" s="8">
        <v>30899476</v>
      </c>
      <c r="D2402" s="8">
        <v>5</v>
      </c>
      <c r="E2402" s="11">
        <v>43111</v>
      </c>
      <c r="F2402" s="8" t="s">
        <v>57</v>
      </c>
      <c r="G2402" s="11">
        <v>43115</v>
      </c>
      <c r="H2402" s="8" t="s">
        <v>25</v>
      </c>
      <c r="J2402" s="8" t="s">
        <v>25</v>
      </c>
      <c r="N2402" s="8" t="s">
        <v>58</v>
      </c>
      <c r="O2402" s="8" t="s">
        <v>59</v>
      </c>
      <c r="P2402" s="8" t="s">
        <v>59</v>
      </c>
      <c r="R2402" s="8">
        <v>0</v>
      </c>
      <c r="S2402" s="8">
        <v>0</v>
      </c>
      <c r="T2402" s="8">
        <v>1</v>
      </c>
      <c r="U2402" s="8">
        <v>2</v>
      </c>
      <c r="AG2402" s="8" t="str">
        <f t="shared" si="149"/>
        <v/>
      </c>
      <c r="AI2402" s="8" t="str">
        <f t="shared" si="150"/>
        <v/>
      </c>
      <c r="AJ2402" s="8" t="str">
        <f t="shared" si="151"/>
        <v/>
      </c>
      <c r="AL2402" s="8" t="str">
        <f t="shared" si="152"/>
        <v/>
      </c>
    </row>
    <row r="2403" spans="1:38" x14ac:dyDescent="0.25">
      <c r="A2403" s="8" t="s">
        <v>1355</v>
      </c>
      <c r="B2403" s="8" t="s">
        <v>1356</v>
      </c>
      <c r="C2403" s="8">
        <v>30843884</v>
      </c>
      <c r="D2403" s="8">
        <v>5</v>
      </c>
      <c r="E2403" s="11">
        <v>43109</v>
      </c>
      <c r="F2403" s="8" t="s">
        <v>58</v>
      </c>
      <c r="G2403" s="11">
        <v>43109</v>
      </c>
      <c r="H2403" s="8" t="s">
        <v>25</v>
      </c>
      <c r="I2403" s="11">
        <v>43110</v>
      </c>
      <c r="J2403" s="8" t="s">
        <v>25</v>
      </c>
      <c r="N2403" s="8" t="s">
        <v>58</v>
      </c>
      <c r="O2403" s="8" t="s">
        <v>59</v>
      </c>
      <c r="P2403" s="8" t="s">
        <v>59</v>
      </c>
      <c r="R2403" s="8">
        <v>0</v>
      </c>
      <c r="S2403" s="8">
        <v>0</v>
      </c>
      <c r="T2403" s="8">
        <v>1</v>
      </c>
      <c r="U2403" s="8">
        <v>2</v>
      </c>
      <c r="X2403" s="8">
        <v>5</v>
      </c>
      <c r="AG2403" s="8" t="str">
        <f t="shared" si="149"/>
        <v/>
      </c>
      <c r="AI2403" s="8" t="str">
        <f t="shared" si="150"/>
        <v/>
      </c>
      <c r="AJ2403" s="8" t="str">
        <f t="shared" si="151"/>
        <v/>
      </c>
      <c r="AL2403" s="8" t="str">
        <f t="shared" si="152"/>
        <v/>
      </c>
    </row>
    <row r="2404" spans="1:38" x14ac:dyDescent="0.25">
      <c r="A2404" s="8" t="s">
        <v>5714</v>
      </c>
      <c r="B2404" s="8" t="s">
        <v>5715</v>
      </c>
      <c r="C2404" s="8">
        <v>30865014</v>
      </c>
      <c r="D2404" s="8">
        <v>5</v>
      </c>
      <c r="E2404" s="11">
        <v>43110</v>
      </c>
      <c r="F2404" s="8" t="s">
        <v>57</v>
      </c>
      <c r="G2404" s="11">
        <v>43112</v>
      </c>
      <c r="H2404" s="8" t="s">
        <v>25</v>
      </c>
      <c r="J2404" s="8" t="s">
        <v>25</v>
      </c>
      <c r="N2404" s="8" t="s">
        <v>58</v>
      </c>
      <c r="O2404" s="8" t="s">
        <v>59</v>
      </c>
      <c r="P2404" s="8" t="s">
        <v>59</v>
      </c>
      <c r="R2404" s="8">
        <v>0</v>
      </c>
      <c r="S2404" s="8">
        <v>0</v>
      </c>
      <c r="T2404" s="8">
        <v>1</v>
      </c>
      <c r="U2404" s="8">
        <v>2</v>
      </c>
      <c r="AG2404" s="8" t="str">
        <f t="shared" si="149"/>
        <v/>
      </c>
      <c r="AI2404" s="8" t="str">
        <f t="shared" si="150"/>
        <v/>
      </c>
      <c r="AJ2404" s="8" t="str">
        <f t="shared" si="151"/>
        <v/>
      </c>
      <c r="AL2404" s="8" t="str">
        <f t="shared" si="152"/>
        <v/>
      </c>
    </row>
    <row r="2405" spans="1:38" x14ac:dyDescent="0.25">
      <c r="A2405" s="8" t="s">
        <v>4086</v>
      </c>
      <c r="B2405" s="8" t="s">
        <v>4087</v>
      </c>
      <c r="C2405" s="8">
        <v>30840194</v>
      </c>
      <c r="D2405" s="8">
        <v>5</v>
      </c>
      <c r="E2405" s="11">
        <v>43109</v>
      </c>
      <c r="F2405" s="8" t="s">
        <v>57</v>
      </c>
      <c r="G2405" s="11">
        <v>43111</v>
      </c>
      <c r="H2405" s="8" t="s">
        <v>25</v>
      </c>
      <c r="J2405" s="8" t="s">
        <v>25</v>
      </c>
      <c r="N2405" s="8" t="s">
        <v>58</v>
      </c>
      <c r="O2405" s="8" t="s">
        <v>59</v>
      </c>
      <c r="P2405" s="8" t="s">
        <v>59</v>
      </c>
      <c r="R2405" s="8">
        <v>0</v>
      </c>
      <c r="S2405" s="8">
        <v>0</v>
      </c>
      <c r="T2405" s="8">
        <v>1</v>
      </c>
      <c r="U2405" s="8">
        <v>2</v>
      </c>
      <c r="AG2405" s="8" t="str">
        <f t="shared" si="149"/>
        <v/>
      </c>
      <c r="AI2405" s="8" t="str">
        <f t="shared" si="150"/>
        <v/>
      </c>
      <c r="AJ2405" s="8" t="str">
        <f t="shared" si="151"/>
        <v/>
      </c>
      <c r="AL2405" s="8" t="str">
        <f t="shared" si="152"/>
        <v/>
      </c>
    </row>
    <row r="2406" spans="1:38" x14ac:dyDescent="0.25">
      <c r="A2406" s="8" t="s">
        <v>4088</v>
      </c>
      <c r="B2406" s="8" t="s">
        <v>4089</v>
      </c>
      <c r="C2406" s="8">
        <v>30843357</v>
      </c>
      <c r="D2406" s="8">
        <v>5</v>
      </c>
      <c r="E2406" s="11">
        <v>43109</v>
      </c>
      <c r="F2406" s="8" t="s">
        <v>58</v>
      </c>
      <c r="G2406" s="11">
        <v>43111</v>
      </c>
      <c r="H2406" s="8" t="s">
        <v>25</v>
      </c>
      <c r="I2406" s="11">
        <v>43111</v>
      </c>
      <c r="J2406" s="8" t="s">
        <v>25</v>
      </c>
      <c r="N2406" s="8" t="s">
        <v>58</v>
      </c>
      <c r="O2406" s="8" t="s">
        <v>59</v>
      </c>
      <c r="P2406" s="8" t="s">
        <v>59</v>
      </c>
      <c r="R2406" s="8">
        <v>0</v>
      </c>
      <c r="S2406" s="8">
        <v>0</v>
      </c>
      <c r="T2406" s="8">
        <v>1</v>
      </c>
      <c r="U2406" s="8">
        <v>2</v>
      </c>
      <c r="X2406" s="8">
        <v>5</v>
      </c>
      <c r="AG2406" s="8" t="str">
        <f t="shared" si="149"/>
        <v/>
      </c>
      <c r="AI2406" s="8" t="str">
        <f t="shared" si="150"/>
        <v/>
      </c>
      <c r="AJ2406" s="8" t="str">
        <f t="shared" si="151"/>
        <v/>
      </c>
      <c r="AL2406" s="8" t="str">
        <f t="shared" si="152"/>
        <v/>
      </c>
    </row>
    <row r="2407" spans="1:38" x14ac:dyDescent="0.25">
      <c r="A2407" s="8" t="s">
        <v>2607</v>
      </c>
      <c r="B2407" s="8" t="s">
        <v>2608</v>
      </c>
      <c r="C2407" s="8">
        <v>30862697</v>
      </c>
      <c r="D2407" s="8">
        <v>5</v>
      </c>
      <c r="E2407" s="11">
        <v>43110</v>
      </c>
      <c r="F2407" s="8" t="s">
        <v>58</v>
      </c>
      <c r="G2407" s="11">
        <v>43110</v>
      </c>
      <c r="H2407" s="8" t="s">
        <v>25</v>
      </c>
      <c r="I2407" s="11">
        <v>43112</v>
      </c>
      <c r="J2407" s="8" t="s">
        <v>25</v>
      </c>
      <c r="N2407" s="8" t="s">
        <v>58</v>
      </c>
      <c r="O2407" s="8" t="s">
        <v>59</v>
      </c>
      <c r="P2407" s="8" t="s">
        <v>59</v>
      </c>
      <c r="R2407" s="8">
        <v>0</v>
      </c>
      <c r="S2407" s="8">
        <v>0</v>
      </c>
      <c r="T2407" s="8">
        <v>1</v>
      </c>
      <c r="U2407" s="8">
        <v>2</v>
      </c>
      <c r="X2407" s="8">
        <v>5</v>
      </c>
      <c r="AG2407" s="8" t="str">
        <f t="shared" si="149"/>
        <v/>
      </c>
      <c r="AI2407" s="8" t="str">
        <f t="shared" si="150"/>
        <v/>
      </c>
      <c r="AJ2407" s="8" t="str">
        <f t="shared" si="151"/>
        <v/>
      </c>
      <c r="AL2407" s="8" t="str">
        <f t="shared" si="152"/>
        <v/>
      </c>
    </row>
    <row r="2408" spans="1:38" x14ac:dyDescent="0.25">
      <c r="A2408" s="8" t="s">
        <v>5716</v>
      </c>
      <c r="B2408" s="8" t="s">
        <v>5717</v>
      </c>
      <c r="C2408" s="8">
        <v>30865599</v>
      </c>
      <c r="D2408" s="8">
        <v>5</v>
      </c>
      <c r="E2408" s="11">
        <v>43110</v>
      </c>
      <c r="F2408" s="8" t="s">
        <v>57</v>
      </c>
      <c r="G2408" s="11">
        <v>43112</v>
      </c>
      <c r="H2408" s="8" t="s">
        <v>25</v>
      </c>
      <c r="J2408" s="8" t="s">
        <v>25</v>
      </c>
      <c r="N2408" s="8" t="s">
        <v>58</v>
      </c>
      <c r="O2408" s="8" t="s">
        <v>59</v>
      </c>
      <c r="P2408" s="8" t="s">
        <v>59</v>
      </c>
      <c r="R2408" s="8">
        <v>0</v>
      </c>
      <c r="S2408" s="8">
        <v>0</v>
      </c>
      <c r="T2408" s="8">
        <v>1</v>
      </c>
      <c r="U2408" s="8">
        <v>2</v>
      </c>
      <c r="AG2408" s="8" t="str">
        <f t="shared" si="149"/>
        <v/>
      </c>
      <c r="AI2408" s="8" t="str">
        <f t="shared" si="150"/>
        <v/>
      </c>
      <c r="AJ2408" s="8" t="str">
        <f t="shared" si="151"/>
        <v/>
      </c>
      <c r="AL2408" s="8" t="str">
        <f t="shared" si="152"/>
        <v/>
      </c>
    </row>
    <row r="2409" spans="1:38" x14ac:dyDescent="0.25">
      <c r="A2409" s="8" t="s">
        <v>2609</v>
      </c>
      <c r="B2409" s="8" t="s">
        <v>2610</v>
      </c>
      <c r="C2409" s="8">
        <v>30825396</v>
      </c>
      <c r="D2409" s="8">
        <v>5</v>
      </c>
      <c r="E2409" s="11">
        <v>43108</v>
      </c>
      <c r="F2409" s="8" t="s">
        <v>57</v>
      </c>
      <c r="G2409" s="11">
        <v>43110</v>
      </c>
      <c r="H2409" s="8" t="s">
        <v>25</v>
      </c>
      <c r="J2409" s="8" t="s">
        <v>25</v>
      </c>
      <c r="N2409" s="8" t="s">
        <v>58</v>
      </c>
      <c r="O2409" s="8" t="s">
        <v>59</v>
      </c>
      <c r="P2409" s="8" t="s">
        <v>59</v>
      </c>
      <c r="R2409" s="8">
        <v>0</v>
      </c>
      <c r="S2409" s="8">
        <v>0</v>
      </c>
      <c r="T2409" s="8">
        <v>1</v>
      </c>
      <c r="U2409" s="8">
        <v>2</v>
      </c>
      <c r="AG2409" s="8" t="str">
        <f t="shared" si="149"/>
        <v/>
      </c>
      <c r="AI2409" s="8" t="str">
        <f t="shared" si="150"/>
        <v/>
      </c>
      <c r="AJ2409" s="8" t="str">
        <f t="shared" si="151"/>
        <v/>
      </c>
      <c r="AL2409" s="8" t="str">
        <f t="shared" si="152"/>
        <v/>
      </c>
    </row>
    <row r="2410" spans="1:38" x14ac:dyDescent="0.25">
      <c r="A2410" s="8" t="s">
        <v>7504</v>
      </c>
      <c r="B2410" s="8" t="s">
        <v>7505</v>
      </c>
      <c r="C2410" s="8">
        <v>30913432</v>
      </c>
      <c r="D2410" s="8">
        <v>5</v>
      </c>
      <c r="E2410" s="11">
        <v>43112</v>
      </c>
      <c r="F2410" s="8" t="s">
        <v>57</v>
      </c>
      <c r="G2410" s="11">
        <v>43115</v>
      </c>
      <c r="H2410" s="8" t="s">
        <v>25</v>
      </c>
      <c r="J2410" s="8" t="s">
        <v>25</v>
      </c>
      <c r="N2410" s="8" t="s">
        <v>58</v>
      </c>
      <c r="O2410" s="8" t="s">
        <v>59</v>
      </c>
      <c r="P2410" s="8" t="s">
        <v>59</v>
      </c>
      <c r="R2410" s="8">
        <v>0</v>
      </c>
      <c r="S2410" s="8">
        <v>0</v>
      </c>
      <c r="T2410" s="8">
        <v>1</v>
      </c>
      <c r="U2410" s="8">
        <v>2</v>
      </c>
      <c r="AG2410" s="8" t="str">
        <f t="shared" si="149"/>
        <v/>
      </c>
      <c r="AI2410" s="8" t="str">
        <f t="shared" si="150"/>
        <v/>
      </c>
      <c r="AJ2410" s="8" t="str">
        <f t="shared" si="151"/>
        <v/>
      </c>
      <c r="AL2410" s="8" t="str">
        <f t="shared" si="152"/>
        <v/>
      </c>
    </row>
    <row r="2411" spans="1:38" x14ac:dyDescent="0.25">
      <c r="A2411" s="8" t="s">
        <v>4090</v>
      </c>
      <c r="B2411" s="8" t="s">
        <v>4091</v>
      </c>
      <c r="C2411" s="8">
        <v>30842085</v>
      </c>
      <c r="D2411" s="8">
        <v>4</v>
      </c>
      <c r="E2411" s="11">
        <v>43109</v>
      </c>
      <c r="F2411" s="8" t="s">
        <v>57</v>
      </c>
      <c r="G2411" s="11">
        <v>43111</v>
      </c>
      <c r="H2411" s="8" t="s">
        <v>25</v>
      </c>
      <c r="J2411" s="8" t="s">
        <v>25</v>
      </c>
      <c r="N2411" s="8" t="s">
        <v>58</v>
      </c>
      <c r="O2411" s="8" t="s">
        <v>59</v>
      </c>
      <c r="P2411" s="8" t="s">
        <v>59</v>
      </c>
      <c r="R2411" s="8">
        <v>0</v>
      </c>
      <c r="S2411" s="8">
        <v>0</v>
      </c>
      <c r="T2411" s="8">
        <v>1</v>
      </c>
      <c r="U2411" s="8">
        <v>2</v>
      </c>
      <c r="AG2411" s="8" t="str">
        <f t="shared" si="149"/>
        <v/>
      </c>
      <c r="AI2411" s="8" t="str">
        <f t="shared" si="150"/>
        <v/>
      </c>
      <c r="AJ2411" s="8" t="str">
        <f t="shared" si="151"/>
        <v/>
      </c>
      <c r="AL2411" s="8" t="str">
        <f t="shared" si="152"/>
        <v/>
      </c>
    </row>
    <row r="2412" spans="1:38" x14ac:dyDescent="0.25">
      <c r="A2412" s="8" t="s">
        <v>7506</v>
      </c>
      <c r="B2412" s="8" t="s">
        <v>7507</v>
      </c>
      <c r="C2412" s="8">
        <v>30883295</v>
      </c>
      <c r="D2412" s="8">
        <v>5</v>
      </c>
      <c r="E2412" s="11">
        <v>43111</v>
      </c>
      <c r="F2412" s="8" t="s">
        <v>57</v>
      </c>
      <c r="G2412" s="11">
        <v>43115</v>
      </c>
      <c r="H2412" s="8" t="s">
        <v>25</v>
      </c>
      <c r="J2412" s="8" t="s">
        <v>25</v>
      </c>
      <c r="N2412" s="8" t="s">
        <v>58</v>
      </c>
      <c r="O2412" s="8" t="s">
        <v>59</v>
      </c>
      <c r="P2412" s="8" t="s">
        <v>59</v>
      </c>
      <c r="R2412" s="8">
        <v>0</v>
      </c>
      <c r="S2412" s="8">
        <v>0</v>
      </c>
      <c r="T2412" s="8">
        <v>1</v>
      </c>
      <c r="U2412" s="8">
        <v>2</v>
      </c>
      <c r="AG2412" s="8" t="str">
        <f t="shared" si="149"/>
        <v/>
      </c>
      <c r="AI2412" s="8" t="str">
        <f t="shared" si="150"/>
        <v/>
      </c>
      <c r="AJ2412" s="8" t="str">
        <f t="shared" si="151"/>
        <v/>
      </c>
      <c r="AL2412" s="8" t="str">
        <f t="shared" si="152"/>
        <v/>
      </c>
    </row>
    <row r="2413" spans="1:38" x14ac:dyDescent="0.25">
      <c r="A2413" s="8" t="s">
        <v>7508</v>
      </c>
      <c r="B2413" s="8" t="s">
        <v>7509</v>
      </c>
      <c r="C2413" s="8">
        <v>30882974</v>
      </c>
      <c r="D2413" s="8">
        <v>5</v>
      </c>
      <c r="E2413" s="11">
        <v>43111</v>
      </c>
      <c r="F2413" s="8" t="s">
        <v>57</v>
      </c>
      <c r="G2413" s="11">
        <v>43115</v>
      </c>
      <c r="H2413" s="8" t="s">
        <v>25</v>
      </c>
      <c r="J2413" s="8" t="s">
        <v>25</v>
      </c>
      <c r="N2413" s="8" t="s">
        <v>58</v>
      </c>
      <c r="O2413" s="8" t="s">
        <v>59</v>
      </c>
      <c r="P2413" s="8" t="s">
        <v>59</v>
      </c>
      <c r="R2413" s="8">
        <v>0</v>
      </c>
      <c r="S2413" s="8">
        <v>0</v>
      </c>
      <c r="T2413" s="8">
        <v>1</v>
      </c>
      <c r="U2413" s="8">
        <v>2</v>
      </c>
      <c r="AG2413" s="8" t="str">
        <f t="shared" si="149"/>
        <v/>
      </c>
      <c r="AI2413" s="8" t="str">
        <f t="shared" si="150"/>
        <v/>
      </c>
      <c r="AJ2413" s="8" t="str">
        <f t="shared" si="151"/>
        <v/>
      </c>
      <c r="AL2413" s="8" t="str">
        <f t="shared" si="152"/>
        <v/>
      </c>
    </row>
    <row r="2414" spans="1:38" x14ac:dyDescent="0.25">
      <c r="A2414" s="8" t="s">
        <v>7510</v>
      </c>
      <c r="B2414" s="8" t="s">
        <v>7511</v>
      </c>
      <c r="C2414" s="8">
        <v>30885541</v>
      </c>
      <c r="D2414" s="8">
        <v>5</v>
      </c>
      <c r="E2414" s="11">
        <v>43111</v>
      </c>
      <c r="F2414" s="8" t="s">
        <v>57</v>
      </c>
      <c r="G2414" s="11">
        <v>43115</v>
      </c>
      <c r="H2414" s="8" t="s">
        <v>25</v>
      </c>
      <c r="J2414" s="8" t="s">
        <v>25</v>
      </c>
      <c r="N2414" s="8" t="s">
        <v>58</v>
      </c>
      <c r="O2414" s="8" t="s">
        <v>59</v>
      </c>
      <c r="P2414" s="8" t="s">
        <v>59</v>
      </c>
      <c r="R2414" s="8">
        <v>0</v>
      </c>
      <c r="S2414" s="8">
        <v>0</v>
      </c>
      <c r="T2414" s="8">
        <v>1</v>
      </c>
      <c r="U2414" s="8">
        <v>2</v>
      </c>
      <c r="AG2414" s="8" t="str">
        <f t="shared" si="149"/>
        <v/>
      </c>
      <c r="AI2414" s="8" t="str">
        <f t="shared" si="150"/>
        <v/>
      </c>
      <c r="AJ2414" s="8" t="str">
        <f t="shared" si="151"/>
        <v/>
      </c>
      <c r="AL2414" s="8" t="str">
        <f t="shared" si="152"/>
        <v/>
      </c>
    </row>
    <row r="2415" spans="1:38" x14ac:dyDescent="0.25">
      <c r="A2415" s="8" t="s">
        <v>5718</v>
      </c>
      <c r="B2415" s="8" t="s">
        <v>5719</v>
      </c>
      <c r="C2415" s="8">
        <v>30866490</v>
      </c>
      <c r="D2415" s="8">
        <v>5</v>
      </c>
      <c r="E2415" s="11">
        <v>43110</v>
      </c>
      <c r="F2415" s="8" t="s">
        <v>57</v>
      </c>
      <c r="G2415" s="11">
        <v>43112</v>
      </c>
      <c r="H2415" s="8" t="s">
        <v>25</v>
      </c>
      <c r="J2415" s="8" t="s">
        <v>25</v>
      </c>
      <c r="N2415" s="8" t="s">
        <v>58</v>
      </c>
      <c r="O2415" s="8" t="s">
        <v>59</v>
      </c>
      <c r="P2415" s="8" t="s">
        <v>59</v>
      </c>
      <c r="R2415" s="8">
        <v>0</v>
      </c>
      <c r="S2415" s="8">
        <v>0</v>
      </c>
      <c r="T2415" s="8">
        <v>1</v>
      </c>
      <c r="U2415" s="8">
        <v>2</v>
      </c>
      <c r="AG2415" s="8" t="str">
        <f t="shared" si="149"/>
        <v/>
      </c>
      <c r="AI2415" s="8" t="str">
        <f t="shared" si="150"/>
        <v/>
      </c>
      <c r="AJ2415" s="8" t="str">
        <f t="shared" si="151"/>
        <v/>
      </c>
      <c r="AL2415" s="8" t="str">
        <f t="shared" si="152"/>
        <v/>
      </c>
    </row>
    <row r="2416" spans="1:38" x14ac:dyDescent="0.25">
      <c r="A2416" s="8" t="s">
        <v>5720</v>
      </c>
      <c r="B2416" s="8" t="s">
        <v>5721</v>
      </c>
      <c r="C2416" s="8">
        <v>30902433</v>
      </c>
      <c r="D2416" s="8">
        <v>5</v>
      </c>
      <c r="E2416" s="11">
        <v>43111</v>
      </c>
      <c r="F2416" s="8" t="s">
        <v>57</v>
      </c>
      <c r="G2416" s="11">
        <v>43112</v>
      </c>
      <c r="H2416" s="8" t="s">
        <v>25</v>
      </c>
      <c r="J2416" s="8" t="s">
        <v>25</v>
      </c>
      <c r="N2416" s="8" t="s">
        <v>58</v>
      </c>
      <c r="O2416" s="8" t="s">
        <v>59</v>
      </c>
      <c r="P2416" s="8" t="s">
        <v>59</v>
      </c>
      <c r="R2416" s="8">
        <v>0</v>
      </c>
      <c r="S2416" s="8">
        <v>0</v>
      </c>
      <c r="T2416" s="8">
        <v>1</v>
      </c>
      <c r="U2416" s="8">
        <v>2</v>
      </c>
      <c r="AG2416" s="8" t="str">
        <f t="shared" si="149"/>
        <v/>
      </c>
      <c r="AI2416" s="8" t="str">
        <f t="shared" si="150"/>
        <v/>
      </c>
      <c r="AJ2416" s="8" t="str">
        <f t="shared" si="151"/>
        <v/>
      </c>
      <c r="AL2416" s="8" t="str">
        <f t="shared" si="152"/>
        <v/>
      </c>
    </row>
    <row r="2417" spans="1:38" x14ac:dyDescent="0.25">
      <c r="A2417" s="8" t="s">
        <v>7512</v>
      </c>
      <c r="B2417" s="8" t="s">
        <v>7513</v>
      </c>
      <c r="C2417" s="8">
        <v>30902483</v>
      </c>
      <c r="D2417" s="8">
        <v>5</v>
      </c>
      <c r="E2417" s="11">
        <v>43111</v>
      </c>
      <c r="F2417" s="8" t="s">
        <v>57</v>
      </c>
      <c r="G2417" s="11">
        <v>43115</v>
      </c>
      <c r="H2417" s="8" t="s">
        <v>25</v>
      </c>
      <c r="J2417" s="8" t="s">
        <v>25</v>
      </c>
      <c r="N2417" s="8" t="s">
        <v>58</v>
      </c>
      <c r="O2417" s="8" t="s">
        <v>59</v>
      </c>
      <c r="P2417" s="8" t="s">
        <v>59</v>
      </c>
      <c r="R2417" s="8">
        <v>0</v>
      </c>
      <c r="S2417" s="8">
        <v>0</v>
      </c>
      <c r="T2417" s="8">
        <v>1</v>
      </c>
      <c r="U2417" s="8">
        <v>2</v>
      </c>
      <c r="AG2417" s="8" t="str">
        <f t="shared" si="149"/>
        <v/>
      </c>
      <c r="AI2417" s="8" t="str">
        <f t="shared" si="150"/>
        <v/>
      </c>
      <c r="AJ2417" s="8" t="str">
        <f t="shared" si="151"/>
        <v/>
      </c>
      <c r="AL2417" s="8" t="str">
        <f t="shared" si="152"/>
        <v/>
      </c>
    </row>
    <row r="2418" spans="1:38" x14ac:dyDescent="0.25">
      <c r="A2418" s="8" t="s">
        <v>2611</v>
      </c>
      <c r="B2418" s="8" t="s">
        <v>2612</v>
      </c>
      <c r="C2418" s="8">
        <v>30825962</v>
      </c>
      <c r="D2418" s="8">
        <v>5</v>
      </c>
      <c r="E2418" s="11">
        <v>43108</v>
      </c>
      <c r="F2418" s="8" t="s">
        <v>58</v>
      </c>
      <c r="G2418" s="11">
        <v>43110</v>
      </c>
      <c r="H2418" s="8" t="s">
        <v>25</v>
      </c>
      <c r="I2418" s="11">
        <v>43110</v>
      </c>
      <c r="J2418" s="8" t="s">
        <v>25</v>
      </c>
      <c r="N2418" s="8" t="s">
        <v>58</v>
      </c>
      <c r="O2418" s="8" t="s">
        <v>59</v>
      </c>
      <c r="P2418" s="8" t="s">
        <v>59</v>
      </c>
      <c r="R2418" s="8">
        <v>0</v>
      </c>
      <c r="S2418" s="8">
        <v>0</v>
      </c>
      <c r="T2418" s="8">
        <v>1</v>
      </c>
      <c r="U2418" s="8">
        <v>2</v>
      </c>
      <c r="X2418" s="8">
        <v>5</v>
      </c>
      <c r="AG2418" s="8" t="str">
        <f t="shared" si="149"/>
        <v/>
      </c>
      <c r="AI2418" s="8" t="str">
        <f t="shared" si="150"/>
        <v/>
      </c>
      <c r="AJ2418" s="8" t="str">
        <f t="shared" si="151"/>
        <v/>
      </c>
      <c r="AL2418" s="8" t="str">
        <f t="shared" si="152"/>
        <v/>
      </c>
    </row>
    <row r="2419" spans="1:38" x14ac:dyDescent="0.25">
      <c r="A2419" s="8" t="s">
        <v>7514</v>
      </c>
      <c r="B2419" s="8" t="s">
        <v>7515</v>
      </c>
      <c r="C2419" s="8">
        <v>30944789</v>
      </c>
      <c r="D2419" s="8">
        <v>5</v>
      </c>
      <c r="E2419" s="11">
        <v>43115</v>
      </c>
      <c r="F2419" s="8" t="s">
        <v>57</v>
      </c>
      <c r="G2419" s="11">
        <v>43115</v>
      </c>
      <c r="H2419" s="8" t="s">
        <v>25</v>
      </c>
      <c r="J2419" s="8" t="s">
        <v>25</v>
      </c>
      <c r="N2419" s="8" t="s">
        <v>58</v>
      </c>
      <c r="O2419" s="8" t="s">
        <v>59</v>
      </c>
      <c r="P2419" s="8" t="s">
        <v>59</v>
      </c>
      <c r="R2419" s="8">
        <v>0</v>
      </c>
      <c r="S2419" s="8">
        <v>0</v>
      </c>
      <c r="T2419" s="8">
        <v>1</v>
      </c>
      <c r="U2419" s="8">
        <v>2</v>
      </c>
      <c r="AG2419" s="8" t="str">
        <f t="shared" si="149"/>
        <v/>
      </c>
      <c r="AI2419" s="8" t="str">
        <f t="shared" si="150"/>
        <v/>
      </c>
      <c r="AJ2419" s="8" t="str">
        <f t="shared" si="151"/>
        <v/>
      </c>
      <c r="AL2419" s="8" t="str">
        <f t="shared" si="152"/>
        <v/>
      </c>
    </row>
    <row r="2420" spans="1:38" x14ac:dyDescent="0.25">
      <c r="A2420" s="8" t="s">
        <v>2613</v>
      </c>
      <c r="B2420" s="8" t="s">
        <v>2614</v>
      </c>
      <c r="C2420" s="8">
        <v>30816834</v>
      </c>
      <c r="D2420" s="8">
        <v>5</v>
      </c>
      <c r="E2420" s="11">
        <v>43108</v>
      </c>
      <c r="F2420" s="8" t="s">
        <v>58</v>
      </c>
      <c r="G2420" s="11">
        <v>43110</v>
      </c>
      <c r="H2420" s="8" t="s">
        <v>25</v>
      </c>
      <c r="I2420" s="11">
        <v>43110</v>
      </c>
      <c r="J2420" s="8" t="s">
        <v>25</v>
      </c>
      <c r="N2420" s="8" t="s">
        <v>58</v>
      </c>
      <c r="O2420" s="8" t="s">
        <v>59</v>
      </c>
      <c r="P2420" s="8" t="s">
        <v>59</v>
      </c>
      <c r="R2420" s="8">
        <v>0</v>
      </c>
      <c r="S2420" s="8">
        <v>0</v>
      </c>
      <c r="T2420" s="8">
        <v>1</v>
      </c>
      <c r="U2420" s="8">
        <v>2</v>
      </c>
      <c r="X2420" s="8">
        <v>5</v>
      </c>
      <c r="AG2420" s="8" t="str">
        <f t="shared" si="149"/>
        <v/>
      </c>
      <c r="AI2420" s="8" t="str">
        <f t="shared" si="150"/>
        <v/>
      </c>
      <c r="AJ2420" s="8" t="str">
        <f t="shared" si="151"/>
        <v/>
      </c>
      <c r="AL2420" s="8" t="str">
        <f t="shared" si="152"/>
        <v/>
      </c>
    </row>
    <row r="2421" spans="1:38" x14ac:dyDescent="0.25">
      <c r="A2421" s="8" t="s">
        <v>2615</v>
      </c>
      <c r="B2421" s="8" t="s">
        <v>2616</v>
      </c>
      <c r="C2421" s="8">
        <v>30825397</v>
      </c>
      <c r="D2421" s="8">
        <v>5</v>
      </c>
      <c r="E2421" s="11">
        <v>43108</v>
      </c>
      <c r="F2421" s="8" t="s">
        <v>58</v>
      </c>
      <c r="G2421" s="11">
        <v>43110</v>
      </c>
      <c r="H2421" s="8" t="s">
        <v>25</v>
      </c>
      <c r="I2421" s="11">
        <v>43111</v>
      </c>
      <c r="J2421" s="8" t="s">
        <v>25</v>
      </c>
      <c r="N2421" s="8" t="s">
        <v>58</v>
      </c>
      <c r="O2421" s="8" t="s">
        <v>59</v>
      </c>
      <c r="P2421" s="8" t="s">
        <v>59</v>
      </c>
      <c r="R2421" s="8">
        <v>0</v>
      </c>
      <c r="S2421" s="8">
        <v>0</v>
      </c>
      <c r="T2421" s="8">
        <v>1</v>
      </c>
      <c r="U2421" s="8">
        <v>2</v>
      </c>
      <c r="X2421" s="8">
        <v>5</v>
      </c>
      <c r="AG2421" s="8" t="str">
        <f t="shared" si="149"/>
        <v/>
      </c>
      <c r="AI2421" s="8" t="str">
        <f t="shared" si="150"/>
        <v/>
      </c>
      <c r="AJ2421" s="8" t="str">
        <f t="shared" si="151"/>
        <v/>
      </c>
      <c r="AL2421" s="8" t="str">
        <f t="shared" si="152"/>
        <v/>
      </c>
    </row>
    <row r="2422" spans="1:38" x14ac:dyDescent="0.25">
      <c r="A2422" s="8" t="s">
        <v>1357</v>
      </c>
      <c r="B2422" s="8" t="s">
        <v>88</v>
      </c>
      <c r="C2422" s="8">
        <v>30847613</v>
      </c>
      <c r="D2422" s="8">
        <v>5</v>
      </c>
      <c r="E2422" s="11">
        <v>43109</v>
      </c>
      <c r="F2422" s="8" t="s">
        <v>57</v>
      </c>
      <c r="G2422" s="11">
        <v>43109</v>
      </c>
      <c r="H2422" s="8" t="s">
        <v>25</v>
      </c>
      <c r="J2422" s="8" t="s">
        <v>25</v>
      </c>
      <c r="N2422" s="8" t="s">
        <v>58</v>
      </c>
      <c r="O2422" s="8" t="s">
        <v>59</v>
      </c>
      <c r="P2422" s="8" t="s">
        <v>59</v>
      </c>
      <c r="R2422" s="8">
        <v>0</v>
      </c>
      <c r="S2422" s="8">
        <v>0</v>
      </c>
      <c r="T2422" s="8">
        <v>1</v>
      </c>
      <c r="U2422" s="8">
        <v>2</v>
      </c>
      <c r="AG2422" s="8" t="str">
        <f t="shared" si="149"/>
        <v/>
      </c>
      <c r="AI2422" s="8" t="str">
        <f t="shared" si="150"/>
        <v/>
      </c>
      <c r="AJ2422" s="8" t="str">
        <f t="shared" si="151"/>
        <v/>
      </c>
      <c r="AL2422" s="8" t="str">
        <f t="shared" si="152"/>
        <v/>
      </c>
    </row>
    <row r="2423" spans="1:38" x14ac:dyDescent="0.25">
      <c r="A2423" s="8" t="s">
        <v>2617</v>
      </c>
      <c r="B2423" s="8" t="s">
        <v>2618</v>
      </c>
      <c r="C2423" s="8">
        <v>30862276</v>
      </c>
      <c r="D2423" s="8">
        <v>5</v>
      </c>
      <c r="E2423" s="11">
        <v>43110</v>
      </c>
      <c r="F2423" s="8" t="s">
        <v>57</v>
      </c>
      <c r="G2423" s="11">
        <v>43110</v>
      </c>
      <c r="H2423" s="8" t="s">
        <v>25</v>
      </c>
      <c r="J2423" s="8" t="s">
        <v>25</v>
      </c>
      <c r="N2423" s="8" t="s">
        <v>58</v>
      </c>
      <c r="O2423" s="8" t="s">
        <v>59</v>
      </c>
      <c r="P2423" s="8" t="s">
        <v>59</v>
      </c>
      <c r="R2423" s="8">
        <v>0</v>
      </c>
      <c r="S2423" s="8">
        <v>0</v>
      </c>
      <c r="T2423" s="8">
        <v>1</v>
      </c>
      <c r="U2423" s="8">
        <v>2</v>
      </c>
      <c r="AG2423" s="8" t="str">
        <f t="shared" si="149"/>
        <v/>
      </c>
      <c r="AI2423" s="8" t="str">
        <f t="shared" si="150"/>
        <v/>
      </c>
      <c r="AJ2423" s="8" t="str">
        <f t="shared" si="151"/>
        <v/>
      </c>
      <c r="AL2423" s="8" t="str">
        <f t="shared" si="152"/>
        <v/>
      </c>
    </row>
    <row r="2424" spans="1:38" x14ac:dyDescent="0.25">
      <c r="A2424" s="8" t="s">
        <v>5722</v>
      </c>
      <c r="B2424" s="8" t="s">
        <v>5723</v>
      </c>
      <c r="C2424" s="8">
        <v>30866433</v>
      </c>
      <c r="D2424" s="8">
        <v>5</v>
      </c>
      <c r="E2424" s="11">
        <v>43110</v>
      </c>
      <c r="F2424" s="8" t="s">
        <v>57</v>
      </c>
      <c r="G2424" s="11">
        <v>43112</v>
      </c>
      <c r="H2424" s="8" t="s">
        <v>25</v>
      </c>
      <c r="J2424" s="8" t="s">
        <v>25</v>
      </c>
      <c r="N2424" s="8" t="s">
        <v>58</v>
      </c>
      <c r="O2424" s="8" t="s">
        <v>59</v>
      </c>
      <c r="P2424" s="8" t="s">
        <v>59</v>
      </c>
      <c r="R2424" s="8">
        <v>0</v>
      </c>
      <c r="S2424" s="8">
        <v>0</v>
      </c>
      <c r="T2424" s="8">
        <v>1</v>
      </c>
      <c r="U2424" s="8">
        <v>2</v>
      </c>
      <c r="AG2424" s="8" t="str">
        <f t="shared" si="149"/>
        <v/>
      </c>
      <c r="AI2424" s="8" t="str">
        <f t="shared" si="150"/>
        <v/>
      </c>
      <c r="AJ2424" s="8" t="str">
        <f t="shared" si="151"/>
        <v/>
      </c>
      <c r="AL2424" s="8" t="str">
        <f t="shared" si="152"/>
        <v/>
      </c>
    </row>
    <row r="2425" spans="1:38" x14ac:dyDescent="0.25">
      <c r="A2425" s="8" t="s">
        <v>2619</v>
      </c>
      <c r="B2425" s="8" t="s">
        <v>2620</v>
      </c>
      <c r="C2425" s="8">
        <v>30824930</v>
      </c>
      <c r="D2425" s="8">
        <v>5</v>
      </c>
      <c r="E2425" s="11">
        <v>43108</v>
      </c>
      <c r="F2425" s="8" t="s">
        <v>57</v>
      </c>
      <c r="G2425" s="11">
        <v>43110</v>
      </c>
      <c r="H2425" s="8" t="s">
        <v>25</v>
      </c>
      <c r="J2425" s="8" t="s">
        <v>25</v>
      </c>
      <c r="N2425" s="8" t="s">
        <v>58</v>
      </c>
      <c r="O2425" s="8" t="s">
        <v>59</v>
      </c>
      <c r="P2425" s="8" t="s">
        <v>59</v>
      </c>
      <c r="R2425" s="8">
        <v>0</v>
      </c>
      <c r="S2425" s="8">
        <v>0</v>
      </c>
      <c r="T2425" s="8">
        <v>1</v>
      </c>
      <c r="U2425" s="8">
        <v>2</v>
      </c>
      <c r="AG2425" s="8" t="str">
        <f t="shared" si="149"/>
        <v/>
      </c>
      <c r="AI2425" s="8" t="str">
        <f t="shared" si="150"/>
        <v/>
      </c>
      <c r="AJ2425" s="8" t="str">
        <f t="shared" si="151"/>
        <v/>
      </c>
      <c r="AL2425" s="8" t="str">
        <f t="shared" si="152"/>
        <v/>
      </c>
    </row>
    <row r="2426" spans="1:38" x14ac:dyDescent="0.25">
      <c r="A2426" s="8" t="s">
        <v>1358</v>
      </c>
      <c r="B2426" s="8" t="s">
        <v>1359</v>
      </c>
      <c r="C2426" s="8">
        <v>30840292</v>
      </c>
      <c r="D2426" s="8">
        <v>5</v>
      </c>
      <c r="E2426" s="11">
        <v>43109</v>
      </c>
      <c r="F2426" s="8" t="s">
        <v>57</v>
      </c>
      <c r="G2426" s="11">
        <v>43109</v>
      </c>
      <c r="H2426" s="8" t="s">
        <v>25</v>
      </c>
      <c r="J2426" s="8" t="s">
        <v>25</v>
      </c>
      <c r="N2426" s="8" t="s">
        <v>58</v>
      </c>
      <c r="O2426" s="8" t="s">
        <v>59</v>
      </c>
      <c r="P2426" s="8" t="s">
        <v>59</v>
      </c>
      <c r="R2426" s="8">
        <v>0</v>
      </c>
      <c r="S2426" s="8">
        <v>0</v>
      </c>
      <c r="T2426" s="8">
        <v>1</v>
      </c>
      <c r="U2426" s="8">
        <v>2</v>
      </c>
      <c r="AG2426" s="8" t="str">
        <f t="shared" si="149"/>
        <v/>
      </c>
      <c r="AI2426" s="8" t="str">
        <f t="shared" si="150"/>
        <v/>
      </c>
      <c r="AJ2426" s="8" t="str">
        <f t="shared" si="151"/>
        <v/>
      </c>
      <c r="AL2426" s="8" t="str">
        <f t="shared" si="152"/>
        <v/>
      </c>
    </row>
    <row r="2427" spans="1:38" x14ac:dyDescent="0.25">
      <c r="A2427" s="8" t="s">
        <v>4092</v>
      </c>
      <c r="B2427" s="8" t="s">
        <v>4093</v>
      </c>
      <c r="C2427" s="8">
        <v>30838786</v>
      </c>
      <c r="D2427" s="8">
        <v>5</v>
      </c>
      <c r="E2427" s="11">
        <v>43109</v>
      </c>
      <c r="F2427" s="8" t="s">
        <v>57</v>
      </c>
      <c r="G2427" s="11">
        <v>43111</v>
      </c>
      <c r="H2427" s="8" t="s">
        <v>25</v>
      </c>
      <c r="J2427" s="8" t="s">
        <v>25</v>
      </c>
      <c r="N2427" s="8" t="s">
        <v>58</v>
      </c>
      <c r="O2427" s="8" t="s">
        <v>59</v>
      </c>
      <c r="P2427" s="8" t="s">
        <v>59</v>
      </c>
      <c r="R2427" s="8">
        <v>0</v>
      </c>
      <c r="S2427" s="8">
        <v>0</v>
      </c>
      <c r="T2427" s="8">
        <v>1</v>
      </c>
      <c r="U2427" s="8">
        <v>2</v>
      </c>
      <c r="AG2427" s="8" t="str">
        <f t="shared" si="149"/>
        <v/>
      </c>
      <c r="AI2427" s="8" t="str">
        <f t="shared" si="150"/>
        <v/>
      </c>
      <c r="AJ2427" s="8" t="str">
        <f t="shared" si="151"/>
        <v/>
      </c>
      <c r="AL2427" s="8" t="str">
        <f t="shared" si="152"/>
        <v/>
      </c>
    </row>
    <row r="2428" spans="1:38" x14ac:dyDescent="0.25">
      <c r="A2428" s="8" t="s">
        <v>533</v>
      </c>
      <c r="B2428" s="8" t="s">
        <v>534</v>
      </c>
      <c r="C2428" s="8">
        <v>30809797</v>
      </c>
      <c r="D2428" s="8">
        <v>5</v>
      </c>
      <c r="E2428" s="11">
        <v>43108</v>
      </c>
      <c r="F2428" s="8" t="s">
        <v>58</v>
      </c>
      <c r="G2428" s="11">
        <v>43108</v>
      </c>
      <c r="H2428" s="8" t="s">
        <v>25</v>
      </c>
      <c r="I2428" s="11">
        <v>43112</v>
      </c>
      <c r="J2428" s="8" t="s">
        <v>145</v>
      </c>
      <c r="N2428" s="8" t="s">
        <v>58</v>
      </c>
      <c r="O2428" s="8" t="s">
        <v>59</v>
      </c>
      <c r="P2428" s="8" t="s">
        <v>59</v>
      </c>
      <c r="R2428" s="8">
        <v>0</v>
      </c>
      <c r="S2428" s="8">
        <v>0</v>
      </c>
      <c r="T2428" s="8">
        <v>1</v>
      </c>
      <c r="U2428" s="8">
        <v>2</v>
      </c>
      <c r="X2428" s="8">
        <v>5</v>
      </c>
      <c r="AG2428" s="8" t="str">
        <f t="shared" si="149"/>
        <v/>
      </c>
      <c r="AI2428" s="8" t="str">
        <f t="shared" si="150"/>
        <v/>
      </c>
      <c r="AJ2428" s="8" t="str">
        <f t="shared" si="151"/>
        <v/>
      </c>
      <c r="AL2428" s="8" t="str">
        <f t="shared" si="152"/>
        <v/>
      </c>
    </row>
    <row r="2429" spans="1:38" x14ac:dyDescent="0.25">
      <c r="A2429" s="8" t="s">
        <v>1360</v>
      </c>
      <c r="B2429" s="8" t="s">
        <v>1361</v>
      </c>
      <c r="C2429" s="8">
        <v>30833294</v>
      </c>
      <c r="D2429" s="8">
        <v>5</v>
      </c>
      <c r="E2429" s="11">
        <v>43109</v>
      </c>
      <c r="F2429" s="8" t="s">
        <v>57</v>
      </c>
      <c r="G2429" s="11">
        <v>43109</v>
      </c>
      <c r="H2429" s="8" t="s">
        <v>25</v>
      </c>
      <c r="J2429" s="8" t="s">
        <v>25</v>
      </c>
      <c r="N2429" s="8" t="s">
        <v>58</v>
      </c>
      <c r="O2429" s="8" t="s">
        <v>59</v>
      </c>
      <c r="P2429" s="8" t="s">
        <v>59</v>
      </c>
      <c r="R2429" s="8">
        <v>0</v>
      </c>
      <c r="S2429" s="8">
        <v>0</v>
      </c>
      <c r="T2429" s="8">
        <v>1</v>
      </c>
      <c r="U2429" s="8">
        <v>2</v>
      </c>
      <c r="AG2429" s="8" t="str">
        <f t="shared" si="149"/>
        <v/>
      </c>
      <c r="AI2429" s="8" t="str">
        <f t="shared" si="150"/>
        <v/>
      </c>
      <c r="AJ2429" s="8" t="str">
        <f t="shared" si="151"/>
        <v/>
      </c>
      <c r="AL2429" s="8" t="str">
        <f t="shared" si="152"/>
        <v/>
      </c>
    </row>
    <row r="2430" spans="1:38" x14ac:dyDescent="0.25">
      <c r="A2430" s="8" t="s">
        <v>4094</v>
      </c>
      <c r="B2430" s="8" t="s">
        <v>4095</v>
      </c>
      <c r="C2430" s="8">
        <v>30888132</v>
      </c>
      <c r="D2430" s="8">
        <v>5</v>
      </c>
      <c r="E2430" s="11">
        <v>43111</v>
      </c>
      <c r="F2430" s="8" t="s">
        <v>58</v>
      </c>
      <c r="G2430" s="11">
        <v>43111</v>
      </c>
      <c r="H2430" s="8" t="s">
        <v>25</v>
      </c>
      <c r="I2430" s="11">
        <v>43115</v>
      </c>
      <c r="J2430" s="8" t="s">
        <v>25</v>
      </c>
      <c r="N2430" s="8" t="s">
        <v>58</v>
      </c>
      <c r="O2430" s="8" t="s">
        <v>59</v>
      </c>
      <c r="P2430" s="8" t="s">
        <v>59</v>
      </c>
      <c r="R2430" s="8">
        <v>0</v>
      </c>
      <c r="S2430" s="8">
        <v>0</v>
      </c>
      <c r="T2430" s="8">
        <v>1</v>
      </c>
      <c r="U2430" s="8">
        <v>2</v>
      </c>
      <c r="X2430" s="8">
        <v>5</v>
      </c>
      <c r="AG2430" s="8" t="str">
        <f t="shared" si="149"/>
        <v/>
      </c>
      <c r="AI2430" s="8" t="str">
        <f t="shared" si="150"/>
        <v/>
      </c>
      <c r="AJ2430" s="8" t="str">
        <f t="shared" si="151"/>
        <v/>
      </c>
      <c r="AL2430" s="8" t="str">
        <f t="shared" si="152"/>
        <v/>
      </c>
    </row>
    <row r="2431" spans="1:38" x14ac:dyDescent="0.25">
      <c r="A2431" s="8" t="s">
        <v>4096</v>
      </c>
      <c r="B2431" s="8" t="s">
        <v>4097</v>
      </c>
      <c r="C2431" s="8">
        <v>30882293</v>
      </c>
      <c r="D2431" s="8">
        <v>5</v>
      </c>
      <c r="E2431" s="11">
        <v>43111</v>
      </c>
      <c r="F2431" s="8" t="s">
        <v>58</v>
      </c>
      <c r="G2431" s="11">
        <v>43111</v>
      </c>
      <c r="H2431" s="8" t="s">
        <v>25</v>
      </c>
      <c r="I2431" s="11">
        <v>43112</v>
      </c>
      <c r="J2431" s="8" t="s">
        <v>25</v>
      </c>
      <c r="N2431" s="8" t="s">
        <v>58</v>
      </c>
      <c r="O2431" s="8" t="s">
        <v>59</v>
      </c>
      <c r="P2431" s="8" t="s">
        <v>59</v>
      </c>
      <c r="R2431" s="8">
        <v>0</v>
      </c>
      <c r="S2431" s="8">
        <v>0</v>
      </c>
      <c r="T2431" s="8">
        <v>1</v>
      </c>
      <c r="U2431" s="8">
        <v>2</v>
      </c>
      <c r="X2431" s="8">
        <v>5</v>
      </c>
      <c r="AG2431" s="8" t="str">
        <f t="shared" si="149"/>
        <v/>
      </c>
      <c r="AI2431" s="8" t="str">
        <f t="shared" si="150"/>
        <v/>
      </c>
      <c r="AJ2431" s="8" t="str">
        <f t="shared" si="151"/>
        <v/>
      </c>
      <c r="AL2431" s="8" t="str">
        <f t="shared" si="152"/>
        <v/>
      </c>
    </row>
    <row r="2432" spans="1:38" x14ac:dyDescent="0.25">
      <c r="A2432" s="8" t="s">
        <v>4098</v>
      </c>
      <c r="B2432" s="8" t="s">
        <v>4099</v>
      </c>
      <c r="C2432" s="8">
        <v>30839296</v>
      </c>
      <c r="D2432" s="8">
        <v>5</v>
      </c>
      <c r="E2432" s="11">
        <v>43109</v>
      </c>
      <c r="F2432" s="8" t="s">
        <v>60</v>
      </c>
      <c r="G2432" s="11">
        <v>43111</v>
      </c>
      <c r="H2432" s="8" t="s">
        <v>25</v>
      </c>
      <c r="J2432" s="8" t="s">
        <v>25</v>
      </c>
      <c r="L2432" s="8" t="s">
        <v>4797</v>
      </c>
      <c r="N2432" s="8" t="s">
        <v>58</v>
      </c>
      <c r="O2432" s="8" t="s">
        <v>59</v>
      </c>
      <c r="P2432" s="8" t="s">
        <v>59</v>
      </c>
      <c r="R2432" s="8">
        <v>0</v>
      </c>
      <c r="S2432" s="8">
        <v>0</v>
      </c>
      <c r="T2432" s="8">
        <v>1</v>
      </c>
      <c r="U2432" s="8">
        <v>2</v>
      </c>
      <c r="W2432" s="8">
        <v>4</v>
      </c>
      <c r="AG2432" s="8" t="str">
        <f t="shared" si="149"/>
        <v/>
      </c>
      <c r="AI2432" s="8" t="str">
        <f t="shared" si="150"/>
        <v/>
      </c>
      <c r="AJ2432" s="8" t="str">
        <f t="shared" si="151"/>
        <v/>
      </c>
      <c r="AL2432" s="8" t="str">
        <f t="shared" si="152"/>
        <v/>
      </c>
    </row>
    <row r="2433" spans="1:38" x14ac:dyDescent="0.25">
      <c r="A2433" s="8" t="s">
        <v>7516</v>
      </c>
      <c r="B2433" s="8" t="s">
        <v>4099</v>
      </c>
      <c r="C2433" s="8">
        <v>30929718</v>
      </c>
      <c r="D2433" s="8">
        <v>5</v>
      </c>
      <c r="E2433" s="11">
        <v>43115</v>
      </c>
      <c r="F2433" s="8" t="s">
        <v>57</v>
      </c>
      <c r="G2433" s="11">
        <v>43115</v>
      </c>
      <c r="H2433" s="8" t="s">
        <v>25</v>
      </c>
      <c r="J2433" s="8" t="s">
        <v>25</v>
      </c>
      <c r="N2433" s="8" t="s">
        <v>58</v>
      </c>
      <c r="O2433" s="8" t="s">
        <v>59</v>
      </c>
      <c r="P2433" s="8" t="s">
        <v>59</v>
      </c>
      <c r="R2433" s="8">
        <v>0</v>
      </c>
      <c r="S2433" s="8">
        <v>0</v>
      </c>
      <c r="T2433" s="8">
        <v>1</v>
      </c>
      <c r="U2433" s="8">
        <v>2</v>
      </c>
      <c r="AG2433" s="8" t="str">
        <f t="shared" si="149"/>
        <v/>
      </c>
      <c r="AI2433" s="8" t="str">
        <f t="shared" si="150"/>
        <v/>
      </c>
      <c r="AJ2433" s="8" t="str">
        <f t="shared" si="151"/>
        <v/>
      </c>
      <c r="AL2433" s="8" t="str">
        <f t="shared" si="152"/>
        <v/>
      </c>
    </row>
    <row r="2434" spans="1:38" x14ac:dyDescent="0.25">
      <c r="A2434" s="8" t="s">
        <v>535</v>
      </c>
      <c r="B2434" s="8" t="s">
        <v>536</v>
      </c>
      <c r="C2434" s="8">
        <v>30806715</v>
      </c>
      <c r="D2434" s="8">
        <v>5</v>
      </c>
      <c r="E2434" s="11">
        <v>43108</v>
      </c>
      <c r="F2434" s="8" t="s">
        <v>58</v>
      </c>
      <c r="G2434" s="11">
        <v>43108</v>
      </c>
      <c r="H2434" s="8" t="s">
        <v>25</v>
      </c>
      <c r="I2434" s="11">
        <v>43115</v>
      </c>
      <c r="J2434" s="8" t="s">
        <v>856</v>
      </c>
      <c r="N2434" s="8" t="s">
        <v>58</v>
      </c>
      <c r="O2434" s="8" t="s">
        <v>59</v>
      </c>
      <c r="P2434" s="8" t="s">
        <v>59</v>
      </c>
      <c r="R2434" s="8">
        <v>0</v>
      </c>
      <c r="S2434" s="8">
        <v>0</v>
      </c>
      <c r="T2434" s="8">
        <v>1</v>
      </c>
      <c r="U2434" s="8">
        <v>2</v>
      </c>
      <c r="X2434" s="8">
        <v>5</v>
      </c>
      <c r="AG2434" s="8" t="str">
        <f t="shared" si="149"/>
        <v/>
      </c>
      <c r="AI2434" s="8" t="str">
        <f t="shared" si="150"/>
        <v/>
      </c>
      <c r="AJ2434" s="8" t="str">
        <f t="shared" si="151"/>
        <v/>
      </c>
      <c r="AL2434" s="8" t="str">
        <f t="shared" si="152"/>
        <v/>
      </c>
    </row>
    <row r="2435" spans="1:38" x14ac:dyDescent="0.25">
      <c r="A2435" s="8" t="s">
        <v>7517</v>
      </c>
      <c r="B2435" s="8" t="s">
        <v>7518</v>
      </c>
      <c r="C2435" s="8">
        <v>30912978</v>
      </c>
      <c r="D2435" s="8">
        <v>5</v>
      </c>
      <c r="E2435" s="11">
        <v>43112</v>
      </c>
      <c r="F2435" s="8" t="s">
        <v>57</v>
      </c>
      <c r="G2435" s="11">
        <v>43115</v>
      </c>
      <c r="H2435" s="8" t="s">
        <v>25</v>
      </c>
      <c r="J2435" s="8" t="s">
        <v>25</v>
      </c>
      <c r="N2435" s="8" t="s">
        <v>58</v>
      </c>
      <c r="O2435" s="8" t="s">
        <v>59</v>
      </c>
      <c r="P2435" s="8" t="s">
        <v>59</v>
      </c>
      <c r="R2435" s="8">
        <v>0</v>
      </c>
      <c r="S2435" s="8">
        <v>0</v>
      </c>
      <c r="T2435" s="8">
        <v>1</v>
      </c>
      <c r="U2435" s="8">
        <v>2</v>
      </c>
      <c r="AG2435" s="8" t="str">
        <f t="shared" ref="AG2435:AG2498" si="153">IF(AND(U2435="",G2435&lt;&gt;"",NOT(OR(R2435,S2435))),IF(NETWORKDAYS.INTL(G2435,TODAY(),11)&lt;5,"En Plazo",IF(NETWORKDAYS.INTL(G2435,TODAY(),11)=5,"Riesgo Incumplimiento","FALTA_02")),"")</f>
        <v/>
      </c>
      <c r="AI2435" s="8" t="str">
        <f t="shared" ref="AI2435:AI2498" si="154">IF(AND(O2435&lt;&gt;"B1",F2435="Rejected"),IF(W2435="","FALTA_04",""),"")</f>
        <v/>
      </c>
      <c r="AJ2435" s="8" t="str">
        <f t="shared" ref="AJ2435:AJ2498" si="155">IF(AND(X2435="",I2435&lt;&gt;"",NOT(OR(R2435,S2435))),IF(NETWORKDAYS.INTL(G2435,TODAY(),11)&lt;=1,"En Plazo",IF(OR(AND(X2435="",O2435&lt;&gt;"M1"),AND(O2435="M1",(OR(Q2435="S - S",Q2435="S - T",)))),"FALTA_05","")),"")</f>
        <v/>
      </c>
      <c r="AL2435" s="8" t="str">
        <f t="shared" ref="AL2435:AL2498" si="156">IF(AND(O2435="B1",F2435="Rejected"),IF(Z2435="","FALTA_07",""),"")</f>
        <v/>
      </c>
    </row>
    <row r="2436" spans="1:38" x14ac:dyDescent="0.25">
      <c r="A2436" s="8" t="s">
        <v>5724</v>
      </c>
      <c r="B2436" s="8" t="s">
        <v>5725</v>
      </c>
      <c r="C2436" s="8">
        <v>30866962</v>
      </c>
      <c r="D2436" s="8">
        <v>5</v>
      </c>
      <c r="E2436" s="11">
        <v>43110</v>
      </c>
      <c r="F2436" s="8" t="s">
        <v>58</v>
      </c>
      <c r="G2436" s="11">
        <v>43112</v>
      </c>
      <c r="H2436" s="8" t="s">
        <v>25</v>
      </c>
      <c r="I2436" s="11">
        <v>43112</v>
      </c>
      <c r="J2436" s="8" t="s">
        <v>25</v>
      </c>
      <c r="N2436" s="8" t="s">
        <v>58</v>
      </c>
      <c r="O2436" s="8" t="s">
        <v>59</v>
      </c>
      <c r="P2436" s="8" t="s">
        <v>59</v>
      </c>
      <c r="R2436" s="8">
        <v>0</v>
      </c>
      <c r="S2436" s="8">
        <v>0</v>
      </c>
      <c r="T2436" s="8">
        <v>1</v>
      </c>
      <c r="U2436" s="8">
        <v>2</v>
      </c>
      <c r="X2436" s="8">
        <v>5</v>
      </c>
      <c r="AG2436" s="8" t="str">
        <f t="shared" si="153"/>
        <v/>
      </c>
      <c r="AI2436" s="8" t="str">
        <f t="shared" si="154"/>
        <v/>
      </c>
      <c r="AJ2436" s="8" t="str">
        <f t="shared" si="155"/>
        <v/>
      </c>
      <c r="AL2436" s="8" t="str">
        <f t="shared" si="156"/>
        <v/>
      </c>
    </row>
    <row r="2437" spans="1:38" x14ac:dyDescent="0.25">
      <c r="A2437" s="8" t="s">
        <v>4100</v>
      </c>
      <c r="B2437" s="8" t="s">
        <v>4101</v>
      </c>
      <c r="C2437" s="8">
        <v>30842973</v>
      </c>
      <c r="D2437" s="8">
        <v>5</v>
      </c>
      <c r="E2437" s="11">
        <v>43109</v>
      </c>
      <c r="F2437" s="8" t="s">
        <v>57</v>
      </c>
      <c r="G2437" s="11">
        <v>43111</v>
      </c>
      <c r="H2437" s="8" t="s">
        <v>25</v>
      </c>
      <c r="J2437" s="8" t="s">
        <v>25</v>
      </c>
      <c r="N2437" s="8" t="s">
        <v>58</v>
      </c>
      <c r="O2437" s="8" t="s">
        <v>59</v>
      </c>
      <c r="P2437" s="8" t="s">
        <v>59</v>
      </c>
      <c r="R2437" s="8">
        <v>0</v>
      </c>
      <c r="S2437" s="8">
        <v>0</v>
      </c>
      <c r="T2437" s="8">
        <v>1</v>
      </c>
      <c r="U2437" s="8">
        <v>2</v>
      </c>
      <c r="AG2437" s="8" t="str">
        <f t="shared" si="153"/>
        <v/>
      </c>
      <c r="AI2437" s="8" t="str">
        <f t="shared" si="154"/>
        <v/>
      </c>
      <c r="AJ2437" s="8" t="str">
        <f t="shared" si="155"/>
        <v/>
      </c>
      <c r="AL2437" s="8" t="str">
        <f t="shared" si="156"/>
        <v/>
      </c>
    </row>
    <row r="2438" spans="1:38" x14ac:dyDescent="0.25">
      <c r="A2438" s="8" t="s">
        <v>537</v>
      </c>
      <c r="B2438" s="8" t="s">
        <v>538</v>
      </c>
      <c r="C2438" s="8">
        <v>30814859</v>
      </c>
      <c r="D2438" s="8">
        <v>5</v>
      </c>
      <c r="E2438" s="11">
        <v>43108</v>
      </c>
      <c r="F2438" s="8" t="s">
        <v>57</v>
      </c>
      <c r="G2438" s="11">
        <v>43108</v>
      </c>
      <c r="H2438" s="8" t="s">
        <v>25</v>
      </c>
      <c r="J2438" s="8" t="s">
        <v>25</v>
      </c>
      <c r="N2438" s="8" t="s">
        <v>58</v>
      </c>
      <c r="O2438" s="8" t="s">
        <v>59</v>
      </c>
      <c r="P2438" s="8" t="s">
        <v>59</v>
      </c>
      <c r="R2438" s="8">
        <v>0</v>
      </c>
      <c r="S2438" s="8">
        <v>0</v>
      </c>
      <c r="T2438" s="8">
        <v>1</v>
      </c>
      <c r="U2438" s="8">
        <v>2</v>
      </c>
      <c r="AG2438" s="8" t="str">
        <f t="shared" si="153"/>
        <v/>
      </c>
      <c r="AI2438" s="8" t="str">
        <f t="shared" si="154"/>
        <v/>
      </c>
      <c r="AJ2438" s="8" t="str">
        <f t="shared" si="155"/>
        <v/>
      </c>
      <c r="AL2438" s="8" t="str">
        <f t="shared" si="156"/>
        <v/>
      </c>
    </row>
    <row r="2439" spans="1:38" x14ac:dyDescent="0.25">
      <c r="A2439" s="8" t="s">
        <v>7519</v>
      </c>
      <c r="B2439" s="8" t="s">
        <v>7520</v>
      </c>
      <c r="C2439" s="8">
        <v>30936263</v>
      </c>
      <c r="D2439" s="8">
        <v>5</v>
      </c>
      <c r="E2439" s="11">
        <v>43115</v>
      </c>
      <c r="F2439" s="8" t="s">
        <v>57</v>
      </c>
      <c r="G2439" s="11">
        <v>43115</v>
      </c>
      <c r="H2439" s="8" t="s">
        <v>25</v>
      </c>
      <c r="J2439" s="8" t="s">
        <v>25</v>
      </c>
      <c r="N2439" s="8" t="s">
        <v>58</v>
      </c>
      <c r="O2439" s="8" t="s">
        <v>59</v>
      </c>
      <c r="P2439" s="8" t="s">
        <v>59</v>
      </c>
      <c r="R2439" s="8">
        <v>0</v>
      </c>
      <c r="S2439" s="8">
        <v>0</v>
      </c>
      <c r="T2439" s="8">
        <v>1</v>
      </c>
      <c r="U2439" s="8">
        <v>2</v>
      </c>
      <c r="AG2439" s="8" t="str">
        <f t="shared" si="153"/>
        <v/>
      </c>
      <c r="AI2439" s="8" t="str">
        <f t="shared" si="154"/>
        <v/>
      </c>
      <c r="AJ2439" s="8" t="str">
        <f t="shared" si="155"/>
        <v/>
      </c>
      <c r="AL2439" s="8" t="str">
        <f t="shared" si="156"/>
        <v/>
      </c>
    </row>
    <row r="2440" spans="1:38" x14ac:dyDescent="0.25">
      <c r="A2440" s="8" t="s">
        <v>5726</v>
      </c>
      <c r="B2440" s="8" t="s">
        <v>5727</v>
      </c>
      <c r="C2440" s="8">
        <v>30863211</v>
      </c>
      <c r="D2440" s="8">
        <v>5</v>
      </c>
      <c r="E2440" s="11">
        <v>43110</v>
      </c>
      <c r="F2440" s="8" t="s">
        <v>58</v>
      </c>
      <c r="G2440" s="11">
        <v>43112</v>
      </c>
      <c r="H2440" s="8" t="s">
        <v>25</v>
      </c>
      <c r="I2440" s="11">
        <v>43112</v>
      </c>
      <c r="J2440" s="8" t="s">
        <v>25</v>
      </c>
      <c r="N2440" s="8" t="s">
        <v>58</v>
      </c>
      <c r="O2440" s="8" t="s">
        <v>59</v>
      </c>
      <c r="P2440" s="8" t="s">
        <v>59</v>
      </c>
      <c r="R2440" s="8">
        <v>0</v>
      </c>
      <c r="S2440" s="8">
        <v>0</v>
      </c>
      <c r="T2440" s="8">
        <v>1</v>
      </c>
      <c r="U2440" s="8">
        <v>2</v>
      </c>
      <c r="X2440" s="8">
        <v>5</v>
      </c>
      <c r="AG2440" s="8" t="str">
        <f t="shared" si="153"/>
        <v/>
      </c>
      <c r="AI2440" s="8" t="str">
        <f t="shared" si="154"/>
        <v/>
      </c>
      <c r="AJ2440" s="8" t="str">
        <f t="shared" si="155"/>
        <v/>
      </c>
      <c r="AL2440" s="8" t="str">
        <f t="shared" si="156"/>
        <v/>
      </c>
    </row>
    <row r="2441" spans="1:38" x14ac:dyDescent="0.25">
      <c r="A2441" s="8" t="s">
        <v>2621</v>
      </c>
      <c r="B2441" s="8" t="s">
        <v>2622</v>
      </c>
      <c r="C2441" s="8">
        <v>30874125</v>
      </c>
      <c r="D2441" s="8">
        <v>5</v>
      </c>
      <c r="E2441" s="11">
        <v>43110</v>
      </c>
      <c r="F2441" s="8" t="s">
        <v>57</v>
      </c>
      <c r="G2441" s="11">
        <v>43110</v>
      </c>
      <c r="H2441" s="8" t="s">
        <v>25</v>
      </c>
      <c r="J2441" s="8" t="s">
        <v>25</v>
      </c>
      <c r="N2441" s="8" t="s">
        <v>58</v>
      </c>
      <c r="O2441" s="8" t="s">
        <v>59</v>
      </c>
      <c r="P2441" s="8" t="s">
        <v>59</v>
      </c>
      <c r="R2441" s="8">
        <v>0</v>
      </c>
      <c r="S2441" s="8">
        <v>0</v>
      </c>
      <c r="T2441" s="8">
        <v>1</v>
      </c>
      <c r="U2441" s="8">
        <v>2</v>
      </c>
      <c r="AG2441" s="8" t="str">
        <f t="shared" si="153"/>
        <v/>
      </c>
      <c r="AI2441" s="8" t="str">
        <f t="shared" si="154"/>
        <v/>
      </c>
      <c r="AJ2441" s="8" t="str">
        <f t="shared" si="155"/>
        <v/>
      </c>
      <c r="AL2441" s="8" t="str">
        <f t="shared" si="156"/>
        <v/>
      </c>
    </row>
    <row r="2442" spans="1:38" x14ac:dyDescent="0.25">
      <c r="A2442" s="8" t="s">
        <v>539</v>
      </c>
      <c r="B2442" s="8" t="s">
        <v>540</v>
      </c>
      <c r="C2442" s="8">
        <v>30817229</v>
      </c>
      <c r="D2442" s="8">
        <v>5</v>
      </c>
      <c r="E2442" s="11">
        <v>43108</v>
      </c>
      <c r="F2442" s="8" t="s">
        <v>58</v>
      </c>
      <c r="G2442" s="11">
        <v>43108</v>
      </c>
      <c r="H2442" s="8" t="s">
        <v>25</v>
      </c>
      <c r="I2442" s="11">
        <v>43115</v>
      </c>
      <c r="J2442" s="8" t="s">
        <v>856</v>
      </c>
      <c r="N2442" s="8" t="s">
        <v>58</v>
      </c>
      <c r="O2442" s="8" t="s">
        <v>59</v>
      </c>
      <c r="P2442" s="8" t="s">
        <v>59</v>
      </c>
      <c r="R2442" s="8">
        <v>0</v>
      </c>
      <c r="S2442" s="8">
        <v>0</v>
      </c>
      <c r="T2442" s="8">
        <v>1</v>
      </c>
      <c r="U2442" s="8">
        <v>2</v>
      </c>
      <c r="X2442" s="8">
        <v>5</v>
      </c>
      <c r="AG2442" s="8" t="str">
        <f t="shared" si="153"/>
        <v/>
      </c>
      <c r="AI2442" s="8" t="str">
        <f t="shared" si="154"/>
        <v/>
      </c>
      <c r="AJ2442" s="8" t="str">
        <f t="shared" si="155"/>
        <v/>
      </c>
      <c r="AL2442" s="8" t="str">
        <f t="shared" si="156"/>
        <v/>
      </c>
    </row>
    <row r="2443" spans="1:38" x14ac:dyDescent="0.25">
      <c r="A2443" s="8" t="s">
        <v>2623</v>
      </c>
      <c r="B2443" s="8" t="s">
        <v>2624</v>
      </c>
      <c r="C2443" s="8">
        <v>30819680</v>
      </c>
      <c r="D2443" s="8">
        <v>5</v>
      </c>
      <c r="E2443" s="11">
        <v>43108</v>
      </c>
      <c r="F2443" s="8" t="s">
        <v>58</v>
      </c>
      <c r="G2443" s="11">
        <v>43110</v>
      </c>
      <c r="H2443" s="8" t="s">
        <v>25</v>
      </c>
      <c r="I2443" s="11">
        <v>43111</v>
      </c>
      <c r="J2443" s="8" t="s">
        <v>25</v>
      </c>
      <c r="N2443" s="8" t="s">
        <v>58</v>
      </c>
      <c r="O2443" s="8" t="s">
        <v>59</v>
      </c>
      <c r="P2443" s="8" t="s">
        <v>59</v>
      </c>
      <c r="R2443" s="8">
        <v>0</v>
      </c>
      <c r="S2443" s="8">
        <v>0</v>
      </c>
      <c r="T2443" s="8">
        <v>1</v>
      </c>
      <c r="U2443" s="8">
        <v>2</v>
      </c>
      <c r="X2443" s="8">
        <v>5</v>
      </c>
      <c r="AG2443" s="8" t="str">
        <f t="shared" si="153"/>
        <v/>
      </c>
      <c r="AI2443" s="8" t="str">
        <f t="shared" si="154"/>
        <v/>
      </c>
      <c r="AJ2443" s="8" t="str">
        <f t="shared" si="155"/>
        <v/>
      </c>
      <c r="AL2443" s="8" t="str">
        <f t="shared" si="156"/>
        <v/>
      </c>
    </row>
    <row r="2444" spans="1:38" x14ac:dyDescent="0.25">
      <c r="A2444" s="8" t="s">
        <v>5728</v>
      </c>
      <c r="B2444" s="8" t="s">
        <v>5729</v>
      </c>
      <c r="C2444" s="8">
        <v>30921849</v>
      </c>
      <c r="D2444" s="8">
        <v>5</v>
      </c>
      <c r="E2444" s="11">
        <v>43112</v>
      </c>
      <c r="F2444" s="8" t="s">
        <v>57</v>
      </c>
      <c r="G2444" s="11">
        <v>43112</v>
      </c>
      <c r="H2444" s="8" t="s">
        <v>25</v>
      </c>
      <c r="J2444" s="8" t="s">
        <v>25</v>
      </c>
      <c r="N2444" s="8" t="s">
        <v>58</v>
      </c>
      <c r="O2444" s="8" t="s">
        <v>59</v>
      </c>
      <c r="P2444" s="8" t="s">
        <v>59</v>
      </c>
      <c r="R2444" s="8">
        <v>0</v>
      </c>
      <c r="S2444" s="8">
        <v>0</v>
      </c>
      <c r="T2444" s="8">
        <v>1</v>
      </c>
      <c r="U2444" s="8">
        <v>2</v>
      </c>
      <c r="AG2444" s="8" t="str">
        <f t="shared" si="153"/>
        <v/>
      </c>
      <c r="AI2444" s="8" t="str">
        <f t="shared" si="154"/>
        <v/>
      </c>
      <c r="AJ2444" s="8" t="str">
        <f t="shared" si="155"/>
        <v/>
      </c>
      <c r="AL2444" s="8" t="str">
        <f t="shared" si="156"/>
        <v/>
      </c>
    </row>
    <row r="2445" spans="1:38" x14ac:dyDescent="0.25">
      <c r="A2445" s="8" t="s">
        <v>2625</v>
      </c>
      <c r="B2445" s="8" t="s">
        <v>2626</v>
      </c>
      <c r="C2445" s="8">
        <v>30819999</v>
      </c>
      <c r="D2445" s="8">
        <v>5</v>
      </c>
      <c r="E2445" s="11">
        <v>43108</v>
      </c>
      <c r="F2445" s="8" t="s">
        <v>57</v>
      </c>
      <c r="G2445" s="11">
        <v>43110</v>
      </c>
      <c r="H2445" s="8" t="s">
        <v>25</v>
      </c>
      <c r="J2445" s="8" t="s">
        <v>25</v>
      </c>
      <c r="N2445" s="8" t="s">
        <v>58</v>
      </c>
      <c r="O2445" s="8" t="s">
        <v>59</v>
      </c>
      <c r="P2445" s="8" t="s">
        <v>59</v>
      </c>
      <c r="R2445" s="8">
        <v>0</v>
      </c>
      <c r="S2445" s="8">
        <v>0</v>
      </c>
      <c r="T2445" s="8">
        <v>1</v>
      </c>
      <c r="U2445" s="8">
        <v>2</v>
      </c>
      <c r="AG2445" s="8" t="str">
        <f t="shared" si="153"/>
        <v/>
      </c>
      <c r="AI2445" s="8" t="str">
        <f t="shared" si="154"/>
        <v/>
      </c>
      <c r="AJ2445" s="8" t="str">
        <f t="shared" si="155"/>
        <v/>
      </c>
      <c r="AL2445" s="8" t="str">
        <f t="shared" si="156"/>
        <v/>
      </c>
    </row>
    <row r="2446" spans="1:38" x14ac:dyDescent="0.25">
      <c r="A2446" s="8" t="s">
        <v>4102</v>
      </c>
      <c r="B2446" s="8" t="s">
        <v>4103</v>
      </c>
      <c r="C2446" s="8">
        <v>30881896</v>
      </c>
      <c r="D2446" s="8">
        <v>5</v>
      </c>
      <c r="E2446" s="11">
        <v>43111</v>
      </c>
      <c r="F2446" s="8" t="s">
        <v>57</v>
      </c>
      <c r="G2446" s="11">
        <v>43111</v>
      </c>
      <c r="H2446" s="8" t="s">
        <v>25</v>
      </c>
      <c r="J2446" s="8" t="s">
        <v>25</v>
      </c>
      <c r="N2446" s="8" t="s">
        <v>58</v>
      </c>
      <c r="O2446" s="8" t="s">
        <v>59</v>
      </c>
      <c r="P2446" s="8" t="s">
        <v>59</v>
      </c>
      <c r="R2446" s="8">
        <v>0</v>
      </c>
      <c r="S2446" s="8">
        <v>0</v>
      </c>
      <c r="T2446" s="8">
        <v>1</v>
      </c>
      <c r="U2446" s="8">
        <v>2</v>
      </c>
      <c r="AG2446" s="8" t="str">
        <f t="shared" si="153"/>
        <v/>
      </c>
      <c r="AI2446" s="8" t="str">
        <f t="shared" si="154"/>
        <v/>
      </c>
      <c r="AJ2446" s="8" t="str">
        <f t="shared" si="155"/>
        <v/>
      </c>
      <c r="AL2446" s="8" t="str">
        <f t="shared" si="156"/>
        <v/>
      </c>
    </row>
    <row r="2447" spans="1:38" x14ac:dyDescent="0.25">
      <c r="A2447" s="8" t="s">
        <v>1362</v>
      </c>
      <c r="B2447" s="8" t="s">
        <v>1363</v>
      </c>
      <c r="C2447" s="8">
        <v>30831942</v>
      </c>
      <c r="D2447" s="8">
        <v>5</v>
      </c>
      <c r="E2447" s="11">
        <v>43109</v>
      </c>
      <c r="F2447" s="8" t="s">
        <v>57</v>
      </c>
      <c r="G2447" s="11">
        <v>43109</v>
      </c>
      <c r="H2447" s="8" t="s">
        <v>25</v>
      </c>
      <c r="J2447" s="8" t="s">
        <v>25</v>
      </c>
      <c r="N2447" s="8" t="s">
        <v>58</v>
      </c>
      <c r="O2447" s="8" t="s">
        <v>59</v>
      </c>
      <c r="P2447" s="8" t="s">
        <v>59</v>
      </c>
      <c r="R2447" s="8">
        <v>0</v>
      </c>
      <c r="S2447" s="8">
        <v>0</v>
      </c>
      <c r="T2447" s="8">
        <v>1</v>
      </c>
      <c r="U2447" s="8">
        <v>2</v>
      </c>
      <c r="AG2447" s="8" t="str">
        <f t="shared" si="153"/>
        <v/>
      </c>
      <c r="AI2447" s="8" t="str">
        <f t="shared" si="154"/>
        <v/>
      </c>
      <c r="AJ2447" s="8" t="str">
        <f t="shared" si="155"/>
        <v/>
      </c>
      <c r="AL2447" s="8" t="str">
        <f t="shared" si="156"/>
        <v/>
      </c>
    </row>
    <row r="2448" spans="1:38" x14ac:dyDescent="0.25">
      <c r="A2448" s="8" t="s">
        <v>1364</v>
      </c>
      <c r="B2448" s="8" t="s">
        <v>1365</v>
      </c>
      <c r="C2448" s="8">
        <v>30831990</v>
      </c>
      <c r="D2448" s="8">
        <v>5</v>
      </c>
      <c r="E2448" s="11">
        <v>43109</v>
      </c>
      <c r="F2448" s="8" t="s">
        <v>60</v>
      </c>
      <c r="G2448" s="11">
        <v>43109</v>
      </c>
      <c r="H2448" s="8" t="s">
        <v>25</v>
      </c>
      <c r="J2448" s="8" t="s">
        <v>145</v>
      </c>
      <c r="L2448" s="8" t="s">
        <v>6525</v>
      </c>
      <c r="N2448" s="8" t="s">
        <v>58</v>
      </c>
      <c r="O2448" s="8" t="s">
        <v>59</v>
      </c>
      <c r="P2448" s="8" t="s">
        <v>59</v>
      </c>
      <c r="R2448" s="8">
        <v>0</v>
      </c>
      <c r="S2448" s="8">
        <v>0</v>
      </c>
      <c r="T2448" s="8">
        <v>1</v>
      </c>
      <c r="U2448" s="8">
        <v>2</v>
      </c>
      <c r="W2448" s="8">
        <v>4</v>
      </c>
      <c r="AG2448" s="8" t="str">
        <f t="shared" si="153"/>
        <v/>
      </c>
      <c r="AI2448" s="8" t="str">
        <f t="shared" si="154"/>
        <v/>
      </c>
      <c r="AJ2448" s="8" t="str">
        <f t="shared" si="155"/>
        <v/>
      </c>
      <c r="AL2448" s="8" t="str">
        <f t="shared" si="156"/>
        <v/>
      </c>
    </row>
    <row r="2449" spans="1:38" x14ac:dyDescent="0.25">
      <c r="A2449" s="8" t="s">
        <v>1366</v>
      </c>
      <c r="B2449" s="8" t="s">
        <v>1367</v>
      </c>
      <c r="C2449" s="8">
        <v>30833156</v>
      </c>
      <c r="D2449" s="8">
        <v>5</v>
      </c>
      <c r="E2449" s="11">
        <v>43109</v>
      </c>
      <c r="F2449" s="8" t="s">
        <v>57</v>
      </c>
      <c r="G2449" s="11">
        <v>43109</v>
      </c>
      <c r="H2449" s="8" t="s">
        <v>25</v>
      </c>
      <c r="J2449" s="8" t="s">
        <v>25</v>
      </c>
      <c r="N2449" s="8" t="s">
        <v>58</v>
      </c>
      <c r="O2449" s="8" t="s">
        <v>59</v>
      </c>
      <c r="P2449" s="8" t="s">
        <v>59</v>
      </c>
      <c r="R2449" s="8">
        <v>0</v>
      </c>
      <c r="S2449" s="8">
        <v>0</v>
      </c>
      <c r="T2449" s="8">
        <v>1</v>
      </c>
      <c r="U2449" s="8">
        <v>2</v>
      </c>
      <c r="AG2449" s="8" t="str">
        <f t="shared" si="153"/>
        <v/>
      </c>
      <c r="AI2449" s="8" t="str">
        <f t="shared" si="154"/>
        <v/>
      </c>
      <c r="AJ2449" s="8" t="str">
        <f t="shared" si="155"/>
        <v/>
      </c>
      <c r="AL2449" s="8" t="str">
        <f t="shared" si="156"/>
        <v/>
      </c>
    </row>
    <row r="2450" spans="1:38" x14ac:dyDescent="0.25">
      <c r="A2450" s="8" t="s">
        <v>7521</v>
      </c>
      <c r="B2450" s="8" t="s">
        <v>7522</v>
      </c>
      <c r="C2450" s="8">
        <v>30935644</v>
      </c>
      <c r="D2450" s="8">
        <v>5</v>
      </c>
      <c r="E2450" s="11">
        <v>43115</v>
      </c>
      <c r="F2450" s="8" t="s">
        <v>57</v>
      </c>
      <c r="G2450" s="11">
        <v>43115</v>
      </c>
      <c r="H2450" s="8" t="s">
        <v>25</v>
      </c>
      <c r="J2450" s="8" t="s">
        <v>25</v>
      </c>
      <c r="N2450" s="8" t="s">
        <v>58</v>
      </c>
      <c r="O2450" s="8" t="s">
        <v>59</v>
      </c>
      <c r="P2450" s="8" t="s">
        <v>59</v>
      </c>
      <c r="R2450" s="8">
        <v>0</v>
      </c>
      <c r="S2450" s="8">
        <v>0</v>
      </c>
      <c r="T2450" s="8">
        <v>1</v>
      </c>
      <c r="U2450" s="8">
        <v>2</v>
      </c>
      <c r="AG2450" s="8" t="str">
        <f t="shared" si="153"/>
        <v/>
      </c>
      <c r="AI2450" s="8" t="str">
        <f t="shared" si="154"/>
        <v/>
      </c>
      <c r="AJ2450" s="8" t="str">
        <f t="shared" si="155"/>
        <v/>
      </c>
      <c r="AL2450" s="8" t="str">
        <f t="shared" si="156"/>
        <v/>
      </c>
    </row>
    <row r="2451" spans="1:38" x14ac:dyDescent="0.25">
      <c r="A2451" s="8" t="s">
        <v>2627</v>
      </c>
      <c r="B2451" s="8" t="s">
        <v>2628</v>
      </c>
      <c r="C2451" s="8">
        <v>30811472</v>
      </c>
      <c r="D2451" s="8">
        <v>5</v>
      </c>
      <c r="E2451" s="11">
        <v>43108</v>
      </c>
      <c r="F2451" s="8" t="s">
        <v>58</v>
      </c>
      <c r="G2451" s="11">
        <v>43110</v>
      </c>
      <c r="H2451" s="8" t="s">
        <v>25</v>
      </c>
      <c r="I2451" s="11">
        <v>43111</v>
      </c>
      <c r="J2451" s="8" t="s">
        <v>25</v>
      </c>
      <c r="N2451" s="8" t="s">
        <v>58</v>
      </c>
      <c r="O2451" s="8" t="s">
        <v>59</v>
      </c>
      <c r="P2451" s="8" t="s">
        <v>59</v>
      </c>
      <c r="R2451" s="8">
        <v>0</v>
      </c>
      <c r="S2451" s="8">
        <v>0</v>
      </c>
      <c r="T2451" s="8">
        <v>1</v>
      </c>
      <c r="U2451" s="8">
        <v>2</v>
      </c>
      <c r="X2451" s="8">
        <v>5</v>
      </c>
      <c r="AG2451" s="8" t="str">
        <f t="shared" si="153"/>
        <v/>
      </c>
      <c r="AI2451" s="8" t="str">
        <f t="shared" si="154"/>
        <v/>
      </c>
      <c r="AJ2451" s="8" t="str">
        <f t="shared" si="155"/>
        <v/>
      </c>
      <c r="AL2451" s="8" t="str">
        <f t="shared" si="156"/>
        <v/>
      </c>
    </row>
    <row r="2452" spans="1:38" x14ac:dyDescent="0.25">
      <c r="A2452" s="8" t="s">
        <v>4104</v>
      </c>
      <c r="B2452" s="8" t="s">
        <v>4105</v>
      </c>
      <c r="C2452" s="8">
        <v>30888102</v>
      </c>
      <c r="D2452" s="8">
        <v>5</v>
      </c>
      <c r="E2452" s="11">
        <v>43111</v>
      </c>
      <c r="F2452" s="8" t="s">
        <v>58</v>
      </c>
      <c r="G2452" s="11">
        <v>43111</v>
      </c>
      <c r="H2452" s="8" t="s">
        <v>25</v>
      </c>
      <c r="I2452" s="11">
        <v>43115</v>
      </c>
      <c r="J2452" s="8" t="s">
        <v>25</v>
      </c>
      <c r="N2452" s="8" t="s">
        <v>58</v>
      </c>
      <c r="O2452" s="8" t="s">
        <v>59</v>
      </c>
      <c r="P2452" s="8" t="s">
        <v>59</v>
      </c>
      <c r="R2452" s="8">
        <v>0</v>
      </c>
      <c r="S2452" s="8">
        <v>0</v>
      </c>
      <c r="T2452" s="8">
        <v>1</v>
      </c>
      <c r="U2452" s="8">
        <v>2</v>
      </c>
      <c r="X2452" s="8">
        <v>5</v>
      </c>
      <c r="AG2452" s="8" t="str">
        <f t="shared" si="153"/>
        <v/>
      </c>
      <c r="AI2452" s="8" t="str">
        <f t="shared" si="154"/>
        <v/>
      </c>
      <c r="AJ2452" s="8" t="str">
        <f t="shared" si="155"/>
        <v/>
      </c>
      <c r="AL2452" s="8" t="str">
        <f t="shared" si="156"/>
        <v/>
      </c>
    </row>
    <row r="2453" spans="1:38" x14ac:dyDescent="0.25">
      <c r="A2453" s="8" t="s">
        <v>4106</v>
      </c>
      <c r="B2453" s="8" t="s">
        <v>4107</v>
      </c>
      <c r="C2453" s="8">
        <v>30845363</v>
      </c>
      <c r="D2453" s="8">
        <v>5</v>
      </c>
      <c r="E2453" s="11">
        <v>43109</v>
      </c>
      <c r="F2453" s="8" t="s">
        <v>60</v>
      </c>
      <c r="G2453" s="11">
        <v>43111</v>
      </c>
      <c r="H2453" s="8" t="s">
        <v>25</v>
      </c>
      <c r="J2453" s="8" t="s">
        <v>25</v>
      </c>
      <c r="L2453" s="8" t="s">
        <v>6525</v>
      </c>
      <c r="N2453" s="8" t="s">
        <v>58</v>
      </c>
      <c r="O2453" s="8" t="s">
        <v>59</v>
      </c>
      <c r="P2453" s="8" t="s">
        <v>59</v>
      </c>
      <c r="R2453" s="8">
        <v>0</v>
      </c>
      <c r="S2453" s="8">
        <v>0</v>
      </c>
      <c r="T2453" s="8">
        <v>1</v>
      </c>
      <c r="U2453" s="8">
        <v>2</v>
      </c>
      <c r="W2453" s="8">
        <v>4</v>
      </c>
      <c r="AG2453" s="8" t="str">
        <f t="shared" si="153"/>
        <v/>
      </c>
      <c r="AI2453" s="8" t="str">
        <f t="shared" si="154"/>
        <v/>
      </c>
      <c r="AJ2453" s="8" t="str">
        <f t="shared" si="155"/>
        <v/>
      </c>
      <c r="AL2453" s="8" t="str">
        <f t="shared" si="156"/>
        <v/>
      </c>
    </row>
    <row r="2454" spans="1:38" x14ac:dyDescent="0.25">
      <c r="A2454" s="8" t="s">
        <v>5730</v>
      </c>
      <c r="B2454" s="8" t="s">
        <v>5731</v>
      </c>
      <c r="C2454" s="8">
        <v>30912116</v>
      </c>
      <c r="D2454" s="8">
        <v>5</v>
      </c>
      <c r="E2454" s="11">
        <v>43112</v>
      </c>
      <c r="F2454" s="8" t="s">
        <v>57</v>
      </c>
      <c r="G2454" s="11">
        <v>43112</v>
      </c>
      <c r="H2454" s="8" t="s">
        <v>25</v>
      </c>
      <c r="J2454" s="8" t="s">
        <v>25</v>
      </c>
      <c r="N2454" s="8" t="s">
        <v>58</v>
      </c>
      <c r="O2454" s="8" t="s">
        <v>59</v>
      </c>
      <c r="P2454" s="8" t="s">
        <v>59</v>
      </c>
      <c r="R2454" s="8">
        <v>0</v>
      </c>
      <c r="S2454" s="8">
        <v>0</v>
      </c>
      <c r="T2454" s="8">
        <v>1</v>
      </c>
      <c r="U2454" s="8">
        <v>2</v>
      </c>
      <c r="AG2454" s="8" t="str">
        <f t="shared" si="153"/>
        <v/>
      </c>
      <c r="AI2454" s="8" t="str">
        <f t="shared" si="154"/>
        <v/>
      </c>
      <c r="AJ2454" s="8" t="str">
        <f t="shared" si="155"/>
        <v/>
      </c>
      <c r="AL2454" s="8" t="str">
        <f t="shared" si="156"/>
        <v/>
      </c>
    </row>
    <row r="2455" spans="1:38" x14ac:dyDescent="0.25">
      <c r="A2455" s="8" t="s">
        <v>4108</v>
      </c>
      <c r="B2455" s="8" t="s">
        <v>4109</v>
      </c>
      <c r="C2455" s="8">
        <v>30831978</v>
      </c>
      <c r="D2455" s="8">
        <v>5</v>
      </c>
      <c r="E2455" s="11">
        <v>43109</v>
      </c>
      <c r="F2455" s="8" t="s">
        <v>58</v>
      </c>
      <c r="G2455" s="11">
        <v>43111</v>
      </c>
      <c r="H2455" s="8" t="s">
        <v>25</v>
      </c>
      <c r="I2455" s="11">
        <v>43111</v>
      </c>
      <c r="J2455" s="8" t="s">
        <v>25</v>
      </c>
      <c r="N2455" s="8" t="s">
        <v>58</v>
      </c>
      <c r="O2455" s="8" t="s">
        <v>59</v>
      </c>
      <c r="P2455" s="8" t="s">
        <v>59</v>
      </c>
      <c r="R2455" s="8">
        <v>0</v>
      </c>
      <c r="S2455" s="8">
        <v>0</v>
      </c>
      <c r="T2455" s="8">
        <v>1</v>
      </c>
      <c r="U2455" s="8">
        <v>2</v>
      </c>
      <c r="X2455" s="8">
        <v>5</v>
      </c>
      <c r="AG2455" s="8" t="str">
        <f t="shared" si="153"/>
        <v/>
      </c>
      <c r="AI2455" s="8" t="str">
        <f t="shared" si="154"/>
        <v/>
      </c>
      <c r="AJ2455" s="8" t="str">
        <f t="shared" si="155"/>
        <v/>
      </c>
      <c r="AL2455" s="8" t="str">
        <f t="shared" si="156"/>
        <v/>
      </c>
    </row>
    <row r="2456" spans="1:38" x14ac:dyDescent="0.25">
      <c r="A2456" s="8" t="s">
        <v>7523</v>
      </c>
      <c r="B2456" s="8" t="s">
        <v>7524</v>
      </c>
      <c r="C2456" s="8">
        <v>30941797</v>
      </c>
      <c r="D2456" s="8">
        <v>5</v>
      </c>
      <c r="E2456" s="11">
        <v>43115</v>
      </c>
      <c r="F2456" s="8" t="s">
        <v>57</v>
      </c>
      <c r="G2456" s="11">
        <v>43115</v>
      </c>
      <c r="H2456" s="8" t="s">
        <v>25</v>
      </c>
      <c r="J2456" s="8" t="s">
        <v>25</v>
      </c>
      <c r="N2456" s="8" t="s">
        <v>58</v>
      </c>
      <c r="O2456" s="8" t="s">
        <v>59</v>
      </c>
      <c r="P2456" s="8" t="s">
        <v>59</v>
      </c>
      <c r="R2456" s="8">
        <v>0</v>
      </c>
      <c r="S2456" s="8">
        <v>0</v>
      </c>
      <c r="T2456" s="8">
        <v>1</v>
      </c>
      <c r="U2456" s="8">
        <v>2</v>
      </c>
      <c r="AG2456" s="8" t="str">
        <f t="shared" si="153"/>
        <v/>
      </c>
      <c r="AI2456" s="8" t="str">
        <f t="shared" si="154"/>
        <v/>
      </c>
      <c r="AJ2456" s="8" t="str">
        <f t="shared" si="155"/>
        <v/>
      </c>
      <c r="AL2456" s="8" t="str">
        <f t="shared" si="156"/>
        <v/>
      </c>
    </row>
    <row r="2457" spans="1:38" x14ac:dyDescent="0.25">
      <c r="A2457" s="8" t="s">
        <v>2629</v>
      </c>
      <c r="B2457" s="8" t="s">
        <v>2630</v>
      </c>
      <c r="C2457" s="8">
        <v>30860746</v>
      </c>
      <c r="D2457" s="8">
        <v>5</v>
      </c>
      <c r="E2457" s="11">
        <v>43110</v>
      </c>
      <c r="F2457" s="8" t="s">
        <v>60</v>
      </c>
      <c r="G2457" s="11">
        <v>43110</v>
      </c>
      <c r="H2457" s="8" t="s">
        <v>25</v>
      </c>
      <c r="J2457" s="8" t="s">
        <v>25</v>
      </c>
      <c r="L2457" s="8" t="s">
        <v>4797</v>
      </c>
      <c r="N2457" s="8" t="s">
        <v>58</v>
      </c>
      <c r="O2457" s="8" t="s">
        <v>59</v>
      </c>
      <c r="P2457" s="8" t="s">
        <v>59</v>
      </c>
      <c r="R2457" s="8">
        <v>0</v>
      </c>
      <c r="S2457" s="8">
        <v>0</v>
      </c>
      <c r="T2457" s="8">
        <v>1</v>
      </c>
      <c r="U2457" s="8">
        <v>2</v>
      </c>
      <c r="W2457" s="8">
        <v>4</v>
      </c>
      <c r="AG2457" s="8" t="str">
        <f t="shared" si="153"/>
        <v/>
      </c>
      <c r="AI2457" s="8" t="str">
        <f t="shared" si="154"/>
        <v/>
      </c>
      <c r="AJ2457" s="8" t="str">
        <f t="shared" si="155"/>
        <v/>
      </c>
      <c r="AL2457" s="8" t="str">
        <f t="shared" si="156"/>
        <v/>
      </c>
    </row>
    <row r="2458" spans="1:38" x14ac:dyDescent="0.25">
      <c r="A2458" s="8" t="s">
        <v>1368</v>
      </c>
      <c r="B2458" s="8" t="s">
        <v>1369</v>
      </c>
      <c r="C2458" s="8">
        <v>30834955</v>
      </c>
      <c r="D2458" s="8">
        <v>5</v>
      </c>
      <c r="E2458" s="11">
        <v>43109</v>
      </c>
      <c r="F2458" s="8" t="s">
        <v>60</v>
      </c>
      <c r="G2458" s="11">
        <v>43109</v>
      </c>
      <c r="H2458" s="8" t="s">
        <v>25</v>
      </c>
      <c r="J2458" s="8" t="s">
        <v>25</v>
      </c>
      <c r="L2458" s="8" t="s">
        <v>4797</v>
      </c>
      <c r="N2458" s="8" t="s">
        <v>58</v>
      </c>
      <c r="O2458" s="8" t="s">
        <v>59</v>
      </c>
      <c r="P2458" s="8" t="s">
        <v>59</v>
      </c>
      <c r="R2458" s="8">
        <v>0</v>
      </c>
      <c r="S2458" s="8">
        <v>0</v>
      </c>
      <c r="T2458" s="8">
        <v>1</v>
      </c>
      <c r="U2458" s="8">
        <v>2</v>
      </c>
      <c r="W2458" s="8">
        <v>4</v>
      </c>
      <c r="AG2458" s="8" t="str">
        <f t="shared" si="153"/>
        <v/>
      </c>
      <c r="AI2458" s="8" t="str">
        <f t="shared" si="154"/>
        <v/>
      </c>
      <c r="AJ2458" s="8" t="str">
        <f t="shared" si="155"/>
        <v/>
      </c>
      <c r="AL2458" s="8" t="str">
        <f t="shared" si="156"/>
        <v/>
      </c>
    </row>
    <row r="2459" spans="1:38" x14ac:dyDescent="0.25">
      <c r="A2459" s="8" t="s">
        <v>4110</v>
      </c>
      <c r="B2459" s="8" t="s">
        <v>106</v>
      </c>
      <c r="C2459" s="8">
        <v>30882001</v>
      </c>
      <c r="D2459" s="8">
        <v>5</v>
      </c>
      <c r="E2459" s="11">
        <v>43111</v>
      </c>
      <c r="F2459" s="8" t="s">
        <v>57</v>
      </c>
      <c r="G2459" s="11">
        <v>43111</v>
      </c>
      <c r="H2459" s="8" t="s">
        <v>25</v>
      </c>
      <c r="J2459" s="8" t="s">
        <v>25</v>
      </c>
      <c r="N2459" s="8" t="s">
        <v>58</v>
      </c>
      <c r="O2459" s="8" t="s">
        <v>59</v>
      </c>
      <c r="P2459" s="8" t="s">
        <v>59</v>
      </c>
      <c r="R2459" s="8">
        <v>0</v>
      </c>
      <c r="S2459" s="8">
        <v>0</v>
      </c>
      <c r="T2459" s="8">
        <v>1</v>
      </c>
      <c r="U2459" s="8">
        <v>2</v>
      </c>
      <c r="AG2459" s="8" t="str">
        <f t="shared" si="153"/>
        <v/>
      </c>
      <c r="AI2459" s="8" t="str">
        <f t="shared" si="154"/>
        <v/>
      </c>
      <c r="AJ2459" s="8" t="str">
        <f t="shared" si="155"/>
        <v/>
      </c>
      <c r="AL2459" s="8" t="str">
        <f t="shared" si="156"/>
        <v/>
      </c>
    </row>
    <row r="2460" spans="1:38" x14ac:dyDescent="0.25">
      <c r="A2460" s="8" t="s">
        <v>5732</v>
      </c>
      <c r="B2460" s="8" t="s">
        <v>5733</v>
      </c>
      <c r="C2460" s="8">
        <v>30902534</v>
      </c>
      <c r="D2460" s="8">
        <v>5</v>
      </c>
      <c r="E2460" s="11">
        <v>43111</v>
      </c>
      <c r="F2460" s="8" t="s">
        <v>57</v>
      </c>
      <c r="G2460" s="11">
        <v>43112</v>
      </c>
      <c r="H2460" s="8" t="s">
        <v>25</v>
      </c>
      <c r="J2460" s="8" t="s">
        <v>25</v>
      </c>
      <c r="N2460" s="8" t="s">
        <v>58</v>
      </c>
      <c r="O2460" s="8" t="s">
        <v>59</v>
      </c>
      <c r="P2460" s="8" t="s">
        <v>59</v>
      </c>
      <c r="R2460" s="8">
        <v>0</v>
      </c>
      <c r="S2460" s="8">
        <v>0</v>
      </c>
      <c r="T2460" s="8">
        <v>1</v>
      </c>
      <c r="U2460" s="8">
        <v>2</v>
      </c>
      <c r="AG2460" s="8" t="str">
        <f t="shared" si="153"/>
        <v/>
      </c>
      <c r="AI2460" s="8" t="str">
        <f t="shared" si="154"/>
        <v/>
      </c>
      <c r="AJ2460" s="8" t="str">
        <f t="shared" si="155"/>
        <v/>
      </c>
      <c r="AL2460" s="8" t="str">
        <f t="shared" si="156"/>
        <v/>
      </c>
    </row>
    <row r="2461" spans="1:38" x14ac:dyDescent="0.25">
      <c r="A2461" s="8" t="s">
        <v>4111</v>
      </c>
      <c r="B2461" s="8" t="s">
        <v>4112</v>
      </c>
      <c r="C2461" s="8">
        <v>30846627</v>
      </c>
      <c r="D2461" s="8">
        <v>5</v>
      </c>
      <c r="E2461" s="11">
        <v>43109</v>
      </c>
      <c r="F2461" s="8" t="s">
        <v>58</v>
      </c>
      <c r="G2461" s="11">
        <v>43111</v>
      </c>
      <c r="H2461" s="8" t="s">
        <v>25</v>
      </c>
      <c r="I2461" s="11">
        <v>43111</v>
      </c>
      <c r="J2461" s="8" t="s">
        <v>25</v>
      </c>
      <c r="N2461" s="8" t="s">
        <v>58</v>
      </c>
      <c r="O2461" s="8" t="s">
        <v>59</v>
      </c>
      <c r="P2461" s="8" t="s">
        <v>59</v>
      </c>
      <c r="R2461" s="8">
        <v>0</v>
      </c>
      <c r="S2461" s="8">
        <v>0</v>
      </c>
      <c r="T2461" s="8">
        <v>1</v>
      </c>
      <c r="U2461" s="8">
        <v>2</v>
      </c>
      <c r="X2461" s="8">
        <v>5</v>
      </c>
      <c r="AG2461" s="8" t="str">
        <f t="shared" si="153"/>
        <v/>
      </c>
      <c r="AI2461" s="8" t="str">
        <f t="shared" si="154"/>
        <v/>
      </c>
      <c r="AJ2461" s="8" t="str">
        <f t="shared" si="155"/>
        <v/>
      </c>
      <c r="AL2461" s="8" t="str">
        <f t="shared" si="156"/>
        <v/>
      </c>
    </row>
    <row r="2462" spans="1:38" x14ac:dyDescent="0.25">
      <c r="A2462" s="8" t="s">
        <v>2631</v>
      </c>
      <c r="B2462" s="8" t="s">
        <v>2632</v>
      </c>
      <c r="C2462" s="8">
        <v>30833047</v>
      </c>
      <c r="D2462" s="8">
        <v>5</v>
      </c>
      <c r="E2462" s="11">
        <v>43109</v>
      </c>
      <c r="F2462" s="8" t="s">
        <v>58</v>
      </c>
      <c r="G2462" s="11">
        <v>43110</v>
      </c>
      <c r="H2462" s="8" t="s">
        <v>25</v>
      </c>
      <c r="I2462" s="11">
        <v>43110</v>
      </c>
      <c r="J2462" s="8" t="s">
        <v>25</v>
      </c>
      <c r="N2462" s="8" t="s">
        <v>58</v>
      </c>
      <c r="O2462" s="8" t="s">
        <v>59</v>
      </c>
      <c r="P2462" s="8" t="s">
        <v>59</v>
      </c>
      <c r="R2462" s="8">
        <v>0</v>
      </c>
      <c r="S2462" s="8">
        <v>0</v>
      </c>
      <c r="T2462" s="8">
        <v>1</v>
      </c>
      <c r="U2462" s="8">
        <v>2</v>
      </c>
      <c r="X2462" s="8">
        <v>5</v>
      </c>
      <c r="AG2462" s="8" t="str">
        <f t="shared" si="153"/>
        <v/>
      </c>
      <c r="AI2462" s="8" t="str">
        <f t="shared" si="154"/>
        <v/>
      </c>
      <c r="AJ2462" s="8" t="str">
        <f t="shared" si="155"/>
        <v/>
      </c>
      <c r="AL2462" s="8" t="str">
        <f t="shared" si="156"/>
        <v/>
      </c>
    </row>
    <row r="2463" spans="1:38" x14ac:dyDescent="0.25">
      <c r="A2463" s="8" t="s">
        <v>2633</v>
      </c>
      <c r="B2463" s="8" t="s">
        <v>2634</v>
      </c>
      <c r="C2463" s="8">
        <v>30814303</v>
      </c>
      <c r="D2463" s="8">
        <v>5</v>
      </c>
      <c r="E2463" s="11">
        <v>43108</v>
      </c>
      <c r="F2463" s="8" t="s">
        <v>58</v>
      </c>
      <c r="G2463" s="11">
        <v>43110</v>
      </c>
      <c r="H2463" s="8" t="s">
        <v>25</v>
      </c>
      <c r="I2463" s="11">
        <v>43110</v>
      </c>
      <c r="J2463" s="8" t="s">
        <v>25</v>
      </c>
      <c r="N2463" s="8" t="s">
        <v>58</v>
      </c>
      <c r="O2463" s="8" t="s">
        <v>59</v>
      </c>
      <c r="P2463" s="8" t="s">
        <v>59</v>
      </c>
      <c r="R2463" s="8">
        <v>0</v>
      </c>
      <c r="S2463" s="8">
        <v>0</v>
      </c>
      <c r="T2463" s="8">
        <v>1</v>
      </c>
      <c r="U2463" s="8">
        <v>2</v>
      </c>
      <c r="X2463" s="8">
        <v>5</v>
      </c>
      <c r="AG2463" s="8" t="str">
        <f t="shared" si="153"/>
        <v/>
      </c>
      <c r="AI2463" s="8" t="str">
        <f t="shared" si="154"/>
        <v/>
      </c>
      <c r="AJ2463" s="8" t="str">
        <f t="shared" si="155"/>
        <v/>
      </c>
      <c r="AL2463" s="8" t="str">
        <f t="shared" si="156"/>
        <v/>
      </c>
    </row>
    <row r="2464" spans="1:38" x14ac:dyDescent="0.25">
      <c r="A2464" s="8" t="s">
        <v>4113</v>
      </c>
      <c r="B2464" s="8" t="s">
        <v>4114</v>
      </c>
      <c r="C2464" s="8">
        <v>30833050</v>
      </c>
      <c r="D2464" s="8">
        <v>5</v>
      </c>
      <c r="E2464" s="11">
        <v>43109</v>
      </c>
      <c r="F2464" s="8" t="s">
        <v>57</v>
      </c>
      <c r="G2464" s="11">
        <v>43111</v>
      </c>
      <c r="H2464" s="8" t="s">
        <v>25</v>
      </c>
      <c r="J2464" s="8" t="s">
        <v>25</v>
      </c>
      <c r="N2464" s="8" t="s">
        <v>58</v>
      </c>
      <c r="O2464" s="8" t="s">
        <v>59</v>
      </c>
      <c r="P2464" s="8" t="s">
        <v>59</v>
      </c>
      <c r="R2464" s="8">
        <v>0</v>
      </c>
      <c r="S2464" s="8">
        <v>0</v>
      </c>
      <c r="T2464" s="8">
        <v>1</v>
      </c>
      <c r="U2464" s="8">
        <v>2</v>
      </c>
      <c r="AG2464" s="8" t="str">
        <f t="shared" si="153"/>
        <v/>
      </c>
      <c r="AI2464" s="8" t="str">
        <f t="shared" si="154"/>
        <v/>
      </c>
      <c r="AJ2464" s="8" t="str">
        <f t="shared" si="155"/>
        <v/>
      </c>
      <c r="AL2464" s="8" t="str">
        <f t="shared" si="156"/>
        <v/>
      </c>
    </row>
    <row r="2465" spans="1:38" x14ac:dyDescent="0.25">
      <c r="A2465" s="8" t="s">
        <v>4115</v>
      </c>
      <c r="B2465" s="8" t="s">
        <v>4116</v>
      </c>
      <c r="C2465" s="8">
        <v>30850838</v>
      </c>
      <c r="D2465" s="8">
        <v>5</v>
      </c>
      <c r="E2465" s="11">
        <v>43109</v>
      </c>
      <c r="F2465" s="8" t="s">
        <v>57</v>
      </c>
      <c r="G2465" s="11">
        <v>43111</v>
      </c>
      <c r="H2465" s="8" t="s">
        <v>25</v>
      </c>
      <c r="J2465" s="8" t="s">
        <v>25</v>
      </c>
      <c r="N2465" s="8" t="s">
        <v>58</v>
      </c>
      <c r="O2465" s="8" t="s">
        <v>59</v>
      </c>
      <c r="P2465" s="8" t="s">
        <v>59</v>
      </c>
      <c r="R2465" s="8">
        <v>0</v>
      </c>
      <c r="S2465" s="8">
        <v>0</v>
      </c>
      <c r="T2465" s="8">
        <v>1</v>
      </c>
      <c r="U2465" s="8">
        <v>2</v>
      </c>
      <c r="AG2465" s="8" t="str">
        <f t="shared" si="153"/>
        <v/>
      </c>
      <c r="AI2465" s="8" t="str">
        <f t="shared" si="154"/>
        <v/>
      </c>
      <c r="AJ2465" s="8" t="str">
        <f t="shared" si="155"/>
        <v/>
      </c>
      <c r="AL2465" s="8" t="str">
        <f t="shared" si="156"/>
        <v/>
      </c>
    </row>
    <row r="2466" spans="1:38" x14ac:dyDescent="0.25">
      <c r="A2466" s="8" t="s">
        <v>7525</v>
      </c>
      <c r="B2466" s="8" t="s">
        <v>7526</v>
      </c>
      <c r="C2466" s="8">
        <v>30883225</v>
      </c>
      <c r="D2466" s="8">
        <v>5</v>
      </c>
      <c r="E2466" s="11">
        <v>43111</v>
      </c>
      <c r="F2466" s="8" t="s">
        <v>57</v>
      </c>
      <c r="G2466" s="11">
        <v>43115</v>
      </c>
      <c r="H2466" s="8" t="s">
        <v>25</v>
      </c>
      <c r="J2466" s="8" t="s">
        <v>25</v>
      </c>
      <c r="N2466" s="8" t="s">
        <v>58</v>
      </c>
      <c r="O2466" s="8" t="s">
        <v>59</v>
      </c>
      <c r="P2466" s="8" t="s">
        <v>59</v>
      </c>
      <c r="R2466" s="8">
        <v>0</v>
      </c>
      <c r="S2466" s="8">
        <v>0</v>
      </c>
      <c r="T2466" s="8">
        <v>1</v>
      </c>
      <c r="U2466" s="8">
        <v>2</v>
      </c>
      <c r="AG2466" s="8" t="str">
        <f t="shared" si="153"/>
        <v/>
      </c>
      <c r="AI2466" s="8" t="str">
        <f t="shared" si="154"/>
        <v/>
      </c>
      <c r="AJ2466" s="8" t="str">
        <f t="shared" si="155"/>
        <v/>
      </c>
      <c r="AL2466" s="8" t="str">
        <f t="shared" si="156"/>
        <v/>
      </c>
    </row>
    <row r="2467" spans="1:38" x14ac:dyDescent="0.25">
      <c r="A2467" s="8" t="s">
        <v>5734</v>
      </c>
      <c r="B2467" s="8" t="s">
        <v>5735</v>
      </c>
      <c r="C2467" s="8">
        <v>30883259</v>
      </c>
      <c r="D2467" s="8">
        <v>5</v>
      </c>
      <c r="E2467" s="11">
        <v>43111</v>
      </c>
      <c r="F2467" s="8" t="s">
        <v>57</v>
      </c>
      <c r="G2467" s="11">
        <v>43112</v>
      </c>
      <c r="H2467" s="8" t="s">
        <v>25</v>
      </c>
      <c r="J2467" s="8" t="s">
        <v>25</v>
      </c>
      <c r="N2467" s="8" t="s">
        <v>58</v>
      </c>
      <c r="O2467" s="8" t="s">
        <v>59</v>
      </c>
      <c r="P2467" s="8" t="s">
        <v>59</v>
      </c>
      <c r="R2467" s="8">
        <v>0</v>
      </c>
      <c r="S2467" s="8">
        <v>0</v>
      </c>
      <c r="T2467" s="8">
        <v>1</v>
      </c>
      <c r="U2467" s="8">
        <v>2</v>
      </c>
      <c r="AG2467" s="8" t="str">
        <f t="shared" si="153"/>
        <v/>
      </c>
      <c r="AI2467" s="8" t="str">
        <f t="shared" si="154"/>
        <v/>
      </c>
      <c r="AJ2467" s="8" t="str">
        <f t="shared" si="155"/>
        <v/>
      </c>
      <c r="AL2467" s="8" t="str">
        <f t="shared" si="156"/>
        <v/>
      </c>
    </row>
    <row r="2468" spans="1:38" x14ac:dyDescent="0.25">
      <c r="A2468" s="8" t="s">
        <v>4117</v>
      </c>
      <c r="B2468" s="8" t="s">
        <v>4118</v>
      </c>
      <c r="C2468" s="8">
        <v>30844755</v>
      </c>
      <c r="D2468" s="8">
        <v>5</v>
      </c>
      <c r="E2468" s="11">
        <v>43109</v>
      </c>
      <c r="F2468" s="8" t="s">
        <v>57</v>
      </c>
      <c r="G2468" s="11">
        <v>43111</v>
      </c>
      <c r="H2468" s="8" t="s">
        <v>25</v>
      </c>
      <c r="J2468" s="8" t="s">
        <v>25</v>
      </c>
      <c r="N2468" s="8" t="s">
        <v>58</v>
      </c>
      <c r="O2468" s="8" t="s">
        <v>59</v>
      </c>
      <c r="P2468" s="8" t="s">
        <v>59</v>
      </c>
      <c r="R2468" s="8">
        <v>0</v>
      </c>
      <c r="S2468" s="8">
        <v>0</v>
      </c>
      <c r="T2468" s="8">
        <v>1</v>
      </c>
      <c r="U2468" s="8">
        <v>2</v>
      </c>
      <c r="AG2468" s="8" t="str">
        <f t="shared" si="153"/>
        <v/>
      </c>
      <c r="AI2468" s="8" t="str">
        <f t="shared" si="154"/>
        <v/>
      </c>
      <c r="AJ2468" s="8" t="str">
        <f t="shared" si="155"/>
        <v/>
      </c>
      <c r="AL2468" s="8" t="str">
        <f t="shared" si="156"/>
        <v/>
      </c>
    </row>
    <row r="2469" spans="1:38" x14ac:dyDescent="0.25">
      <c r="A2469" s="8" t="s">
        <v>2635</v>
      </c>
      <c r="B2469" s="8" t="s">
        <v>2636</v>
      </c>
      <c r="C2469" s="8">
        <v>30821684</v>
      </c>
      <c r="D2469" s="8">
        <v>5</v>
      </c>
      <c r="E2469" s="11">
        <v>43108</v>
      </c>
      <c r="F2469" s="8" t="s">
        <v>60</v>
      </c>
      <c r="G2469" s="11">
        <v>43110</v>
      </c>
      <c r="H2469" s="8" t="s">
        <v>25</v>
      </c>
      <c r="J2469" s="8" t="s">
        <v>25</v>
      </c>
      <c r="L2469" s="8" t="s">
        <v>4797</v>
      </c>
      <c r="N2469" s="8" t="s">
        <v>58</v>
      </c>
      <c r="O2469" s="8" t="s">
        <v>59</v>
      </c>
      <c r="P2469" s="8" t="s">
        <v>59</v>
      </c>
      <c r="R2469" s="8">
        <v>0</v>
      </c>
      <c r="S2469" s="8">
        <v>0</v>
      </c>
      <c r="T2469" s="8">
        <v>1</v>
      </c>
      <c r="U2469" s="8">
        <v>2</v>
      </c>
      <c r="W2469" s="8">
        <v>4</v>
      </c>
      <c r="AG2469" s="8" t="str">
        <f t="shared" si="153"/>
        <v/>
      </c>
      <c r="AI2469" s="8" t="str">
        <f t="shared" si="154"/>
        <v/>
      </c>
      <c r="AJ2469" s="8" t="str">
        <f t="shared" si="155"/>
        <v/>
      </c>
      <c r="AL2469" s="8" t="str">
        <f t="shared" si="156"/>
        <v/>
      </c>
    </row>
    <row r="2470" spans="1:38" x14ac:dyDescent="0.25">
      <c r="A2470" s="8" t="s">
        <v>7527</v>
      </c>
      <c r="B2470" s="8" t="s">
        <v>7528</v>
      </c>
      <c r="C2470" s="8">
        <v>30898162</v>
      </c>
      <c r="D2470" s="8">
        <v>5</v>
      </c>
      <c r="E2470" s="11">
        <v>43111</v>
      </c>
      <c r="F2470" s="8" t="s">
        <v>58</v>
      </c>
      <c r="G2470" s="11">
        <v>43115</v>
      </c>
      <c r="H2470" s="8" t="s">
        <v>25</v>
      </c>
      <c r="I2470" s="11">
        <v>43115</v>
      </c>
      <c r="J2470" s="8" t="s">
        <v>25</v>
      </c>
      <c r="N2470" s="8" t="s">
        <v>58</v>
      </c>
      <c r="O2470" s="8" t="s">
        <v>59</v>
      </c>
      <c r="P2470" s="8" t="s">
        <v>59</v>
      </c>
      <c r="R2470" s="8">
        <v>0</v>
      </c>
      <c r="S2470" s="8">
        <v>0</v>
      </c>
      <c r="T2470" s="8">
        <v>1</v>
      </c>
      <c r="U2470" s="8">
        <v>2</v>
      </c>
      <c r="X2470" s="8">
        <v>5</v>
      </c>
      <c r="AG2470" s="8" t="str">
        <f t="shared" si="153"/>
        <v/>
      </c>
      <c r="AI2470" s="8" t="str">
        <f t="shared" si="154"/>
        <v/>
      </c>
      <c r="AJ2470" s="8" t="str">
        <f t="shared" si="155"/>
        <v/>
      </c>
      <c r="AL2470" s="8" t="str">
        <f t="shared" si="156"/>
        <v/>
      </c>
    </row>
    <row r="2471" spans="1:38" x14ac:dyDescent="0.25">
      <c r="A2471" s="8" t="s">
        <v>7529</v>
      </c>
      <c r="B2471" s="8" t="s">
        <v>7530</v>
      </c>
      <c r="C2471" s="8">
        <v>30946843</v>
      </c>
      <c r="D2471" s="8">
        <v>5</v>
      </c>
      <c r="E2471" s="11">
        <v>43115</v>
      </c>
      <c r="F2471" s="8" t="s">
        <v>57</v>
      </c>
      <c r="G2471" s="11">
        <v>43115</v>
      </c>
      <c r="H2471" s="8" t="s">
        <v>25</v>
      </c>
      <c r="J2471" s="8" t="s">
        <v>25</v>
      </c>
      <c r="N2471" s="8" t="s">
        <v>58</v>
      </c>
      <c r="O2471" s="8" t="s">
        <v>59</v>
      </c>
      <c r="P2471" s="8" t="s">
        <v>59</v>
      </c>
      <c r="R2471" s="8">
        <v>0</v>
      </c>
      <c r="S2471" s="8">
        <v>0</v>
      </c>
      <c r="T2471" s="8">
        <v>1</v>
      </c>
      <c r="U2471" s="8">
        <v>2</v>
      </c>
      <c r="AG2471" s="8" t="str">
        <f t="shared" si="153"/>
        <v/>
      </c>
      <c r="AI2471" s="8" t="str">
        <f t="shared" si="154"/>
        <v/>
      </c>
      <c r="AJ2471" s="8" t="str">
        <f t="shared" si="155"/>
        <v/>
      </c>
      <c r="AL2471" s="8" t="str">
        <f t="shared" si="156"/>
        <v/>
      </c>
    </row>
    <row r="2472" spans="1:38" x14ac:dyDescent="0.25">
      <c r="A2472" s="8" t="s">
        <v>7531</v>
      </c>
      <c r="B2472" s="8" t="s">
        <v>7532</v>
      </c>
      <c r="C2472" s="8">
        <v>30921315</v>
      </c>
      <c r="D2472" s="8">
        <v>5</v>
      </c>
      <c r="E2472" s="11">
        <v>43112</v>
      </c>
      <c r="F2472" s="8" t="s">
        <v>57</v>
      </c>
      <c r="G2472" s="11">
        <v>43115</v>
      </c>
      <c r="H2472" s="8" t="s">
        <v>25</v>
      </c>
      <c r="J2472" s="8" t="s">
        <v>25</v>
      </c>
      <c r="N2472" s="8" t="s">
        <v>58</v>
      </c>
      <c r="O2472" s="8" t="s">
        <v>59</v>
      </c>
      <c r="P2472" s="8" t="s">
        <v>59</v>
      </c>
      <c r="R2472" s="8">
        <v>0</v>
      </c>
      <c r="S2472" s="8">
        <v>0</v>
      </c>
      <c r="T2472" s="8">
        <v>1</v>
      </c>
      <c r="U2472" s="8">
        <v>2</v>
      </c>
      <c r="AG2472" s="8" t="str">
        <f t="shared" si="153"/>
        <v/>
      </c>
      <c r="AI2472" s="8" t="str">
        <f t="shared" si="154"/>
        <v/>
      </c>
      <c r="AJ2472" s="8" t="str">
        <f t="shared" si="155"/>
        <v/>
      </c>
      <c r="AL2472" s="8" t="str">
        <f t="shared" si="156"/>
        <v/>
      </c>
    </row>
    <row r="2473" spans="1:38" x14ac:dyDescent="0.25">
      <c r="A2473" s="8" t="s">
        <v>7533</v>
      </c>
      <c r="B2473" s="8" t="s">
        <v>7534</v>
      </c>
      <c r="C2473" s="8">
        <v>30922299</v>
      </c>
      <c r="D2473" s="8">
        <v>5</v>
      </c>
      <c r="E2473" s="11">
        <v>43112</v>
      </c>
      <c r="F2473" s="8" t="s">
        <v>57</v>
      </c>
      <c r="G2473" s="11">
        <v>43115</v>
      </c>
      <c r="H2473" s="8" t="s">
        <v>25</v>
      </c>
      <c r="J2473" s="8" t="s">
        <v>25</v>
      </c>
      <c r="N2473" s="8" t="s">
        <v>58</v>
      </c>
      <c r="O2473" s="8" t="s">
        <v>59</v>
      </c>
      <c r="P2473" s="8" t="s">
        <v>59</v>
      </c>
      <c r="R2473" s="8">
        <v>0</v>
      </c>
      <c r="S2473" s="8">
        <v>0</v>
      </c>
      <c r="T2473" s="8">
        <v>1</v>
      </c>
      <c r="U2473" s="8">
        <v>2</v>
      </c>
      <c r="AG2473" s="8" t="str">
        <f t="shared" si="153"/>
        <v/>
      </c>
      <c r="AI2473" s="8" t="str">
        <f t="shared" si="154"/>
        <v/>
      </c>
      <c r="AJ2473" s="8" t="str">
        <f t="shared" si="155"/>
        <v/>
      </c>
      <c r="AL2473" s="8" t="str">
        <f t="shared" si="156"/>
        <v/>
      </c>
    </row>
    <row r="2474" spans="1:38" x14ac:dyDescent="0.25">
      <c r="A2474" s="8" t="s">
        <v>5736</v>
      </c>
      <c r="B2474" s="8" t="s">
        <v>5737</v>
      </c>
      <c r="C2474" s="8">
        <v>30906390</v>
      </c>
      <c r="D2474" s="8">
        <v>5</v>
      </c>
      <c r="E2474" s="11">
        <v>43112</v>
      </c>
      <c r="F2474" s="8" t="s">
        <v>58</v>
      </c>
      <c r="G2474" s="11">
        <v>43112</v>
      </c>
      <c r="H2474" s="8" t="s">
        <v>25</v>
      </c>
      <c r="I2474" s="11">
        <v>43115</v>
      </c>
      <c r="J2474" s="8" t="s">
        <v>25</v>
      </c>
      <c r="N2474" s="8" t="s">
        <v>58</v>
      </c>
      <c r="O2474" s="8" t="s">
        <v>59</v>
      </c>
      <c r="P2474" s="8" t="s">
        <v>59</v>
      </c>
      <c r="R2474" s="8">
        <v>0</v>
      </c>
      <c r="S2474" s="8">
        <v>0</v>
      </c>
      <c r="T2474" s="8">
        <v>1</v>
      </c>
      <c r="U2474" s="8">
        <v>2</v>
      </c>
      <c r="X2474" s="8">
        <v>5</v>
      </c>
      <c r="AG2474" s="8" t="str">
        <f t="shared" si="153"/>
        <v/>
      </c>
      <c r="AI2474" s="8" t="str">
        <f t="shared" si="154"/>
        <v/>
      </c>
      <c r="AJ2474" s="8" t="str">
        <f t="shared" si="155"/>
        <v/>
      </c>
      <c r="AL2474" s="8" t="str">
        <f t="shared" si="156"/>
        <v/>
      </c>
    </row>
    <row r="2475" spans="1:38" x14ac:dyDescent="0.25">
      <c r="A2475" s="8" t="s">
        <v>5738</v>
      </c>
      <c r="B2475" s="8" t="s">
        <v>5739</v>
      </c>
      <c r="C2475" s="8">
        <v>30865110</v>
      </c>
      <c r="D2475" s="8">
        <v>5</v>
      </c>
      <c r="E2475" s="11">
        <v>43110</v>
      </c>
      <c r="F2475" s="8" t="s">
        <v>57</v>
      </c>
      <c r="G2475" s="11">
        <v>43112</v>
      </c>
      <c r="H2475" s="8" t="s">
        <v>25</v>
      </c>
      <c r="J2475" s="8" t="s">
        <v>25</v>
      </c>
      <c r="N2475" s="8" t="s">
        <v>58</v>
      </c>
      <c r="O2475" s="8" t="s">
        <v>59</v>
      </c>
      <c r="P2475" s="8" t="s">
        <v>59</v>
      </c>
      <c r="R2475" s="8">
        <v>0</v>
      </c>
      <c r="S2475" s="8">
        <v>0</v>
      </c>
      <c r="T2475" s="8">
        <v>1</v>
      </c>
      <c r="U2475" s="8">
        <v>2</v>
      </c>
      <c r="AG2475" s="8" t="str">
        <f t="shared" si="153"/>
        <v/>
      </c>
      <c r="AI2475" s="8" t="str">
        <f t="shared" si="154"/>
        <v/>
      </c>
      <c r="AJ2475" s="8" t="str">
        <f t="shared" si="155"/>
        <v/>
      </c>
      <c r="AL2475" s="8" t="str">
        <f t="shared" si="156"/>
        <v/>
      </c>
    </row>
    <row r="2476" spans="1:38" x14ac:dyDescent="0.25">
      <c r="A2476" s="8" t="s">
        <v>5740</v>
      </c>
      <c r="B2476" s="8" t="s">
        <v>5741</v>
      </c>
      <c r="C2476" s="8">
        <v>30867858</v>
      </c>
      <c r="D2476" s="8">
        <v>5</v>
      </c>
      <c r="E2476" s="11">
        <v>43110</v>
      </c>
      <c r="F2476" s="8" t="s">
        <v>58</v>
      </c>
      <c r="G2476" s="11">
        <v>43112</v>
      </c>
      <c r="H2476" s="8" t="s">
        <v>25</v>
      </c>
      <c r="I2476" s="11">
        <v>43112</v>
      </c>
      <c r="J2476" s="8" t="s">
        <v>25</v>
      </c>
      <c r="N2476" s="8" t="s">
        <v>58</v>
      </c>
      <c r="O2476" s="8" t="s">
        <v>59</v>
      </c>
      <c r="P2476" s="8" t="s">
        <v>59</v>
      </c>
      <c r="R2476" s="8">
        <v>0</v>
      </c>
      <c r="S2476" s="8">
        <v>0</v>
      </c>
      <c r="T2476" s="8">
        <v>1</v>
      </c>
      <c r="U2476" s="8">
        <v>2</v>
      </c>
      <c r="X2476" s="8">
        <v>5</v>
      </c>
      <c r="AG2476" s="8" t="str">
        <f t="shared" si="153"/>
        <v/>
      </c>
      <c r="AI2476" s="8" t="str">
        <f t="shared" si="154"/>
        <v/>
      </c>
      <c r="AJ2476" s="8" t="str">
        <f t="shared" si="155"/>
        <v/>
      </c>
      <c r="AL2476" s="8" t="str">
        <f t="shared" si="156"/>
        <v/>
      </c>
    </row>
    <row r="2477" spans="1:38" x14ac:dyDescent="0.25">
      <c r="A2477" s="8" t="s">
        <v>7535</v>
      </c>
      <c r="B2477" s="8" t="s">
        <v>7536</v>
      </c>
      <c r="C2477" s="8">
        <v>30892490</v>
      </c>
      <c r="D2477" s="8">
        <v>5</v>
      </c>
      <c r="E2477" s="11">
        <v>43111</v>
      </c>
      <c r="F2477" s="8" t="s">
        <v>57</v>
      </c>
      <c r="G2477" s="11">
        <v>43115</v>
      </c>
      <c r="H2477" s="8" t="s">
        <v>25</v>
      </c>
      <c r="J2477" s="8" t="s">
        <v>25</v>
      </c>
      <c r="N2477" s="8" t="s">
        <v>58</v>
      </c>
      <c r="O2477" s="8" t="s">
        <v>59</v>
      </c>
      <c r="P2477" s="8" t="s">
        <v>59</v>
      </c>
      <c r="R2477" s="8">
        <v>0</v>
      </c>
      <c r="S2477" s="8">
        <v>0</v>
      </c>
      <c r="T2477" s="8">
        <v>1</v>
      </c>
      <c r="U2477" s="8">
        <v>2</v>
      </c>
      <c r="AG2477" s="8" t="str">
        <f t="shared" si="153"/>
        <v/>
      </c>
      <c r="AI2477" s="8" t="str">
        <f t="shared" si="154"/>
        <v/>
      </c>
      <c r="AJ2477" s="8" t="str">
        <f t="shared" si="155"/>
        <v/>
      </c>
      <c r="AL2477" s="8" t="str">
        <f t="shared" si="156"/>
        <v/>
      </c>
    </row>
    <row r="2478" spans="1:38" x14ac:dyDescent="0.25">
      <c r="A2478" s="8" t="s">
        <v>2637</v>
      </c>
      <c r="B2478" s="8" t="s">
        <v>2638</v>
      </c>
      <c r="C2478" s="8">
        <v>30806717</v>
      </c>
      <c r="D2478" s="8">
        <v>5</v>
      </c>
      <c r="E2478" s="11">
        <v>43108</v>
      </c>
      <c r="F2478" s="8" t="s">
        <v>57</v>
      </c>
      <c r="G2478" s="11">
        <v>43110</v>
      </c>
      <c r="H2478" s="8" t="s">
        <v>25</v>
      </c>
      <c r="J2478" s="8" t="s">
        <v>25</v>
      </c>
      <c r="N2478" s="8" t="s">
        <v>58</v>
      </c>
      <c r="O2478" s="8" t="s">
        <v>59</v>
      </c>
      <c r="P2478" s="8" t="s">
        <v>59</v>
      </c>
      <c r="R2478" s="8">
        <v>0</v>
      </c>
      <c r="S2478" s="8">
        <v>0</v>
      </c>
      <c r="T2478" s="8">
        <v>1</v>
      </c>
      <c r="U2478" s="8">
        <v>2</v>
      </c>
      <c r="AG2478" s="8" t="str">
        <f t="shared" si="153"/>
        <v/>
      </c>
      <c r="AI2478" s="8" t="str">
        <f t="shared" si="154"/>
        <v/>
      </c>
      <c r="AJ2478" s="8" t="str">
        <f t="shared" si="155"/>
        <v/>
      </c>
      <c r="AL2478" s="8" t="str">
        <f t="shared" si="156"/>
        <v/>
      </c>
    </row>
    <row r="2479" spans="1:38" x14ac:dyDescent="0.25">
      <c r="A2479" s="8" t="s">
        <v>2639</v>
      </c>
      <c r="B2479" s="8" t="s">
        <v>2640</v>
      </c>
      <c r="C2479" s="8">
        <v>30811629</v>
      </c>
      <c r="D2479" s="8">
        <v>5</v>
      </c>
      <c r="E2479" s="11">
        <v>43108</v>
      </c>
      <c r="F2479" s="8" t="s">
        <v>58</v>
      </c>
      <c r="G2479" s="11">
        <v>43110</v>
      </c>
      <c r="H2479" s="8" t="s">
        <v>25</v>
      </c>
      <c r="I2479" s="11">
        <v>43110</v>
      </c>
      <c r="J2479" s="8" t="s">
        <v>25</v>
      </c>
      <c r="N2479" s="8" t="s">
        <v>58</v>
      </c>
      <c r="O2479" s="8" t="s">
        <v>59</v>
      </c>
      <c r="P2479" s="8" t="s">
        <v>59</v>
      </c>
      <c r="R2479" s="8">
        <v>0</v>
      </c>
      <c r="S2479" s="8">
        <v>0</v>
      </c>
      <c r="T2479" s="8">
        <v>1</v>
      </c>
      <c r="U2479" s="8">
        <v>2</v>
      </c>
      <c r="X2479" s="8">
        <v>5</v>
      </c>
      <c r="AG2479" s="8" t="str">
        <f t="shared" si="153"/>
        <v/>
      </c>
      <c r="AI2479" s="8" t="str">
        <f t="shared" si="154"/>
        <v/>
      </c>
      <c r="AJ2479" s="8" t="str">
        <f t="shared" si="155"/>
        <v/>
      </c>
      <c r="AL2479" s="8" t="str">
        <f t="shared" si="156"/>
        <v/>
      </c>
    </row>
    <row r="2480" spans="1:38" x14ac:dyDescent="0.25">
      <c r="A2480" s="8" t="s">
        <v>2641</v>
      </c>
      <c r="B2480" s="8" t="s">
        <v>2642</v>
      </c>
      <c r="C2480" s="8">
        <v>30806706</v>
      </c>
      <c r="D2480" s="8">
        <v>5</v>
      </c>
      <c r="E2480" s="11">
        <v>43108</v>
      </c>
      <c r="F2480" s="8" t="s">
        <v>58</v>
      </c>
      <c r="G2480" s="11">
        <v>43110</v>
      </c>
      <c r="H2480" s="8" t="s">
        <v>25</v>
      </c>
      <c r="I2480" s="11">
        <v>43115</v>
      </c>
      <c r="J2480" s="8" t="s">
        <v>145</v>
      </c>
      <c r="N2480" s="8" t="s">
        <v>58</v>
      </c>
      <c r="O2480" s="8" t="s">
        <v>59</v>
      </c>
      <c r="P2480" s="8" t="s">
        <v>59</v>
      </c>
      <c r="R2480" s="8">
        <v>0</v>
      </c>
      <c r="S2480" s="8">
        <v>0</v>
      </c>
      <c r="T2480" s="8">
        <v>1</v>
      </c>
      <c r="U2480" s="8">
        <v>2</v>
      </c>
      <c r="X2480" s="8">
        <v>5</v>
      </c>
      <c r="AG2480" s="8" t="str">
        <f t="shared" si="153"/>
        <v/>
      </c>
      <c r="AI2480" s="8" t="str">
        <f t="shared" si="154"/>
        <v/>
      </c>
      <c r="AJ2480" s="8" t="str">
        <f t="shared" si="155"/>
        <v/>
      </c>
      <c r="AL2480" s="8" t="str">
        <f t="shared" si="156"/>
        <v/>
      </c>
    </row>
    <row r="2481" spans="1:38" x14ac:dyDescent="0.25">
      <c r="A2481" s="8" t="s">
        <v>2643</v>
      </c>
      <c r="B2481" s="8" t="s">
        <v>2644</v>
      </c>
      <c r="C2481" s="8">
        <v>30820283</v>
      </c>
      <c r="D2481" s="8">
        <v>5</v>
      </c>
      <c r="E2481" s="11">
        <v>43108</v>
      </c>
      <c r="F2481" s="8" t="s">
        <v>58</v>
      </c>
      <c r="G2481" s="11">
        <v>43110</v>
      </c>
      <c r="H2481" s="8" t="s">
        <v>25</v>
      </c>
      <c r="I2481" s="11">
        <v>43110</v>
      </c>
      <c r="J2481" s="8" t="s">
        <v>25</v>
      </c>
      <c r="N2481" s="8" t="s">
        <v>58</v>
      </c>
      <c r="O2481" s="8" t="s">
        <v>59</v>
      </c>
      <c r="P2481" s="8" t="s">
        <v>59</v>
      </c>
      <c r="R2481" s="8">
        <v>0</v>
      </c>
      <c r="S2481" s="8">
        <v>0</v>
      </c>
      <c r="T2481" s="8">
        <v>1</v>
      </c>
      <c r="U2481" s="8">
        <v>2</v>
      </c>
      <c r="X2481" s="8">
        <v>5</v>
      </c>
      <c r="AG2481" s="8" t="str">
        <f t="shared" si="153"/>
        <v/>
      </c>
      <c r="AI2481" s="8" t="str">
        <f t="shared" si="154"/>
        <v/>
      </c>
      <c r="AJ2481" s="8" t="str">
        <f t="shared" si="155"/>
        <v/>
      </c>
      <c r="AL2481" s="8" t="str">
        <f t="shared" si="156"/>
        <v/>
      </c>
    </row>
    <row r="2482" spans="1:38" x14ac:dyDescent="0.25">
      <c r="A2482" s="8" t="s">
        <v>2645</v>
      </c>
      <c r="B2482" s="8" t="s">
        <v>2646</v>
      </c>
      <c r="C2482" s="8">
        <v>30824979</v>
      </c>
      <c r="D2482" s="8">
        <v>5</v>
      </c>
      <c r="E2482" s="11">
        <v>43108</v>
      </c>
      <c r="F2482" s="8" t="s">
        <v>57</v>
      </c>
      <c r="G2482" s="11">
        <v>43110</v>
      </c>
      <c r="H2482" s="8" t="s">
        <v>25</v>
      </c>
      <c r="J2482" s="8" t="s">
        <v>25</v>
      </c>
      <c r="N2482" s="8" t="s">
        <v>58</v>
      </c>
      <c r="O2482" s="8" t="s">
        <v>59</v>
      </c>
      <c r="P2482" s="8" t="s">
        <v>59</v>
      </c>
      <c r="R2482" s="8">
        <v>0</v>
      </c>
      <c r="S2482" s="8">
        <v>0</v>
      </c>
      <c r="T2482" s="8">
        <v>1</v>
      </c>
      <c r="U2482" s="8">
        <v>2</v>
      </c>
      <c r="AG2482" s="8" t="str">
        <f t="shared" si="153"/>
        <v/>
      </c>
      <c r="AI2482" s="8" t="str">
        <f t="shared" si="154"/>
        <v/>
      </c>
      <c r="AJ2482" s="8" t="str">
        <f t="shared" si="155"/>
        <v/>
      </c>
      <c r="AL2482" s="8" t="str">
        <f t="shared" si="156"/>
        <v/>
      </c>
    </row>
    <row r="2483" spans="1:38" x14ac:dyDescent="0.25">
      <c r="A2483" s="8" t="s">
        <v>2647</v>
      </c>
      <c r="B2483" s="8" t="s">
        <v>2648</v>
      </c>
      <c r="C2483" s="8">
        <v>30827796</v>
      </c>
      <c r="D2483" s="8">
        <v>5</v>
      </c>
      <c r="E2483" s="11">
        <v>43108</v>
      </c>
      <c r="F2483" s="8" t="s">
        <v>58</v>
      </c>
      <c r="G2483" s="11">
        <v>43110</v>
      </c>
      <c r="H2483" s="8" t="s">
        <v>25</v>
      </c>
      <c r="I2483" s="11">
        <v>43112</v>
      </c>
      <c r="J2483" s="8" t="s">
        <v>25</v>
      </c>
      <c r="N2483" s="8" t="s">
        <v>58</v>
      </c>
      <c r="O2483" s="8" t="s">
        <v>59</v>
      </c>
      <c r="P2483" s="8" t="s">
        <v>59</v>
      </c>
      <c r="R2483" s="8">
        <v>0</v>
      </c>
      <c r="S2483" s="8">
        <v>0</v>
      </c>
      <c r="T2483" s="8">
        <v>1</v>
      </c>
      <c r="U2483" s="8">
        <v>2</v>
      </c>
      <c r="X2483" s="8">
        <v>5</v>
      </c>
      <c r="AG2483" s="8" t="str">
        <f t="shared" si="153"/>
        <v/>
      </c>
      <c r="AI2483" s="8" t="str">
        <f t="shared" si="154"/>
        <v/>
      </c>
      <c r="AJ2483" s="8" t="str">
        <f t="shared" si="155"/>
        <v/>
      </c>
      <c r="AL2483" s="8" t="str">
        <f t="shared" si="156"/>
        <v/>
      </c>
    </row>
    <row r="2484" spans="1:38" x14ac:dyDescent="0.25">
      <c r="A2484" s="8" t="s">
        <v>1370</v>
      </c>
      <c r="B2484" s="8" t="s">
        <v>1371</v>
      </c>
      <c r="C2484" s="8">
        <v>30832241</v>
      </c>
      <c r="D2484" s="8">
        <v>5</v>
      </c>
      <c r="E2484" s="11">
        <v>43109</v>
      </c>
      <c r="F2484" s="8" t="s">
        <v>61</v>
      </c>
      <c r="G2484" s="11">
        <v>43109</v>
      </c>
      <c r="H2484" s="8" t="s">
        <v>25</v>
      </c>
      <c r="J2484" s="8" t="s">
        <v>25</v>
      </c>
      <c r="K2484" s="11">
        <v>43109</v>
      </c>
      <c r="N2484" s="8" t="s">
        <v>58</v>
      </c>
      <c r="O2484" s="8" t="s">
        <v>59</v>
      </c>
      <c r="P2484" s="8" t="s">
        <v>59</v>
      </c>
      <c r="R2484" s="8">
        <v>0</v>
      </c>
      <c r="S2484" s="8">
        <v>0</v>
      </c>
      <c r="T2484" s="8">
        <v>1</v>
      </c>
      <c r="U2484" s="8">
        <v>2</v>
      </c>
      <c r="Y2484" s="8">
        <v>6</v>
      </c>
      <c r="Z2484" s="8">
        <v>7</v>
      </c>
      <c r="AG2484" s="8" t="str">
        <f t="shared" si="153"/>
        <v/>
      </c>
      <c r="AI2484" s="8" t="str">
        <f t="shared" si="154"/>
        <v/>
      </c>
      <c r="AJ2484" s="8" t="str">
        <f t="shared" si="155"/>
        <v/>
      </c>
      <c r="AL2484" s="8" t="str">
        <f t="shared" si="156"/>
        <v/>
      </c>
    </row>
    <row r="2485" spans="1:38" x14ac:dyDescent="0.25">
      <c r="A2485" s="8" t="s">
        <v>1372</v>
      </c>
      <c r="B2485" s="8" t="s">
        <v>1371</v>
      </c>
      <c r="C2485" s="8">
        <v>30845822</v>
      </c>
      <c r="D2485" s="8">
        <v>5</v>
      </c>
      <c r="E2485" s="11">
        <v>43109</v>
      </c>
      <c r="F2485" s="8" t="s">
        <v>58</v>
      </c>
      <c r="G2485" s="11">
        <v>43109</v>
      </c>
      <c r="H2485" s="8" t="s">
        <v>25</v>
      </c>
      <c r="I2485" s="11">
        <v>43111</v>
      </c>
      <c r="J2485" s="8" t="s">
        <v>25</v>
      </c>
      <c r="N2485" s="8" t="s">
        <v>58</v>
      </c>
      <c r="O2485" s="8" t="s">
        <v>59</v>
      </c>
      <c r="P2485" s="8" t="s">
        <v>59</v>
      </c>
      <c r="R2485" s="8">
        <v>0</v>
      </c>
      <c r="S2485" s="8">
        <v>0</v>
      </c>
      <c r="T2485" s="8">
        <v>1</v>
      </c>
      <c r="U2485" s="8">
        <v>2</v>
      </c>
      <c r="X2485" s="8">
        <v>5</v>
      </c>
      <c r="AG2485" s="8" t="str">
        <f t="shared" si="153"/>
        <v/>
      </c>
      <c r="AI2485" s="8" t="str">
        <f t="shared" si="154"/>
        <v/>
      </c>
      <c r="AJ2485" s="8" t="str">
        <f t="shared" si="155"/>
        <v/>
      </c>
      <c r="AL2485" s="8" t="str">
        <f t="shared" si="156"/>
        <v/>
      </c>
    </row>
    <row r="2486" spans="1:38" x14ac:dyDescent="0.25">
      <c r="A2486" s="8" t="s">
        <v>2649</v>
      </c>
      <c r="B2486" s="8" t="s">
        <v>2650</v>
      </c>
      <c r="C2486" s="8">
        <v>30850326</v>
      </c>
      <c r="D2486" s="8">
        <v>4</v>
      </c>
      <c r="E2486" s="11">
        <v>43109</v>
      </c>
      <c r="F2486" s="8" t="s">
        <v>57</v>
      </c>
      <c r="G2486" s="11">
        <v>43110</v>
      </c>
      <c r="H2486" s="8" t="s">
        <v>25</v>
      </c>
      <c r="J2486" s="8" t="s">
        <v>145</v>
      </c>
      <c r="N2486" s="8" t="s">
        <v>58</v>
      </c>
      <c r="O2486" s="8" t="s">
        <v>59</v>
      </c>
      <c r="P2486" s="8" t="s">
        <v>59</v>
      </c>
      <c r="R2486" s="8">
        <v>0</v>
      </c>
      <c r="S2486" s="8">
        <v>0</v>
      </c>
      <c r="T2486" s="8">
        <v>1</v>
      </c>
      <c r="U2486" s="8">
        <v>2</v>
      </c>
      <c r="AG2486" s="8" t="str">
        <f t="shared" si="153"/>
        <v/>
      </c>
      <c r="AI2486" s="8" t="str">
        <f t="shared" si="154"/>
        <v/>
      </c>
      <c r="AJ2486" s="8" t="str">
        <f t="shared" si="155"/>
        <v/>
      </c>
      <c r="AL2486" s="8" t="str">
        <f t="shared" si="156"/>
        <v/>
      </c>
    </row>
    <row r="2487" spans="1:38" x14ac:dyDescent="0.25">
      <c r="A2487" s="8" t="s">
        <v>541</v>
      </c>
      <c r="B2487" s="8" t="s">
        <v>542</v>
      </c>
      <c r="C2487" s="8">
        <v>30814077</v>
      </c>
      <c r="D2487" s="8">
        <v>5</v>
      </c>
      <c r="E2487" s="11">
        <v>43108</v>
      </c>
      <c r="F2487" s="8" t="s">
        <v>58</v>
      </c>
      <c r="G2487" s="11">
        <v>43108</v>
      </c>
      <c r="H2487" s="8" t="s">
        <v>25</v>
      </c>
      <c r="I2487" s="11">
        <v>43111</v>
      </c>
      <c r="J2487" s="8" t="s">
        <v>25</v>
      </c>
      <c r="N2487" s="8" t="s">
        <v>58</v>
      </c>
      <c r="O2487" s="8" t="s">
        <v>59</v>
      </c>
      <c r="P2487" s="8" t="s">
        <v>59</v>
      </c>
      <c r="R2487" s="8">
        <v>0</v>
      </c>
      <c r="S2487" s="8">
        <v>0</v>
      </c>
      <c r="T2487" s="8">
        <v>1</v>
      </c>
      <c r="U2487" s="8">
        <v>2</v>
      </c>
      <c r="X2487" s="8">
        <v>5</v>
      </c>
      <c r="AG2487" s="8" t="str">
        <f t="shared" si="153"/>
        <v/>
      </c>
      <c r="AI2487" s="8" t="str">
        <f t="shared" si="154"/>
        <v/>
      </c>
      <c r="AJ2487" s="8" t="str">
        <f t="shared" si="155"/>
        <v/>
      </c>
      <c r="AL2487" s="8" t="str">
        <f t="shared" si="156"/>
        <v/>
      </c>
    </row>
    <row r="2488" spans="1:38" x14ac:dyDescent="0.25">
      <c r="A2488" s="8" t="s">
        <v>2651</v>
      </c>
      <c r="B2488" s="8" t="s">
        <v>2652</v>
      </c>
      <c r="C2488" s="8">
        <v>30825383</v>
      </c>
      <c r="D2488" s="8">
        <v>5</v>
      </c>
      <c r="E2488" s="11">
        <v>43108</v>
      </c>
      <c r="F2488" s="8" t="s">
        <v>57</v>
      </c>
      <c r="G2488" s="11">
        <v>43110</v>
      </c>
      <c r="H2488" s="8" t="s">
        <v>25</v>
      </c>
      <c r="J2488" s="8" t="s">
        <v>25</v>
      </c>
      <c r="N2488" s="8" t="s">
        <v>58</v>
      </c>
      <c r="O2488" s="8" t="s">
        <v>59</v>
      </c>
      <c r="P2488" s="8" t="s">
        <v>59</v>
      </c>
      <c r="R2488" s="8">
        <v>0</v>
      </c>
      <c r="S2488" s="8">
        <v>0</v>
      </c>
      <c r="T2488" s="8">
        <v>1</v>
      </c>
      <c r="U2488" s="8">
        <v>2</v>
      </c>
      <c r="AG2488" s="8" t="str">
        <f t="shared" si="153"/>
        <v/>
      </c>
      <c r="AI2488" s="8" t="str">
        <f t="shared" si="154"/>
        <v/>
      </c>
      <c r="AJ2488" s="8" t="str">
        <f t="shared" si="155"/>
        <v/>
      </c>
      <c r="AL2488" s="8" t="str">
        <f t="shared" si="156"/>
        <v/>
      </c>
    </row>
    <row r="2489" spans="1:38" x14ac:dyDescent="0.25">
      <c r="A2489" s="8" t="s">
        <v>4119</v>
      </c>
      <c r="B2489" s="8" t="s">
        <v>4120</v>
      </c>
      <c r="C2489" s="8">
        <v>30840447</v>
      </c>
      <c r="D2489" s="8">
        <v>5</v>
      </c>
      <c r="E2489" s="11">
        <v>43109</v>
      </c>
      <c r="F2489" s="8" t="s">
        <v>57</v>
      </c>
      <c r="G2489" s="11">
        <v>43111</v>
      </c>
      <c r="H2489" s="8" t="s">
        <v>25</v>
      </c>
      <c r="J2489" s="8" t="s">
        <v>25</v>
      </c>
      <c r="N2489" s="8" t="s">
        <v>58</v>
      </c>
      <c r="O2489" s="8" t="s">
        <v>59</v>
      </c>
      <c r="P2489" s="8" t="s">
        <v>59</v>
      </c>
      <c r="R2489" s="8">
        <v>0</v>
      </c>
      <c r="S2489" s="8">
        <v>0</v>
      </c>
      <c r="T2489" s="8">
        <v>1</v>
      </c>
      <c r="U2489" s="8">
        <v>2</v>
      </c>
      <c r="AG2489" s="8" t="str">
        <f t="shared" si="153"/>
        <v/>
      </c>
      <c r="AI2489" s="8" t="str">
        <f t="shared" si="154"/>
        <v/>
      </c>
      <c r="AJ2489" s="8" t="str">
        <f t="shared" si="155"/>
        <v/>
      </c>
      <c r="AL2489" s="8" t="str">
        <f t="shared" si="156"/>
        <v/>
      </c>
    </row>
    <row r="2490" spans="1:38" x14ac:dyDescent="0.25">
      <c r="A2490" s="8" t="s">
        <v>543</v>
      </c>
      <c r="B2490" s="8" t="s">
        <v>544</v>
      </c>
      <c r="C2490" s="8">
        <v>30809484</v>
      </c>
      <c r="D2490" s="8">
        <v>5</v>
      </c>
      <c r="E2490" s="11">
        <v>43108</v>
      </c>
      <c r="F2490" s="8" t="s">
        <v>58</v>
      </c>
      <c r="G2490" s="11">
        <v>43108</v>
      </c>
      <c r="H2490" s="8" t="s">
        <v>25</v>
      </c>
      <c r="I2490" s="11">
        <v>43110</v>
      </c>
      <c r="J2490" s="8" t="s">
        <v>25</v>
      </c>
      <c r="N2490" s="8" t="s">
        <v>58</v>
      </c>
      <c r="O2490" s="8" t="s">
        <v>59</v>
      </c>
      <c r="P2490" s="8" t="s">
        <v>59</v>
      </c>
      <c r="R2490" s="8">
        <v>0</v>
      </c>
      <c r="S2490" s="8">
        <v>0</v>
      </c>
      <c r="T2490" s="8">
        <v>1</v>
      </c>
      <c r="U2490" s="8">
        <v>2</v>
      </c>
      <c r="X2490" s="8">
        <v>5</v>
      </c>
      <c r="AG2490" s="8" t="str">
        <f t="shared" si="153"/>
        <v/>
      </c>
      <c r="AI2490" s="8" t="str">
        <f t="shared" si="154"/>
        <v/>
      </c>
      <c r="AJ2490" s="8" t="str">
        <f t="shared" si="155"/>
        <v/>
      </c>
      <c r="AL2490" s="8" t="str">
        <f t="shared" si="156"/>
        <v/>
      </c>
    </row>
    <row r="2491" spans="1:38" x14ac:dyDescent="0.25">
      <c r="A2491" s="8" t="s">
        <v>545</v>
      </c>
      <c r="B2491" s="8" t="s">
        <v>546</v>
      </c>
      <c r="C2491" s="8">
        <v>30809721</v>
      </c>
      <c r="D2491" s="8">
        <v>5</v>
      </c>
      <c r="E2491" s="11">
        <v>43108</v>
      </c>
      <c r="F2491" s="8" t="s">
        <v>60</v>
      </c>
      <c r="G2491" s="11">
        <v>43108</v>
      </c>
      <c r="H2491" s="8" t="s">
        <v>25</v>
      </c>
      <c r="J2491" s="8" t="s">
        <v>856</v>
      </c>
      <c r="L2491" s="8" t="s">
        <v>6525</v>
      </c>
      <c r="N2491" s="8" t="s">
        <v>58</v>
      </c>
      <c r="O2491" s="8" t="s">
        <v>59</v>
      </c>
      <c r="P2491" s="8" t="s">
        <v>59</v>
      </c>
      <c r="R2491" s="8">
        <v>0</v>
      </c>
      <c r="S2491" s="8">
        <v>0</v>
      </c>
      <c r="T2491" s="8">
        <v>1</v>
      </c>
      <c r="U2491" s="8">
        <v>2</v>
      </c>
      <c r="W2491" s="8">
        <v>4</v>
      </c>
      <c r="AG2491" s="8" t="str">
        <f t="shared" si="153"/>
        <v/>
      </c>
      <c r="AI2491" s="8" t="str">
        <f t="shared" si="154"/>
        <v/>
      </c>
      <c r="AJ2491" s="8" t="str">
        <f t="shared" si="155"/>
        <v/>
      </c>
      <c r="AL2491" s="8" t="str">
        <f t="shared" si="156"/>
        <v/>
      </c>
    </row>
    <row r="2492" spans="1:38" x14ac:dyDescent="0.25">
      <c r="A2492" s="8" t="s">
        <v>5742</v>
      </c>
      <c r="B2492" s="8" t="s">
        <v>123</v>
      </c>
      <c r="C2492" s="8">
        <v>30912927</v>
      </c>
      <c r="D2492" s="8">
        <v>5</v>
      </c>
      <c r="E2492" s="11">
        <v>43112</v>
      </c>
      <c r="F2492" s="8" t="s">
        <v>57</v>
      </c>
      <c r="G2492" s="11">
        <v>43112</v>
      </c>
      <c r="H2492" s="8" t="s">
        <v>25</v>
      </c>
      <c r="J2492" s="8" t="s">
        <v>25</v>
      </c>
      <c r="N2492" s="8" t="s">
        <v>58</v>
      </c>
      <c r="O2492" s="8" t="s">
        <v>59</v>
      </c>
      <c r="P2492" s="8" t="s">
        <v>59</v>
      </c>
      <c r="R2492" s="8">
        <v>0</v>
      </c>
      <c r="S2492" s="8">
        <v>0</v>
      </c>
      <c r="T2492" s="8">
        <v>1</v>
      </c>
      <c r="U2492" s="8">
        <v>2</v>
      </c>
      <c r="AG2492" s="8" t="str">
        <f t="shared" si="153"/>
        <v/>
      </c>
      <c r="AI2492" s="8" t="str">
        <f t="shared" si="154"/>
        <v/>
      </c>
      <c r="AJ2492" s="8" t="str">
        <f t="shared" si="155"/>
        <v/>
      </c>
      <c r="AL2492" s="8" t="str">
        <f t="shared" si="156"/>
        <v/>
      </c>
    </row>
    <row r="2493" spans="1:38" x14ac:dyDescent="0.25">
      <c r="A2493" s="8" t="s">
        <v>1373</v>
      </c>
      <c r="B2493" s="8" t="s">
        <v>1374</v>
      </c>
      <c r="C2493" s="8">
        <v>30845350</v>
      </c>
      <c r="D2493" s="8">
        <v>5</v>
      </c>
      <c r="E2493" s="11">
        <v>43109</v>
      </c>
      <c r="F2493" s="8" t="s">
        <v>57</v>
      </c>
      <c r="G2493" s="11">
        <v>43109</v>
      </c>
      <c r="H2493" s="8" t="s">
        <v>25</v>
      </c>
      <c r="J2493" s="8" t="s">
        <v>25</v>
      </c>
      <c r="N2493" s="8" t="s">
        <v>58</v>
      </c>
      <c r="O2493" s="8" t="s">
        <v>59</v>
      </c>
      <c r="P2493" s="8" t="s">
        <v>59</v>
      </c>
      <c r="R2493" s="8">
        <v>0</v>
      </c>
      <c r="S2493" s="8">
        <v>0</v>
      </c>
      <c r="T2493" s="8">
        <v>1</v>
      </c>
      <c r="U2493" s="8">
        <v>2</v>
      </c>
      <c r="AG2493" s="8" t="str">
        <f t="shared" si="153"/>
        <v/>
      </c>
      <c r="AI2493" s="8" t="str">
        <f t="shared" si="154"/>
        <v/>
      </c>
      <c r="AJ2493" s="8" t="str">
        <f t="shared" si="155"/>
        <v/>
      </c>
      <c r="AL2493" s="8" t="str">
        <f t="shared" si="156"/>
        <v/>
      </c>
    </row>
    <row r="2494" spans="1:38" x14ac:dyDescent="0.25">
      <c r="A2494" s="8" t="s">
        <v>2653</v>
      </c>
      <c r="B2494" s="8" t="s">
        <v>2654</v>
      </c>
      <c r="C2494" s="8">
        <v>30826269</v>
      </c>
      <c r="D2494" s="8">
        <v>5</v>
      </c>
      <c r="E2494" s="11">
        <v>43108</v>
      </c>
      <c r="F2494" s="8" t="s">
        <v>57</v>
      </c>
      <c r="G2494" s="11">
        <v>43110</v>
      </c>
      <c r="H2494" s="8" t="s">
        <v>25</v>
      </c>
      <c r="J2494" s="8" t="s">
        <v>25</v>
      </c>
      <c r="N2494" s="8" t="s">
        <v>58</v>
      </c>
      <c r="O2494" s="8" t="s">
        <v>59</v>
      </c>
      <c r="P2494" s="8" t="s">
        <v>59</v>
      </c>
      <c r="R2494" s="8">
        <v>0</v>
      </c>
      <c r="S2494" s="8">
        <v>0</v>
      </c>
      <c r="T2494" s="8">
        <v>1</v>
      </c>
      <c r="U2494" s="8">
        <v>2</v>
      </c>
      <c r="AG2494" s="8" t="str">
        <f t="shared" si="153"/>
        <v/>
      </c>
      <c r="AI2494" s="8" t="str">
        <f t="shared" si="154"/>
        <v/>
      </c>
      <c r="AJ2494" s="8" t="str">
        <f t="shared" si="155"/>
        <v/>
      </c>
      <c r="AL2494" s="8" t="str">
        <f t="shared" si="156"/>
        <v/>
      </c>
    </row>
    <row r="2495" spans="1:38" x14ac:dyDescent="0.25">
      <c r="A2495" s="8" t="s">
        <v>5743</v>
      </c>
      <c r="B2495" s="8" t="s">
        <v>124</v>
      </c>
      <c r="C2495" s="8">
        <v>30918095</v>
      </c>
      <c r="D2495" s="8">
        <v>5</v>
      </c>
      <c r="E2495" s="11">
        <v>43112</v>
      </c>
      <c r="F2495" s="8" t="s">
        <v>57</v>
      </c>
      <c r="G2495" s="11">
        <v>43112</v>
      </c>
      <c r="H2495" s="8" t="s">
        <v>25</v>
      </c>
      <c r="J2495" s="8" t="s">
        <v>25</v>
      </c>
      <c r="N2495" s="8" t="s">
        <v>58</v>
      </c>
      <c r="O2495" s="8" t="s">
        <v>59</v>
      </c>
      <c r="P2495" s="8" t="s">
        <v>59</v>
      </c>
      <c r="R2495" s="8">
        <v>0</v>
      </c>
      <c r="S2495" s="8">
        <v>0</v>
      </c>
      <c r="T2495" s="8">
        <v>1</v>
      </c>
      <c r="U2495" s="8">
        <v>2</v>
      </c>
      <c r="AG2495" s="8" t="str">
        <f t="shared" si="153"/>
        <v/>
      </c>
      <c r="AI2495" s="8" t="str">
        <f t="shared" si="154"/>
        <v/>
      </c>
      <c r="AJ2495" s="8" t="str">
        <f t="shared" si="155"/>
        <v/>
      </c>
      <c r="AL2495" s="8" t="str">
        <f t="shared" si="156"/>
        <v/>
      </c>
    </row>
    <row r="2496" spans="1:38" x14ac:dyDescent="0.25">
      <c r="A2496" s="8" t="s">
        <v>2655</v>
      </c>
      <c r="B2496" s="8" t="s">
        <v>2656</v>
      </c>
      <c r="C2496" s="8">
        <v>30825239</v>
      </c>
      <c r="D2496" s="8">
        <v>5</v>
      </c>
      <c r="E2496" s="11">
        <v>43108</v>
      </c>
      <c r="F2496" s="8" t="s">
        <v>57</v>
      </c>
      <c r="G2496" s="11">
        <v>43110</v>
      </c>
      <c r="H2496" s="8" t="s">
        <v>25</v>
      </c>
      <c r="J2496" s="8" t="s">
        <v>25</v>
      </c>
      <c r="N2496" s="8" t="s">
        <v>58</v>
      </c>
      <c r="O2496" s="8" t="s">
        <v>59</v>
      </c>
      <c r="P2496" s="8" t="s">
        <v>59</v>
      </c>
      <c r="R2496" s="8">
        <v>0</v>
      </c>
      <c r="S2496" s="8">
        <v>0</v>
      </c>
      <c r="T2496" s="8">
        <v>1</v>
      </c>
      <c r="U2496" s="8">
        <v>2</v>
      </c>
      <c r="AG2496" s="8" t="str">
        <f t="shared" si="153"/>
        <v/>
      </c>
      <c r="AI2496" s="8" t="str">
        <f t="shared" si="154"/>
        <v/>
      </c>
      <c r="AJ2496" s="8" t="str">
        <f t="shared" si="155"/>
        <v/>
      </c>
      <c r="AL2496" s="8" t="str">
        <f t="shared" si="156"/>
        <v/>
      </c>
    </row>
    <row r="2497" spans="1:38" x14ac:dyDescent="0.25">
      <c r="A2497" s="8" t="s">
        <v>7537</v>
      </c>
      <c r="B2497" s="8" t="s">
        <v>7538</v>
      </c>
      <c r="C2497" s="8">
        <v>30945911</v>
      </c>
      <c r="D2497" s="8">
        <v>5</v>
      </c>
      <c r="E2497" s="11">
        <v>43115</v>
      </c>
      <c r="F2497" s="8" t="s">
        <v>57</v>
      </c>
      <c r="G2497" s="11">
        <v>43115</v>
      </c>
      <c r="H2497" s="8" t="s">
        <v>25</v>
      </c>
      <c r="J2497" s="8" t="s">
        <v>25</v>
      </c>
      <c r="N2497" s="8" t="s">
        <v>58</v>
      </c>
      <c r="O2497" s="8" t="s">
        <v>59</v>
      </c>
      <c r="P2497" s="8" t="s">
        <v>59</v>
      </c>
      <c r="R2497" s="8">
        <v>0</v>
      </c>
      <c r="S2497" s="8">
        <v>0</v>
      </c>
      <c r="T2497" s="8">
        <v>1</v>
      </c>
      <c r="U2497" s="8">
        <v>2</v>
      </c>
      <c r="AG2497" s="8" t="str">
        <f t="shared" si="153"/>
        <v/>
      </c>
      <c r="AI2497" s="8" t="str">
        <f t="shared" si="154"/>
        <v/>
      </c>
      <c r="AJ2497" s="8" t="str">
        <f t="shared" si="155"/>
        <v/>
      </c>
      <c r="AL2497" s="8" t="str">
        <f t="shared" si="156"/>
        <v/>
      </c>
    </row>
    <row r="2498" spans="1:38" x14ac:dyDescent="0.25">
      <c r="A2498" s="8" t="s">
        <v>4121</v>
      </c>
      <c r="B2498" s="8" t="s">
        <v>4122</v>
      </c>
      <c r="C2498" s="8">
        <v>30896453</v>
      </c>
      <c r="D2498" s="8">
        <v>5</v>
      </c>
      <c r="E2498" s="11">
        <v>43111</v>
      </c>
      <c r="F2498" s="8" t="s">
        <v>58</v>
      </c>
      <c r="G2498" s="11">
        <v>43111</v>
      </c>
      <c r="H2498" s="8" t="s">
        <v>25</v>
      </c>
      <c r="I2498" s="11">
        <v>43115</v>
      </c>
      <c r="J2498" s="8" t="s">
        <v>25</v>
      </c>
      <c r="N2498" s="8" t="s">
        <v>58</v>
      </c>
      <c r="O2498" s="8" t="s">
        <v>59</v>
      </c>
      <c r="P2498" s="8" t="s">
        <v>59</v>
      </c>
      <c r="R2498" s="8">
        <v>0</v>
      </c>
      <c r="S2498" s="8">
        <v>0</v>
      </c>
      <c r="T2498" s="8">
        <v>1</v>
      </c>
      <c r="U2498" s="8">
        <v>2</v>
      </c>
      <c r="X2498" s="8">
        <v>5</v>
      </c>
      <c r="AG2498" s="8" t="str">
        <f t="shared" si="153"/>
        <v/>
      </c>
      <c r="AI2498" s="8" t="str">
        <f t="shared" si="154"/>
        <v/>
      </c>
      <c r="AJ2498" s="8" t="str">
        <f t="shared" si="155"/>
        <v/>
      </c>
      <c r="AL2498" s="8" t="str">
        <f t="shared" si="156"/>
        <v/>
      </c>
    </row>
    <row r="2499" spans="1:38" x14ac:dyDescent="0.25">
      <c r="A2499" s="8" t="s">
        <v>7539</v>
      </c>
      <c r="B2499" s="8" t="s">
        <v>7540</v>
      </c>
      <c r="C2499" s="8">
        <v>30929264</v>
      </c>
      <c r="D2499" s="8">
        <v>5</v>
      </c>
      <c r="E2499" s="11">
        <v>43115</v>
      </c>
      <c r="F2499" s="8" t="s">
        <v>57</v>
      </c>
      <c r="G2499" s="11">
        <v>43115</v>
      </c>
      <c r="H2499" s="8" t="s">
        <v>25</v>
      </c>
      <c r="J2499" s="8" t="s">
        <v>25</v>
      </c>
      <c r="N2499" s="8" t="s">
        <v>58</v>
      </c>
      <c r="O2499" s="8" t="s">
        <v>59</v>
      </c>
      <c r="P2499" s="8" t="s">
        <v>59</v>
      </c>
      <c r="R2499" s="8">
        <v>0</v>
      </c>
      <c r="S2499" s="8">
        <v>0</v>
      </c>
      <c r="T2499" s="8">
        <v>1</v>
      </c>
      <c r="U2499" s="8">
        <v>2</v>
      </c>
      <c r="AG2499" s="8" t="str">
        <f t="shared" ref="AG2499:AG2562" si="157">IF(AND(U2499="",G2499&lt;&gt;"",NOT(OR(R2499,S2499))),IF(NETWORKDAYS.INTL(G2499,TODAY(),11)&lt;5,"En Plazo",IF(NETWORKDAYS.INTL(G2499,TODAY(),11)=5,"Riesgo Incumplimiento","FALTA_02")),"")</f>
        <v/>
      </c>
      <c r="AI2499" s="8" t="str">
        <f t="shared" ref="AI2499:AI2562" si="158">IF(AND(O2499&lt;&gt;"B1",F2499="Rejected"),IF(W2499="","FALTA_04",""),"")</f>
        <v/>
      </c>
      <c r="AJ2499" s="8" t="str">
        <f t="shared" ref="AJ2499:AJ2562" si="159">IF(AND(X2499="",I2499&lt;&gt;"",NOT(OR(R2499,S2499))),IF(NETWORKDAYS.INTL(G2499,TODAY(),11)&lt;=1,"En Plazo",IF(OR(AND(X2499="",O2499&lt;&gt;"M1"),AND(O2499="M1",(OR(Q2499="S - S",Q2499="S - T",)))),"FALTA_05","")),"")</f>
        <v/>
      </c>
      <c r="AL2499" s="8" t="str">
        <f t="shared" ref="AL2499:AL2562" si="160">IF(AND(O2499="B1",F2499="Rejected"),IF(Z2499="","FALTA_07",""),"")</f>
        <v/>
      </c>
    </row>
    <row r="2500" spans="1:38" x14ac:dyDescent="0.25">
      <c r="A2500" s="8" t="s">
        <v>5744</v>
      </c>
      <c r="B2500" s="8" t="s">
        <v>5745</v>
      </c>
      <c r="C2500" s="8">
        <v>30876502</v>
      </c>
      <c r="D2500" s="8">
        <v>5</v>
      </c>
      <c r="E2500" s="11">
        <v>43110</v>
      </c>
      <c r="F2500" s="8" t="s">
        <v>57</v>
      </c>
      <c r="G2500" s="11">
        <v>43112</v>
      </c>
      <c r="H2500" s="8" t="s">
        <v>25</v>
      </c>
      <c r="J2500" s="8" t="s">
        <v>25</v>
      </c>
      <c r="N2500" s="8" t="s">
        <v>58</v>
      </c>
      <c r="O2500" s="8" t="s">
        <v>59</v>
      </c>
      <c r="P2500" s="8" t="s">
        <v>59</v>
      </c>
      <c r="R2500" s="8">
        <v>0</v>
      </c>
      <c r="S2500" s="8">
        <v>0</v>
      </c>
      <c r="T2500" s="8">
        <v>1</v>
      </c>
      <c r="U2500" s="8">
        <v>2</v>
      </c>
      <c r="AG2500" s="8" t="str">
        <f t="shared" si="157"/>
        <v/>
      </c>
      <c r="AI2500" s="8" t="str">
        <f t="shared" si="158"/>
        <v/>
      </c>
      <c r="AJ2500" s="8" t="str">
        <f t="shared" si="159"/>
        <v/>
      </c>
      <c r="AL2500" s="8" t="str">
        <f t="shared" si="160"/>
        <v/>
      </c>
    </row>
    <row r="2501" spans="1:38" x14ac:dyDescent="0.25">
      <c r="A2501" s="8" t="s">
        <v>7541</v>
      </c>
      <c r="B2501" s="8" t="s">
        <v>7542</v>
      </c>
      <c r="C2501" s="8">
        <v>30942673</v>
      </c>
      <c r="D2501" s="8">
        <v>5</v>
      </c>
      <c r="E2501" s="11">
        <v>43115</v>
      </c>
      <c r="F2501" s="8" t="s">
        <v>57</v>
      </c>
      <c r="G2501" s="11">
        <v>43115</v>
      </c>
      <c r="H2501" s="8" t="s">
        <v>25</v>
      </c>
      <c r="J2501" s="8" t="s">
        <v>25</v>
      </c>
      <c r="N2501" s="8" t="s">
        <v>58</v>
      </c>
      <c r="O2501" s="8" t="s">
        <v>59</v>
      </c>
      <c r="P2501" s="8" t="s">
        <v>59</v>
      </c>
      <c r="R2501" s="8">
        <v>0</v>
      </c>
      <c r="S2501" s="8">
        <v>0</v>
      </c>
      <c r="T2501" s="8">
        <v>1</v>
      </c>
      <c r="U2501" s="8">
        <v>2</v>
      </c>
      <c r="AG2501" s="8" t="str">
        <f t="shared" si="157"/>
        <v/>
      </c>
      <c r="AI2501" s="8" t="str">
        <f t="shared" si="158"/>
        <v/>
      </c>
      <c r="AJ2501" s="8" t="str">
        <f t="shared" si="159"/>
        <v/>
      </c>
      <c r="AL2501" s="8" t="str">
        <f t="shared" si="160"/>
        <v/>
      </c>
    </row>
    <row r="2502" spans="1:38" x14ac:dyDescent="0.25">
      <c r="A2502" s="8" t="s">
        <v>7543</v>
      </c>
      <c r="B2502" s="8" t="s">
        <v>7544</v>
      </c>
      <c r="C2502" s="8">
        <v>30933485</v>
      </c>
      <c r="D2502" s="8">
        <v>5</v>
      </c>
      <c r="E2502" s="11">
        <v>43115</v>
      </c>
      <c r="F2502" s="8" t="s">
        <v>57</v>
      </c>
      <c r="G2502" s="11">
        <v>43115</v>
      </c>
      <c r="H2502" s="8" t="s">
        <v>25</v>
      </c>
      <c r="J2502" s="8" t="s">
        <v>25</v>
      </c>
      <c r="N2502" s="8" t="s">
        <v>58</v>
      </c>
      <c r="O2502" s="8" t="s">
        <v>59</v>
      </c>
      <c r="P2502" s="8" t="s">
        <v>59</v>
      </c>
      <c r="R2502" s="8">
        <v>0</v>
      </c>
      <c r="S2502" s="8">
        <v>0</v>
      </c>
      <c r="T2502" s="8">
        <v>1</v>
      </c>
      <c r="U2502" s="8">
        <v>2</v>
      </c>
      <c r="AG2502" s="8" t="str">
        <f t="shared" si="157"/>
        <v/>
      </c>
      <c r="AI2502" s="8" t="str">
        <f t="shared" si="158"/>
        <v/>
      </c>
      <c r="AJ2502" s="8" t="str">
        <f t="shared" si="159"/>
        <v/>
      </c>
      <c r="AL2502" s="8" t="str">
        <f t="shared" si="160"/>
        <v/>
      </c>
    </row>
    <row r="2503" spans="1:38" x14ac:dyDescent="0.25">
      <c r="A2503" s="8" t="s">
        <v>1375</v>
      </c>
      <c r="B2503" s="8" t="s">
        <v>1376</v>
      </c>
      <c r="C2503" s="8">
        <v>30834260</v>
      </c>
      <c r="D2503" s="8">
        <v>5</v>
      </c>
      <c r="E2503" s="11">
        <v>43109</v>
      </c>
      <c r="F2503" s="8" t="s">
        <v>57</v>
      </c>
      <c r="G2503" s="11">
        <v>43109</v>
      </c>
      <c r="H2503" s="8" t="s">
        <v>25</v>
      </c>
      <c r="J2503" s="8" t="s">
        <v>25</v>
      </c>
      <c r="N2503" s="8" t="s">
        <v>58</v>
      </c>
      <c r="O2503" s="8" t="s">
        <v>59</v>
      </c>
      <c r="P2503" s="8" t="s">
        <v>59</v>
      </c>
      <c r="R2503" s="8">
        <v>0</v>
      </c>
      <c r="S2503" s="8">
        <v>0</v>
      </c>
      <c r="T2503" s="8">
        <v>1</v>
      </c>
      <c r="U2503" s="8">
        <v>2</v>
      </c>
      <c r="AG2503" s="8" t="str">
        <f t="shared" si="157"/>
        <v/>
      </c>
      <c r="AI2503" s="8" t="str">
        <f t="shared" si="158"/>
        <v/>
      </c>
      <c r="AJ2503" s="8" t="str">
        <f t="shared" si="159"/>
        <v/>
      </c>
      <c r="AL2503" s="8" t="str">
        <f t="shared" si="160"/>
        <v/>
      </c>
    </row>
    <row r="2504" spans="1:38" x14ac:dyDescent="0.25">
      <c r="A2504" s="8" t="s">
        <v>547</v>
      </c>
      <c r="B2504" s="8" t="s">
        <v>548</v>
      </c>
      <c r="C2504" s="8">
        <v>30807134</v>
      </c>
      <c r="D2504" s="8">
        <v>5</v>
      </c>
      <c r="E2504" s="11">
        <v>43108</v>
      </c>
      <c r="F2504" s="8" t="s">
        <v>2773</v>
      </c>
      <c r="G2504" s="11">
        <v>43108</v>
      </c>
      <c r="H2504" s="8" t="s">
        <v>25</v>
      </c>
      <c r="J2504" s="8" t="s">
        <v>856</v>
      </c>
      <c r="N2504" s="8" t="s">
        <v>58</v>
      </c>
      <c r="O2504" s="8" t="s">
        <v>59</v>
      </c>
      <c r="P2504" s="8" t="s">
        <v>59</v>
      </c>
      <c r="R2504" s="8">
        <v>0</v>
      </c>
      <c r="S2504" s="8">
        <v>0</v>
      </c>
      <c r="T2504" s="8">
        <v>1</v>
      </c>
      <c r="U2504" s="8">
        <v>2</v>
      </c>
      <c r="AG2504" s="8" t="str">
        <f t="shared" si="157"/>
        <v/>
      </c>
      <c r="AI2504" s="8" t="str">
        <f t="shared" si="158"/>
        <v/>
      </c>
      <c r="AJ2504" s="8" t="str">
        <f t="shared" si="159"/>
        <v/>
      </c>
      <c r="AL2504" s="8" t="str">
        <f t="shared" si="160"/>
        <v/>
      </c>
    </row>
    <row r="2505" spans="1:38" x14ac:dyDescent="0.25">
      <c r="A2505" s="8" t="s">
        <v>4123</v>
      </c>
      <c r="B2505" s="8" t="s">
        <v>4124</v>
      </c>
      <c r="C2505" s="8">
        <v>30842450</v>
      </c>
      <c r="D2505" s="8">
        <v>5</v>
      </c>
      <c r="E2505" s="11">
        <v>43109</v>
      </c>
      <c r="F2505" s="8" t="s">
        <v>57</v>
      </c>
      <c r="G2505" s="11">
        <v>43111</v>
      </c>
      <c r="H2505" s="8" t="s">
        <v>25</v>
      </c>
      <c r="J2505" s="8" t="s">
        <v>25</v>
      </c>
      <c r="N2505" s="8" t="s">
        <v>58</v>
      </c>
      <c r="O2505" s="8" t="s">
        <v>59</v>
      </c>
      <c r="P2505" s="8" t="s">
        <v>59</v>
      </c>
      <c r="R2505" s="8">
        <v>0</v>
      </c>
      <c r="S2505" s="8">
        <v>0</v>
      </c>
      <c r="T2505" s="8">
        <v>1</v>
      </c>
      <c r="U2505" s="8">
        <v>2</v>
      </c>
      <c r="AG2505" s="8" t="str">
        <f t="shared" si="157"/>
        <v/>
      </c>
      <c r="AI2505" s="8" t="str">
        <f t="shared" si="158"/>
        <v/>
      </c>
      <c r="AJ2505" s="8" t="str">
        <f t="shared" si="159"/>
        <v/>
      </c>
      <c r="AL2505" s="8" t="str">
        <f t="shared" si="160"/>
        <v/>
      </c>
    </row>
    <row r="2506" spans="1:38" x14ac:dyDescent="0.25">
      <c r="A2506" s="8" t="s">
        <v>2657</v>
      </c>
      <c r="B2506" s="8" t="s">
        <v>2658</v>
      </c>
      <c r="C2506" s="8">
        <v>30865492</v>
      </c>
      <c r="D2506" s="8">
        <v>5</v>
      </c>
      <c r="E2506" s="11">
        <v>43110</v>
      </c>
      <c r="F2506" s="8" t="s">
        <v>57</v>
      </c>
      <c r="G2506" s="11">
        <v>43110</v>
      </c>
      <c r="H2506" s="8" t="s">
        <v>25</v>
      </c>
      <c r="J2506" s="8" t="s">
        <v>25</v>
      </c>
      <c r="N2506" s="8" t="s">
        <v>58</v>
      </c>
      <c r="O2506" s="8" t="s">
        <v>59</v>
      </c>
      <c r="P2506" s="8" t="s">
        <v>59</v>
      </c>
      <c r="R2506" s="8">
        <v>0</v>
      </c>
      <c r="S2506" s="8">
        <v>0</v>
      </c>
      <c r="T2506" s="8">
        <v>1</v>
      </c>
      <c r="U2506" s="8">
        <v>2</v>
      </c>
      <c r="AG2506" s="8" t="str">
        <f t="shared" si="157"/>
        <v/>
      </c>
      <c r="AI2506" s="8" t="str">
        <f t="shared" si="158"/>
        <v/>
      </c>
      <c r="AJ2506" s="8" t="str">
        <f t="shared" si="159"/>
        <v/>
      </c>
      <c r="AL2506" s="8" t="str">
        <f t="shared" si="160"/>
        <v/>
      </c>
    </row>
    <row r="2507" spans="1:38" x14ac:dyDescent="0.25">
      <c r="A2507" s="8" t="s">
        <v>2659</v>
      </c>
      <c r="B2507" s="8" t="s">
        <v>2660</v>
      </c>
      <c r="C2507" s="8">
        <v>30864121</v>
      </c>
      <c r="D2507" s="8">
        <v>5</v>
      </c>
      <c r="E2507" s="11">
        <v>43110</v>
      </c>
      <c r="F2507" s="8" t="s">
        <v>57</v>
      </c>
      <c r="G2507" s="11">
        <v>43110</v>
      </c>
      <c r="H2507" s="8" t="s">
        <v>25</v>
      </c>
      <c r="J2507" s="8" t="s">
        <v>25</v>
      </c>
      <c r="N2507" s="8" t="s">
        <v>58</v>
      </c>
      <c r="O2507" s="8" t="s">
        <v>59</v>
      </c>
      <c r="P2507" s="8" t="s">
        <v>59</v>
      </c>
      <c r="R2507" s="8">
        <v>0</v>
      </c>
      <c r="S2507" s="8">
        <v>0</v>
      </c>
      <c r="T2507" s="8">
        <v>1</v>
      </c>
      <c r="U2507" s="8">
        <v>2</v>
      </c>
      <c r="AG2507" s="8" t="str">
        <f t="shared" si="157"/>
        <v/>
      </c>
      <c r="AI2507" s="8" t="str">
        <f t="shared" si="158"/>
        <v/>
      </c>
      <c r="AJ2507" s="8" t="str">
        <f t="shared" si="159"/>
        <v/>
      </c>
      <c r="AL2507" s="8" t="str">
        <f t="shared" si="160"/>
        <v/>
      </c>
    </row>
    <row r="2508" spans="1:38" x14ac:dyDescent="0.25">
      <c r="A2508" s="8" t="s">
        <v>2661</v>
      </c>
      <c r="B2508" s="8" t="s">
        <v>2662</v>
      </c>
      <c r="C2508" s="8">
        <v>30811504</v>
      </c>
      <c r="D2508" s="8">
        <v>5</v>
      </c>
      <c r="E2508" s="11">
        <v>43108</v>
      </c>
      <c r="F2508" s="8" t="s">
        <v>57</v>
      </c>
      <c r="G2508" s="11">
        <v>43110</v>
      </c>
      <c r="H2508" s="8" t="s">
        <v>25</v>
      </c>
      <c r="J2508" s="8" t="s">
        <v>25</v>
      </c>
      <c r="N2508" s="8" t="s">
        <v>58</v>
      </c>
      <c r="O2508" s="8" t="s">
        <v>59</v>
      </c>
      <c r="P2508" s="8" t="s">
        <v>59</v>
      </c>
      <c r="R2508" s="8">
        <v>0</v>
      </c>
      <c r="S2508" s="8">
        <v>0</v>
      </c>
      <c r="T2508" s="8">
        <v>1</v>
      </c>
      <c r="U2508" s="8">
        <v>2</v>
      </c>
      <c r="AG2508" s="8" t="str">
        <f t="shared" si="157"/>
        <v/>
      </c>
      <c r="AI2508" s="8" t="str">
        <f t="shared" si="158"/>
        <v/>
      </c>
      <c r="AJ2508" s="8" t="str">
        <f t="shared" si="159"/>
        <v/>
      </c>
      <c r="AL2508" s="8" t="str">
        <f t="shared" si="160"/>
        <v/>
      </c>
    </row>
    <row r="2509" spans="1:38" x14ac:dyDescent="0.25">
      <c r="A2509" s="8" t="s">
        <v>7545</v>
      </c>
      <c r="B2509" s="8" t="s">
        <v>7546</v>
      </c>
      <c r="C2509" s="8">
        <v>30901882</v>
      </c>
      <c r="D2509" s="8">
        <v>4</v>
      </c>
      <c r="E2509" s="11">
        <v>43111</v>
      </c>
      <c r="F2509" s="8" t="s">
        <v>62</v>
      </c>
      <c r="G2509" s="11">
        <v>43115</v>
      </c>
      <c r="H2509" s="8" t="s">
        <v>25</v>
      </c>
      <c r="J2509" s="8" t="s">
        <v>25</v>
      </c>
      <c r="M2509" s="8" t="s">
        <v>66</v>
      </c>
      <c r="N2509" s="8" t="s">
        <v>63</v>
      </c>
      <c r="O2509" s="8" t="s">
        <v>59</v>
      </c>
      <c r="P2509" s="8" t="s">
        <v>59</v>
      </c>
      <c r="R2509" s="8">
        <v>0</v>
      </c>
      <c r="S2509" s="8">
        <v>0</v>
      </c>
      <c r="T2509" s="8">
        <v>1</v>
      </c>
      <c r="U2509" s="8">
        <v>2</v>
      </c>
      <c r="AG2509" s="8" t="str">
        <f t="shared" si="157"/>
        <v/>
      </c>
      <c r="AI2509" s="8" t="str">
        <f t="shared" si="158"/>
        <v/>
      </c>
      <c r="AJ2509" s="8" t="str">
        <f t="shared" si="159"/>
        <v/>
      </c>
      <c r="AL2509" s="8" t="str">
        <f t="shared" si="160"/>
        <v/>
      </c>
    </row>
    <row r="2510" spans="1:38" x14ac:dyDescent="0.25">
      <c r="A2510" s="8" t="s">
        <v>549</v>
      </c>
      <c r="B2510" s="8" t="s">
        <v>550</v>
      </c>
      <c r="C2510" s="8">
        <v>30822604</v>
      </c>
      <c r="D2510" s="8">
        <v>5</v>
      </c>
      <c r="E2510" s="11">
        <v>43108</v>
      </c>
      <c r="F2510" s="8" t="s">
        <v>58</v>
      </c>
      <c r="G2510" s="11">
        <v>43108</v>
      </c>
      <c r="H2510" s="8" t="s">
        <v>25</v>
      </c>
      <c r="I2510" s="11">
        <v>43115</v>
      </c>
      <c r="J2510" s="8" t="s">
        <v>856</v>
      </c>
      <c r="N2510" s="8" t="s">
        <v>58</v>
      </c>
      <c r="O2510" s="8" t="s">
        <v>59</v>
      </c>
      <c r="P2510" s="8" t="s">
        <v>59</v>
      </c>
      <c r="R2510" s="8">
        <v>0</v>
      </c>
      <c r="S2510" s="8">
        <v>0</v>
      </c>
      <c r="T2510" s="8">
        <v>1</v>
      </c>
      <c r="U2510" s="8">
        <v>2</v>
      </c>
      <c r="X2510" s="8">
        <v>5</v>
      </c>
      <c r="AG2510" s="8" t="str">
        <f t="shared" si="157"/>
        <v/>
      </c>
      <c r="AI2510" s="8" t="str">
        <f t="shared" si="158"/>
        <v/>
      </c>
      <c r="AJ2510" s="8" t="str">
        <f t="shared" si="159"/>
        <v/>
      </c>
      <c r="AL2510" s="8" t="str">
        <f t="shared" si="160"/>
        <v/>
      </c>
    </row>
    <row r="2511" spans="1:38" x14ac:dyDescent="0.25">
      <c r="A2511" s="8" t="s">
        <v>7547</v>
      </c>
      <c r="B2511" s="8" t="s">
        <v>7548</v>
      </c>
      <c r="C2511" s="8">
        <v>30900460</v>
      </c>
      <c r="D2511" s="8">
        <v>5</v>
      </c>
      <c r="E2511" s="11">
        <v>43111</v>
      </c>
      <c r="F2511" s="8" t="s">
        <v>57</v>
      </c>
      <c r="G2511" s="11">
        <v>43115</v>
      </c>
      <c r="H2511" s="8" t="s">
        <v>25</v>
      </c>
      <c r="J2511" s="8" t="s">
        <v>25</v>
      </c>
      <c r="N2511" s="8" t="s">
        <v>58</v>
      </c>
      <c r="O2511" s="8" t="s">
        <v>59</v>
      </c>
      <c r="P2511" s="8" t="s">
        <v>59</v>
      </c>
      <c r="R2511" s="8">
        <v>0</v>
      </c>
      <c r="S2511" s="8">
        <v>0</v>
      </c>
      <c r="T2511" s="8">
        <v>1</v>
      </c>
      <c r="U2511" s="8">
        <v>2</v>
      </c>
      <c r="AG2511" s="8" t="str">
        <f t="shared" si="157"/>
        <v/>
      </c>
      <c r="AI2511" s="8" t="str">
        <f t="shared" si="158"/>
        <v/>
      </c>
      <c r="AJ2511" s="8" t="str">
        <f t="shared" si="159"/>
        <v/>
      </c>
      <c r="AL2511" s="8" t="str">
        <f t="shared" si="160"/>
        <v/>
      </c>
    </row>
    <row r="2512" spans="1:38" x14ac:dyDescent="0.25">
      <c r="A2512" s="8" t="s">
        <v>7549</v>
      </c>
      <c r="B2512" s="8" t="s">
        <v>7550</v>
      </c>
      <c r="C2512" s="8">
        <v>30900422</v>
      </c>
      <c r="D2512" s="8">
        <v>5</v>
      </c>
      <c r="E2512" s="11">
        <v>43111</v>
      </c>
      <c r="F2512" s="8" t="s">
        <v>58</v>
      </c>
      <c r="G2512" s="11">
        <v>43115</v>
      </c>
      <c r="H2512" s="8" t="s">
        <v>25</v>
      </c>
      <c r="I2512" s="11">
        <v>43115</v>
      </c>
      <c r="J2512" s="8" t="s">
        <v>25</v>
      </c>
      <c r="N2512" s="8" t="s">
        <v>58</v>
      </c>
      <c r="O2512" s="8" t="s">
        <v>59</v>
      </c>
      <c r="P2512" s="8" t="s">
        <v>59</v>
      </c>
      <c r="R2512" s="8">
        <v>0</v>
      </c>
      <c r="S2512" s="8">
        <v>0</v>
      </c>
      <c r="T2512" s="8">
        <v>1</v>
      </c>
      <c r="U2512" s="8">
        <v>2</v>
      </c>
      <c r="X2512" s="8">
        <v>5</v>
      </c>
      <c r="AG2512" s="8" t="str">
        <f t="shared" si="157"/>
        <v/>
      </c>
      <c r="AI2512" s="8" t="str">
        <f t="shared" si="158"/>
        <v/>
      </c>
      <c r="AJ2512" s="8" t="str">
        <f t="shared" si="159"/>
        <v/>
      </c>
      <c r="AL2512" s="8" t="str">
        <f t="shared" si="160"/>
        <v/>
      </c>
    </row>
    <row r="2513" spans="1:38" x14ac:dyDescent="0.25">
      <c r="A2513" s="8" t="s">
        <v>4125</v>
      </c>
      <c r="B2513" s="8" t="s">
        <v>4126</v>
      </c>
      <c r="C2513" s="8">
        <v>30833138</v>
      </c>
      <c r="D2513" s="8">
        <v>5</v>
      </c>
      <c r="E2513" s="11">
        <v>43109</v>
      </c>
      <c r="F2513" s="8" t="s">
        <v>57</v>
      </c>
      <c r="G2513" s="11">
        <v>43111</v>
      </c>
      <c r="H2513" s="8" t="s">
        <v>25</v>
      </c>
      <c r="J2513" s="8" t="s">
        <v>25</v>
      </c>
      <c r="N2513" s="8" t="s">
        <v>58</v>
      </c>
      <c r="O2513" s="8" t="s">
        <v>59</v>
      </c>
      <c r="P2513" s="8" t="s">
        <v>59</v>
      </c>
      <c r="R2513" s="8">
        <v>0</v>
      </c>
      <c r="S2513" s="8">
        <v>0</v>
      </c>
      <c r="T2513" s="8">
        <v>1</v>
      </c>
      <c r="U2513" s="8">
        <v>2</v>
      </c>
      <c r="AG2513" s="8" t="str">
        <f t="shared" si="157"/>
        <v/>
      </c>
      <c r="AI2513" s="8" t="str">
        <f t="shared" si="158"/>
        <v/>
      </c>
      <c r="AJ2513" s="8" t="str">
        <f t="shared" si="159"/>
        <v/>
      </c>
      <c r="AL2513" s="8" t="str">
        <f t="shared" si="160"/>
        <v/>
      </c>
    </row>
    <row r="2514" spans="1:38" x14ac:dyDescent="0.25">
      <c r="A2514" s="8" t="s">
        <v>2663</v>
      </c>
      <c r="B2514" s="8" t="s">
        <v>2664</v>
      </c>
      <c r="C2514" s="8">
        <v>30816841</v>
      </c>
      <c r="D2514" s="8">
        <v>5</v>
      </c>
      <c r="E2514" s="11">
        <v>43108</v>
      </c>
      <c r="F2514" s="8" t="s">
        <v>58</v>
      </c>
      <c r="G2514" s="11">
        <v>43110</v>
      </c>
      <c r="H2514" s="8" t="s">
        <v>25</v>
      </c>
      <c r="I2514" s="11">
        <v>43110</v>
      </c>
      <c r="J2514" s="8" t="s">
        <v>25</v>
      </c>
      <c r="N2514" s="8" t="s">
        <v>58</v>
      </c>
      <c r="O2514" s="8" t="s">
        <v>59</v>
      </c>
      <c r="P2514" s="8" t="s">
        <v>59</v>
      </c>
      <c r="R2514" s="8">
        <v>0</v>
      </c>
      <c r="S2514" s="8">
        <v>0</v>
      </c>
      <c r="T2514" s="8">
        <v>1</v>
      </c>
      <c r="U2514" s="8">
        <v>2</v>
      </c>
      <c r="X2514" s="8">
        <v>5</v>
      </c>
      <c r="AG2514" s="8" t="str">
        <f t="shared" si="157"/>
        <v/>
      </c>
      <c r="AI2514" s="8" t="str">
        <f t="shared" si="158"/>
        <v/>
      </c>
      <c r="AJ2514" s="8" t="str">
        <f t="shared" si="159"/>
        <v/>
      </c>
      <c r="AL2514" s="8" t="str">
        <f t="shared" si="160"/>
        <v/>
      </c>
    </row>
    <row r="2515" spans="1:38" x14ac:dyDescent="0.25">
      <c r="A2515" s="8" t="s">
        <v>2665</v>
      </c>
      <c r="B2515" s="8" t="s">
        <v>2666</v>
      </c>
      <c r="C2515" s="8">
        <v>30856591</v>
      </c>
      <c r="D2515" s="8">
        <v>5</v>
      </c>
      <c r="E2515" s="11">
        <v>43110</v>
      </c>
      <c r="F2515" s="8" t="s">
        <v>57</v>
      </c>
      <c r="G2515" s="11">
        <v>43110</v>
      </c>
      <c r="H2515" s="8" t="s">
        <v>25</v>
      </c>
      <c r="J2515" s="8" t="s">
        <v>25</v>
      </c>
      <c r="N2515" s="8" t="s">
        <v>58</v>
      </c>
      <c r="O2515" s="8" t="s">
        <v>59</v>
      </c>
      <c r="P2515" s="8" t="s">
        <v>59</v>
      </c>
      <c r="R2515" s="8">
        <v>0</v>
      </c>
      <c r="S2515" s="8">
        <v>0</v>
      </c>
      <c r="T2515" s="8">
        <v>1</v>
      </c>
      <c r="U2515" s="8">
        <v>2</v>
      </c>
      <c r="AG2515" s="8" t="str">
        <f t="shared" si="157"/>
        <v/>
      </c>
      <c r="AI2515" s="8" t="str">
        <f t="shared" si="158"/>
        <v/>
      </c>
      <c r="AJ2515" s="8" t="str">
        <f t="shared" si="159"/>
        <v/>
      </c>
      <c r="AL2515" s="8" t="str">
        <f t="shared" si="160"/>
        <v/>
      </c>
    </row>
    <row r="2516" spans="1:38" x14ac:dyDescent="0.25">
      <c r="A2516" s="8" t="s">
        <v>5746</v>
      </c>
      <c r="B2516" s="8" t="s">
        <v>5747</v>
      </c>
      <c r="C2516" s="8">
        <v>30906224</v>
      </c>
      <c r="D2516" s="8">
        <v>5</v>
      </c>
      <c r="E2516" s="11">
        <v>43112</v>
      </c>
      <c r="F2516" s="8" t="s">
        <v>57</v>
      </c>
      <c r="G2516" s="11">
        <v>43112</v>
      </c>
      <c r="H2516" s="8" t="s">
        <v>25</v>
      </c>
      <c r="J2516" s="8" t="s">
        <v>25</v>
      </c>
      <c r="N2516" s="8" t="s">
        <v>58</v>
      </c>
      <c r="O2516" s="8" t="s">
        <v>59</v>
      </c>
      <c r="P2516" s="8" t="s">
        <v>59</v>
      </c>
      <c r="R2516" s="8">
        <v>0</v>
      </c>
      <c r="S2516" s="8">
        <v>0</v>
      </c>
      <c r="T2516" s="8">
        <v>1</v>
      </c>
      <c r="U2516" s="8">
        <v>2</v>
      </c>
      <c r="AG2516" s="8" t="str">
        <f t="shared" si="157"/>
        <v/>
      </c>
      <c r="AI2516" s="8" t="str">
        <f t="shared" si="158"/>
        <v/>
      </c>
      <c r="AJ2516" s="8" t="str">
        <f t="shared" si="159"/>
        <v/>
      </c>
      <c r="AL2516" s="8" t="str">
        <f t="shared" si="160"/>
        <v/>
      </c>
    </row>
    <row r="2517" spans="1:38" x14ac:dyDescent="0.25">
      <c r="A2517" s="8" t="s">
        <v>1377</v>
      </c>
      <c r="B2517" s="8" t="s">
        <v>1378</v>
      </c>
      <c r="C2517" s="8">
        <v>30853497</v>
      </c>
      <c r="D2517" s="8">
        <v>5</v>
      </c>
      <c r="E2517" s="11">
        <v>43109</v>
      </c>
      <c r="F2517" s="8" t="s">
        <v>57</v>
      </c>
      <c r="G2517" s="11">
        <v>43109</v>
      </c>
      <c r="H2517" s="8" t="s">
        <v>25</v>
      </c>
      <c r="J2517" s="8" t="s">
        <v>25</v>
      </c>
      <c r="N2517" s="8" t="s">
        <v>58</v>
      </c>
      <c r="O2517" s="8" t="s">
        <v>59</v>
      </c>
      <c r="P2517" s="8" t="s">
        <v>59</v>
      </c>
      <c r="R2517" s="8">
        <v>0</v>
      </c>
      <c r="S2517" s="8">
        <v>0</v>
      </c>
      <c r="T2517" s="8">
        <v>1</v>
      </c>
      <c r="U2517" s="8">
        <v>2</v>
      </c>
      <c r="AG2517" s="8" t="str">
        <f t="shared" si="157"/>
        <v/>
      </c>
      <c r="AI2517" s="8" t="str">
        <f t="shared" si="158"/>
        <v/>
      </c>
      <c r="AJ2517" s="8" t="str">
        <f t="shared" si="159"/>
        <v/>
      </c>
      <c r="AL2517" s="8" t="str">
        <f t="shared" si="160"/>
        <v/>
      </c>
    </row>
    <row r="2518" spans="1:38" x14ac:dyDescent="0.25">
      <c r="A2518" s="8" t="s">
        <v>7551</v>
      </c>
      <c r="B2518" s="8" t="s">
        <v>7552</v>
      </c>
      <c r="C2518" s="8">
        <v>30929390</v>
      </c>
      <c r="D2518" s="8">
        <v>5</v>
      </c>
      <c r="E2518" s="11">
        <v>43115</v>
      </c>
      <c r="F2518" s="8" t="s">
        <v>57</v>
      </c>
      <c r="G2518" s="11">
        <v>43115</v>
      </c>
      <c r="H2518" s="8" t="s">
        <v>25</v>
      </c>
      <c r="J2518" s="8" t="s">
        <v>25</v>
      </c>
      <c r="N2518" s="8" t="s">
        <v>58</v>
      </c>
      <c r="O2518" s="8" t="s">
        <v>59</v>
      </c>
      <c r="P2518" s="8" t="s">
        <v>59</v>
      </c>
      <c r="R2518" s="8">
        <v>0</v>
      </c>
      <c r="S2518" s="8">
        <v>0</v>
      </c>
      <c r="T2518" s="8">
        <v>1</v>
      </c>
      <c r="U2518" s="8">
        <v>2</v>
      </c>
      <c r="AG2518" s="8" t="str">
        <f t="shared" si="157"/>
        <v/>
      </c>
      <c r="AI2518" s="8" t="str">
        <f t="shared" si="158"/>
        <v/>
      </c>
      <c r="AJ2518" s="8" t="str">
        <f t="shared" si="159"/>
        <v/>
      </c>
      <c r="AL2518" s="8" t="str">
        <f t="shared" si="160"/>
        <v/>
      </c>
    </row>
    <row r="2519" spans="1:38" x14ac:dyDescent="0.25">
      <c r="A2519" s="8" t="s">
        <v>5748</v>
      </c>
      <c r="B2519" s="8" t="s">
        <v>5749</v>
      </c>
      <c r="C2519" s="8">
        <v>30871487</v>
      </c>
      <c r="D2519" s="8">
        <v>5</v>
      </c>
      <c r="E2519" s="11">
        <v>43110</v>
      </c>
      <c r="F2519" s="8" t="s">
        <v>58</v>
      </c>
      <c r="G2519" s="11">
        <v>43112</v>
      </c>
      <c r="H2519" s="8" t="s">
        <v>25</v>
      </c>
      <c r="I2519" s="11">
        <v>43112</v>
      </c>
      <c r="J2519" s="8" t="s">
        <v>25</v>
      </c>
      <c r="N2519" s="8" t="s">
        <v>58</v>
      </c>
      <c r="O2519" s="8" t="s">
        <v>59</v>
      </c>
      <c r="P2519" s="8" t="s">
        <v>59</v>
      </c>
      <c r="R2519" s="8">
        <v>0</v>
      </c>
      <c r="S2519" s="8">
        <v>0</v>
      </c>
      <c r="T2519" s="8">
        <v>1</v>
      </c>
      <c r="U2519" s="8">
        <v>2</v>
      </c>
      <c r="X2519" s="8">
        <v>5</v>
      </c>
      <c r="AG2519" s="8" t="str">
        <f t="shared" si="157"/>
        <v/>
      </c>
      <c r="AI2519" s="8" t="str">
        <f t="shared" si="158"/>
        <v/>
      </c>
      <c r="AJ2519" s="8" t="str">
        <f t="shared" si="159"/>
        <v/>
      </c>
      <c r="AL2519" s="8" t="str">
        <f t="shared" si="160"/>
        <v/>
      </c>
    </row>
    <row r="2520" spans="1:38" x14ac:dyDescent="0.25">
      <c r="A2520" s="8" t="s">
        <v>2667</v>
      </c>
      <c r="B2520" s="8" t="s">
        <v>2668</v>
      </c>
      <c r="C2520" s="8">
        <v>30811442</v>
      </c>
      <c r="D2520" s="8">
        <v>5</v>
      </c>
      <c r="E2520" s="11">
        <v>43108</v>
      </c>
      <c r="F2520" s="8" t="s">
        <v>58</v>
      </c>
      <c r="G2520" s="11">
        <v>43110</v>
      </c>
      <c r="H2520" s="8" t="s">
        <v>25</v>
      </c>
      <c r="I2520" s="11">
        <v>43111</v>
      </c>
      <c r="J2520" s="8" t="s">
        <v>25</v>
      </c>
      <c r="N2520" s="8" t="s">
        <v>58</v>
      </c>
      <c r="O2520" s="8" t="s">
        <v>59</v>
      </c>
      <c r="P2520" s="8" t="s">
        <v>59</v>
      </c>
      <c r="R2520" s="8">
        <v>0</v>
      </c>
      <c r="S2520" s="8">
        <v>0</v>
      </c>
      <c r="T2520" s="8">
        <v>1</v>
      </c>
      <c r="U2520" s="8">
        <v>2</v>
      </c>
      <c r="X2520" s="8">
        <v>5</v>
      </c>
      <c r="AG2520" s="8" t="str">
        <f t="shared" si="157"/>
        <v/>
      </c>
      <c r="AI2520" s="8" t="str">
        <f t="shared" si="158"/>
        <v/>
      </c>
      <c r="AJ2520" s="8" t="str">
        <f t="shared" si="159"/>
        <v/>
      </c>
      <c r="AL2520" s="8" t="str">
        <f t="shared" si="160"/>
        <v/>
      </c>
    </row>
    <row r="2521" spans="1:38" x14ac:dyDescent="0.25">
      <c r="A2521" s="8" t="s">
        <v>4127</v>
      </c>
      <c r="B2521" s="8" t="s">
        <v>4128</v>
      </c>
      <c r="C2521" s="8">
        <v>30848644</v>
      </c>
      <c r="D2521" s="8">
        <v>5</v>
      </c>
      <c r="E2521" s="11">
        <v>43109</v>
      </c>
      <c r="F2521" s="8" t="s">
        <v>58</v>
      </c>
      <c r="G2521" s="11">
        <v>43111</v>
      </c>
      <c r="H2521" s="8" t="s">
        <v>25</v>
      </c>
      <c r="I2521" s="11">
        <v>43112</v>
      </c>
      <c r="J2521" s="8" t="s">
        <v>25</v>
      </c>
      <c r="N2521" s="8" t="s">
        <v>58</v>
      </c>
      <c r="O2521" s="8" t="s">
        <v>59</v>
      </c>
      <c r="P2521" s="8" t="s">
        <v>59</v>
      </c>
      <c r="R2521" s="8">
        <v>0</v>
      </c>
      <c r="S2521" s="8">
        <v>0</v>
      </c>
      <c r="T2521" s="8">
        <v>1</v>
      </c>
      <c r="U2521" s="8">
        <v>2</v>
      </c>
      <c r="X2521" s="8">
        <v>5</v>
      </c>
      <c r="AG2521" s="8" t="str">
        <f t="shared" si="157"/>
        <v/>
      </c>
      <c r="AI2521" s="8" t="str">
        <f t="shared" si="158"/>
        <v/>
      </c>
      <c r="AJ2521" s="8" t="str">
        <f t="shared" si="159"/>
        <v/>
      </c>
      <c r="AL2521" s="8" t="str">
        <f t="shared" si="160"/>
        <v/>
      </c>
    </row>
    <row r="2522" spans="1:38" x14ac:dyDescent="0.25">
      <c r="A2522" s="8" t="s">
        <v>4129</v>
      </c>
      <c r="B2522" s="8" t="s">
        <v>4130</v>
      </c>
      <c r="C2522" s="8">
        <v>30831507</v>
      </c>
      <c r="D2522" s="8">
        <v>5</v>
      </c>
      <c r="E2522" s="11">
        <v>43109</v>
      </c>
      <c r="F2522" s="8" t="s">
        <v>58</v>
      </c>
      <c r="G2522" s="11">
        <v>43111</v>
      </c>
      <c r="H2522" s="8" t="s">
        <v>25</v>
      </c>
      <c r="I2522" s="11">
        <v>43111</v>
      </c>
      <c r="J2522" s="8" t="s">
        <v>25</v>
      </c>
      <c r="N2522" s="8" t="s">
        <v>58</v>
      </c>
      <c r="O2522" s="8" t="s">
        <v>59</v>
      </c>
      <c r="P2522" s="8" t="s">
        <v>59</v>
      </c>
      <c r="R2522" s="8">
        <v>0</v>
      </c>
      <c r="S2522" s="8">
        <v>0</v>
      </c>
      <c r="T2522" s="8">
        <v>1</v>
      </c>
      <c r="U2522" s="8">
        <v>2</v>
      </c>
      <c r="X2522" s="8">
        <v>5</v>
      </c>
      <c r="AG2522" s="8" t="str">
        <f t="shared" si="157"/>
        <v/>
      </c>
      <c r="AI2522" s="8" t="str">
        <f t="shared" si="158"/>
        <v/>
      </c>
      <c r="AJ2522" s="8" t="str">
        <f t="shared" si="159"/>
        <v/>
      </c>
      <c r="AL2522" s="8" t="str">
        <f t="shared" si="160"/>
        <v/>
      </c>
    </row>
    <row r="2523" spans="1:38" x14ac:dyDescent="0.25">
      <c r="A2523" s="8" t="s">
        <v>7553</v>
      </c>
      <c r="B2523" s="8" t="s">
        <v>7554</v>
      </c>
      <c r="C2523" s="8">
        <v>30898589</v>
      </c>
      <c r="D2523" s="8">
        <v>5</v>
      </c>
      <c r="E2523" s="11">
        <v>43111</v>
      </c>
      <c r="F2523" s="8" t="s">
        <v>57</v>
      </c>
      <c r="G2523" s="11">
        <v>43115</v>
      </c>
      <c r="H2523" s="8" t="s">
        <v>25</v>
      </c>
      <c r="J2523" s="8" t="s">
        <v>25</v>
      </c>
      <c r="N2523" s="8" t="s">
        <v>58</v>
      </c>
      <c r="O2523" s="8" t="s">
        <v>59</v>
      </c>
      <c r="P2523" s="8" t="s">
        <v>59</v>
      </c>
      <c r="R2523" s="8">
        <v>0</v>
      </c>
      <c r="S2523" s="8">
        <v>0</v>
      </c>
      <c r="T2523" s="8">
        <v>1</v>
      </c>
      <c r="U2523" s="8">
        <v>2</v>
      </c>
      <c r="AG2523" s="8" t="str">
        <f t="shared" si="157"/>
        <v/>
      </c>
      <c r="AI2523" s="8" t="str">
        <f t="shared" si="158"/>
        <v/>
      </c>
      <c r="AJ2523" s="8" t="str">
        <f t="shared" si="159"/>
        <v/>
      </c>
      <c r="AL2523" s="8" t="str">
        <f t="shared" si="160"/>
        <v/>
      </c>
    </row>
    <row r="2524" spans="1:38" x14ac:dyDescent="0.25">
      <c r="A2524" s="8" t="s">
        <v>5750</v>
      </c>
      <c r="B2524" s="8" t="s">
        <v>5751</v>
      </c>
      <c r="C2524" s="8">
        <v>30921639</v>
      </c>
      <c r="D2524" s="8">
        <v>5</v>
      </c>
      <c r="E2524" s="11">
        <v>43112</v>
      </c>
      <c r="F2524" s="8" t="s">
        <v>57</v>
      </c>
      <c r="G2524" s="11">
        <v>43112</v>
      </c>
      <c r="H2524" s="8" t="s">
        <v>25</v>
      </c>
      <c r="J2524" s="8" t="s">
        <v>25</v>
      </c>
      <c r="N2524" s="8" t="s">
        <v>58</v>
      </c>
      <c r="O2524" s="8" t="s">
        <v>59</v>
      </c>
      <c r="P2524" s="8" t="s">
        <v>59</v>
      </c>
      <c r="R2524" s="8">
        <v>0</v>
      </c>
      <c r="S2524" s="8">
        <v>0</v>
      </c>
      <c r="T2524" s="8">
        <v>1</v>
      </c>
      <c r="U2524" s="8">
        <v>2</v>
      </c>
      <c r="AG2524" s="8" t="str">
        <f t="shared" si="157"/>
        <v/>
      </c>
      <c r="AI2524" s="8" t="str">
        <f t="shared" si="158"/>
        <v/>
      </c>
      <c r="AJ2524" s="8" t="str">
        <f t="shared" si="159"/>
        <v/>
      </c>
      <c r="AL2524" s="8" t="str">
        <f t="shared" si="160"/>
        <v/>
      </c>
    </row>
    <row r="2525" spans="1:38" x14ac:dyDescent="0.25">
      <c r="A2525" s="8" t="s">
        <v>7555</v>
      </c>
      <c r="B2525" s="8" t="s">
        <v>7556</v>
      </c>
      <c r="C2525" s="8">
        <v>30929338</v>
      </c>
      <c r="D2525" s="8">
        <v>5</v>
      </c>
      <c r="E2525" s="11">
        <v>43115</v>
      </c>
      <c r="F2525" s="8" t="s">
        <v>57</v>
      </c>
      <c r="G2525" s="11">
        <v>43115</v>
      </c>
      <c r="H2525" s="8" t="s">
        <v>25</v>
      </c>
      <c r="J2525" s="8" t="s">
        <v>25</v>
      </c>
      <c r="N2525" s="8" t="s">
        <v>58</v>
      </c>
      <c r="O2525" s="8" t="s">
        <v>59</v>
      </c>
      <c r="P2525" s="8" t="s">
        <v>59</v>
      </c>
      <c r="R2525" s="8">
        <v>0</v>
      </c>
      <c r="S2525" s="8">
        <v>0</v>
      </c>
      <c r="T2525" s="8">
        <v>1</v>
      </c>
      <c r="U2525" s="8">
        <v>2</v>
      </c>
      <c r="AG2525" s="8" t="str">
        <f t="shared" si="157"/>
        <v/>
      </c>
      <c r="AI2525" s="8" t="str">
        <f t="shared" si="158"/>
        <v/>
      </c>
      <c r="AJ2525" s="8" t="str">
        <f t="shared" si="159"/>
        <v/>
      </c>
      <c r="AL2525" s="8" t="str">
        <f t="shared" si="160"/>
        <v/>
      </c>
    </row>
    <row r="2526" spans="1:38" x14ac:dyDescent="0.25">
      <c r="A2526" s="8" t="s">
        <v>5752</v>
      </c>
      <c r="B2526" s="8" t="s">
        <v>5753</v>
      </c>
      <c r="C2526" s="8">
        <v>30863553</v>
      </c>
      <c r="D2526" s="8">
        <v>5</v>
      </c>
      <c r="E2526" s="11">
        <v>43110</v>
      </c>
      <c r="F2526" s="8" t="s">
        <v>57</v>
      </c>
      <c r="G2526" s="11">
        <v>43112</v>
      </c>
      <c r="H2526" s="8" t="s">
        <v>25</v>
      </c>
      <c r="J2526" s="8" t="s">
        <v>25</v>
      </c>
      <c r="N2526" s="8" t="s">
        <v>58</v>
      </c>
      <c r="O2526" s="8" t="s">
        <v>59</v>
      </c>
      <c r="P2526" s="8" t="s">
        <v>59</v>
      </c>
      <c r="R2526" s="8">
        <v>0</v>
      </c>
      <c r="S2526" s="8">
        <v>0</v>
      </c>
      <c r="T2526" s="8">
        <v>1</v>
      </c>
      <c r="U2526" s="8">
        <v>2</v>
      </c>
      <c r="AG2526" s="8" t="str">
        <f t="shared" si="157"/>
        <v/>
      </c>
      <c r="AI2526" s="8" t="str">
        <f t="shared" si="158"/>
        <v/>
      </c>
      <c r="AJ2526" s="8" t="str">
        <f t="shared" si="159"/>
        <v/>
      </c>
      <c r="AL2526" s="8" t="str">
        <f t="shared" si="160"/>
        <v/>
      </c>
    </row>
    <row r="2527" spans="1:38" x14ac:dyDescent="0.25">
      <c r="A2527" s="8" t="s">
        <v>1379</v>
      </c>
      <c r="B2527" s="8" t="s">
        <v>125</v>
      </c>
      <c r="C2527" s="8">
        <v>30850126</v>
      </c>
      <c r="D2527" s="8">
        <v>5</v>
      </c>
      <c r="E2527" s="11">
        <v>43109</v>
      </c>
      <c r="F2527" s="8" t="s">
        <v>60</v>
      </c>
      <c r="G2527" s="11">
        <v>43109</v>
      </c>
      <c r="H2527" s="8" t="s">
        <v>25</v>
      </c>
      <c r="J2527" s="8" t="s">
        <v>25</v>
      </c>
      <c r="L2527" s="8" t="s">
        <v>4797</v>
      </c>
      <c r="N2527" s="8" t="s">
        <v>58</v>
      </c>
      <c r="O2527" s="8" t="s">
        <v>59</v>
      </c>
      <c r="P2527" s="8" t="s">
        <v>59</v>
      </c>
      <c r="R2527" s="8">
        <v>0</v>
      </c>
      <c r="S2527" s="8">
        <v>0</v>
      </c>
      <c r="T2527" s="8">
        <v>1</v>
      </c>
      <c r="U2527" s="8">
        <v>2</v>
      </c>
      <c r="W2527" s="8">
        <v>4</v>
      </c>
      <c r="AG2527" s="8" t="str">
        <f t="shared" si="157"/>
        <v/>
      </c>
      <c r="AI2527" s="8" t="str">
        <f t="shared" si="158"/>
        <v/>
      </c>
      <c r="AJ2527" s="8" t="str">
        <f t="shared" si="159"/>
        <v/>
      </c>
      <c r="AL2527" s="8" t="str">
        <f t="shared" si="160"/>
        <v/>
      </c>
    </row>
    <row r="2528" spans="1:38" x14ac:dyDescent="0.25">
      <c r="A2528" s="8" t="s">
        <v>2669</v>
      </c>
      <c r="B2528" s="8" t="s">
        <v>2670</v>
      </c>
      <c r="C2528" s="8">
        <v>30856925</v>
      </c>
      <c r="D2528" s="8">
        <v>2</v>
      </c>
      <c r="E2528" s="11">
        <v>43110</v>
      </c>
      <c r="F2528" s="8" t="s">
        <v>57</v>
      </c>
      <c r="G2528" s="11">
        <v>43110</v>
      </c>
      <c r="H2528" s="8" t="s">
        <v>25</v>
      </c>
      <c r="J2528" s="8" t="s">
        <v>25</v>
      </c>
      <c r="M2528" s="8" t="s">
        <v>4131</v>
      </c>
      <c r="N2528" s="8" t="s">
        <v>58</v>
      </c>
      <c r="O2528" s="8" t="s">
        <v>59</v>
      </c>
      <c r="P2528" s="8" t="s">
        <v>59</v>
      </c>
      <c r="R2528" s="8">
        <v>0</v>
      </c>
      <c r="S2528" s="8">
        <v>0</v>
      </c>
      <c r="T2528" s="8">
        <v>1</v>
      </c>
      <c r="U2528" s="8">
        <v>2</v>
      </c>
      <c r="AG2528" s="8" t="str">
        <f t="shared" si="157"/>
        <v/>
      </c>
      <c r="AI2528" s="8" t="str">
        <f t="shared" si="158"/>
        <v/>
      </c>
      <c r="AJ2528" s="8" t="str">
        <f t="shared" si="159"/>
        <v/>
      </c>
      <c r="AL2528" s="8" t="str">
        <f t="shared" si="160"/>
        <v/>
      </c>
    </row>
    <row r="2529" spans="1:38" x14ac:dyDescent="0.25">
      <c r="A2529" s="8" t="s">
        <v>2671</v>
      </c>
      <c r="B2529" s="8" t="s">
        <v>2672</v>
      </c>
      <c r="C2529" s="8">
        <v>30874681</v>
      </c>
      <c r="D2529" s="8">
        <v>5</v>
      </c>
      <c r="E2529" s="11">
        <v>43110</v>
      </c>
      <c r="F2529" s="8" t="s">
        <v>58</v>
      </c>
      <c r="G2529" s="11">
        <v>43110</v>
      </c>
      <c r="H2529" s="8" t="s">
        <v>25</v>
      </c>
      <c r="I2529" s="11">
        <v>43112</v>
      </c>
      <c r="J2529" s="8" t="s">
        <v>25</v>
      </c>
      <c r="N2529" s="8" t="s">
        <v>58</v>
      </c>
      <c r="O2529" s="8" t="s">
        <v>59</v>
      </c>
      <c r="P2529" s="8" t="s">
        <v>59</v>
      </c>
      <c r="R2529" s="8">
        <v>0</v>
      </c>
      <c r="S2529" s="8">
        <v>0</v>
      </c>
      <c r="T2529" s="8">
        <v>1</v>
      </c>
      <c r="U2529" s="8">
        <v>2</v>
      </c>
      <c r="X2529" s="8">
        <v>5</v>
      </c>
      <c r="AG2529" s="8" t="str">
        <f t="shared" si="157"/>
        <v/>
      </c>
      <c r="AI2529" s="8" t="str">
        <f t="shared" si="158"/>
        <v/>
      </c>
      <c r="AJ2529" s="8" t="str">
        <f t="shared" si="159"/>
        <v/>
      </c>
      <c r="AL2529" s="8" t="str">
        <f t="shared" si="160"/>
        <v/>
      </c>
    </row>
    <row r="2530" spans="1:38" x14ac:dyDescent="0.25">
      <c r="A2530" s="8" t="s">
        <v>4132</v>
      </c>
      <c r="B2530" s="8" t="s">
        <v>4133</v>
      </c>
      <c r="C2530" s="8">
        <v>30849039</v>
      </c>
      <c r="D2530" s="8">
        <v>5</v>
      </c>
      <c r="E2530" s="11">
        <v>43109</v>
      </c>
      <c r="F2530" s="8" t="s">
        <v>58</v>
      </c>
      <c r="G2530" s="11">
        <v>43111</v>
      </c>
      <c r="H2530" s="8" t="s">
        <v>25</v>
      </c>
      <c r="I2530" s="11">
        <v>43111</v>
      </c>
      <c r="J2530" s="8" t="s">
        <v>25</v>
      </c>
      <c r="N2530" s="8" t="s">
        <v>58</v>
      </c>
      <c r="O2530" s="8" t="s">
        <v>59</v>
      </c>
      <c r="P2530" s="8" t="s">
        <v>59</v>
      </c>
      <c r="R2530" s="8">
        <v>0</v>
      </c>
      <c r="S2530" s="8">
        <v>0</v>
      </c>
      <c r="T2530" s="8">
        <v>1</v>
      </c>
      <c r="U2530" s="8">
        <v>2</v>
      </c>
      <c r="X2530" s="8">
        <v>5</v>
      </c>
      <c r="AG2530" s="8" t="str">
        <f t="shared" si="157"/>
        <v/>
      </c>
      <c r="AI2530" s="8" t="str">
        <f t="shared" si="158"/>
        <v/>
      </c>
      <c r="AJ2530" s="8" t="str">
        <f t="shared" si="159"/>
        <v/>
      </c>
      <c r="AL2530" s="8" t="str">
        <f t="shared" si="160"/>
        <v/>
      </c>
    </row>
    <row r="2531" spans="1:38" x14ac:dyDescent="0.25">
      <c r="A2531" s="8" t="s">
        <v>5754</v>
      </c>
      <c r="B2531" s="8" t="s">
        <v>5755</v>
      </c>
      <c r="C2531" s="8">
        <v>30866761</v>
      </c>
      <c r="D2531" s="8">
        <v>5</v>
      </c>
      <c r="E2531" s="11">
        <v>43110</v>
      </c>
      <c r="F2531" s="8" t="s">
        <v>57</v>
      </c>
      <c r="G2531" s="11">
        <v>43112</v>
      </c>
      <c r="H2531" s="8" t="s">
        <v>25</v>
      </c>
      <c r="J2531" s="8" t="s">
        <v>25</v>
      </c>
      <c r="N2531" s="8" t="s">
        <v>58</v>
      </c>
      <c r="O2531" s="8" t="s">
        <v>59</v>
      </c>
      <c r="P2531" s="8" t="s">
        <v>59</v>
      </c>
      <c r="R2531" s="8">
        <v>0</v>
      </c>
      <c r="S2531" s="8">
        <v>0</v>
      </c>
      <c r="T2531" s="8">
        <v>1</v>
      </c>
      <c r="U2531" s="8">
        <v>2</v>
      </c>
      <c r="AG2531" s="8" t="str">
        <f t="shared" si="157"/>
        <v/>
      </c>
      <c r="AI2531" s="8" t="str">
        <f t="shared" si="158"/>
        <v/>
      </c>
      <c r="AJ2531" s="8" t="str">
        <f t="shared" si="159"/>
        <v/>
      </c>
      <c r="AL2531" s="8" t="str">
        <f t="shared" si="160"/>
        <v/>
      </c>
    </row>
    <row r="2532" spans="1:38" x14ac:dyDescent="0.25">
      <c r="A2532" s="8" t="s">
        <v>4134</v>
      </c>
      <c r="B2532" s="8" t="s">
        <v>4135</v>
      </c>
      <c r="C2532" s="8">
        <v>30833154</v>
      </c>
      <c r="D2532" s="8">
        <v>5</v>
      </c>
      <c r="E2532" s="11">
        <v>43109</v>
      </c>
      <c r="F2532" s="8" t="s">
        <v>58</v>
      </c>
      <c r="G2532" s="11">
        <v>43111</v>
      </c>
      <c r="H2532" s="8" t="s">
        <v>25</v>
      </c>
      <c r="I2532" s="11">
        <v>43111</v>
      </c>
      <c r="J2532" s="8" t="s">
        <v>25</v>
      </c>
      <c r="N2532" s="8" t="s">
        <v>58</v>
      </c>
      <c r="O2532" s="8" t="s">
        <v>59</v>
      </c>
      <c r="P2532" s="8" t="s">
        <v>59</v>
      </c>
      <c r="R2532" s="8">
        <v>0</v>
      </c>
      <c r="S2532" s="8">
        <v>0</v>
      </c>
      <c r="T2532" s="8">
        <v>1</v>
      </c>
      <c r="U2532" s="8">
        <v>2</v>
      </c>
      <c r="X2532" s="8">
        <v>5</v>
      </c>
      <c r="AG2532" s="8" t="str">
        <f t="shared" si="157"/>
        <v/>
      </c>
      <c r="AI2532" s="8" t="str">
        <f t="shared" si="158"/>
        <v/>
      </c>
      <c r="AJ2532" s="8" t="str">
        <f t="shared" si="159"/>
        <v/>
      </c>
      <c r="AL2532" s="8" t="str">
        <f t="shared" si="160"/>
        <v/>
      </c>
    </row>
    <row r="2533" spans="1:38" x14ac:dyDescent="0.25">
      <c r="A2533" s="8" t="s">
        <v>7557</v>
      </c>
      <c r="B2533" s="8" t="s">
        <v>7558</v>
      </c>
      <c r="C2533" s="8">
        <v>30882148</v>
      </c>
      <c r="D2533" s="8">
        <v>5</v>
      </c>
      <c r="E2533" s="11">
        <v>43111</v>
      </c>
      <c r="F2533" s="8" t="s">
        <v>57</v>
      </c>
      <c r="G2533" s="11">
        <v>43115</v>
      </c>
      <c r="H2533" s="8" t="s">
        <v>25</v>
      </c>
      <c r="J2533" s="8" t="s">
        <v>25</v>
      </c>
      <c r="N2533" s="8" t="s">
        <v>58</v>
      </c>
      <c r="O2533" s="8" t="s">
        <v>59</v>
      </c>
      <c r="P2533" s="8" t="s">
        <v>59</v>
      </c>
      <c r="R2533" s="8">
        <v>0</v>
      </c>
      <c r="S2533" s="8">
        <v>0</v>
      </c>
      <c r="T2533" s="8">
        <v>1</v>
      </c>
      <c r="U2533" s="8">
        <v>2</v>
      </c>
      <c r="AG2533" s="8" t="str">
        <f t="shared" si="157"/>
        <v/>
      </c>
      <c r="AI2533" s="8" t="str">
        <f t="shared" si="158"/>
        <v/>
      </c>
      <c r="AJ2533" s="8" t="str">
        <f t="shared" si="159"/>
        <v/>
      </c>
      <c r="AL2533" s="8" t="str">
        <f t="shared" si="160"/>
        <v/>
      </c>
    </row>
    <row r="2534" spans="1:38" x14ac:dyDescent="0.25">
      <c r="A2534" s="8" t="s">
        <v>7559</v>
      </c>
      <c r="B2534" s="8" t="s">
        <v>7560</v>
      </c>
      <c r="C2534" s="8">
        <v>30931865</v>
      </c>
      <c r="D2534" s="8">
        <v>5</v>
      </c>
      <c r="E2534" s="11">
        <v>43115</v>
      </c>
      <c r="F2534" s="8" t="s">
        <v>58</v>
      </c>
      <c r="G2534" s="11">
        <v>43115</v>
      </c>
      <c r="H2534" s="8" t="s">
        <v>25</v>
      </c>
      <c r="I2534" s="11">
        <v>43115</v>
      </c>
      <c r="J2534" s="8" t="s">
        <v>25</v>
      </c>
      <c r="N2534" s="8" t="s">
        <v>58</v>
      </c>
      <c r="O2534" s="8" t="s">
        <v>59</v>
      </c>
      <c r="P2534" s="8" t="s">
        <v>59</v>
      </c>
      <c r="R2534" s="8">
        <v>0</v>
      </c>
      <c r="S2534" s="8">
        <v>0</v>
      </c>
      <c r="T2534" s="8">
        <v>1</v>
      </c>
      <c r="U2534" s="8">
        <v>2</v>
      </c>
      <c r="X2534" s="8">
        <v>5</v>
      </c>
      <c r="AG2534" s="8" t="str">
        <f t="shared" si="157"/>
        <v/>
      </c>
      <c r="AI2534" s="8" t="str">
        <f t="shared" si="158"/>
        <v/>
      </c>
      <c r="AJ2534" s="8" t="str">
        <f t="shared" si="159"/>
        <v/>
      </c>
      <c r="AL2534" s="8" t="str">
        <f t="shared" si="160"/>
        <v/>
      </c>
    </row>
    <row r="2535" spans="1:38" x14ac:dyDescent="0.25">
      <c r="A2535" s="8" t="s">
        <v>7561</v>
      </c>
      <c r="B2535" s="8" t="s">
        <v>7562</v>
      </c>
      <c r="C2535" s="8">
        <v>30898412</v>
      </c>
      <c r="D2535" s="8">
        <v>5</v>
      </c>
      <c r="E2535" s="11">
        <v>43111</v>
      </c>
      <c r="F2535" s="8" t="s">
        <v>58</v>
      </c>
      <c r="G2535" s="11">
        <v>43115</v>
      </c>
      <c r="H2535" s="8" t="s">
        <v>25</v>
      </c>
      <c r="I2535" s="11">
        <v>43115</v>
      </c>
      <c r="J2535" s="8" t="s">
        <v>25</v>
      </c>
      <c r="N2535" s="8" t="s">
        <v>58</v>
      </c>
      <c r="O2535" s="8" t="s">
        <v>59</v>
      </c>
      <c r="P2535" s="8" t="s">
        <v>59</v>
      </c>
      <c r="R2535" s="8">
        <v>0</v>
      </c>
      <c r="S2535" s="8">
        <v>0</v>
      </c>
      <c r="T2535" s="8">
        <v>1</v>
      </c>
      <c r="U2535" s="8">
        <v>2</v>
      </c>
      <c r="X2535" s="8">
        <v>5</v>
      </c>
      <c r="AG2535" s="8" t="str">
        <f t="shared" si="157"/>
        <v/>
      </c>
      <c r="AI2535" s="8" t="str">
        <f t="shared" si="158"/>
        <v/>
      </c>
      <c r="AJ2535" s="8" t="str">
        <f t="shared" si="159"/>
        <v/>
      </c>
      <c r="AL2535" s="8" t="str">
        <f t="shared" si="160"/>
        <v/>
      </c>
    </row>
    <row r="2536" spans="1:38" x14ac:dyDescent="0.25">
      <c r="A2536" s="8" t="s">
        <v>5756</v>
      </c>
      <c r="B2536" s="8" t="s">
        <v>5757</v>
      </c>
      <c r="C2536" s="8">
        <v>30875979</v>
      </c>
      <c r="D2536" s="8">
        <v>5</v>
      </c>
      <c r="E2536" s="11">
        <v>43110</v>
      </c>
      <c r="F2536" s="8" t="s">
        <v>57</v>
      </c>
      <c r="G2536" s="11">
        <v>43112</v>
      </c>
      <c r="H2536" s="8" t="s">
        <v>25</v>
      </c>
      <c r="J2536" s="8" t="s">
        <v>25</v>
      </c>
      <c r="N2536" s="8" t="s">
        <v>58</v>
      </c>
      <c r="O2536" s="8" t="s">
        <v>59</v>
      </c>
      <c r="P2536" s="8" t="s">
        <v>59</v>
      </c>
      <c r="R2536" s="8">
        <v>0</v>
      </c>
      <c r="S2536" s="8">
        <v>0</v>
      </c>
      <c r="T2536" s="8">
        <v>1</v>
      </c>
      <c r="U2536" s="8">
        <v>2</v>
      </c>
      <c r="AG2536" s="8" t="str">
        <f t="shared" si="157"/>
        <v/>
      </c>
      <c r="AI2536" s="8" t="str">
        <f t="shared" si="158"/>
        <v/>
      </c>
      <c r="AJ2536" s="8" t="str">
        <f t="shared" si="159"/>
        <v/>
      </c>
      <c r="AL2536" s="8" t="str">
        <f t="shared" si="160"/>
        <v/>
      </c>
    </row>
    <row r="2537" spans="1:38" x14ac:dyDescent="0.25">
      <c r="A2537" s="8" t="s">
        <v>5758</v>
      </c>
      <c r="B2537" s="8" t="s">
        <v>5759</v>
      </c>
      <c r="C2537" s="8">
        <v>30860105</v>
      </c>
      <c r="D2537" s="8">
        <v>5</v>
      </c>
      <c r="E2537" s="11">
        <v>43110</v>
      </c>
      <c r="F2537" s="8" t="s">
        <v>57</v>
      </c>
      <c r="G2537" s="11">
        <v>43112</v>
      </c>
      <c r="H2537" s="8" t="s">
        <v>25</v>
      </c>
      <c r="J2537" s="8" t="s">
        <v>25</v>
      </c>
      <c r="N2537" s="8" t="s">
        <v>58</v>
      </c>
      <c r="O2537" s="8" t="s">
        <v>59</v>
      </c>
      <c r="P2537" s="8" t="s">
        <v>59</v>
      </c>
      <c r="R2537" s="8">
        <v>0</v>
      </c>
      <c r="S2537" s="8">
        <v>0</v>
      </c>
      <c r="T2537" s="8">
        <v>1</v>
      </c>
      <c r="U2537" s="8">
        <v>2</v>
      </c>
      <c r="AG2537" s="8" t="str">
        <f t="shared" si="157"/>
        <v/>
      </c>
      <c r="AI2537" s="8" t="str">
        <f t="shared" si="158"/>
        <v/>
      </c>
      <c r="AJ2537" s="8" t="str">
        <f t="shared" si="159"/>
        <v/>
      </c>
      <c r="AL2537" s="8" t="str">
        <f t="shared" si="160"/>
        <v/>
      </c>
    </row>
    <row r="2538" spans="1:38" x14ac:dyDescent="0.25">
      <c r="A2538" s="8" t="s">
        <v>5760</v>
      </c>
      <c r="B2538" s="8" t="s">
        <v>5761</v>
      </c>
      <c r="C2538" s="8">
        <v>30898813</v>
      </c>
      <c r="D2538" s="8">
        <v>5</v>
      </c>
      <c r="E2538" s="11">
        <v>43111</v>
      </c>
      <c r="F2538" s="8" t="s">
        <v>57</v>
      </c>
      <c r="G2538" s="11">
        <v>43112</v>
      </c>
      <c r="H2538" s="8" t="s">
        <v>25</v>
      </c>
      <c r="J2538" s="8" t="s">
        <v>25</v>
      </c>
      <c r="N2538" s="8" t="s">
        <v>58</v>
      </c>
      <c r="O2538" s="8" t="s">
        <v>59</v>
      </c>
      <c r="P2538" s="8" t="s">
        <v>59</v>
      </c>
      <c r="R2538" s="8">
        <v>0</v>
      </c>
      <c r="S2538" s="8">
        <v>0</v>
      </c>
      <c r="T2538" s="8">
        <v>1</v>
      </c>
      <c r="U2538" s="8">
        <v>2</v>
      </c>
      <c r="AG2538" s="8" t="str">
        <f t="shared" si="157"/>
        <v/>
      </c>
      <c r="AI2538" s="8" t="str">
        <f t="shared" si="158"/>
        <v/>
      </c>
      <c r="AJ2538" s="8" t="str">
        <f t="shared" si="159"/>
        <v/>
      </c>
      <c r="AL2538" s="8" t="str">
        <f t="shared" si="160"/>
        <v/>
      </c>
    </row>
    <row r="2539" spans="1:38" x14ac:dyDescent="0.25">
      <c r="A2539" s="8" t="s">
        <v>7563</v>
      </c>
      <c r="B2539" s="8" t="s">
        <v>7564</v>
      </c>
      <c r="C2539" s="8">
        <v>30902984</v>
      </c>
      <c r="D2539" s="8">
        <v>5</v>
      </c>
      <c r="E2539" s="11">
        <v>43111</v>
      </c>
      <c r="F2539" s="8" t="s">
        <v>58</v>
      </c>
      <c r="G2539" s="11">
        <v>43115</v>
      </c>
      <c r="H2539" s="8" t="s">
        <v>25</v>
      </c>
      <c r="I2539" s="11">
        <v>43115</v>
      </c>
      <c r="J2539" s="8" t="s">
        <v>25</v>
      </c>
      <c r="N2539" s="8" t="s">
        <v>58</v>
      </c>
      <c r="O2539" s="8" t="s">
        <v>59</v>
      </c>
      <c r="P2539" s="8" t="s">
        <v>59</v>
      </c>
      <c r="R2539" s="8">
        <v>0</v>
      </c>
      <c r="S2539" s="8">
        <v>0</v>
      </c>
      <c r="T2539" s="8">
        <v>1</v>
      </c>
      <c r="U2539" s="8">
        <v>2</v>
      </c>
      <c r="X2539" s="8">
        <v>5</v>
      </c>
      <c r="AG2539" s="8" t="str">
        <f t="shared" si="157"/>
        <v/>
      </c>
      <c r="AI2539" s="8" t="str">
        <f t="shared" si="158"/>
        <v/>
      </c>
      <c r="AJ2539" s="8" t="str">
        <f t="shared" si="159"/>
        <v/>
      </c>
      <c r="AL2539" s="8" t="str">
        <f t="shared" si="160"/>
        <v/>
      </c>
    </row>
    <row r="2540" spans="1:38" x14ac:dyDescent="0.25">
      <c r="A2540" s="8" t="s">
        <v>551</v>
      </c>
      <c r="B2540" s="8" t="s">
        <v>552</v>
      </c>
      <c r="C2540" s="8">
        <v>30811643</v>
      </c>
      <c r="D2540" s="8">
        <v>4</v>
      </c>
      <c r="E2540" s="11">
        <v>43108</v>
      </c>
      <c r="F2540" s="8" t="s">
        <v>60</v>
      </c>
      <c r="G2540" s="11">
        <v>43108</v>
      </c>
      <c r="H2540" s="8" t="s">
        <v>25</v>
      </c>
      <c r="J2540" s="8" t="s">
        <v>25</v>
      </c>
      <c r="L2540" s="8" t="s">
        <v>3287</v>
      </c>
      <c r="N2540" s="8" t="s">
        <v>58</v>
      </c>
      <c r="O2540" s="8" t="s">
        <v>59</v>
      </c>
      <c r="P2540" s="8" t="s">
        <v>59</v>
      </c>
      <c r="R2540" s="8">
        <v>0</v>
      </c>
      <c r="S2540" s="8">
        <v>0</v>
      </c>
      <c r="T2540" s="8">
        <v>1</v>
      </c>
      <c r="U2540" s="8">
        <v>2</v>
      </c>
      <c r="W2540" s="8">
        <v>4</v>
      </c>
      <c r="AG2540" s="8" t="str">
        <f t="shared" si="157"/>
        <v/>
      </c>
      <c r="AI2540" s="8" t="str">
        <f t="shared" si="158"/>
        <v/>
      </c>
      <c r="AJ2540" s="8" t="str">
        <f t="shared" si="159"/>
        <v/>
      </c>
      <c r="AL2540" s="8" t="str">
        <f t="shared" si="160"/>
        <v/>
      </c>
    </row>
    <row r="2541" spans="1:38" x14ac:dyDescent="0.25">
      <c r="A2541" s="8" t="s">
        <v>4136</v>
      </c>
      <c r="B2541" s="8" t="s">
        <v>4137</v>
      </c>
      <c r="C2541" s="8">
        <v>30832226</v>
      </c>
      <c r="D2541" s="8">
        <v>5</v>
      </c>
      <c r="E2541" s="11">
        <v>43109</v>
      </c>
      <c r="F2541" s="8" t="s">
        <v>57</v>
      </c>
      <c r="G2541" s="11">
        <v>43111</v>
      </c>
      <c r="H2541" s="8" t="s">
        <v>25</v>
      </c>
      <c r="J2541" s="8" t="s">
        <v>25</v>
      </c>
      <c r="N2541" s="8" t="s">
        <v>58</v>
      </c>
      <c r="O2541" s="8" t="s">
        <v>59</v>
      </c>
      <c r="P2541" s="8" t="s">
        <v>59</v>
      </c>
      <c r="R2541" s="8">
        <v>0</v>
      </c>
      <c r="S2541" s="8">
        <v>0</v>
      </c>
      <c r="T2541" s="8">
        <v>1</v>
      </c>
      <c r="U2541" s="8">
        <v>2</v>
      </c>
      <c r="AG2541" s="8" t="str">
        <f t="shared" si="157"/>
        <v/>
      </c>
      <c r="AI2541" s="8" t="str">
        <f t="shared" si="158"/>
        <v/>
      </c>
      <c r="AJ2541" s="8" t="str">
        <f t="shared" si="159"/>
        <v/>
      </c>
      <c r="AL2541" s="8" t="str">
        <f t="shared" si="160"/>
        <v/>
      </c>
    </row>
    <row r="2542" spans="1:38" x14ac:dyDescent="0.25">
      <c r="A2542" s="8" t="s">
        <v>5762</v>
      </c>
      <c r="B2542" s="8" t="s">
        <v>5763</v>
      </c>
      <c r="C2542" s="8">
        <v>30858551</v>
      </c>
      <c r="D2542" s="8">
        <v>5</v>
      </c>
      <c r="E2542" s="11">
        <v>43110</v>
      </c>
      <c r="F2542" s="8" t="s">
        <v>58</v>
      </c>
      <c r="G2542" s="11">
        <v>43112</v>
      </c>
      <c r="H2542" s="8" t="s">
        <v>25</v>
      </c>
      <c r="I2542" s="11">
        <v>43115</v>
      </c>
      <c r="J2542" s="8" t="s">
        <v>25</v>
      </c>
      <c r="N2542" s="8" t="s">
        <v>58</v>
      </c>
      <c r="O2542" s="8" t="s">
        <v>59</v>
      </c>
      <c r="P2542" s="8" t="s">
        <v>59</v>
      </c>
      <c r="R2542" s="8">
        <v>0</v>
      </c>
      <c r="S2542" s="8">
        <v>0</v>
      </c>
      <c r="T2542" s="8">
        <v>1</v>
      </c>
      <c r="U2542" s="8">
        <v>2</v>
      </c>
      <c r="X2542" s="8">
        <v>5</v>
      </c>
      <c r="AG2542" s="8" t="str">
        <f t="shared" si="157"/>
        <v/>
      </c>
      <c r="AI2542" s="8" t="str">
        <f t="shared" si="158"/>
        <v/>
      </c>
      <c r="AJ2542" s="8" t="str">
        <f t="shared" si="159"/>
        <v/>
      </c>
      <c r="AL2542" s="8" t="str">
        <f t="shared" si="160"/>
        <v/>
      </c>
    </row>
    <row r="2543" spans="1:38" x14ac:dyDescent="0.25">
      <c r="A2543" s="8" t="s">
        <v>5764</v>
      </c>
      <c r="B2543" s="8" t="s">
        <v>5765</v>
      </c>
      <c r="C2543" s="8">
        <v>30856943</v>
      </c>
      <c r="D2543" s="8">
        <v>5</v>
      </c>
      <c r="E2543" s="11">
        <v>43110</v>
      </c>
      <c r="F2543" s="8" t="s">
        <v>58</v>
      </c>
      <c r="G2543" s="11">
        <v>43112</v>
      </c>
      <c r="H2543" s="8" t="s">
        <v>25</v>
      </c>
      <c r="I2543" s="11">
        <v>43112</v>
      </c>
      <c r="J2543" s="8" t="s">
        <v>25</v>
      </c>
      <c r="N2543" s="8" t="s">
        <v>58</v>
      </c>
      <c r="O2543" s="8" t="s">
        <v>59</v>
      </c>
      <c r="P2543" s="8" t="s">
        <v>59</v>
      </c>
      <c r="R2543" s="8">
        <v>0</v>
      </c>
      <c r="S2543" s="8">
        <v>0</v>
      </c>
      <c r="T2543" s="8">
        <v>1</v>
      </c>
      <c r="U2543" s="8">
        <v>2</v>
      </c>
      <c r="X2543" s="8">
        <v>5</v>
      </c>
      <c r="AG2543" s="8" t="str">
        <f t="shared" si="157"/>
        <v/>
      </c>
      <c r="AI2543" s="8" t="str">
        <f t="shared" si="158"/>
        <v/>
      </c>
      <c r="AJ2543" s="8" t="str">
        <f t="shared" si="159"/>
        <v/>
      </c>
      <c r="AL2543" s="8" t="str">
        <f t="shared" si="160"/>
        <v/>
      </c>
    </row>
    <row r="2544" spans="1:38" x14ac:dyDescent="0.25">
      <c r="A2544" s="8" t="s">
        <v>5766</v>
      </c>
      <c r="B2544" s="8" t="s">
        <v>5767</v>
      </c>
      <c r="C2544" s="8">
        <v>30913257</v>
      </c>
      <c r="D2544" s="8">
        <v>5</v>
      </c>
      <c r="E2544" s="11">
        <v>43112</v>
      </c>
      <c r="F2544" s="8" t="s">
        <v>57</v>
      </c>
      <c r="G2544" s="11">
        <v>43112</v>
      </c>
      <c r="H2544" s="8" t="s">
        <v>25</v>
      </c>
      <c r="J2544" s="8" t="s">
        <v>25</v>
      </c>
      <c r="N2544" s="8" t="s">
        <v>58</v>
      </c>
      <c r="O2544" s="8" t="s">
        <v>59</v>
      </c>
      <c r="P2544" s="8" t="s">
        <v>59</v>
      </c>
      <c r="R2544" s="8">
        <v>0</v>
      </c>
      <c r="S2544" s="8">
        <v>0</v>
      </c>
      <c r="T2544" s="8">
        <v>1</v>
      </c>
      <c r="U2544" s="8">
        <v>2</v>
      </c>
      <c r="AG2544" s="8" t="str">
        <f t="shared" si="157"/>
        <v/>
      </c>
      <c r="AI2544" s="8" t="str">
        <f t="shared" si="158"/>
        <v/>
      </c>
      <c r="AJ2544" s="8" t="str">
        <f t="shared" si="159"/>
        <v/>
      </c>
      <c r="AL2544" s="8" t="str">
        <f t="shared" si="160"/>
        <v/>
      </c>
    </row>
    <row r="2545" spans="1:38" x14ac:dyDescent="0.25">
      <c r="A2545" s="8" t="s">
        <v>5768</v>
      </c>
      <c r="B2545" s="8" t="s">
        <v>5769</v>
      </c>
      <c r="C2545" s="8">
        <v>30862998</v>
      </c>
      <c r="D2545" s="8">
        <v>5</v>
      </c>
      <c r="E2545" s="11">
        <v>43110</v>
      </c>
      <c r="F2545" s="8" t="s">
        <v>58</v>
      </c>
      <c r="G2545" s="11">
        <v>43112</v>
      </c>
      <c r="H2545" s="8" t="s">
        <v>25</v>
      </c>
      <c r="I2545" s="11">
        <v>43112</v>
      </c>
      <c r="J2545" s="8" t="s">
        <v>25</v>
      </c>
      <c r="N2545" s="8" t="s">
        <v>58</v>
      </c>
      <c r="O2545" s="8" t="s">
        <v>59</v>
      </c>
      <c r="P2545" s="8" t="s">
        <v>59</v>
      </c>
      <c r="R2545" s="8">
        <v>0</v>
      </c>
      <c r="S2545" s="8">
        <v>0</v>
      </c>
      <c r="T2545" s="8">
        <v>1</v>
      </c>
      <c r="U2545" s="8">
        <v>2</v>
      </c>
      <c r="X2545" s="8">
        <v>5</v>
      </c>
      <c r="AG2545" s="8" t="str">
        <f t="shared" si="157"/>
        <v/>
      </c>
      <c r="AI2545" s="8" t="str">
        <f t="shared" si="158"/>
        <v/>
      </c>
      <c r="AJ2545" s="8" t="str">
        <f t="shared" si="159"/>
        <v/>
      </c>
      <c r="AL2545" s="8" t="str">
        <f t="shared" si="160"/>
        <v/>
      </c>
    </row>
    <row r="2546" spans="1:38" x14ac:dyDescent="0.25">
      <c r="A2546" s="8" t="s">
        <v>4138</v>
      </c>
      <c r="B2546" s="8" t="s">
        <v>4139</v>
      </c>
      <c r="C2546" s="8">
        <v>30847752</v>
      </c>
      <c r="D2546" s="8">
        <v>5</v>
      </c>
      <c r="E2546" s="11">
        <v>43109</v>
      </c>
      <c r="F2546" s="8" t="s">
        <v>58</v>
      </c>
      <c r="G2546" s="11">
        <v>43111</v>
      </c>
      <c r="H2546" s="8" t="s">
        <v>25</v>
      </c>
      <c r="I2546" s="11">
        <v>43111</v>
      </c>
      <c r="J2546" s="8" t="s">
        <v>25</v>
      </c>
      <c r="N2546" s="8" t="s">
        <v>58</v>
      </c>
      <c r="O2546" s="8" t="s">
        <v>59</v>
      </c>
      <c r="P2546" s="8" t="s">
        <v>59</v>
      </c>
      <c r="R2546" s="8">
        <v>0</v>
      </c>
      <c r="S2546" s="8">
        <v>0</v>
      </c>
      <c r="T2546" s="8">
        <v>1</v>
      </c>
      <c r="U2546" s="8">
        <v>2</v>
      </c>
      <c r="X2546" s="8">
        <v>5</v>
      </c>
      <c r="AG2546" s="8" t="str">
        <f t="shared" si="157"/>
        <v/>
      </c>
      <c r="AI2546" s="8" t="str">
        <f t="shared" si="158"/>
        <v/>
      </c>
      <c r="AJ2546" s="8" t="str">
        <f t="shared" si="159"/>
        <v/>
      </c>
      <c r="AL2546" s="8" t="str">
        <f t="shared" si="160"/>
        <v/>
      </c>
    </row>
    <row r="2547" spans="1:38" x14ac:dyDescent="0.25">
      <c r="A2547" s="8" t="s">
        <v>7565</v>
      </c>
      <c r="B2547" s="8" t="s">
        <v>7566</v>
      </c>
      <c r="C2547" s="8">
        <v>30943752</v>
      </c>
      <c r="D2547" s="8">
        <v>5</v>
      </c>
      <c r="E2547" s="11">
        <v>43115</v>
      </c>
      <c r="F2547" s="8" t="s">
        <v>57</v>
      </c>
      <c r="G2547" s="11">
        <v>43115</v>
      </c>
      <c r="H2547" s="8" t="s">
        <v>25</v>
      </c>
      <c r="J2547" s="8" t="s">
        <v>25</v>
      </c>
      <c r="N2547" s="8" t="s">
        <v>58</v>
      </c>
      <c r="O2547" s="8" t="s">
        <v>59</v>
      </c>
      <c r="P2547" s="8" t="s">
        <v>59</v>
      </c>
      <c r="R2547" s="8">
        <v>0</v>
      </c>
      <c r="S2547" s="8">
        <v>0</v>
      </c>
      <c r="T2547" s="8">
        <v>1</v>
      </c>
      <c r="U2547" s="8">
        <v>2</v>
      </c>
      <c r="AG2547" s="8" t="str">
        <f t="shared" si="157"/>
        <v/>
      </c>
      <c r="AI2547" s="8" t="str">
        <f t="shared" si="158"/>
        <v/>
      </c>
      <c r="AJ2547" s="8" t="str">
        <f t="shared" si="159"/>
        <v/>
      </c>
      <c r="AL2547" s="8" t="str">
        <f t="shared" si="160"/>
        <v/>
      </c>
    </row>
    <row r="2548" spans="1:38" x14ac:dyDescent="0.25">
      <c r="A2548" s="8" t="s">
        <v>5770</v>
      </c>
      <c r="B2548" s="8" t="s">
        <v>5771</v>
      </c>
      <c r="C2548" s="8">
        <v>30876916</v>
      </c>
      <c r="D2548" s="8">
        <v>5</v>
      </c>
      <c r="E2548" s="11">
        <v>43110</v>
      </c>
      <c r="F2548" s="8" t="s">
        <v>57</v>
      </c>
      <c r="G2548" s="11">
        <v>43112</v>
      </c>
      <c r="H2548" s="8" t="s">
        <v>25</v>
      </c>
      <c r="J2548" s="8" t="s">
        <v>25</v>
      </c>
      <c r="N2548" s="8" t="s">
        <v>58</v>
      </c>
      <c r="O2548" s="8" t="s">
        <v>59</v>
      </c>
      <c r="P2548" s="8" t="s">
        <v>59</v>
      </c>
      <c r="R2548" s="8">
        <v>0</v>
      </c>
      <c r="S2548" s="8">
        <v>0</v>
      </c>
      <c r="T2548" s="8">
        <v>1</v>
      </c>
      <c r="U2548" s="8">
        <v>2</v>
      </c>
      <c r="AG2548" s="8" t="str">
        <f t="shared" si="157"/>
        <v/>
      </c>
      <c r="AI2548" s="8" t="str">
        <f t="shared" si="158"/>
        <v/>
      </c>
      <c r="AJ2548" s="8" t="str">
        <f t="shared" si="159"/>
        <v/>
      </c>
      <c r="AL2548" s="8" t="str">
        <f t="shared" si="160"/>
        <v/>
      </c>
    </row>
    <row r="2549" spans="1:38" x14ac:dyDescent="0.25">
      <c r="A2549" s="8" t="s">
        <v>7567</v>
      </c>
      <c r="B2549" s="8" t="s">
        <v>7568</v>
      </c>
      <c r="C2549" s="8">
        <v>30887676</v>
      </c>
      <c r="D2549" s="8">
        <v>5</v>
      </c>
      <c r="E2549" s="11">
        <v>43111</v>
      </c>
      <c r="F2549" s="8" t="s">
        <v>58</v>
      </c>
      <c r="G2549" s="11">
        <v>43115</v>
      </c>
      <c r="H2549" s="8" t="s">
        <v>25</v>
      </c>
      <c r="I2549" s="11">
        <v>43115</v>
      </c>
      <c r="J2549" s="8" t="s">
        <v>25</v>
      </c>
      <c r="N2549" s="8" t="s">
        <v>58</v>
      </c>
      <c r="O2549" s="8" t="s">
        <v>59</v>
      </c>
      <c r="P2549" s="8" t="s">
        <v>59</v>
      </c>
      <c r="R2549" s="8">
        <v>0</v>
      </c>
      <c r="S2549" s="8">
        <v>0</v>
      </c>
      <c r="T2549" s="8">
        <v>1</v>
      </c>
      <c r="U2549" s="8">
        <v>2</v>
      </c>
      <c r="X2549" s="8">
        <v>5</v>
      </c>
      <c r="AG2549" s="8" t="str">
        <f t="shared" si="157"/>
        <v/>
      </c>
      <c r="AI2549" s="8" t="str">
        <f t="shared" si="158"/>
        <v/>
      </c>
      <c r="AJ2549" s="8" t="str">
        <f t="shared" si="159"/>
        <v/>
      </c>
      <c r="AL2549" s="8" t="str">
        <f t="shared" si="160"/>
        <v/>
      </c>
    </row>
    <row r="2550" spans="1:38" x14ac:dyDescent="0.25">
      <c r="A2550" s="8" t="s">
        <v>4140</v>
      </c>
      <c r="B2550" s="8" t="s">
        <v>4141</v>
      </c>
      <c r="C2550" s="8">
        <v>30852649</v>
      </c>
      <c r="D2550" s="8">
        <v>5</v>
      </c>
      <c r="E2550" s="11">
        <v>43109</v>
      </c>
      <c r="F2550" s="8" t="s">
        <v>58</v>
      </c>
      <c r="G2550" s="11">
        <v>43111</v>
      </c>
      <c r="H2550" s="8" t="s">
        <v>25</v>
      </c>
      <c r="I2550" s="11">
        <v>43111</v>
      </c>
      <c r="J2550" s="8" t="s">
        <v>25</v>
      </c>
      <c r="N2550" s="8" t="s">
        <v>58</v>
      </c>
      <c r="O2550" s="8" t="s">
        <v>59</v>
      </c>
      <c r="P2550" s="8" t="s">
        <v>59</v>
      </c>
      <c r="R2550" s="8">
        <v>0</v>
      </c>
      <c r="S2550" s="8">
        <v>0</v>
      </c>
      <c r="T2550" s="8">
        <v>1</v>
      </c>
      <c r="U2550" s="8">
        <v>2</v>
      </c>
      <c r="X2550" s="8">
        <v>5</v>
      </c>
      <c r="AG2550" s="8" t="str">
        <f t="shared" si="157"/>
        <v/>
      </c>
      <c r="AI2550" s="8" t="str">
        <f t="shared" si="158"/>
        <v/>
      </c>
      <c r="AJ2550" s="8" t="str">
        <f t="shared" si="159"/>
        <v/>
      </c>
      <c r="AL2550" s="8" t="str">
        <f t="shared" si="160"/>
        <v/>
      </c>
    </row>
    <row r="2551" spans="1:38" x14ac:dyDescent="0.25">
      <c r="A2551" s="8" t="s">
        <v>553</v>
      </c>
      <c r="B2551" s="8" t="s">
        <v>554</v>
      </c>
      <c r="C2551" s="8">
        <v>30816959</v>
      </c>
      <c r="D2551" s="8">
        <v>5</v>
      </c>
      <c r="E2551" s="11">
        <v>43108</v>
      </c>
      <c r="F2551" s="8" t="s">
        <v>58</v>
      </c>
      <c r="G2551" s="11">
        <v>43108</v>
      </c>
      <c r="H2551" s="8" t="s">
        <v>25</v>
      </c>
      <c r="I2551" s="11">
        <v>43109</v>
      </c>
      <c r="J2551" s="8" t="s">
        <v>25</v>
      </c>
      <c r="N2551" s="8" t="s">
        <v>58</v>
      </c>
      <c r="O2551" s="8" t="s">
        <v>59</v>
      </c>
      <c r="P2551" s="8" t="s">
        <v>59</v>
      </c>
      <c r="R2551" s="8">
        <v>0</v>
      </c>
      <c r="S2551" s="8">
        <v>0</v>
      </c>
      <c r="T2551" s="8">
        <v>1</v>
      </c>
      <c r="U2551" s="8">
        <v>2</v>
      </c>
      <c r="X2551" s="8">
        <v>5</v>
      </c>
      <c r="AG2551" s="8" t="str">
        <f t="shared" si="157"/>
        <v/>
      </c>
      <c r="AI2551" s="8" t="str">
        <f t="shared" si="158"/>
        <v/>
      </c>
      <c r="AJ2551" s="8" t="str">
        <f t="shared" si="159"/>
        <v/>
      </c>
      <c r="AL2551" s="8" t="str">
        <f t="shared" si="160"/>
        <v/>
      </c>
    </row>
    <row r="2552" spans="1:38" x14ac:dyDescent="0.25">
      <c r="A2552" s="8" t="s">
        <v>2673</v>
      </c>
      <c r="B2552" s="8" t="s">
        <v>2674</v>
      </c>
      <c r="C2552" s="8">
        <v>30822113</v>
      </c>
      <c r="D2552" s="8">
        <v>5</v>
      </c>
      <c r="E2552" s="11">
        <v>43108</v>
      </c>
      <c r="F2552" s="8" t="s">
        <v>58</v>
      </c>
      <c r="G2552" s="11">
        <v>43110</v>
      </c>
      <c r="H2552" s="8" t="s">
        <v>25</v>
      </c>
      <c r="I2552" s="11">
        <v>43110</v>
      </c>
      <c r="J2552" s="8" t="s">
        <v>25</v>
      </c>
      <c r="N2552" s="8" t="s">
        <v>58</v>
      </c>
      <c r="O2552" s="8" t="s">
        <v>59</v>
      </c>
      <c r="P2552" s="8" t="s">
        <v>59</v>
      </c>
      <c r="R2552" s="8">
        <v>0</v>
      </c>
      <c r="S2552" s="8">
        <v>0</v>
      </c>
      <c r="T2552" s="8">
        <v>1</v>
      </c>
      <c r="U2552" s="8">
        <v>2</v>
      </c>
      <c r="X2552" s="8">
        <v>5</v>
      </c>
      <c r="AG2552" s="8" t="str">
        <f t="shared" si="157"/>
        <v/>
      </c>
      <c r="AI2552" s="8" t="str">
        <f t="shared" si="158"/>
        <v/>
      </c>
      <c r="AJ2552" s="8" t="str">
        <f t="shared" si="159"/>
        <v/>
      </c>
      <c r="AL2552" s="8" t="str">
        <f t="shared" si="160"/>
        <v/>
      </c>
    </row>
    <row r="2553" spans="1:38" x14ac:dyDescent="0.25">
      <c r="A2553" s="8" t="s">
        <v>4142</v>
      </c>
      <c r="B2553" s="8" t="s">
        <v>4143</v>
      </c>
      <c r="C2553" s="8">
        <v>30844591</v>
      </c>
      <c r="D2553" s="8">
        <v>5</v>
      </c>
      <c r="E2553" s="11">
        <v>43109</v>
      </c>
      <c r="F2553" s="8" t="s">
        <v>57</v>
      </c>
      <c r="G2553" s="11">
        <v>43111</v>
      </c>
      <c r="H2553" s="8" t="s">
        <v>25</v>
      </c>
      <c r="J2553" s="8" t="s">
        <v>25</v>
      </c>
      <c r="N2553" s="8" t="s">
        <v>58</v>
      </c>
      <c r="O2553" s="8" t="s">
        <v>59</v>
      </c>
      <c r="P2553" s="8" t="s">
        <v>59</v>
      </c>
      <c r="R2553" s="8">
        <v>0</v>
      </c>
      <c r="S2553" s="8">
        <v>0</v>
      </c>
      <c r="T2553" s="8">
        <v>1</v>
      </c>
      <c r="U2553" s="8">
        <v>2</v>
      </c>
      <c r="AG2553" s="8" t="str">
        <f t="shared" si="157"/>
        <v/>
      </c>
      <c r="AI2553" s="8" t="str">
        <f t="shared" si="158"/>
        <v/>
      </c>
      <c r="AJ2553" s="8" t="str">
        <f t="shared" si="159"/>
        <v/>
      </c>
      <c r="AL2553" s="8" t="str">
        <f t="shared" si="160"/>
        <v/>
      </c>
    </row>
    <row r="2554" spans="1:38" x14ac:dyDescent="0.25">
      <c r="A2554" s="8" t="s">
        <v>4144</v>
      </c>
      <c r="B2554" s="8" t="s">
        <v>4145</v>
      </c>
      <c r="C2554" s="8">
        <v>30859968</v>
      </c>
      <c r="D2554" s="8">
        <v>5</v>
      </c>
      <c r="E2554" s="11">
        <v>43110</v>
      </c>
      <c r="F2554" s="8" t="s">
        <v>58</v>
      </c>
      <c r="G2554" s="11">
        <v>43111</v>
      </c>
      <c r="H2554" s="8" t="s">
        <v>25</v>
      </c>
      <c r="I2554" s="11">
        <v>43111</v>
      </c>
      <c r="J2554" s="8" t="s">
        <v>25</v>
      </c>
      <c r="N2554" s="8" t="s">
        <v>58</v>
      </c>
      <c r="O2554" s="8" t="s">
        <v>59</v>
      </c>
      <c r="P2554" s="8" t="s">
        <v>59</v>
      </c>
      <c r="R2554" s="8">
        <v>0</v>
      </c>
      <c r="S2554" s="8">
        <v>0</v>
      </c>
      <c r="T2554" s="8">
        <v>1</v>
      </c>
      <c r="U2554" s="8">
        <v>2</v>
      </c>
      <c r="X2554" s="8">
        <v>5</v>
      </c>
      <c r="AG2554" s="8" t="str">
        <f t="shared" si="157"/>
        <v/>
      </c>
      <c r="AI2554" s="8" t="str">
        <f t="shared" si="158"/>
        <v/>
      </c>
      <c r="AJ2554" s="8" t="str">
        <f t="shared" si="159"/>
        <v/>
      </c>
      <c r="AL2554" s="8" t="str">
        <f t="shared" si="160"/>
        <v/>
      </c>
    </row>
    <row r="2555" spans="1:38" x14ac:dyDescent="0.25">
      <c r="A2555" s="8" t="s">
        <v>1380</v>
      </c>
      <c r="B2555" s="8" t="s">
        <v>1381</v>
      </c>
      <c r="C2555" s="8">
        <v>30848526</v>
      </c>
      <c r="D2555" s="8">
        <v>5</v>
      </c>
      <c r="E2555" s="11">
        <v>43109</v>
      </c>
      <c r="F2555" s="8" t="s">
        <v>60</v>
      </c>
      <c r="G2555" s="11">
        <v>43109</v>
      </c>
      <c r="H2555" s="8" t="s">
        <v>25</v>
      </c>
      <c r="J2555" s="8" t="s">
        <v>25</v>
      </c>
      <c r="L2555" s="8" t="s">
        <v>3287</v>
      </c>
      <c r="N2555" s="8" t="s">
        <v>58</v>
      </c>
      <c r="O2555" s="8" t="s">
        <v>59</v>
      </c>
      <c r="P2555" s="8" t="s">
        <v>59</v>
      </c>
      <c r="R2555" s="8">
        <v>0</v>
      </c>
      <c r="S2555" s="8">
        <v>0</v>
      </c>
      <c r="T2555" s="8">
        <v>1</v>
      </c>
      <c r="U2555" s="8">
        <v>2</v>
      </c>
      <c r="W2555" s="8">
        <v>4</v>
      </c>
      <c r="AG2555" s="8" t="str">
        <f t="shared" si="157"/>
        <v/>
      </c>
      <c r="AI2555" s="8" t="str">
        <f t="shared" si="158"/>
        <v/>
      </c>
      <c r="AJ2555" s="8" t="str">
        <f t="shared" si="159"/>
        <v/>
      </c>
      <c r="AL2555" s="8" t="str">
        <f t="shared" si="160"/>
        <v/>
      </c>
    </row>
    <row r="2556" spans="1:38" x14ac:dyDescent="0.25">
      <c r="A2556" s="8" t="s">
        <v>5772</v>
      </c>
      <c r="B2556" s="8" t="s">
        <v>1381</v>
      </c>
      <c r="C2556" s="8">
        <v>30910536</v>
      </c>
      <c r="D2556" s="8">
        <v>5</v>
      </c>
      <c r="E2556" s="11">
        <v>43112</v>
      </c>
      <c r="F2556" s="8" t="s">
        <v>60</v>
      </c>
      <c r="G2556" s="11">
        <v>43112</v>
      </c>
      <c r="H2556" s="8" t="s">
        <v>25</v>
      </c>
      <c r="J2556" s="8" t="s">
        <v>25</v>
      </c>
      <c r="L2556" s="8" t="s">
        <v>6525</v>
      </c>
      <c r="N2556" s="8" t="s">
        <v>58</v>
      </c>
      <c r="O2556" s="8" t="s">
        <v>59</v>
      </c>
      <c r="P2556" s="8" t="s">
        <v>59</v>
      </c>
      <c r="R2556" s="8">
        <v>0</v>
      </c>
      <c r="S2556" s="8">
        <v>0</v>
      </c>
      <c r="T2556" s="8">
        <v>1</v>
      </c>
      <c r="U2556" s="8">
        <v>2</v>
      </c>
      <c r="W2556" s="8">
        <v>4</v>
      </c>
      <c r="AG2556" s="8" t="str">
        <f t="shared" si="157"/>
        <v/>
      </c>
      <c r="AI2556" s="8" t="str">
        <f t="shared" si="158"/>
        <v/>
      </c>
      <c r="AJ2556" s="8" t="str">
        <f t="shared" si="159"/>
        <v/>
      </c>
      <c r="AL2556" s="8" t="str">
        <f t="shared" si="160"/>
        <v/>
      </c>
    </row>
    <row r="2557" spans="1:38" x14ac:dyDescent="0.25">
      <c r="A2557" s="8" t="s">
        <v>7569</v>
      </c>
      <c r="B2557" s="8" t="s">
        <v>7570</v>
      </c>
      <c r="C2557" s="8">
        <v>30934454</v>
      </c>
      <c r="D2557" s="8">
        <v>5</v>
      </c>
      <c r="E2557" s="11">
        <v>43115</v>
      </c>
      <c r="F2557" s="8" t="s">
        <v>57</v>
      </c>
      <c r="G2557" s="11">
        <v>43115</v>
      </c>
      <c r="H2557" s="8" t="s">
        <v>25</v>
      </c>
      <c r="J2557" s="8" t="s">
        <v>25</v>
      </c>
      <c r="N2557" s="8" t="s">
        <v>58</v>
      </c>
      <c r="O2557" s="8" t="s">
        <v>59</v>
      </c>
      <c r="P2557" s="8" t="s">
        <v>59</v>
      </c>
      <c r="R2557" s="8">
        <v>0</v>
      </c>
      <c r="S2557" s="8">
        <v>0</v>
      </c>
      <c r="T2557" s="8">
        <v>1</v>
      </c>
      <c r="U2557" s="8">
        <v>2</v>
      </c>
      <c r="AG2557" s="8" t="str">
        <f t="shared" si="157"/>
        <v/>
      </c>
      <c r="AI2557" s="8" t="str">
        <f t="shared" si="158"/>
        <v/>
      </c>
      <c r="AJ2557" s="8" t="str">
        <f t="shared" si="159"/>
        <v/>
      </c>
      <c r="AL2557" s="8" t="str">
        <f t="shared" si="160"/>
        <v/>
      </c>
    </row>
    <row r="2558" spans="1:38" x14ac:dyDescent="0.25">
      <c r="A2558" s="8" t="s">
        <v>7571</v>
      </c>
      <c r="B2558" s="8" t="s">
        <v>7572</v>
      </c>
      <c r="C2558" s="8">
        <v>30947486</v>
      </c>
      <c r="D2558" s="8">
        <v>5</v>
      </c>
      <c r="E2558" s="11">
        <v>43115</v>
      </c>
      <c r="F2558" s="8" t="s">
        <v>57</v>
      </c>
      <c r="G2558" s="11">
        <v>43115</v>
      </c>
      <c r="H2558" s="8" t="s">
        <v>25</v>
      </c>
      <c r="J2558" s="8" t="s">
        <v>25</v>
      </c>
      <c r="N2558" s="8" t="s">
        <v>58</v>
      </c>
      <c r="O2558" s="8" t="s">
        <v>59</v>
      </c>
      <c r="P2558" s="8" t="s">
        <v>59</v>
      </c>
      <c r="R2558" s="8">
        <v>0</v>
      </c>
      <c r="S2558" s="8">
        <v>0</v>
      </c>
      <c r="T2558" s="8">
        <v>1</v>
      </c>
      <c r="U2558" s="8">
        <v>2</v>
      </c>
      <c r="AG2558" s="8" t="str">
        <f t="shared" si="157"/>
        <v/>
      </c>
      <c r="AI2558" s="8" t="str">
        <f t="shared" si="158"/>
        <v/>
      </c>
      <c r="AJ2558" s="8" t="str">
        <f t="shared" si="159"/>
        <v/>
      </c>
      <c r="AL2558" s="8" t="str">
        <f t="shared" si="160"/>
        <v/>
      </c>
    </row>
    <row r="2559" spans="1:38" x14ac:dyDescent="0.25">
      <c r="A2559" s="8" t="s">
        <v>2675</v>
      </c>
      <c r="B2559" s="8" t="s">
        <v>2676</v>
      </c>
      <c r="C2559" s="8">
        <v>30857002</v>
      </c>
      <c r="D2559" s="8">
        <v>5</v>
      </c>
      <c r="E2559" s="11">
        <v>43110</v>
      </c>
      <c r="F2559" s="8" t="s">
        <v>57</v>
      </c>
      <c r="G2559" s="11">
        <v>43110</v>
      </c>
      <c r="H2559" s="8" t="s">
        <v>25</v>
      </c>
      <c r="J2559" s="8" t="s">
        <v>25</v>
      </c>
      <c r="N2559" s="8" t="s">
        <v>58</v>
      </c>
      <c r="O2559" s="8" t="s">
        <v>59</v>
      </c>
      <c r="P2559" s="8" t="s">
        <v>59</v>
      </c>
      <c r="R2559" s="8">
        <v>0</v>
      </c>
      <c r="S2559" s="8">
        <v>0</v>
      </c>
      <c r="T2559" s="8">
        <v>1</v>
      </c>
      <c r="U2559" s="8">
        <v>2</v>
      </c>
      <c r="AG2559" s="8" t="str">
        <f t="shared" si="157"/>
        <v/>
      </c>
      <c r="AI2559" s="8" t="str">
        <f t="shared" si="158"/>
        <v/>
      </c>
      <c r="AJ2559" s="8" t="str">
        <f t="shared" si="159"/>
        <v/>
      </c>
      <c r="AL2559" s="8" t="str">
        <f t="shared" si="160"/>
        <v/>
      </c>
    </row>
    <row r="2560" spans="1:38" x14ac:dyDescent="0.25">
      <c r="A2560" s="8" t="s">
        <v>7573</v>
      </c>
      <c r="B2560" s="8" t="s">
        <v>7574</v>
      </c>
      <c r="C2560" s="8">
        <v>30892200</v>
      </c>
      <c r="D2560" s="8">
        <v>5</v>
      </c>
      <c r="E2560" s="11">
        <v>43111</v>
      </c>
      <c r="F2560" s="8" t="s">
        <v>58</v>
      </c>
      <c r="G2560" s="11">
        <v>43115</v>
      </c>
      <c r="H2560" s="8" t="s">
        <v>25</v>
      </c>
      <c r="I2560" s="11">
        <v>43115</v>
      </c>
      <c r="J2560" s="8" t="s">
        <v>25</v>
      </c>
      <c r="N2560" s="8" t="s">
        <v>58</v>
      </c>
      <c r="O2560" s="8" t="s">
        <v>59</v>
      </c>
      <c r="P2560" s="8" t="s">
        <v>59</v>
      </c>
      <c r="R2560" s="8">
        <v>0</v>
      </c>
      <c r="S2560" s="8">
        <v>0</v>
      </c>
      <c r="T2560" s="8">
        <v>1</v>
      </c>
      <c r="U2560" s="8">
        <v>2</v>
      </c>
      <c r="X2560" s="8">
        <v>5</v>
      </c>
      <c r="AG2560" s="8" t="str">
        <f t="shared" si="157"/>
        <v/>
      </c>
      <c r="AI2560" s="8" t="str">
        <f t="shared" si="158"/>
        <v/>
      </c>
      <c r="AJ2560" s="8" t="str">
        <f t="shared" si="159"/>
        <v/>
      </c>
      <c r="AL2560" s="8" t="str">
        <f t="shared" si="160"/>
        <v/>
      </c>
    </row>
    <row r="2561" spans="1:38" x14ac:dyDescent="0.25">
      <c r="A2561" s="8" t="s">
        <v>4146</v>
      </c>
      <c r="B2561" s="8" t="s">
        <v>4147</v>
      </c>
      <c r="C2561" s="8">
        <v>30850693</v>
      </c>
      <c r="D2561" s="8">
        <v>5</v>
      </c>
      <c r="E2561" s="11">
        <v>43109</v>
      </c>
      <c r="F2561" s="8" t="s">
        <v>58</v>
      </c>
      <c r="G2561" s="11">
        <v>43111</v>
      </c>
      <c r="H2561" s="8" t="s">
        <v>25</v>
      </c>
      <c r="I2561" s="11">
        <v>43111</v>
      </c>
      <c r="J2561" s="8" t="s">
        <v>25</v>
      </c>
      <c r="N2561" s="8" t="s">
        <v>58</v>
      </c>
      <c r="O2561" s="8" t="s">
        <v>59</v>
      </c>
      <c r="P2561" s="8" t="s">
        <v>59</v>
      </c>
      <c r="R2561" s="8">
        <v>0</v>
      </c>
      <c r="S2561" s="8">
        <v>0</v>
      </c>
      <c r="T2561" s="8">
        <v>1</v>
      </c>
      <c r="U2561" s="8">
        <v>2</v>
      </c>
      <c r="X2561" s="8">
        <v>5</v>
      </c>
      <c r="AG2561" s="8" t="str">
        <f t="shared" si="157"/>
        <v/>
      </c>
      <c r="AI2561" s="8" t="str">
        <f t="shared" si="158"/>
        <v/>
      </c>
      <c r="AJ2561" s="8" t="str">
        <f t="shared" si="159"/>
        <v/>
      </c>
      <c r="AL2561" s="8" t="str">
        <f t="shared" si="160"/>
        <v/>
      </c>
    </row>
    <row r="2562" spans="1:38" x14ac:dyDescent="0.25">
      <c r="A2562" s="8" t="s">
        <v>1382</v>
      </c>
      <c r="B2562" s="8" t="s">
        <v>89</v>
      </c>
      <c r="C2562" s="8">
        <v>30833014</v>
      </c>
      <c r="D2562" s="8">
        <v>5</v>
      </c>
      <c r="E2562" s="11">
        <v>43109</v>
      </c>
      <c r="F2562" s="8" t="s">
        <v>58</v>
      </c>
      <c r="G2562" s="11">
        <v>43109</v>
      </c>
      <c r="H2562" s="8" t="s">
        <v>25</v>
      </c>
      <c r="I2562" s="11">
        <v>43111</v>
      </c>
      <c r="J2562" s="8" t="s">
        <v>25</v>
      </c>
      <c r="N2562" s="8" t="s">
        <v>58</v>
      </c>
      <c r="O2562" s="8" t="s">
        <v>59</v>
      </c>
      <c r="P2562" s="8" t="s">
        <v>59</v>
      </c>
      <c r="R2562" s="8">
        <v>0</v>
      </c>
      <c r="S2562" s="8">
        <v>0</v>
      </c>
      <c r="T2562" s="8">
        <v>1</v>
      </c>
      <c r="U2562" s="8">
        <v>2</v>
      </c>
      <c r="X2562" s="8">
        <v>5</v>
      </c>
      <c r="AG2562" s="8" t="str">
        <f t="shared" si="157"/>
        <v/>
      </c>
      <c r="AI2562" s="8" t="str">
        <f t="shared" si="158"/>
        <v/>
      </c>
      <c r="AJ2562" s="8" t="str">
        <f t="shared" si="159"/>
        <v/>
      </c>
      <c r="AL2562" s="8" t="str">
        <f t="shared" si="160"/>
        <v/>
      </c>
    </row>
    <row r="2563" spans="1:38" x14ac:dyDescent="0.25">
      <c r="A2563" s="8" t="s">
        <v>1383</v>
      </c>
      <c r="B2563" s="8" t="s">
        <v>1384</v>
      </c>
      <c r="C2563" s="8">
        <v>30852422</v>
      </c>
      <c r="D2563" s="8">
        <v>5</v>
      </c>
      <c r="E2563" s="11">
        <v>43109</v>
      </c>
      <c r="F2563" s="8" t="s">
        <v>58</v>
      </c>
      <c r="G2563" s="11">
        <v>43109</v>
      </c>
      <c r="H2563" s="8" t="s">
        <v>25</v>
      </c>
      <c r="I2563" s="11">
        <v>43111</v>
      </c>
      <c r="J2563" s="8" t="s">
        <v>25</v>
      </c>
      <c r="N2563" s="8" t="s">
        <v>58</v>
      </c>
      <c r="O2563" s="8" t="s">
        <v>59</v>
      </c>
      <c r="P2563" s="8" t="s">
        <v>59</v>
      </c>
      <c r="R2563" s="8">
        <v>0</v>
      </c>
      <c r="S2563" s="8">
        <v>0</v>
      </c>
      <c r="T2563" s="8">
        <v>1</v>
      </c>
      <c r="U2563" s="8">
        <v>2</v>
      </c>
      <c r="X2563" s="8">
        <v>5</v>
      </c>
      <c r="AG2563" s="8" t="str">
        <f t="shared" ref="AG2563:AG2626" si="161">IF(AND(U2563="",G2563&lt;&gt;"",NOT(OR(R2563,S2563))),IF(NETWORKDAYS.INTL(G2563,TODAY(),11)&lt;5,"En Plazo",IF(NETWORKDAYS.INTL(G2563,TODAY(),11)=5,"Riesgo Incumplimiento","FALTA_02")),"")</f>
        <v/>
      </c>
      <c r="AI2563" s="8" t="str">
        <f t="shared" ref="AI2563:AI2626" si="162">IF(AND(O2563&lt;&gt;"B1",F2563="Rejected"),IF(W2563="","FALTA_04",""),"")</f>
        <v/>
      </c>
      <c r="AJ2563" s="8" t="str">
        <f t="shared" ref="AJ2563:AJ2626" si="163">IF(AND(X2563="",I2563&lt;&gt;"",NOT(OR(R2563,S2563))),IF(NETWORKDAYS.INTL(G2563,TODAY(),11)&lt;=1,"En Plazo",IF(OR(AND(X2563="",O2563&lt;&gt;"M1"),AND(O2563="M1",(OR(Q2563="S - S",Q2563="S - T",)))),"FALTA_05","")),"")</f>
        <v/>
      </c>
      <c r="AL2563" s="8" t="str">
        <f t="shared" ref="AL2563:AL2626" si="164">IF(AND(O2563="B1",F2563="Rejected"),IF(Z2563="","FALTA_07",""),"")</f>
        <v/>
      </c>
    </row>
    <row r="2564" spans="1:38" x14ac:dyDescent="0.25">
      <c r="A2564" s="8" t="s">
        <v>2677</v>
      </c>
      <c r="B2564" s="8" t="s">
        <v>2678</v>
      </c>
      <c r="C2564" s="8">
        <v>30872720</v>
      </c>
      <c r="D2564" s="8">
        <v>5</v>
      </c>
      <c r="E2564" s="11">
        <v>43110</v>
      </c>
      <c r="F2564" s="8" t="s">
        <v>57</v>
      </c>
      <c r="G2564" s="11">
        <v>43110</v>
      </c>
      <c r="H2564" s="8" t="s">
        <v>25</v>
      </c>
      <c r="J2564" s="8" t="s">
        <v>25</v>
      </c>
      <c r="N2564" s="8" t="s">
        <v>58</v>
      </c>
      <c r="O2564" s="8" t="s">
        <v>59</v>
      </c>
      <c r="P2564" s="8" t="s">
        <v>59</v>
      </c>
      <c r="R2564" s="8">
        <v>0</v>
      </c>
      <c r="S2564" s="8">
        <v>0</v>
      </c>
      <c r="T2564" s="8">
        <v>1</v>
      </c>
      <c r="U2564" s="8">
        <v>2</v>
      </c>
      <c r="AG2564" s="8" t="str">
        <f t="shared" si="161"/>
        <v/>
      </c>
      <c r="AI2564" s="8" t="str">
        <f t="shared" si="162"/>
        <v/>
      </c>
      <c r="AJ2564" s="8" t="str">
        <f t="shared" si="163"/>
        <v/>
      </c>
      <c r="AL2564" s="8" t="str">
        <f t="shared" si="164"/>
        <v/>
      </c>
    </row>
    <row r="2565" spans="1:38" x14ac:dyDescent="0.25">
      <c r="A2565" s="8" t="s">
        <v>4148</v>
      </c>
      <c r="B2565" s="8" t="s">
        <v>4149</v>
      </c>
      <c r="C2565" s="8">
        <v>30847767</v>
      </c>
      <c r="D2565" s="8">
        <v>5</v>
      </c>
      <c r="E2565" s="11">
        <v>43109</v>
      </c>
      <c r="F2565" s="8" t="s">
        <v>57</v>
      </c>
      <c r="G2565" s="11">
        <v>43111</v>
      </c>
      <c r="H2565" s="8" t="s">
        <v>25</v>
      </c>
      <c r="J2565" s="8" t="s">
        <v>25</v>
      </c>
      <c r="N2565" s="8" t="s">
        <v>58</v>
      </c>
      <c r="O2565" s="8" t="s">
        <v>59</v>
      </c>
      <c r="P2565" s="8" t="s">
        <v>59</v>
      </c>
      <c r="R2565" s="8">
        <v>0</v>
      </c>
      <c r="S2565" s="8">
        <v>0</v>
      </c>
      <c r="T2565" s="8">
        <v>1</v>
      </c>
      <c r="U2565" s="8">
        <v>2</v>
      </c>
      <c r="AG2565" s="8" t="str">
        <f t="shared" si="161"/>
        <v/>
      </c>
      <c r="AI2565" s="8" t="str">
        <f t="shared" si="162"/>
        <v/>
      </c>
      <c r="AJ2565" s="8" t="str">
        <f t="shared" si="163"/>
        <v/>
      </c>
      <c r="AL2565" s="8" t="str">
        <f t="shared" si="164"/>
        <v/>
      </c>
    </row>
    <row r="2566" spans="1:38" x14ac:dyDescent="0.25">
      <c r="A2566" s="8" t="s">
        <v>4150</v>
      </c>
      <c r="B2566" s="8" t="s">
        <v>4151</v>
      </c>
      <c r="C2566" s="8">
        <v>30847791</v>
      </c>
      <c r="D2566" s="8">
        <v>5</v>
      </c>
      <c r="E2566" s="11">
        <v>43109</v>
      </c>
      <c r="F2566" s="8" t="s">
        <v>57</v>
      </c>
      <c r="G2566" s="11">
        <v>43111</v>
      </c>
      <c r="H2566" s="8" t="s">
        <v>25</v>
      </c>
      <c r="J2566" s="8" t="s">
        <v>25</v>
      </c>
      <c r="N2566" s="8" t="s">
        <v>58</v>
      </c>
      <c r="O2566" s="8" t="s">
        <v>59</v>
      </c>
      <c r="P2566" s="8" t="s">
        <v>59</v>
      </c>
      <c r="R2566" s="8">
        <v>0</v>
      </c>
      <c r="S2566" s="8">
        <v>0</v>
      </c>
      <c r="T2566" s="8">
        <v>1</v>
      </c>
      <c r="U2566" s="8">
        <v>2</v>
      </c>
      <c r="AG2566" s="8" t="str">
        <f t="shared" si="161"/>
        <v/>
      </c>
      <c r="AI2566" s="8" t="str">
        <f t="shared" si="162"/>
        <v/>
      </c>
      <c r="AJ2566" s="8" t="str">
        <f t="shared" si="163"/>
        <v/>
      </c>
      <c r="AL2566" s="8" t="str">
        <f t="shared" si="164"/>
        <v/>
      </c>
    </row>
    <row r="2567" spans="1:38" x14ac:dyDescent="0.25">
      <c r="A2567" s="8" t="s">
        <v>5773</v>
      </c>
      <c r="B2567" s="8" t="s">
        <v>5774</v>
      </c>
      <c r="C2567" s="8">
        <v>30921669</v>
      </c>
      <c r="D2567" s="8">
        <v>5</v>
      </c>
      <c r="E2567" s="11">
        <v>43112</v>
      </c>
      <c r="F2567" s="8" t="s">
        <v>57</v>
      </c>
      <c r="G2567" s="11">
        <v>43112</v>
      </c>
      <c r="H2567" s="8" t="s">
        <v>25</v>
      </c>
      <c r="J2567" s="8" t="s">
        <v>25</v>
      </c>
      <c r="N2567" s="8" t="s">
        <v>58</v>
      </c>
      <c r="O2567" s="8" t="s">
        <v>59</v>
      </c>
      <c r="P2567" s="8" t="s">
        <v>59</v>
      </c>
      <c r="R2567" s="8">
        <v>0</v>
      </c>
      <c r="S2567" s="8">
        <v>0</v>
      </c>
      <c r="T2567" s="8">
        <v>1</v>
      </c>
      <c r="U2567" s="8">
        <v>2</v>
      </c>
      <c r="AG2567" s="8" t="str">
        <f t="shared" si="161"/>
        <v/>
      </c>
      <c r="AI2567" s="8" t="str">
        <f t="shared" si="162"/>
        <v/>
      </c>
      <c r="AJ2567" s="8" t="str">
        <f t="shared" si="163"/>
        <v/>
      </c>
      <c r="AL2567" s="8" t="str">
        <f t="shared" si="164"/>
        <v/>
      </c>
    </row>
    <row r="2568" spans="1:38" x14ac:dyDescent="0.25">
      <c r="A2568" s="8" t="s">
        <v>7575</v>
      </c>
      <c r="B2568" s="8" t="s">
        <v>7576</v>
      </c>
      <c r="C2568" s="8">
        <v>30882710</v>
      </c>
      <c r="D2568" s="8">
        <v>5</v>
      </c>
      <c r="E2568" s="11">
        <v>43111</v>
      </c>
      <c r="F2568" s="8" t="s">
        <v>57</v>
      </c>
      <c r="G2568" s="11">
        <v>43115</v>
      </c>
      <c r="H2568" s="8" t="s">
        <v>25</v>
      </c>
      <c r="J2568" s="8" t="s">
        <v>25</v>
      </c>
      <c r="N2568" s="8" t="s">
        <v>58</v>
      </c>
      <c r="O2568" s="8" t="s">
        <v>59</v>
      </c>
      <c r="P2568" s="8" t="s">
        <v>59</v>
      </c>
      <c r="R2568" s="8">
        <v>0</v>
      </c>
      <c r="S2568" s="8">
        <v>0</v>
      </c>
      <c r="T2568" s="8">
        <v>1</v>
      </c>
      <c r="U2568" s="8">
        <v>2</v>
      </c>
      <c r="AG2568" s="8" t="str">
        <f t="shared" si="161"/>
        <v/>
      </c>
      <c r="AI2568" s="8" t="str">
        <f t="shared" si="162"/>
        <v/>
      </c>
      <c r="AJ2568" s="8" t="str">
        <f t="shared" si="163"/>
        <v/>
      </c>
      <c r="AL2568" s="8" t="str">
        <f t="shared" si="164"/>
        <v/>
      </c>
    </row>
    <row r="2569" spans="1:38" x14ac:dyDescent="0.25">
      <c r="A2569" s="8" t="s">
        <v>4152</v>
      </c>
      <c r="B2569" s="8" t="s">
        <v>4153</v>
      </c>
      <c r="C2569" s="8">
        <v>30848694</v>
      </c>
      <c r="D2569" s="8">
        <v>5</v>
      </c>
      <c r="E2569" s="11">
        <v>43109</v>
      </c>
      <c r="F2569" s="8" t="s">
        <v>57</v>
      </c>
      <c r="G2569" s="11">
        <v>43111</v>
      </c>
      <c r="H2569" s="8" t="s">
        <v>25</v>
      </c>
      <c r="J2569" s="8" t="s">
        <v>25</v>
      </c>
      <c r="N2569" s="8" t="s">
        <v>58</v>
      </c>
      <c r="O2569" s="8" t="s">
        <v>59</v>
      </c>
      <c r="P2569" s="8" t="s">
        <v>59</v>
      </c>
      <c r="R2569" s="8">
        <v>0</v>
      </c>
      <c r="S2569" s="8">
        <v>0</v>
      </c>
      <c r="T2569" s="8">
        <v>1</v>
      </c>
      <c r="U2569" s="8">
        <v>2</v>
      </c>
      <c r="AG2569" s="8" t="str">
        <f t="shared" si="161"/>
        <v/>
      </c>
      <c r="AI2569" s="8" t="str">
        <f t="shared" si="162"/>
        <v/>
      </c>
      <c r="AJ2569" s="8" t="str">
        <f t="shared" si="163"/>
        <v/>
      </c>
      <c r="AL2569" s="8" t="str">
        <f t="shared" si="164"/>
        <v/>
      </c>
    </row>
    <row r="2570" spans="1:38" x14ac:dyDescent="0.25">
      <c r="A2570" s="8" t="s">
        <v>4154</v>
      </c>
      <c r="B2570" s="8" t="s">
        <v>4155</v>
      </c>
      <c r="C2570" s="8">
        <v>30843952</v>
      </c>
      <c r="D2570" s="8">
        <v>5</v>
      </c>
      <c r="E2570" s="11">
        <v>43109</v>
      </c>
      <c r="F2570" s="8" t="s">
        <v>58</v>
      </c>
      <c r="G2570" s="11">
        <v>43111</v>
      </c>
      <c r="H2570" s="8" t="s">
        <v>25</v>
      </c>
      <c r="I2570" s="11">
        <v>43112</v>
      </c>
      <c r="J2570" s="8" t="s">
        <v>25</v>
      </c>
      <c r="N2570" s="8" t="s">
        <v>58</v>
      </c>
      <c r="O2570" s="8" t="s">
        <v>59</v>
      </c>
      <c r="P2570" s="8" t="s">
        <v>59</v>
      </c>
      <c r="R2570" s="8">
        <v>0</v>
      </c>
      <c r="S2570" s="8">
        <v>0</v>
      </c>
      <c r="T2570" s="8">
        <v>1</v>
      </c>
      <c r="U2570" s="8">
        <v>2</v>
      </c>
      <c r="X2570" s="8">
        <v>5</v>
      </c>
      <c r="AG2570" s="8" t="str">
        <f t="shared" si="161"/>
        <v/>
      </c>
      <c r="AI2570" s="8" t="str">
        <f t="shared" si="162"/>
        <v/>
      </c>
      <c r="AJ2570" s="8" t="str">
        <f t="shared" si="163"/>
        <v/>
      </c>
      <c r="AL2570" s="8" t="str">
        <f t="shared" si="164"/>
        <v/>
      </c>
    </row>
    <row r="2571" spans="1:38" x14ac:dyDescent="0.25">
      <c r="A2571" s="8" t="s">
        <v>2679</v>
      </c>
      <c r="B2571" s="8" t="s">
        <v>2680</v>
      </c>
      <c r="C2571" s="8">
        <v>30820374</v>
      </c>
      <c r="D2571" s="8">
        <v>5</v>
      </c>
      <c r="E2571" s="11">
        <v>43108</v>
      </c>
      <c r="F2571" s="8" t="s">
        <v>58</v>
      </c>
      <c r="G2571" s="11">
        <v>43110</v>
      </c>
      <c r="H2571" s="8" t="s">
        <v>25</v>
      </c>
      <c r="I2571" s="11">
        <v>43110</v>
      </c>
      <c r="J2571" s="8" t="s">
        <v>25</v>
      </c>
      <c r="N2571" s="8" t="s">
        <v>58</v>
      </c>
      <c r="O2571" s="8" t="s">
        <v>59</v>
      </c>
      <c r="P2571" s="8" t="s">
        <v>59</v>
      </c>
      <c r="R2571" s="8">
        <v>0</v>
      </c>
      <c r="S2571" s="8">
        <v>0</v>
      </c>
      <c r="T2571" s="8">
        <v>1</v>
      </c>
      <c r="U2571" s="8">
        <v>2</v>
      </c>
      <c r="X2571" s="8">
        <v>5</v>
      </c>
      <c r="AG2571" s="8" t="str">
        <f t="shared" si="161"/>
        <v/>
      </c>
      <c r="AI2571" s="8" t="str">
        <f t="shared" si="162"/>
        <v/>
      </c>
      <c r="AJ2571" s="8" t="str">
        <f t="shared" si="163"/>
        <v/>
      </c>
      <c r="AL2571" s="8" t="str">
        <f t="shared" si="164"/>
        <v/>
      </c>
    </row>
    <row r="2572" spans="1:38" x14ac:dyDescent="0.25">
      <c r="A2572" s="8" t="s">
        <v>1385</v>
      </c>
      <c r="B2572" s="8" t="s">
        <v>1386</v>
      </c>
      <c r="C2572" s="8">
        <v>30840541</v>
      </c>
      <c r="D2572" s="8">
        <v>5</v>
      </c>
      <c r="E2572" s="11">
        <v>43109</v>
      </c>
      <c r="F2572" s="8" t="s">
        <v>57</v>
      </c>
      <c r="G2572" s="11">
        <v>43109</v>
      </c>
      <c r="H2572" s="8" t="s">
        <v>25</v>
      </c>
      <c r="J2572" s="8" t="s">
        <v>25</v>
      </c>
      <c r="N2572" s="8" t="s">
        <v>58</v>
      </c>
      <c r="O2572" s="8" t="s">
        <v>59</v>
      </c>
      <c r="P2572" s="8" t="s">
        <v>59</v>
      </c>
      <c r="R2572" s="8">
        <v>0</v>
      </c>
      <c r="S2572" s="8">
        <v>0</v>
      </c>
      <c r="T2572" s="8">
        <v>1</v>
      </c>
      <c r="U2572" s="8">
        <v>2</v>
      </c>
      <c r="AG2572" s="8" t="str">
        <f t="shared" si="161"/>
        <v/>
      </c>
      <c r="AI2572" s="8" t="str">
        <f t="shared" si="162"/>
        <v/>
      </c>
      <c r="AJ2572" s="8" t="str">
        <f t="shared" si="163"/>
        <v/>
      </c>
      <c r="AL2572" s="8" t="str">
        <f t="shared" si="164"/>
        <v/>
      </c>
    </row>
    <row r="2573" spans="1:38" x14ac:dyDescent="0.25">
      <c r="A2573" s="8" t="s">
        <v>5775</v>
      </c>
      <c r="B2573" s="8" t="s">
        <v>5776</v>
      </c>
      <c r="C2573" s="8">
        <v>30865217</v>
      </c>
      <c r="D2573" s="8">
        <v>5</v>
      </c>
      <c r="E2573" s="11">
        <v>43110</v>
      </c>
      <c r="F2573" s="8" t="s">
        <v>58</v>
      </c>
      <c r="G2573" s="11">
        <v>43112</v>
      </c>
      <c r="H2573" s="8" t="s">
        <v>25</v>
      </c>
      <c r="I2573" s="11">
        <v>43112</v>
      </c>
      <c r="J2573" s="8" t="s">
        <v>25</v>
      </c>
      <c r="N2573" s="8" t="s">
        <v>58</v>
      </c>
      <c r="O2573" s="8" t="s">
        <v>59</v>
      </c>
      <c r="P2573" s="8" t="s">
        <v>59</v>
      </c>
      <c r="R2573" s="8">
        <v>0</v>
      </c>
      <c r="S2573" s="8">
        <v>0</v>
      </c>
      <c r="T2573" s="8">
        <v>1</v>
      </c>
      <c r="U2573" s="8">
        <v>2</v>
      </c>
      <c r="X2573" s="8">
        <v>5</v>
      </c>
      <c r="AG2573" s="8" t="str">
        <f t="shared" si="161"/>
        <v/>
      </c>
      <c r="AI2573" s="8" t="str">
        <f t="shared" si="162"/>
        <v/>
      </c>
      <c r="AJ2573" s="8" t="str">
        <f t="shared" si="163"/>
        <v/>
      </c>
      <c r="AL2573" s="8" t="str">
        <f t="shared" si="164"/>
        <v/>
      </c>
    </row>
    <row r="2574" spans="1:38" x14ac:dyDescent="0.25">
      <c r="A2574" s="8" t="s">
        <v>5777</v>
      </c>
      <c r="B2574" s="8" t="s">
        <v>5778</v>
      </c>
      <c r="C2574" s="8">
        <v>30867150</v>
      </c>
      <c r="D2574" s="8">
        <v>5</v>
      </c>
      <c r="E2574" s="11">
        <v>43110</v>
      </c>
      <c r="F2574" s="8" t="s">
        <v>57</v>
      </c>
      <c r="G2574" s="11">
        <v>43112</v>
      </c>
      <c r="H2574" s="8" t="s">
        <v>25</v>
      </c>
      <c r="J2574" s="8" t="s">
        <v>25</v>
      </c>
      <c r="N2574" s="8" t="s">
        <v>58</v>
      </c>
      <c r="O2574" s="8" t="s">
        <v>59</v>
      </c>
      <c r="P2574" s="8" t="s">
        <v>59</v>
      </c>
      <c r="R2574" s="8">
        <v>0</v>
      </c>
      <c r="S2574" s="8">
        <v>0</v>
      </c>
      <c r="T2574" s="8">
        <v>1</v>
      </c>
      <c r="U2574" s="8">
        <v>2</v>
      </c>
      <c r="AG2574" s="8" t="str">
        <f t="shared" si="161"/>
        <v/>
      </c>
      <c r="AI2574" s="8" t="str">
        <f t="shared" si="162"/>
        <v/>
      </c>
      <c r="AJ2574" s="8" t="str">
        <f t="shared" si="163"/>
        <v/>
      </c>
      <c r="AL2574" s="8" t="str">
        <f t="shared" si="164"/>
        <v/>
      </c>
    </row>
    <row r="2575" spans="1:38" x14ac:dyDescent="0.25">
      <c r="A2575" s="8" t="s">
        <v>7577</v>
      </c>
      <c r="B2575" s="8" t="s">
        <v>7578</v>
      </c>
      <c r="C2575" s="8">
        <v>30943218</v>
      </c>
      <c r="D2575" s="8">
        <v>5</v>
      </c>
      <c r="E2575" s="11">
        <v>43115</v>
      </c>
      <c r="F2575" s="8" t="s">
        <v>57</v>
      </c>
      <c r="G2575" s="11">
        <v>43115</v>
      </c>
      <c r="H2575" s="8" t="s">
        <v>25</v>
      </c>
      <c r="J2575" s="8" t="s">
        <v>25</v>
      </c>
      <c r="N2575" s="8" t="s">
        <v>58</v>
      </c>
      <c r="O2575" s="8" t="s">
        <v>59</v>
      </c>
      <c r="P2575" s="8" t="s">
        <v>59</v>
      </c>
      <c r="R2575" s="8">
        <v>0</v>
      </c>
      <c r="S2575" s="8">
        <v>0</v>
      </c>
      <c r="T2575" s="8">
        <v>1</v>
      </c>
      <c r="U2575" s="8">
        <v>2</v>
      </c>
      <c r="AG2575" s="8" t="str">
        <f t="shared" si="161"/>
        <v/>
      </c>
      <c r="AI2575" s="8" t="str">
        <f t="shared" si="162"/>
        <v/>
      </c>
      <c r="AJ2575" s="8" t="str">
        <f t="shared" si="163"/>
        <v/>
      </c>
      <c r="AL2575" s="8" t="str">
        <f t="shared" si="164"/>
        <v/>
      </c>
    </row>
    <row r="2576" spans="1:38" x14ac:dyDescent="0.25">
      <c r="A2576" s="8" t="s">
        <v>7579</v>
      </c>
      <c r="B2576" s="8" t="s">
        <v>7580</v>
      </c>
      <c r="C2576" s="8">
        <v>30882810</v>
      </c>
      <c r="D2576" s="8">
        <v>5</v>
      </c>
      <c r="E2576" s="11">
        <v>43111</v>
      </c>
      <c r="F2576" s="8" t="s">
        <v>57</v>
      </c>
      <c r="G2576" s="11">
        <v>43115</v>
      </c>
      <c r="H2576" s="8" t="s">
        <v>25</v>
      </c>
      <c r="J2576" s="8" t="s">
        <v>25</v>
      </c>
      <c r="N2576" s="8" t="s">
        <v>58</v>
      </c>
      <c r="O2576" s="8" t="s">
        <v>59</v>
      </c>
      <c r="P2576" s="8" t="s">
        <v>59</v>
      </c>
      <c r="R2576" s="8">
        <v>0</v>
      </c>
      <c r="S2576" s="8">
        <v>0</v>
      </c>
      <c r="T2576" s="8">
        <v>1</v>
      </c>
      <c r="U2576" s="8">
        <v>2</v>
      </c>
      <c r="AG2576" s="8" t="str">
        <f t="shared" si="161"/>
        <v/>
      </c>
      <c r="AI2576" s="8" t="str">
        <f t="shared" si="162"/>
        <v/>
      </c>
      <c r="AJ2576" s="8" t="str">
        <f t="shared" si="163"/>
        <v/>
      </c>
      <c r="AL2576" s="8" t="str">
        <f t="shared" si="164"/>
        <v/>
      </c>
    </row>
    <row r="2577" spans="1:38" x14ac:dyDescent="0.25">
      <c r="A2577" s="8" t="s">
        <v>5779</v>
      </c>
      <c r="B2577" s="8" t="s">
        <v>5780</v>
      </c>
      <c r="C2577" s="8">
        <v>30875490</v>
      </c>
      <c r="D2577" s="8">
        <v>5</v>
      </c>
      <c r="E2577" s="11">
        <v>43110</v>
      </c>
      <c r="F2577" s="8" t="s">
        <v>57</v>
      </c>
      <c r="G2577" s="11">
        <v>43112</v>
      </c>
      <c r="H2577" s="8" t="s">
        <v>25</v>
      </c>
      <c r="J2577" s="8" t="s">
        <v>25</v>
      </c>
      <c r="N2577" s="8" t="s">
        <v>58</v>
      </c>
      <c r="O2577" s="8" t="s">
        <v>59</v>
      </c>
      <c r="P2577" s="8" t="s">
        <v>59</v>
      </c>
      <c r="R2577" s="8">
        <v>0</v>
      </c>
      <c r="S2577" s="8">
        <v>0</v>
      </c>
      <c r="T2577" s="8">
        <v>1</v>
      </c>
      <c r="U2577" s="8">
        <v>2</v>
      </c>
      <c r="AG2577" s="8" t="str">
        <f t="shared" si="161"/>
        <v/>
      </c>
      <c r="AI2577" s="8" t="str">
        <f t="shared" si="162"/>
        <v/>
      </c>
      <c r="AJ2577" s="8" t="str">
        <f t="shared" si="163"/>
        <v/>
      </c>
      <c r="AL2577" s="8" t="str">
        <f t="shared" si="164"/>
        <v/>
      </c>
    </row>
    <row r="2578" spans="1:38" x14ac:dyDescent="0.25">
      <c r="A2578" s="8" t="s">
        <v>555</v>
      </c>
      <c r="B2578" s="8" t="s">
        <v>556</v>
      </c>
      <c r="C2578" s="8">
        <v>30827002</v>
      </c>
      <c r="D2578" s="8">
        <v>5</v>
      </c>
      <c r="E2578" s="11">
        <v>43108</v>
      </c>
      <c r="F2578" s="8" t="s">
        <v>60</v>
      </c>
      <c r="G2578" s="11">
        <v>43108</v>
      </c>
      <c r="H2578" s="8" t="s">
        <v>25</v>
      </c>
      <c r="J2578" s="8" t="s">
        <v>145</v>
      </c>
      <c r="L2578" s="8" t="s">
        <v>4797</v>
      </c>
      <c r="N2578" s="8" t="s">
        <v>58</v>
      </c>
      <c r="O2578" s="8" t="s">
        <v>59</v>
      </c>
      <c r="P2578" s="8" t="s">
        <v>59</v>
      </c>
      <c r="R2578" s="8">
        <v>0</v>
      </c>
      <c r="S2578" s="8">
        <v>0</v>
      </c>
      <c r="T2578" s="8">
        <v>1</v>
      </c>
      <c r="U2578" s="8">
        <v>2</v>
      </c>
      <c r="W2578" s="8">
        <v>4</v>
      </c>
      <c r="AG2578" s="8" t="str">
        <f t="shared" si="161"/>
        <v/>
      </c>
      <c r="AI2578" s="8" t="str">
        <f t="shared" si="162"/>
        <v/>
      </c>
      <c r="AJ2578" s="8" t="str">
        <f t="shared" si="163"/>
        <v/>
      </c>
      <c r="AL2578" s="8" t="str">
        <f t="shared" si="164"/>
        <v/>
      </c>
    </row>
    <row r="2579" spans="1:38" x14ac:dyDescent="0.25">
      <c r="A2579" s="8" t="s">
        <v>5781</v>
      </c>
      <c r="B2579" s="8" t="s">
        <v>5782</v>
      </c>
      <c r="C2579" s="8">
        <v>30922732</v>
      </c>
      <c r="D2579" s="8">
        <v>5</v>
      </c>
      <c r="E2579" s="11">
        <v>43112</v>
      </c>
      <c r="F2579" s="8" t="s">
        <v>62</v>
      </c>
      <c r="G2579" s="11">
        <v>43115</v>
      </c>
      <c r="H2579" s="8" t="s">
        <v>25</v>
      </c>
      <c r="J2579" s="8" t="s">
        <v>25</v>
      </c>
      <c r="M2579" s="8" t="s">
        <v>66</v>
      </c>
      <c r="N2579" s="8" t="s">
        <v>63</v>
      </c>
      <c r="O2579" s="8" t="s">
        <v>59</v>
      </c>
      <c r="P2579" s="8" t="s">
        <v>59</v>
      </c>
      <c r="R2579" s="8">
        <v>0</v>
      </c>
      <c r="S2579" s="8">
        <v>0</v>
      </c>
      <c r="T2579" s="8">
        <v>1</v>
      </c>
      <c r="U2579" s="8">
        <v>2</v>
      </c>
      <c r="AG2579" s="8" t="str">
        <f t="shared" si="161"/>
        <v/>
      </c>
      <c r="AI2579" s="8" t="str">
        <f t="shared" si="162"/>
        <v/>
      </c>
      <c r="AJ2579" s="8" t="str">
        <f t="shared" si="163"/>
        <v/>
      </c>
      <c r="AL2579" s="8" t="str">
        <f t="shared" si="164"/>
        <v/>
      </c>
    </row>
    <row r="2580" spans="1:38" x14ac:dyDescent="0.25">
      <c r="A2580" s="8" t="s">
        <v>2681</v>
      </c>
      <c r="B2580" s="8" t="s">
        <v>2682</v>
      </c>
      <c r="C2580" s="8">
        <v>30813375</v>
      </c>
      <c r="D2580" s="8">
        <v>5</v>
      </c>
      <c r="E2580" s="11">
        <v>43108</v>
      </c>
      <c r="F2580" s="8" t="s">
        <v>60</v>
      </c>
      <c r="G2580" s="11">
        <v>43110</v>
      </c>
      <c r="H2580" s="8" t="s">
        <v>25</v>
      </c>
      <c r="J2580" s="8" t="s">
        <v>25</v>
      </c>
      <c r="L2580" s="8" t="s">
        <v>5783</v>
      </c>
      <c r="N2580" s="8" t="s">
        <v>58</v>
      </c>
      <c r="O2580" s="8" t="s">
        <v>59</v>
      </c>
      <c r="P2580" s="8" t="s">
        <v>59</v>
      </c>
      <c r="R2580" s="8">
        <v>0</v>
      </c>
      <c r="S2580" s="8">
        <v>0</v>
      </c>
      <c r="T2580" s="8">
        <v>1</v>
      </c>
      <c r="U2580" s="8">
        <v>2</v>
      </c>
      <c r="W2580" s="8">
        <v>4</v>
      </c>
      <c r="AG2580" s="8" t="str">
        <f t="shared" si="161"/>
        <v/>
      </c>
      <c r="AI2580" s="8" t="str">
        <f t="shared" si="162"/>
        <v/>
      </c>
      <c r="AJ2580" s="8" t="str">
        <f t="shared" si="163"/>
        <v/>
      </c>
      <c r="AL2580" s="8" t="str">
        <f t="shared" si="164"/>
        <v/>
      </c>
    </row>
    <row r="2581" spans="1:38" x14ac:dyDescent="0.25">
      <c r="A2581" s="8" t="s">
        <v>5784</v>
      </c>
      <c r="B2581" s="8" t="s">
        <v>5785</v>
      </c>
      <c r="C2581" s="8">
        <v>30899480</v>
      </c>
      <c r="D2581" s="8">
        <v>5</v>
      </c>
      <c r="E2581" s="11">
        <v>43111</v>
      </c>
      <c r="F2581" s="8" t="s">
        <v>57</v>
      </c>
      <c r="G2581" s="11">
        <v>43112</v>
      </c>
      <c r="H2581" s="8" t="s">
        <v>25</v>
      </c>
      <c r="J2581" s="8" t="s">
        <v>25</v>
      </c>
      <c r="N2581" s="8" t="s">
        <v>58</v>
      </c>
      <c r="O2581" s="8" t="s">
        <v>59</v>
      </c>
      <c r="P2581" s="8" t="s">
        <v>59</v>
      </c>
      <c r="R2581" s="8">
        <v>0</v>
      </c>
      <c r="S2581" s="8">
        <v>0</v>
      </c>
      <c r="T2581" s="8">
        <v>1</v>
      </c>
      <c r="U2581" s="8">
        <v>2</v>
      </c>
      <c r="AG2581" s="8" t="str">
        <f t="shared" si="161"/>
        <v/>
      </c>
      <c r="AI2581" s="8" t="str">
        <f t="shared" si="162"/>
        <v/>
      </c>
      <c r="AJ2581" s="8" t="str">
        <f t="shared" si="163"/>
        <v/>
      </c>
      <c r="AL2581" s="8" t="str">
        <f t="shared" si="164"/>
        <v/>
      </c>
    </row>
    <row r="2582" spans="1:38" x14ac:dyDescent="0.25">
      <c r="A2582" s="8" t="s">
        <v>2683</v>
      </c>
      <c r="B2582" s="8" t="s">
        <v>2684</v>
      </c>
      <c r="C2582" s="8">
        <v>30816615</v>
      </c>
      <c r="D2582" s="8">
        <v>5</v>
      </c>
      <c r="E2582" s="11">
        <v>43108</v>
      </c>
      <c r="F2582" s="8" t="s">
        <v>62</v>
      </c>
      <c r="G2582" s="11">
        <v>43115</v>
      </c>
      <c r="H2582" s="8" t="s">
        <v>856</v>
      </c>
      <c r="J2582" s="8" t="s">
        <v>25</v>
      </c>
      <c r="M2582" s="8" t="s">
        <v>66</v>
      </c>
      <c r="N2582" s="8" t="s">
        <v>63</v>
      </c>
      <c r="O2582" s="8" t="s">
        <v>59</v>
      </c>
      <c r="P2582" s="8" t="s">
        <v>59</v>
      </c>
      <c r="R2582" s="8">
        <v>0</v>
      </c>
      <c r="S2582" s="8">
        <v>0</v>
      </c>
      <c r="T2582" s="8">
        <v>1</v>
      </c>
      <c r="U2582" s="8">
        <v>2</v>
      </c>
      <c r="AG2582" s="8" t="str">
        <f t="shared" si="161"/>
        <v/>
      </c>
      <c r="AI2582" s="8" t="str">
        <f t="shared" si="162"/>
        <v/>
      </c>
      <c r="AJ2582" s="8" t="str">
        <f t="shared" si="163"/>
        <v/>
      </c>
      <c r="AL2582" s="8" t="str">
        <f t="shared" si="164"/>
        <v/>
      </c>
    </row>
    <row r="2583" spans="1:38" x14ac:dyDescent="0.25">
      <c r="A2583" s="8" t="s">
        <v>2685</v>
      </c>
      <c r="B2583" s="8" t="s">
        <v>2686</v>
      </c>
      <c r="C2583" s="8">
        <v>30867557</v>
      </c>
      <c r="D2583" s="8">
        <v>5</v>
      </c>
      <c r="E2583" s="11">
        <v>43110</v>
      </c>
      <c r="F2583" s="8" t="s">
        <v>57</v>
      </c>
      <c r="G2583" s="11">
        <v>43110</v>
      </c>
      <c r="H2583" s="8" t="s">
        <v>25</v>
      </c>
      <c r="J2583" s="8" t="s">
        <v>25</v>
      </c>
      <c r="N2583" s="8" t="s">
        <v>58</v>
      </c>
      <c r="O2583" s="8" t="s">
        <v>59</v>
      </c>
      <c r="P2583" s="8" t="s">
        <v>59</v>
      </c>
      <c r="R2583" s="8">
        <v>0</v>
      </c>
      <c r="S2583" s="8">
        <v>0</v>
      </c>
      <c r="T2583" s="8">
        <v>1</v>
      </c>
      <c r="U2583" s="8">
        <v>2</v>
      </c>
      <c r="AG2583" s="8" t="str">
        <f t="shared" si="161"/>
        <v/>
      </c>
      <c r="AI2583" s="8" t="str">
        <f t="shared" si="162"/>
        <v/>
      </c>
      <c r="AJ2583" s="8" t="str">
        <f t="shared" si="163"/>
        <v/>
      </c>
      <c r="AL2583" s="8" t="str">
        <f t="shared" si="164"/>
        <v/>
      </c>
    </row>
    <row r="2584" spans="1:38" x14ac:dyDescent="0.25">
      <c r="A2584" s="8" t="s">
        <v>4156</v>
      </c>
      <c r="B2584" s="8" t="s">
        <v>4157</v>
      </c>
      <c r="C2584" s="8">
        <v>30833488</v>
      </c>
      <c r="D2584" s="8">
        <v>5</v>
      </c>
      <c r="E2584" s="11">
        <v>43109</v>
      </c>
      <c r="F2584" s="8" t="s">
        <v>58</v>
      </c>
      <c r="G2584" s="11">
        <v>43111</v>
      </c>
      <c r="H2584" s="8" t="s">
        <v>25</v>
      </c>
      <c r="I2584" s="11">
        <v>43111</v>
      </c>
      <c r="J2584" s="8" t="s">
        <v>25</v>
      </c>
      <c r="N2584" s="8" t="s">
        <v>58</v>
      </c>
      <c r="O2584" s="8" t="s">
        <v>59</v>
      </c>
      <c r="P2584" s="8" t="s">
        <v>59</v>
      </c>
      <c r="R2584" s="8">
        <v>0</v>
      </c>
      <c r="S2584" s="8">
        <v>0</v>
      </c>
      <c r="T2584" s="8">
        <v>1</v>
      </c>
      <c r="U2584" s="8">
        <v>2</v>
      </c>
      <c r="X2584" s="8">
        <v>5</v>
      </c>
      <c r="AG2584" s="8" t="str">
        <f t="shared" si="161"/>
        <v/>
      </c>
      <c r="AI2584" s="8" t="str">
        <f t="shared" si="162"/>
        <v/>
      </c>
      <c r="AJ2584" s="8" t="str">
        <f t="shared" si="163"/>
        <v/>
      </c>
      <c r="AL2584" s="8" t="str">
        <f t="shared" si="164"/>
        <v/>
      </c>
    </row>
    <row r="2585" spans="1:38" x14ac:dyDescent="0.25">
      <c r="A2585" s="8" t="s">
        <v>2687</v>
      </c>
      <c r="B2585" s="8" t="s">
        <v>2688</v>
      </c>
      <c r="C2585" s="8">
        <v>30857095</v>
      </c>
      <c r="D2585" s="8">
        <v>5</v>
      </c>
      <c r="E2585" s="11">
        <v>43110</v>
      </c>
      <c r="F2585" s="8" t="s">
        <v>58</v>
      </c>
      <c r="G2585" s="11">
        <v>43110</v>
      </c>
      <c r="H2585" s="8" t="s">
        <v>25</v>
      </c>
      <c r="I2585" s="11">
        <v>43110</v>
      </c>
      <c r="J2585" s="8" t="s">
        <v>25</v>
      </c>
      <c r="N2585" s="8" t="s">
        <v>58</v>
      </c>
      <c r="O2585" s="8" t="s">
        <v>59</v>
      </c>
      <c r="P2585" s="8" t="s">
        <v>59</v>
      </c>
      <c r="R2585" s="8">
        <v>0</v>
      </c>
      <c r="S2585" s="8">
        <v>0</v>
      </c>
      <c r="T2585" s="8">
        <v>1</v>
      </c>
      <c r="U2585" s="8">
        <v>2</v>
      </c>
      <c r="X2585" s="8">
        <v>5</v>
      </c>
      <c r="AG2585" s="8" t="str">
        <f t="shared" si="161"/>
        <v/>
      </c>
      <c r="AI2585" s="8" t="str">
        <f t="shared" si="162"/>
        <v/>
      </c>
      <c r="AJ2585" s="8" t="str">
        <f t="shared" si="163"/>
        <v/>
      </c>
      <c r="AL2585" s="8" t="str">
        <f t="shared" si="164"/>
        <v/>
      </c>
    </row>
    <row r="2586" spans="1:38" x14ac:dyDescent="0.25">
      <c r="A2586" s="8" t="s">
        <v>4158</v>
      </c>
      <c r="B2586" s="8" t="s">
        <v>4159</v>
      </c>
      <c r="C2586" s="8">
        <v>30894998</v>
      </c>
      <c r="D2586" s="8">
        <v>5</v>
      </c>
      <c r="E2586" s="11">
        <v>43111</v>
      </c>
      <c r="F2586" s="8" t="s">
        <v>57</v>
      </c>
      <c r="G2586" s="11">
        <v>43111</v>
      </c>
      <c r="H2586" s="8" t="s">
        <v>25</v>
      </c>
      <c r="J2586" s="8" t="s">
        <v>25</v>
      </c>
      <c r="N2586" s="8" t="s">
        <v>58</v>
      </c>
      <c r="O2586" s="8" t="s">
        <v>59</v>
      </c>
      <c r="P2586" s="8" t="s">
        <v>59</v>
      </c>
      <c r="R2586" s="8">
        <v>0</v>
      </c>
      <c r="S2586" s="8">
        <v>0</v>
      </c>
      <c r="T2586" s="8">
        <v>1</v>
      </c>
      <c r="U2586" s="8">
        <v>2</v>
      </c>
      <c r="AG2586" s="8" t="str">
        <f t="shared" si="161"/>
        <v/>
      </c>
      <c r="AI2586" s="8" t="str">
        <f t="shared" si="162"/>
        <v/>
      </c>
      <c r="AJ2586" s="8" t="str">
        <f t="shared" si="163"/>
        <v/>
      </c>
      <c r="AL2586" s="8" t="str">
        <f t="shared" si="164"/>
        <v/>
      </c>
    </row>
    <row r="2587" spans="1:38" x14ac:dyDescent="0.25">
      <c r="A2587" s="8" t="s">
        <v>7581</v>
      </c>
      <c r="B2587" s="8" t="s">
        <v>7582</v>
      </c>
      <c r="C2587" s="8">
        <v>30897566</v>
      </c>
      <c r="D2587" s="8">
        <v>5</v>
      </c>
      <c r="E2587" s="11">
        <v>43111</v>
      </c>
      <c r="F2587" s="8" t="s">
        <v>57</v>
      </c>
      <c r="G2587" s="11">
        <v>43115</v>
      </c>
      <c r="H2587" s="8" t="s">
        <v>25</v>
      </c>
      <c r="J2587" s="8" t="s">
        <v>25</v>
      </c>
      <c r="N2587" s="8" t="s">
        <v>58</v>
      </c>
      <c r="O2587" s="8" t="s">
        <v>59</v>
      </c>
      <c r="P2587" s="8" t="s">
        <v>59</v>
      </c>
      <c r="R2587" s="8">
        <v>0</v>
      </c>
      <c r="S2587" s="8">
        <v>0</v>
      </c>
      <c r="T2587" s="8">
        <v>1</v>
      </c>
      <c r="U2587" s="8">
        <v>2</v>
      </c>
      <c r="AG2587" s="8" t="str">
        <f t="shared" si="161"/>
        <v/>
      </c>
      <c r="AI2587" s="8" t="str">
        <f t="shared" si="162"/>
        <v/>
      </c>
      <c r="AJ2587" s="8" t="str">
        <f t="shared" si="163"/>
        <v/>
      </c>
      <c r="AL2587" s="8" t="str">
        <f t="shared" si="164"/>
        <v/>
      </c>
    </row>
    <row r="2588" spans="1:38" x14ac:dyDescent="0.25">
      <c r="A2588" s="8" t="s">
        <v>2689</v>
      </c>
      <c r="B2588" s="8" t="s">
        <v>2690</v>
      </c>
      <c r="C2588" s="8">
        <v>30820880</v>
      </c>
      <c r="D2588" s="8">
        <v>4</v>
      </c>
      <c r="E2588" s="11">
        <v>43108</v>
      </c>
      <c r="F2588" s="8" t="s">
        <v>60</v>
      </c>
      <c r="G2588" s="11">
        <v>43110</v>
      </c>
      <c r="H2588" s="8" t="s">
        <v>25</v>
      </c>
      <c r="J2588" s="8" t="s">
        <v>25</v>
      </c>
      <c r="L2588" s="8" t="s">
        <v>3287</v>
      </c>
      <c r="N2588" s="8" t="s">
        <v>58</v>
      </c>
      <c r="O2588" s="8" t="s">
        <v>59</v>
      </c>
      <c r="P2588" s="8" t="s">
        <v>59</v>
      </c>
      <c r="R2588" s="8">
        <v>0</v>
      </c>
      <c r="S2588" s="8">
        <v>0</v>
      </c>
      <c r="T2588" s="8">
        <v>1</v>
      </c>
      <c r="U2588" s="8">
        <v>2</v>
      </c>
      <c r="W2588" s="8">
        <v>4</v>
      </c>
      <c r="AG2588" s="8" t="str">
        <f t="shared" si="161"/>
        <v/>
      </c>
      <c r="AI2588" s="8" t="str">
        <f t="shared" si="162"/>
        <v/>
      </c>
      <c r="AJ2588" s="8" t="str">
        <f t="shared" si="163"/>
        <v/>
      </c>
      <c r="AL2588" s="8" t="str">
        <f t="shared" si="164"/>
        <v/>
      </c>
    </row>
    <row r="2589" spans="1:38" x14ac:dyDescent="0.25">
      <c r="A2589" s="8" t="s">
        <v>7583</v>
      </c>
      <c r="B2589" s="8" t="s">
        <v>7584</v>
      </c>
      <c r="C2589" s="8">
        <v>30890572</v>
      </c>
      <c r="D2589" s="8">
        <v>4</v>
      </c>
      <c r="E2589" s="11">
        <v>43111</v>
      </c>
      <c r="F2589" s="8" t="s">
        <v>57</v>
      </c>
      <c r="G2589" s="11">
        <v>43115</v>
      </c>
      <c r="H2589" s="8" t="s">
        <v>25</v>
      </c>
      <c r="J2589" s="8" t="s">
        <v>25</v>
      </c>
      <c r="N2589" s="8" t="s">
        <v>58</v>
      </c>
      <c r="O2589" s="8" t="s">
        <v>59</v>
      </c>
      <c r="P2589" s="8" t="s">
        <v>59</v>
      </c>
      <c r="R2589" s="8">
        <v>0</v>
      </c>
      <c r="S2589" s="8">
        <v>0</v>
      </c>
      <c r="T2589" s="8">
        <v>1</v>
      </c>
      <c r="U2589" s="8">
        <v>2</v>
      </c>
      <c r="AG2589" s="8" t="str">
        <f t="shared" si="161"/>
        <v/>
      </c>
      <c r="AI2589" s="8" t="str">
        <f t="shared" si="162"/>
        <v/>
      </c>
      <c r="AJ2589" s="8" t="str">
        <f t="shared" si="163"/>
        <v/>
      </c>
      <c r="AL2589" s="8" t="str">
        <f t="shared" si="164"/>
        <v/>
      </c>
    </row>
    <row r="2590" spans="1:38" x14ac:dyDescent="0.25">
      <c r="A2590" s="8" t="s">
        <v>5786</v>
      </c>
      <c r="B2590" s="8" t="s">
        <v>5787</v>
      </c>
      <c r="C2590" s="8">
        <v>30869768</v>
      </c>
      <c r="D2590" s="8">
        <v>5</v>
      </c>
      <c r="E2590" s="11">
        <v>43110</v>
      </c>
      <c r="F2590" s="8" t="s">
        <v>58</v>
      </c>
      <c r="G2590" s="11">
        <v>43112</v>
      </c>
      <c r="H2590" s="8" t="s">
        <v>25</v>
      </c>
      <c r="I2590" s="11">
        <v>43115</v>
      </c>
      <c r="J2590" s="8" t="s">
        <v>25</v>
      </c>
      <c r="N2590" s="8" t="s">
        <v>58</v>
      </c>
      <c r="O2590" s="8" t="s">
        <v>59</v>
      </c>
      <c r="P2590" s="8" t="s">
        <v>59</v>
      </c>
      <c r="R2590" s="8">
        <v>0</v>
      </c>
      <c r="S2590" s="8">
        <v>0</v>
      </c>
      <c r="T2590" s="8">
        <v>1</v>
      </c>
      <c r="U2590" s="8">
        <v>2</v>
      </c>
      <c r="X2590" s="8">
        <v>5</v>
      </c>
      <c r="AG2590" s="8" t="str">
        <f t="shared" si="161"/>
        <v/>
      </c>
      <c r="AI2590" s="8" t="str">
        <f t="shared" si="162"/>
        <v/>
      </c>
      <c r="AJ2590" s="8" t="str">
        <f t="shared" si="163"/>
        <v/>
      </c>
      <c r="AL2590" s="8" t="str">
        <f t="shared" si="164"/>
        <v/>
      </c>
    </row>
    <row r="2591" spans="1:38" x14ac:dyDescent="0.25">
      <c r="A2591" s="8" t="s">
        <v>5788</v>
      </c>
      <c r="B2591" s="8" t="s">
        <v>5789</v>
      </c>
      <c r="C2591" s="8">
        <v>30897156</v>
      </c>
      <c r="D2591" s="8">
        <v>5</v>
      </c>
      <c r="E2591" s="11">
        <v>43111</v>
      </c>
      <c r="F2591" s="8" t="s">
        <v>58</v>
      </c>
      <c r="G2591" s="11">
        <v>43112</v>
      </c>
      <c r="H2591" s="8" t="s">
        <v>25</v>
      </c>
      <c r="I2591" s="11">
        <v>43115</v>
      </c>
      <c r="J2591" s="8" t="s">
        <v>25</v>
      </c>
      <c r="N2591" s="8" t="s">
        <v>58</v>
      </c>
      <c r="O2591" s="8" t="s">
        <v>59</v>
      </c>
      <c r="P2591" s="8" t="s">
        <v>59</v>
      </c>
      <c r="R2591" s="8">
        <v>0</v>
      </c>
      <c r="S2591" s="8">
        <v>0</v>
      </c>
      <c r="T2591" s="8">
        <v>1</v>
      </c>
      <c r="U2591" s="8">
        <v>2</v>
      </c>
      <c r="X2591" s="8">
        <v>5</v>
      </c>
      <c r="AG2591" s="8" t="str">
        <f t="shared" si="161"/>
        <v/>
      </c>
      <c r="AI2591" s="8" t="str">
        <f t="shared" si="162"/>
        <v/>
      </c>
      <c r="AJ2591" s="8" t="str">
        <f t="shared" si="163"/>
        <v/>
      </c>
      <c r="AL2591" s="8" t="str">
        <f t="shared" si="164"/>
        <v/>
      </c>
    </row>
    <row r="2592" spans="1:38" x14ac:dyDescent="0.25">
      <c r="A2592" s="8" t="s">
        <v>5790</v>
      </c>
      <c r="B2592" s="8" t="s">
        <v>5791</v>
      </c>
      <c r="C2592" s="8">
        <v>30865218</v>
      </c>
      <c r="D2592" s="8">
        <v>4</v>
      </c>
      <c r="E2592" s="11">
        <v>43110</v>
      </c>
      <c r="F2592" s="8" t="s">
        <v>57</v>
      </c>
      <c r="G2592" s="11">
        <v>43112</v>
      </c>
      <c r="H2592" s="8" t="s">
        <v>25</v>
      </c>
      <c r="J2592" s="8" t="s">
        <v>25</v>
      </c>
      <c r="N2592" s="8" t="s">
        <v>58</v>
      </c>
      <c r="O2592" s="8" t="s">
        <v>59</v>
      </c>
      <c r="P2592" s="8" t="s">
        <v>59</v>
      </c>
      <c r="R2592" s="8">
        <v>0</v>
      </c>
      <c r="S2592" s="8">
        <v>0</v>
      </c>
      <c r="T2592" s="8">
        <v>1</v>
      </c>
      <c r="U2592" s="8">
        <v>2</v>
      </c>
      <c r="AG2592" s="8" t="str">
        <f t="shared" si="161"/>
        <v/>
      </c>
      <c r="AI2592" s="8" t="str">
        <f t="shared" si="162"/>
        <v/>
      </c>
      <c r="AJ2592" s="8" t="str">
        <f t="shared" si="163"/>
        <v/>
      </c>
      <c r="AL2592" s="8" t="str">
        <f t="shared" si="164"/>
        <v/>
      </c>
    </row>
    <row r="2593" spans="1:38" x14ac:dyDescent="0.25">
      <c r="A2593" s="8" t="s">
        <v>2691</v>
      </c>
      <c r="B2593" s="8" t="s">
        <v>2692</v>
      </c>
      <c r="C2593" s="8">
        <v>30866550</v>
      </c>
      <c r="D2593" s="8">
        <v>5</v>
      </c>
      <c r="E2593" s="11">
        <v>43110</v>
      </c>
      <c r="F2593" s="8" t="s">
        <v>60</v>
      </c>
      <c r="G2593" s="11">
        <v>43110</v>
      </c>
      <c r="H2593" s="8" t="s">
        <v>25</v>
      </c>
      <c r="J2593" s="8" t="s">
        <v>145</v>
      </c>
      <c r="L2593" s="8" t="s">
        <v>6525</v>
      </c>
      <c r="N2593" s="8" t="s">
        <v>58</v>
      </c>
      <c r="O2593" s="8" t="s">
        <v>59</v>
      </c>
      <c r="P2593" s="8" t="s">
        <v>59</v>
      </c>
      <c r="R2593" s="8">
        <v>0</v>
      </c>
      <c r="S2593" s="8">
        <v>0</v>
      </c>
      <c r="T2593" s="8">
        <v>1</v>
      </c>
      <c r="U2593" s="8">
        <v>2</v>
      </c>
      <c r="W2593" s="8">
        <v>4</v>
      </c>
      <c r="AG2593" s="8" t="str">
        <f t="shared" si="161"/>
        <v/>
      </c>
      <c r="AI2593" s="8" t="str">
        <f t="shared" si="162"/>
        <v/>
      </c>
      <c r="AJ2593" s="8" t="str">
        <f t="shared" si="163"/>
        <v/>
      </c>
      <c r="AL2593" s="8" t="str">
        <f t="shared" si="164"/>
        <v/>
      </c>
    </row>
    <row r="2594" spans="1:38" x14ac:dyDescent="0.25">
      <c r="A2594" s="8" t="s">
        <v>7585</v>
      </c>
      <c r="B2594" s="8" t="s">
        <v>7586</v>
      </c>
      <c r="C2594" s="8">
        <v>30896954</v>
      </c>
      <c r="D2594" s="8">
        <v>5</v>
      </c>
      <c r="E2594" s="11">
        <v>43111</v>
      </c>
      <c r="F2594" s="8" t="s">
        <v>58</v>
      </c>
      <c r="G2594" s="11">
        <v>43115</v>
      </c>
      <c r="H2594" s="8" t="s">
        <v>25</v>
      </c>
      <c r="I2594" s="11">
        <v>43115</v>
      </c>
      <c r="J2594" s="8" t="s">
        <v>25</v>
      </c>
      <c r="N2594" s="8" t="s">
        <v>58</v>
      </c>
      <c r="O2594" s="8" t="s">
        <v>59</v>
      </c>
      <c r="P2594" s="8" t="s">
        <v>59</v>
      </c>
      <c r="R2594" s="8">
        <v>0</v>
      </c>
      <c r="S2594" s="8">
        <v>0</v>
      </c>
      <c r="T2594" s="8">
        <v>1</v>
      </c>
      <c r="U2594" s="8">
        <v>2</v>
      </c>
      <c r="X2594" s="8">
        <v>5</v>
      </c>
      <c r="AG2594" s="8" t="str">
        <f t="shared" si="161"/>
        <v/>
      </c>
      <c r="AI2594" s="8" t="str">
        <f t="shared" si="162"/>
        <v/>
      </c>
      <c r="AJ2594" s="8" t="str">
        <f t="shared" si="163"/>
        <v/>
      </c>
      <c r="AL2594" s="8" t="str">
        <f t="shared" si="164"/>
        <v/>
      </c>
    </row>
    <row r="2595" spans="1:38" x14ac:dyDescent="0.25">
      <c r="A2595" s="8" t="s">
        <v>5792</v>
      </c>
      <c r="B2595" s="8" t="s">
        <v>5793</v>
      </c>
      <c r="C2595" s="8">
        <v>30867329</v>
      </c>
      <c r="D2595" s="8">
        <v>5</v>
      </c>
      <c r="E2595" s="11">
        <v>43110</v>
      </c>
      <c r="F2595" s="8" t="s">
        <v>58</v>
      </c>
      <c r="G2595" s="11">
        <v>43112</v>
      </c>
      <c r="H2595" s="8" t="s">
        <v>25</v>
      </c>
      <c r="I2595" s="11">
        <v>43112</v>
      </c>
      <c r="J2595" s="8" t="s">
        <v>25</v>
      </c>
      <c r="N2595" s="8" t="s">
        <v>58</v>
      </c>
      <c r="O2595" s="8" t="s">
        <v>59</v>
      </c>
      <c r="P2595" s="8" t="s">
        <v>59</v>
      </c>
      <c r="R2595" s="8">
        <v>0</v>
      </c>
      <c r="S2595" s="8">
        <v>0</v>
      </c>
      <c r="T2595" s="8">
        <v>1</v>
      </c>
      <c r="U2595" s="8">
        <v>2</v>
      </c>
      <c r="X2595" s="8">
        <v>5</v>
      </c>
      <c r="AG2595" s="8" t="str">
        <f t="shared" si="161"/>
        <v/>
      </c>
      <c r="AI2595" s="8" t="str">
        <f t="shared" si="162"/>
        <v/>
      </c>
      <c r="AJ2595" s="8" t="str">
        <f t="shared" si="163"/>
        <v/>
      </c>
      <c r="AL2595" s="8" t="str">
        <f t="shared" si="164"/>
        <v/>
      </c>
    </row>
    <row r="2596" spans="1:38" x14ac:dyDescent="0.25">
      <c r="A2596" s="8" t="s">
        <v>1387</v>
      </c>
      <c r="B2596" s="8" t="s">
        <v>1388</v>
      </c>
      <c r="C2596" s="8">
        <v>30847283</v>
      </c>
      <c r="D2596" s="8">
        <v>5</v>
      </c>
      <c r="E2596" s="11">
        <v>43109</v>
      </c>
      <c r="F2596" s="8" t="s">
        <v>58</v>
      </c>
      <c r="G2596" s="11">
        <v>43109</v>
      </c>
      <c r="H2596" s="8" t="s">
        <v>25</v>
      </c>
      <c r="I2596" s="11">
        <v>43110</v>
      </c>
      <c r="J2596" s="8" t="s">
        <v>25</v>
      </c>
      <c r="N2596" s="8" t="s">
        <v>58</v>
      </c>
      <c r="O2596" s="8" t="s">
        <v>59</v>
      </c>
      <c r="P2596" s="8" t="s">
        <v>59</v>
      </c>
      <c r="R2596" s="8">
        <v>0</v>
      </c>
      <c r="S2596" s="8">
        <v>0</v>
      </c>
      <c r="T2596" s="8">
        <v>1</v>
      </c>
      <c r="U2596" s="8">
        <v>2</v>
      </c>
      <c r="X2596" s="8">
        <v>5</v>
      </c>
      <c r="AG2596" s="8" t="str">
        <f t="shared" si="161"/>
        <v/>
      </c>
      <c r="AI2596" s="8" t="str">
        <f t="shared" si="162"/>
        <v/>
      </c>
      <c r="AJ2596" s="8" t="str">
        <f t="shared" si="163"/>
        <v/>
      </c>
      <c r="AL2596" s="8" t="str">
        <f t="shared" si="164"/>
        <v/>
      </c>
    </row>
    <row r="2597" spans="1:38" x14ac:dyDescent="0.25">
      <c r="A2597" s="8" t="s">
        <v>2693</v>
      </c>
      <c r="B2597" s="8" t="s">
        <v>2694</v>
      </c>
      <c r="C2597" s="8">
        <v>30815696</v>
      </c>
      <c r="D2597" s="8">
        <v>5</v>
      </c>
      <c r="E2597" s="11">
        <v>43108</v>
      </c>
      <c r="F2597" s="8" t="s">
        <v>58</v>
      </c>
      <c r="G2597" s="11">
        <v>43110</v>
      </c>
      <c r="H2597" s="8" t="s">
        <v>25</v>
      </c>
      <c r="I2597" s="11">
        <v>43111</v>
      </c>
      <c r="J2597" s="8" t="s">
        <v>25</v>
      </c>
      <c r="N2597" s="8" t="s">
        <v>58</v>
      </c>
      <c r="O2597" s="8" t="s">
        <v>59</v>
      </c>
      <c r="P2597" s="8" t="s">
        <v>59</v>
      </c>
      <c r="R2597" s="8">
        <v>0</v>
      </c>
      <c r="S2597" s="8">
        <v>0</v>
      </c>
      <c r="T2597" s="8">
        <v>1</v>
      </c>
      <c r="U2597" s="8">
        <v>2</v>
      </c>
      <c r="X2597" s="8">
        <v>5</v>
      </c>
      <c r="AG2597" s="8" t="str">
        <f t="shared" si="161"/>
        <v/>
      </c>
      <c r="AI2597" s="8" t="str">
        <f t="shared" si="162"/>
        <v/>
      </c>
      <c r="AJ2597" s="8" t="str">
        <f t="shared" si="163"/>
        <v/>
      </c>
      <c r="AL2597" s="8" t="str">
        <f t="shared" si="164"/>
        <v/>
      </c>
    </row>
    <row r="2598" spans="1:38" x14ac:dyDescent="0.25">
      <c r="A2598" s="8" t="s">
        <v>5794</v>
      </c>
      <c r="B2598" s="8" t="s">
        <v>5795</v>
      </c>
      <c r="C2598" s="8">
        <v>30877217</v>
      </c>
      <c r="D2598" s="8">
        <v>5</v>
      </c>
      <c r="E2598" s="11">
        <v>43110</v>
      </c>
      <c r="F2598" s="8" t="s">
        <v>57</v>
      </c>
      <c r="G2598" s="11">
        <v>43112</v>
      </c>
      <c r="H2598" s="8" t="s">
        <v>25</v>
      </c>
      <c r="J2598" s="8" t="s">
        <v>25</v>
      </c>
      <c r="N2598" s="8" t="s">
        <v>58</v>
      </c>
      <c r="O2598" s="8" t="s">
        <v>59</v>
      </c>
      <c r="P2598" s="8" t="s">
        <v>59</v>
      </c>
      <c r="R2598" s="8">
        <v>0</v>
      </c>
      <c r="S2598" s="8">
        <v>0</v>
      </c>
      <c r="T2598" s="8">
        <v>1</v>
      </c>
      <c r="U2598" s="8">
        <v>2</v>
      </c>
      <c r="AG2598" s="8" t="str">
        <f t="shared" si="161"/>
        <v/>
      </c>
      <c r="AI2598" s="8" t="str">
        <f t="shared" si="162"/>
        <v/>
      </c>
      <c r="AJ2598" s="8" t="str">
        <f t="shared" si="163"/>
        <v/>
      </c>
      <c r="AL2598" s="8" t="str">
        <f t="shared" si="164"/>
        <v/>
      </c>
    </row>
    <row r="2599" spans="1:38" x14ac:dyDescent="0.25">
      <c r="A2599" s="8" t="s">
        <v>7587</v>
      </c>
      <c r="B2599" s="8" t="s">
        <v>7588</v>
      </c>
      <c r="C2599" s="8">
        <v>30923105</v>
      </c>
      <c r="D2599" s="8">
        <v>5</v>
      </c>
      <c r="E2599" s="11">
        <v>43112</v>
      </c>
      <c r="F2599" s="8" t="s">
        <v>57</v>
      </c>
      <c r="G2599" s="11">
        <v>43115</v>
      </c>
      <c r="H2599" s="8" t="s">
        <v>25</v>
      </c>
      <c r="J2599" s="8" t="s">
        <v>25</v>
      </c>
      <c r="N2599" s="8" t="s">
        <v>58</v>
      </c>
      <c r="O2599" s="8" t="s">
        <v>59</v>
      </c>
      <c r="P2599" s="8" t="s">
        <v>59</v>
      </c>
      <c r="R2599" s="8">
        <v>0</v>
      </c>
      <c r="S2599" s="8">
        <v>0</v>
      </c>
      <c r="T2599" s="8">
        <v>1</v>
      </c>
      <c r="U2599" s="8">
        <v>2</v>
      </c>
      <c r="AG2599" s="8" t="str">
        <f t="shared" si="161"/>
        <v/>
      </c>
      <c r="AI2599" s="8" t="str">
        <f t="shared" si="162"/>
        <v/>
      </c>
      <c r="AJ2599" s="8" t="str">
        <f t="shared" si="163"/>
        <v/>
      </c>
      <c r="AL2599" s="8" t="str">
        <f t="shared" si="164"/>
        <v/>
      </c>
    </row>
    <row r="2600" spans="1:38" x14ac:dyDescent="0.25">
      <c r="A2600" s="8" t="s">
        <v>5796</v>
      </c>
      <c r="B2600" s="8" t="s">
        <v>5797</v>
      </c>
      <c r="C2600" s="8">
        <v>30856784</v>
      </c>
      <c r="D2600" s="8">
        <v>5</v>
      </c>
      <c r="E2600" s="11">
        <v>43110</v>
      </c>
      <c r="F2600" s="8" t="s">
        <v>57</v>
      </c>
      <c r="G2600" s="11">
        <v>43112</v>
      </c>
      <c r="H2600" s="8" t="s">
        <v>25</v>
      </c>
      <c r="J2600" s="8" t="s">
        <v>25</v>
      </c>
      <c r="N2600" s="8" t="s">
        <v>58</v>
      </c>
      <c r="O2600" s="8" t="s">
        <v>59</v>
      </c>
      <c r="P2600" s="8" t="s">
        <v>59</v>
      </c>
      <c r="R2600" s="8">
        <v>0</v>
      </c>
      <c r="S2600" s="8">
        <v>0</v>
      </c>
      <c r="T2600" s="8">
        <v>1</v>
      </c>
      <c r="U2600" s="8">
        <v>2</v>
      </c>
      <c r="AG2600" s="8" t="str">
        <f t="shared" si="161"/>
        <v/>
      </c>
      <c r="AI2600" s="8" t="str">
        <f t="shared" si="162"/>
        <v/>
      </c>
      <c r="AJ2600" s="8" t="str">
        <f t="shared" si="163"/>
        <v/>
      </c>
      <c r="AL2600" s="8" t="str">
        <f t="shared" si="164"/>
        <v/>
      </c>
    </row>
    <row r="2601" spans="1:38" x14ac:dyDescent="0.25">
      <c r="A2601" s="8" t="s">
        <v>7589</v>
      </c>
      <c r="B2601" s="8" t="s">
        <v>7590</v>
      </c>
      <c r="C2601" s="8">
        <v>30900651</v>
      </c>
      <c r="D2601" s="8">
        <v>5</v>
      </c>
      <c r="E2601" s="11">
        <v>43111</v>
      </c>
      <c r="F2601" s="8" t="s">
        <v>57</v>
      </c>
      <c r="G2601" s="11">
        <v>43115</v>
      </c>
      <c r="H2601" s="8" t="s">
        <v>25</v>
      </c>
      <c r="J2601" s="8" t="s">
        <v>25</v>
      </c>
      <c r="N2601" s="8" t="s">
        <v>58</v>
      </c>
      <c r="O2601" s="8" t="s">
        <v>59</v>
      </c>
      <c r="P2601" s="8" t="s">
        <v>59</v>
      </c>
      <c r="R2601" s="8">
        <v>0</v>
      </c>
      <c r="S2601" s="8">
        <v>0</v>
      </c>
      <c r="T2601" s="8">
        <v>1</v>
      </c>
      <c r="U2601" s="8">
        <v>2</v>
      </c>
      <c r="AG2601" s="8" t="str">
        <f t="shared" si="161"/>
        <v/>
      </c>
      <c r="AI2601" s="8" t="str">
        <f t="shared" si="162"/>
        <v/>
      </c>
      <c r="AJ2601" s="8" t="str">
        <f t="shared" si="163"/>
        <v/>
      </c>
      <c r="AL2601" s="8" t="str">
        <f t="shared" si="164"/>
        <v/>
      </c>
    </row>
    <row r="2602" spans="1:38" x14ac:dyDescent="0.25">
      <c r="A2602" s="8" t="s">
        <v>7591</v>
      </c>
      <c r="B2602" s="8" t="s">
        <v>7592</v>
      </c>
      <c r="C2602" s="8">
        <v>30893309</v>
      </c>
      <c r="D2602" s="8">
        <v>5</v>
      </c>
      <c r="E2602" s="11">
        <v>43111</v>
      </c>
      <c r="F2602" s="8" t="s">
        <v>58</v>
      </c>
      <c r="G2602" s="11">
        <v>43115</v>
      </c>
      <c r="H2602" s="8" t="s">
        <v>25</v>
      </c>
      <c r="I2602" s="11">
        <v>43115</v>
      </c>
      <c r="J2602" s="8" t="s">
        <v>25</v>
      </c>
      <c r="N2602" s="8" t="s">
        <v>58</v>
      </c>
      <c r="O2602" s="8" t="s">
        <v>59</v>
      </c>
      <c r="P2602" s="8" t="s">
        <v>59</v>
      </c>
      <c r="R2602" s="8">
        <v>0</v>
      </c>
      <c r="S2602" s="8">
        <v>0</v>
      </c>
      <c r="T2602" s="8">
        <v>1</v>
      </c>
      <c r="U2602" s="8">
        <v>2</v>
      </c>
      <c r="X2602" s="8">
        <v>5</v>
      </c>
      <c r="AG2602" s="8" t="str">
        <f t="shared" si="161"/>
        <v/>
      </c>
      <c r="AI2602" s="8" t="str">
        <f t="shared" si="162"/>
        <v/>
      </c>
      <c r="AJ2602" s="8" t="str">
        <f t="shared" si="163"/>
        <v/>
      </c>
      <c r="AL2602" s="8" t="str">
        <f t="shared" si="164"/>
        <v/>
      </c>
    </row>
    <row r="2603" spans="1:38" x14ac:dyDescent="0.25">
      <c r="A2603" s="8" t="s">
        <v>2695</v>
      </c>
      <c r="B2603" s="8" t="s">
        <v>2696</v>
      </c>
      <c r="C2603" s="8">
        <v>30820458</v>
      </c>
      <c r="D2603" s="8">
        <v>5</v>
      </c>
      <c r="E2603" s="11">
        <v>43108</v>
      </c>
      <c r="F2603" s="8" t="s">
        <v>58</v>
      </c>
      <c r="G2603" s="11">
        <v>43110</v>
      </c>
      <c r="H2603" s="8" t="s">
        <v>25</v>
      </c>
      <c r="I2603" s="11">
        <v>43115</v>
      </c>
      <c r="J2603" s="8" t="s">
        <v>145</v>
      </c>
      <c r="N2603" s="8" t="s">
        <v>58</v>
      </c>
      <c r="O2603" s="8" t="s">
        <v>59</v>
      </c>
      <c r="P2603" s="8" t="s">
        <v>59</v>
      </c>
      <c r="R2603" s="8">
        <v>0</v>
      </c>
      <c r="S2603" s="8">
        <v>0</v>
      </c>
      <c r="T2603" s="8">
        <v>1</v>
      </c>
      <c r="U2603" s="8">
        <v>2</v>
      </c>
      <c r="X2603" s="8">
        <v>5</v>
      </c>
      <c r="AG2603" s="8" t="str">
        <f t="shared" si="161"/>
        <v/>
      </c>
      <c r="AI2603" s="8" t="str">
        <f t="shared" si="162"/>
        <v/>
      </c>
      <c r="AJ2603" s="8" t="str">
        <f t="shared" si="163"/>
        <v/>
      </c>
      <c r="AL2603" s="8" t="str">
        <f t="shared" si="164"/>
        <v/>
      </c>
    </row>
    <row r="2604" spans="1:38" x14ac:dyDescent="0.25">
      <c r="A2604" s="8" t="s">
        <v>4160</v>
      </c>
      <c r="B2604" s="8" t="s">
        <v>4161</v>
      </c>
      <c r="C2604" s="8">
        <v>30885163</v>
      </c>
      <c r="D2604" s="8">
        <v>5</v>
      </c>
      <c r="E2604" s="11">
        <v>43111</v>
      </c>
      <c r="F2604" s="8" t="s">
        <v>57</v>
      </c>
      <c r="G2604" s="11">
        <v>43111</v>
      </c>
      <c r="H2604" s="8" t="s">
        <v>25</v>
      </c>
      <c r="J2604" s="8" t="s">
        <v>25</v>
      </c>
      <c r="N2604" s="8" t="s">
        <v>58</v>
      </c>
      <c r="O2604" s="8" t="s">
        <v>59</v>
      </c>
      <c r="P2604" s="8" t="s">
        <v>59</v>
      </c>
      <c r="R2604" s="8">
        <v>0</v>
      </c>
      <c r="S2604" s="8">
        <v>0</v>
      </c>
      <c r="T2604" s="8">
        <v>1</v>
      </c>
      <c r="U2604" s="8">
        <v>2</v>
      </c>
      <c r="AG2604" s="8" t="str">
        <f t="shared" si="161"/>
        <v/>
      </c>
      <c r="AI2604" s="8" t="str">
        <f t="shared" si="162"/>
        <v/>
      </c>
      <c r="AJ2604" s="8" t="str">
        <f t="shared" si="163"/>
        <v/>
      </c>
      <c r="AL2604" s="8" t="str">
        <f t="shared" si="164"/>
        <v/>
      </c>
    </row>
    <row r="2605" spans="1:38" x14ac:dyDescent="0.25">
      <c r="A2605" s="8" t="s">
        <v>4162</v>
      </c>
      <c r="B2605" s="8" t="s">
        <v>4163</v>
      </c>
      <c r="C2605" s="8">
        <v>30878715</v>
      </c>
      <c r="D2605" s="8">
        <v>5</v>
      </c>
      <c r="E2605" s="11">
        <v>43110</v>
      </c>
      <c r="F2605" s="8" t="s">
        <v>57</v>
      </c>
      <c r="G2605" s="11">
        <v>43111</v>
      </c>
      <c r="H2605" s="8" t="s">
        <v>25</v>
      </c>
      <c r="J2605" s="8" t="s">
        <v>25</v>
      </c>
      <c r="N2605" s="8" t="s">
        <v>58</v>
      </c>
      <c r="O2605" s="8" t="s">
        <v>59</v>
      </c>
      <c r="P2605" s="8" t="s">
        <v>59</v>
      </c>
      <c r="R2605" s="8">
        <v>0</v>
      </c>
      <c r="S2605" s="8">
        <v>0</v>
      </c>
      <c r="T2605" s="8">
        <v>1</v>
      </c>
      <c r="U2605" s="8">
        <v>2</v>
      </c>
      <c r="AG2605" s="8" t="str">
        <f t="shared" si="161"/>
        <v/>
      </c>
      <c r="AI2605" s="8" t="str">
        <f t="shared" si="162"/>
        <v/>
      </c>
      <c r="AJ2605" s="8" t="str">
        <f t="shared" si="163"/>
        <v/>
      </c>
      <c r="AL2605" s="8" t="str">
        <f t="shared" si="164"/>
        <v/>
      </c>
    </row>
    <row r="2606" spans="1:38" x14ac:dyDescent="0.25">
      <c r="A2606" s="8" t="s">
        <v>4164</v>
      </c>
      <c r="B2606" s="8" t="s">
        <v>4165</v>
      </c>
      <c r="C2606" s="8">
        <v>30881690</v>
      </c>
      <c r="D2606" s="8">
        <v>5</v>
      </c>
      <c r="E2606" s="11">
        <v>43111</v>
      </c>
      <c r="F2606" s="8" t="s">
        <v>57</v>
      </c>
      <c r="G2606" s="11">
        <v>43111</v>
      </c>
      <c r="H2606" s="8" t="s">
        <v>25</v>
      </c>
      <c r="J2606" s="8" t="s">
        <v>25</v>
      </c>
      <c r="N2606" s="8" t="s">
        <v>58</v>
      </c>
      <c r="O2606" s="8" t="s">
        <v>59</v>
      </c>
      <c r="P2606" s="8" t="s">
        <v>59</v>
      </c>
      <c r="R2606" s="8">
        <v>0</v>
      </c>
      <c r="S2606" s="8">
        <v>0</v>
      </c>
      <c r="T2606" s="8">
        <v>1</v>
      </c>
      <c r="U2606" s="8">
        <v>2</v>
      </c>
      <c r="AG2606" s="8" t="str">
        <f t="shared" si="161"/>
        <v/>
      </c>
      <c r="AI2606" s="8" t="str">
        <f t="shared" si="162"/>
        <v/>
      </c>
      <c r="AJ2606" s="8" t="str">
        <f t="shared" si="163"/>
        <v/>
      </c>
      <c r="AL2606" s="8" t="str">
        <f t="shared" si="164"/>
        <v/>
      </c>
    </row>
    <row r="2607" spans="1:38" x14ac:dyDescent="0.25">
      <c r="A2607" s="8" t="s">
        <v>557</v>
      </c>
      <c r="B2607" s="8" t="s">
        <v>558</v>
      </c>
      <c r="C2607" s="8">
        <v>30806713</v>
      </c>
      <c r="D2607" s="8">
        <v>5</v>
      </c>
      <c r="E2607" s="11">
        <v>43108</v>
      </c>
      <c r="F2607" s="8" t="s">
        <v>60</v>
      </c>
      <c r="G2607" s="11">
        <v>43108</v>
      </c>
      <c r="H2607" s="8" t="s">
        <v>25</v>
      </c>
      <c r="J2607" s="8" t="s">
        <v>856</v>
      </c>
      <c r="L2607" s="8" t="s">
        <v>6525</v>
      </c>
      <c r="N2607" s="8" t="s">
        <v>58</v>
      </c>
      <c r="O2607" s="8" t="s">
        <v>59</v>
      </c>
      <c r="P2607" s="8" t="s">
        <v>59</v>
      </c>
      <c r="R2607" s="8">
        <v>0</v>
      </c>
      <c r="S2607" s="8">
        <v>0</v>
      </c>
      <c r="T2607" s="8">
        <v>1</v>
      </c>
      <c r="U2607" s="8">
        <v>2</v>
      </c>
      <c r="W2607" s="8">
        <v>4</v>
      </c>
      <c r="AG2607" s="8" t="str">
        <f t="shared" si="161"/>
        <v/>
      </c>
      <c r="AI2607" s="8" t="str">
        <f t="shared" si="162"/>
        <v/>
      </c>
      <c r="AJ2607" s="8" t="str">
        <f t="shared" si="163"/>
        <v/>
      </c>
      <c r="AL2607" s="8" t="str">
        <f t="shared" si="164"/>
        <v/>
      </c>
    </row>
    <row r="2608" spans="1:38" x14ac:dyDescent="0.25">
      <c r="A2608" s="8" t="s">
        <v>7593</v>
      </c>
      <c r="B2608" s="8" t="s">
        <v>7594</v>
      </c>
      <c r="C2608" s="8">
        <v>30915189</v>
      </c>
      <c r="D2608" s="8">
        <v>5</v>
      </c>
      <c r="E2608" s="11">
        <v>43112</v>
      </c>
      <c r="F2608" s="8" t="s">
        <v>57</v>
      </c>
      <c r="G2608" s="11">
        <v>43115</v>
      </c>
      <c r="H2608" s="8" t="s">
        <v>25</v>
      </c>
      <c r="J2608" s="8" t="s">
        <v>25</v>
      </c>
      <c r="N2608" s="8" t="s">
        <v>58</v>
      </c>
      <c r="O2608" s="8" t="s">
        <v>59</v>
      </c>
      <c r="P2608" s="8" t="s">
        <v>59</v>
      </c>
      <c r="R2608" s="8">
        <v>0</v>
      </c>
      <c r="S2608" s="8">
        <v>0</v>
      </c>
      <c r="T2608" s="8">
        <v>1</v>
      </c>
      <c r="U2608" s="8">
        <v>2</v>
      </c>
      <c r="AG2608" s="8" t="str">
        <f t="shared" si="161"/>
        <v/>
      </c>
      <c r="AI2608" s="8" t="str">
        <f t="shared" si="162"/>
        <v/>
      </c>
      <c r="AJ2608" s="8" t="str">
        <f t="shared" si="163"/>
        <v/>
      </c>
      <c r="AL2608" s="8" t="str">
        <f t="shared" si="164"/>
        <v/>
      </c>
    </row>
    <row r="2609" spans="1:38" x14ac:dyDescent="0.25">
      <c r="A2609" s="8" t="s">
        <v>4166</v>
      </c>
      <c r="B2609" s="8" t="s">
        <v>4167</v>
      </c>
      <c r="C2609" s="8">
        <v>30848714</v>
      </c>
      <c r="D2609" s="8">
        <v>5</v>
      </c>
      <c r="E2609" s="11">
        <v>43109</v>
      </c>
      <c r="F2609" s="8" t="s">
        <v>57</v>
      </c>
      <c r="G2609" s="11">
        <v>43111</v>
      </c>
      <c r="H2609" s="8" t="s">
        <v>25</v>
      </c>
      <c r="J2609" s="8" t="s">
        <v>25</v>
      </c>
      <c r="N2609" s="8" t="s">
        <v>58</v>
      </c>
      <c r="O2609" s="8" t="s">
        <v>59</v>
      </c>
      <c r="P2609" s="8" t="s">
        <v>59</v>
      </c>
      <c r="R2609" s="8">
        <v>0</v>
      </c>
      <c r="S2609" s="8">
        <v>0</v>
      </c>
      <c r="T2609" s="8">
        <v>1</v>
      </c>
      <c r="U2609" s="8">
        <v>2</v>
      </c>
      <c r="AG2609" s="8" t="str">
        <f t="shared" si="161"/>
        <v/>
      </c>
      <c r="AI2609" s="8" t="str">
        <f t="shared" si="162"/>
        <v/>
      </c>
      <c r="AJ2609" s="8" t="str">
        <f t="shared" si="163"/>
        <v/>
      </c>
      <c r="AL2609" s="8" t="str">
        <f t="shared" si="164"/>
        <v/>
      </c>
    </row>
    <row r="2610" spans="1:38" x14ac:dyDescent="0.25">
      <c r="A2610" s="8" t="s">
        <v>4168</v>
      </c>
      <c r="B2610" s="8" t="s">
        <v>4169</v>
      </c>
      <c r="C2610" s="8">
        <v>30849019</v>
      </c>
      <c r="D2610" s="8">
        <v>5</v>
      </c>
      <c r="E2610" s="11">
        <v>43109</v>
      </c>
      <c r="F2610" s="8" t="s">
        <v>57</v>
      </c>
      <c r="G2610" s="11">
        <v>43111</v>
      </c>
      <c r="H2610" s="8" t="s">
        <v>25</v>
      </c>
      <c r="J2610" s="8" t="s">
        <v>25</v>
      </c>
      <c r="N2610" s="8" t="s">
        <v>58</v>
      </c>
      <c r="O2610" s="8" t="s">
        <v>59</v>
      </c>
      <c r="P2610" s="8" t="s">
        <v>59</v>
      </c>
      <c r="R2610" s="8">
        <v>0</v>
      </c>
      <c r="S2610" s="8">
        <v>0</v>
      </c>
      <c r="T2610" s="8">
        <v>1</v>
      </c>
      <c r="U2610" s="8">
        <v>2</v>
      </c>
      <c r="AG2610" s="8" t="str">
        <f t="shared" si="161"/>
        <v/>
      </c>
      <c r="AI2610" s="8" t="str">
        <f t="shared" si="162"/>
        <v/>
      </c>
      <c r="AJ2610" s="8" t="str">
        <f t="shared" si="163"/>
        <v/>
      </c>
      <c r="AL2610" s="8" t="str">
        <f t="shared" si="164"/>
        <v/>
      </c>
    </row>
    <row r="2611" spans="1:38" x14ac:dyDescent="0.25">
      <c r="A2611" s="8" t="s">
        <v>4170</v>
      </c>
      <c r="B2611" s="8" t="s">
        <v>4171</v>
      </c>
      <c r="C2611" s="8">
        <v>30850854</v>
      </c>
      <c r="D2611" s="8">
        <v>5</v>
      </c>
      <c r="E2611" s="11">
        <v>43109</v>
      </c>
      <c r="F2611" s="8" t="s">
        <v>57</v>
      </c>
      <c r="G2611" s="11">
        <v>43111</v>
      </c>
      <c r="H2611" s="8" t="s">
        <v>25</v>
      </c>
      <c r="J2611" s="8" t="s">
        <v>25</v>
      </c>
      <c r="N2611" s="8" t="s">
        <v>58</v>
      </c>
      <c r="O2611" s="8" t="s">
        <v>59</v>
      </c>
      <c r="P2611" s="8" t="s">
        <v>59</v>
      </c>
      <c r="R2611" s="8">
        <v>0</v>
      </c>
      <c r="S2611" s="8">
        <v>0</v>
      </c>
      <c r="T2611" s="8">
        <v>1</v>
      </c>
      <c r="U2611" s="8">
        <v>2</v>
      </c>
      <c r="AG2611" s="8" t="str">
        <f t="shared" si="161"/>
        <v/>
      </c>
      <c r="AI2611" s="8" t="str">
        <f t="shared" si="162"/>
        <v/>
      </c>
      <c r="AJ2611" s="8" t="str">
        <f t="shared" si="163"/>
        <v/>
      </c>
      <c r="AL2611" s="8" t="str">
        <f t="shared" si="164"/>
        <v/>
      </c>
    </row>
    <row r="2612" spans="1:38" x14ac:dyDescent="0.25">
      <c r="A2612" s="8" t="s">
        <v>4172</v>
      </c>
      <c r="B2612" s="8" t="s">
        <v>4173</v>
      </c>
      <c r="C2612" s="8">
        <v>30852518</v>
      </c>
      <c r="D2612" s="8">
        <v>4</v>
      </c>
      <c r="E2612" s="11">
        <v>43109</v>
      </c>
      <c r="F2612" s="8" t="s">
        <v>57</v>
      </c>
      <c r="G2612" s="11">
        <v>43111</v>
      </c>
      <c r="H2612" s="8" t="s">
        <v>25</v>
      </c>
      <c r="J2612" s="8" t="s">
        <v>25</v>
      </c>
      <c r="N2612" s="8" t="s">
        <v>58</v>
      </c>
      <c r="O2612" s="8" t="s">
        <v>59</v>
      </c>
      <c r="P2612" s="8" t="s">
        <v>59</v>
      </c>
      <c r="R2612" s="8">
        <v>0</v>
      </c>
      <c r="S2612" s="8">
        <v>0</v>
      </c>
      <c r="T2612" s="8">
        <v>1</v>
      </c>
      <c r="U2612" s="8">
        <v>2</v>
      </c>
      <c r="AG2612" s="8" t="str">
        <f t="shared" si="161"/>
        <v/>
      </c>
      <c r="AI2612" s="8" t="str">
        <f t="shared" si="162"/>
        <v/>
      </c>
      <c r="AJ2612" s="8" t="str">
        <f t="shared" si="163"/>
        <v/>
      </c>
      <c r="AL2612" s="8" t="str">
        <f t="shared" si="164"/>
        <v/>
      </c>
    </row>
    <row r="2613" spans="1:38" x14ac:dyDescent="0.25">
      <c r="A2613" s="8" t="s">
        <v>2697</v>
      </c>
      <c r="B2613" s="8" t="s">
        <v>2698</v>
      </c>
      <c r="C2613" s="8">
        <v>30813539</v>
      </c>
      <c r="D2613" s="8">
        <v>5</v>
      </c>
      <c r="E2613" s="11">
        <v>43108</v>
      </c>
      <c r="F2613" s="8" t="s">
        <v>58</v>
      </c>
      <c r="G2613" s="11">
        <v>43110</v>
      </c>
      <c r="H2613" s="8" t="s">
        <v>25</v>
      </c>
      <c r="I2613" s="11">
        <v>43110</v>
      </c>
      <c r="J2613" s="8" t="s">
        <v>25</v>
      </c>
      <c r="N2613" s="8" t="s">
        <v>58</v>
      </c>
      <c r="O2613" s="8" t="s">
        <v>59</v>
      </c>
      <c r="P2613" s="8" t="s">
        <v>59</v>
      </c>
      <c r="R2613" s="8">
        <v>0</v>
      </c>
      <c r="S2613" s="8">
        <v>0</v>
      </c>
      <c r="T2613" s="8">
        <v>1</v>
      </c>
      <c r="U2613" s="8">
        <v>2</v>
      </c>
      <c r="X2613" s="8">
        <v>5</v>
      </c>
      <c r="AG2613" s="8" t="str">
        <f t="shared" si="161"/>
        <v/>
      </c>
      <c r="AI2613" s="8" t="str">
        <f t="shared" si="162"/>
        <v/>
      </c>
      <c r="AJ2613" s="8" t="str">
        <f t="shared" si="163"/>
        <v/>
      </c>
      <c r="AL2613" s="8" t="str">
        <f t="shared" si="164"/>
        <v/>
      </c>
    </row>
    <row r="2614" spans="1:38" x14ac:dyDescent="0.25">
      <c r="A2614" s="8" t="s">
        <v>559</v>
      </c>
      <c r="B2614" s="8" t="s">
        <v>560</v>
      </c>
      <c r="C2614" s="8">
        <v>30825175</v>
      </c>
      <c r="D2614" s="8">
        <v>5</v>
      </c>
      <c r="E2614" s="11">
        <v>43108</v>
      </c>
      <c r="F2614" s="8" t="s">
        <v>60</v>
      </c>
      <c r="G2614" s="11">
        <v>43108</v>
      </c>
      <c r="H2614" s="8" t="s">
        <v>25</v>
      </c>
      <c r="J2614" s="8" t="s">
        <v>856</v>
      </c>
      <c r="L2614" s="8" t="s">
        <v>6525</v>
      </c>
      <c r="N2614" s="8" t="s">
        <v>58</v>
      </c>
      <c r="O2614" s="8" t="s">
        <v>59</v>
      </c>
      <c r="P2614" s="8" t="s">
        <v>59</v>
      </c>
      <c r="R2614" s="8">
        <v>0</v>
      </c>
      <c r="S2614" s="8">
        <v>0</v>
      </c>
      <c r="T2614" s="8">
        <v>1</v>
      </c>
      <c r="U2614" s="8">
        <v>2</v>
      </c>
      <c r="W2614" s="8">
        <v>4</v>
      </c>
      <c r="AG2614" s="8" t="str">
        <f t="shared" si="161"/>
        <v/>
      </c>
      <c r="AI2614" s="8" t="str">
        <f t="shared" si="162"/>
        <v/>
      </c>
      <c r="AJ2614" s="8" t="str">
        <f t="shared" si="163"/>
        <v/>
      </c>
      <c r="AL2614" s="8" t="str">
        <f t="shared" si="164"/>
        <v/>
      </c>
    </row>
    <row r="2615" spans="1:38" x14ac:dyDescent="0.25">
      <c r="A2615" s="8" t="s">
        <v>7595</v>
      </c>
      <c r="B2615" s="8" t="s">
        <v>7596</v>
      </c>
      <c r="C2615" s="8">
        <v>30930556</v>
      </c>
      <c r="D2615" s="8">
        <v>5</v>
      </c>
      <c r="E2615" s="11">
        <v>43115</v>
      </c>
      <c r="F2615" s="8" t="s">
        <v>57</v>
      </c>
      <c r="G2615" s="11">
        <v>43115</v>
      </c>
      <c r="H2615" s="8" t="s">
        <v>25</v>
      </c>
      <c r="J2615" s="8" t="s">
        <v>25</v>
      </c>
      <c r="N2615" s="8" t="s">
        <v>58</v>
      </c>
      <c r="O2615" s="8" t="s">
        <v>59</v>
      </c>
      <c r="P2615" s="8" t="s">
        <v>59</v>
      </c>
      <c r="R2615" s="8">
        <v>0</v>
      </c>
      <c r="S2615" s="8">
        <v>0</v>
      </c>
      <c r="T2615" s="8">
        <v>1</v>
      </c>
      <c r="U2615" s="8">
        <v>2</v>
      </c>
      <c r="AG2615" s="8" t="str">
        <f t="shared" si="161"/>
        <v/>
      </c>
      <c r="AI2615" s="8" t="str">
        <f t="shared" si="162"/>
        <v/>
      </c>
      <c r="AJ2615" s="8" t="str">
        <f t="shared" si="163"/>
        <v/>
      </c>
      <c r="AL2615" s="8" t="str">
        <f t="shared" si="164"/>
        <v/>
      </c>
    </row>
    <row r="2616" spans="1:38" x14ac:dyDescent="0.25">
      <c r="A2616" s="8" t="s">
        <v>2699</v>
      </c>
      <c r="B2616" s="8" t="s">
        <v>2700</v>
      </c>
      <c r="C2616" s="8">
        <v>30808088</v>
      </c>
      <c r="D2616" s="8">
        <v>5</v>
      </c>
      <c r="E2616" s="11">
        <v>43108</v>
      </c>
      <c r="F2616" s="8" t="s">
        <v>57</v>
      </c>
      <c r="G2616" s="11">
        <v>43110</v>
      </c>
      <c r="H2616" s="8" t="s">
        <v>25</v>
      </c>
      <c r="J2616" s="8" t="s">
        <v>25</v>
      </c>
      <c r="N2616" s="8" t="s">
        <v>58</v>
      </c>
      <c r="O2616" s="8" t="s">
        <v>59</v>
      </c>
      <c r="P2616" s="8" t="s">
        <v>59</v>
      </c>
      <c r="R2616" s="8">
        <v>0</v>
      </c>
      <c r="S2616" s="8">
        <v>0</v>
      </c>
      <c r="T2616" s="8">
        <v>1</v>
      </c>
      <c r="U2616" s="8">
        <v>2</v>
      </c>
      <c r="AG2616" s="8" t="str">
        <f t="shared" si="161"/>
        <v/>
      </c>
      <c r="AI2616" s="8" t="str">
        <f t="shared" si="162"/>
        <v/>
      </c>
      <c r="AJ2616" s="8" t="str">
        <f t="shared" si="163"/>
        <v/>
      </c>
      <c r="AL2616" s="8" t="str">
        <f t="shared" si="164"/>
        <v/>
      </c>
    </row>
    <row r="2617" spans="1:38" x14ac:dyDescent="0.25">
      <c r="A2617" s="8" t="s">
        <v>7597</v>
      </c>
      <c r="B2617" s="8" t="s">
        <v>7598</v>
      </c>
      <c r="C2617" s="8">
        <v>30943586</v>
      </c>
      <c r="D2617" s="8">
        <v>5</v>
      </c>
      <c r="E2617" s="11">
        <v>43115</v>
      </c>
      <c r="F2617" s="8" t="s">
        <v>57</v>
      </c>
      <c r="G2617" s="11">
        <v>43115</v>
      </c>
      <c r="H2617" s="8" t="s">
        <v>25</v>
      </c>
      <c r="J2617" s="8" t="s">
        <v>25</v>
      </c>
      <c r="N2617" s="8" t="s">
        <v>58</v>
      </c>
      <c r="O2617" s="8" t="s">
        <v>59</v>
      </c>
      <c r="P2617" s="8" t="s">
        <v>59</v>
      </c>
      <c r="R2617" s="8">
        <v>0</v>
      </c>
      <c r="S2617" s="8">
        <v>0</v>
      </c>
      <c r="T2617" s="8">
        <v>1</v>
      </c>
      <c r="U2617" s="8">
        <v>2</v>
      </c>
      <c r="AG2617" s="8" t="str">
        <f t="shared" si="161"/>
        <v/>
      </c>
      <c r="AI2617" s="8" t="str">
        <f t="shared" si="162"/>
        <v/>
      </c>
      <c r="AJ2617" s="8" t="str">
        <f t="shared" si="163"/>
        <v/>
      </c>
      <c r="AL2617" s="8" t="str">
        <f t="shared" si="164"/>
        <v/>
      </c>
    </row>
    <row r="2618" spans="1:38" x14ac:dyDescent="0.25">
      <c r="A2618" s="8" t="s">
        <v>5798</v>
      </c>
      <c r="B2618" s="8" t="s">
        <v>5799</v>
      </c>
      <c r="C2618" s="8">
        <v>30872984</v>
      </c>
      <c r="D2618" s="8">
        <v>5</v>
      </c>
      <c r="E2618" s="11">
        <v>43110</v>
      </c>
      <c r="F2618" s="8" t="s">
        <v>58</v>
      </c>
      <c r="G2618" s="11">
        <v>43112</v>
      </c>
      <c r="H2618" s="8" t="s">
        <v>25</v>
      </c>
      <c r="I2618" s="11">
        <v>43112</v>
      </c>
      <c r="J2618" s="8" t="s">
        <v>25</v>
      </c>
      <c r="N2618" s="8" t="s">
        <v>58</v>
      </c>
      <c r="O2618" s="8" t="s">
        <v>59</v>
      </c>
      <c r="P2618" s="8" t="s">
        <v>59</v>
      </c>
      <c r="R2618" s="8">
        <v>0</v>
      </c>
      <c r="S2618" s="8">
        <v>0</v>
      </c>
      <c r="T2618" s="8">
        <v>1</v>
      </c>
      <c r="U2618" s="8">
        <v>2</v>
      </c>
      <c r="X2618" s="8">
        <v>5</v>
      </c>
      <c r="AG2618" s="8" t="str">
        <f t="shared" si="161"/>
        <v/>
      </c>
      <c r="AI2618" s="8" t="str">
        <f t="shared" si="162"/>
        <v/>
      </c>
      <c r="AJ2618" s="8" t="str">
        <f t="shared" si="163"/>
        <v/>
      </c>
      <c r="AL2618" s="8" t="str">
        <f t="shared" si="164"/>
        <v/>
      </c>
    </row>
    <row r="2619" spans="1:38" x14ac:dyDescent="0.25">
      <c r="A2619" s="8" t="s">
        <v>5800</v>
      </c>
      <c r="B2619" s="8" t="s">
        <v>107</v>
      </c>
      <c r="C2619" s="8">
        <v>30921354</v>
      </c>
      <c r="D2619" s="8">
        <v>5</v>
      </c>
      <c r="E2619" s="11">
        <v>43112</v>
      </c>
      <c r="F2619" s="8" t="s">
        <v>57</v>
      </c>
      <c r="G2619" s="11">
        <v>43112</v>
      </c>
      <c r="H2619" s="8" t="s">
        <v>25</v>
      </c>
      <c r="J2619" s="8" t="s">
        <v>25</v>
      </c>
      <c r="N2619" s="8" t="s">
        <v>58</v>
      </c>
      <c r="O2619" s="8" t="s">
        <v>59</v>
      </c>
      <c r="P2619" s="8" t="s">
        <v>59</v>
      </c>
      <c r="R2619" s="8">
        <v>0</v>
      </c>
      <c r="S2619" s="8">
        <v>0</v>
      </c>
      <c r="T2619" s="8">
        <v>1</v>
      </c>
      <c r="U2619" s="8">
        <v>2</v>
      </c>
      <c r="AG2619" s="8" t="str">
        <f t="shared" si="161"/>
        <v/>
      </c>
      <c r="AI2619" s="8" t="str">
        <f t="shared" si="162"/>
        <v/>
      </c>
      <c r="AJ2619" s="8" t="str">
        <f t="shared" si="163"/>
        <v/>
      </c>
      <c r="AL2619" s="8" t="str">
        <f t="shared" si="164"/>
        <v/>
      </c>
    </row>
    <row r="2620" spans="1:38" x14ac:dyDescent="0.25">
      <c r="A2620" s="8" t="s">
        <v>4174</v>
      </c>
      <c r="B2620" s="8" t="s">
        <v>4175</v>
      </c>
      <c r="C2620" s="8">
        <v>30833121</v>
      </c>
      <c r="D2620" s="8">
        <v>5</v>
      </c>
      <c r="E2620" s="11">
        <v>43109</v>
      </c>
      <c r="F2620" s="8" t="s">
        <v>58</v>
      </c>
      <c r="G2620" s="11">
        <v>43111</v>
      </c>
      <c r="H2620" s="8" t="s">
        <v>25</v>
      </c>
      <c r="I2620" s="11">
        <v>43111</v>
      </c>
      <c r="J2620" s="8" t="s">
        <v>25</v>
      </c>
      <c r="N2620" s="8" t="s">
        <v>58</v>
      </c>
      <c r="O2620" s="8" t="s">
        <v>59</v>
      </c>
      <c r="P2620" s="8" t="s">
        <v>59</v>
      </c>
      <c r="R2620" s="8">
        <v>0</v>
      </c>
      <c r="S2620" s="8">
        <v>0</v>
      </c>
      <c r="T2620" s="8">
        <v>1</v>
      </c>
      <c r="U2620" s="8">
        <v>2</v>
      </c>
      <c r="X2620" s="8">
        <v>5</v>
      </c>
      <c r="AG2620" s="8" t="str">
        <f t="shared" si="161"/>
        <v/>
      </c>
      <c r="AI2620" s="8" t="str">
        <f t="shared" si="162"/>
        <v/>
      </c>
      <c r="AJ2620" s="8" t="str">
        <f t="shared" si="163"/>
        <v/>
      </c>
      <c r="AL2620" s="8" t="str">
        <f t="shared" si="164"/>
        <v/>
      </c>
    </row>
    <row r="2621" spans="1:38" x14ac:dyDescent="0.25">
      <c r="A2621" s="8" t="s">
        <v>2701</v>
      </c>
      <c r="B2621" s="8" t="s">
        <v>2702</v>
      </c>
      <c r="C2621" s="8">
        <v>30875725</v>
      </c>
      <c r="D2621" s="8">
        <v>5</v>
      </c>
      <c r="E2621" s="11">
        <v>43110</v>
      </c>
      <c r="F2621" s="8" t="s">
        <v>58</v>
      </c>
      <c r="G2621" s="11">
        <v>43110</v>
      </c>
      <c r="H2621" s="8" t="s">
        <v>25</v>
      </c>
      <c r="I2621" s="11">
        <v>43115</v>
      </c>
      <c r="J2621" s="8" t="s">
        <v>145</v>
      </c>
      <c r="N2621" s="8" t="s">
        <v>58</v>
      </c>
      <c r="O2621" s="8" t="s">
        <v>59</v>
      </c>
      <c r="P2621" s="8" t="s">
        <v>59</v>
      </c>
      <c r="R2621" s="8">
        <v>0</v>
      </c>
      <c r="S2621" s="8">
        <v>0</v>
      </c>
      <c r="T2621" s="8">
        <v>1</v>
      </c>
      <c r="U2621" s="8">
        <v>2</v>
      </c>
      <c r="X2621" s="8">
        <v>5</v>
      </c>
      <c r="AG2621" s="8" t="str">
        <f t="shared" si="161"/>
        <v/>
      </c>
      <c r="AI2621" s="8" t="str">
        <f t="shared" si="162"/>
        <v/>
      </c>
      <c r="AJ2621" s="8" t="str">
        <f t="shared" si="163"/>
        <v/>
      </c>
      <c r="AL2621" s="8" t="str">
        <f t="shared" si="164"/>
        <v/>
      </c>
    </row>
    <row r="2622" spans="1:38" x14ac:dyDescent="0.25">
      <c r="A2622" s="8" t="s">
        <v>4176</v>
      </c>
      <c r="B2622" s="8" t="s">
        <v>4177</v>
      </c>
      <c r="C2622" s="8">
        <v>30854204</v>
      </c>
      <c r="D2622" s="8">
        <v>5</v>
      </c>
      <c r="E2622" s="11">
        <v>43109</v>
      </c>
      <c r="F2622" s="8" t="s">
        <v>58</v>
      </c>
      <c r="G2622" s="11">
        <v>43111</v>
      </c>
      <c r="H2622" s="8" t="s">
        <v>25</v>
      </c>
      <c r="I2622" s="11">
        <v>43111</v>
      </c>
      <c r="J2622" s="8" t="s">
        <v>25</v>
      </c>
      <c r="N2622" s="8" t="s">
        <v>58</v>
      </c>
      <c r="O2622" s="8" t="s">
        <v>59</v>
      </c>
      <c r="P2622" s="8" t="s">
        <v>59</v>
      </c>
      <c r="R2622" s="8">
        <v>0</v>
      </c>
      <c r="S2622" s="8">
        <v>0</v>
      </c>
      <c r="T2622" s="8">
        <v>1</v>
      </c>
      <c r="U2622" s="8">
        <v>2</v>
      </c>
      <c r="X2622" s="8">
        <v>5</v>
      </c>
      <c r="AG2622" s="8" t="str">
        <f t="shared" si="161"/>
        <v/>
      </c>
      <c r="AI2622" s="8" t="str">
        <f t="shared" si="162"/>
        <v/>
      </c>
      <c r="AJ2622" s="8" t="str">
        <f t="shared" si="163"/>
        <v/>
      </c>
      <c r="AL2622" s="8" t="str">
        <f t="shared" si="164"/>
        <v/>
      </c>
    </row>
    <row r="2623" spans="1:38" x14ac:dyDescent="0.25">
      <c r="A2623" s="8" t="s">
        <v>5801</v>
      </c>
      <c r="B2623" s="8" t="s">
        <v>5802</v>
      </c>
      <c r="C2623" s="8">
        <v>30869492</v>
      </c>
      <c r="D2623" s="8">
        <v>5</v>
      </c>
      <c r="E2623" s="11">
        <v>43110</v>
      </c>
      <c r="F2623" s="8" t="s">
        <v>57</v>
      </c>
      <c r="G2623" s="11">
        <v>43112</v>
      </c>
      <c r="H2623" s="8" t="s">
        <v>25</v>
      </c>
      <c r="J2623" s="8" t="s">
        <v>25</v>
      </c>
      <c r="N2623" s="8" t="s">
        <v>58</v>
      </c>
      <c r="O2623" s="8" t="s">
        <v>59</v>
      </c>
      <c r="P2623" s="8" t="s">
        <v>59</v>
      </c>
      <c r="R2623" s="8">
        <v>0</v>
      </c>
      <c r="S2623" s="8">
        <v>0</v>
      </c>
      <c r="T2623" s="8">
        <v>1</v>
      </c>
      <c r="U2623" s="8">
        <v>2</v>
      </c>
      <c r="AG2623" s="8" t="str">
        <f t="shared" si="161"/>
        <v/>
      </c>
      <c r="AI2623" s="8" t="str">
        <f t="shared" si="162"/>
        <v/>
      </c>
      <c r="AJ2623" s="8" t="str">
        <f t="shared" si="163"/>
        <v/>
      </c>
      <c r="AL2623" s="8" t="str">
        <f t="shared" si="164"/>
        <v/>
      </c>
    </row>
    <row r="2624" spans="1:38" x14ac:dyDescent="0.25">
      <c r="A2624" s="8" t="s">
        <v>561</v>
      </c>
      <c r="B2624" s="8" t="s">
        <v>562</v>
      </c>
      <c r="C2624" s="8">
        <v>30807915</v>
      </c>
      <c r="D2624" s="8">
        <v>5</v>
      </c>
      <c r="E2624" s="11">
        <v>43108</v>
      </c>
      <c r="F2624" s="8" t="s">
        <v>58</v>
      </c>
      <c r="G2624" s="11">
        <v>43108</v>
      </c>
      <c r="H2624" s="8" t="s">
        <v>25</v>
      </c>
      <c r="I2624" s="11">
        <v>43111</v>
      </c>
      <c r="J2624" s="8" t="s">
        <v>25</v>
      </c>
      <c r="N2624" s="8" t="s">
        <v>58</v>
      </c>
      <c r="O2624" s="8" t="s">
        <v>59</v>
      </c>
      <c r="P2624" s="8" t="s">
        <v>59</v>
      </c>
      <c r="R2624" s="8">
        <v>0</v>
      </c>
      <c r="S2624" s="8">
        <v>0</v>
      </c>
      <c r="T2624" s="8">
        <v>1</v>
      </c>
      <c r="U2624" s="8">
        <v>2</v>
      </c>
      <c r="X2624" s="8">
        <v>5</v>
      </c>
      <c r="AG2624" s="8" t="str">
        <f t="shared" si="161"/>
        <v/>
      </c>
      <c r="AI2624" s="8" t="str">
        <f t="shared" si="162"/>
        <v/>
      </c>
      <c r="AJ2624" s="8" t="str">
        <f t="shared" si="163"/>
        <v/>
      </c>
      <c r="AL2624" s="8" t="str">
        <f t="shared" si="164"/>
        <v/>
      </c>
    </row>
    <row r="2625" spans="1:38" x14ac:dyDescent="0.25">
      <c r="A2625" s="8" t="s">
        <v>7599</v>
      </c>
      <c r="B2625" s="8" t="s">
        <v>7600</v>
      </c>
      <c r="C2625" s="8">
        <v>30898351</v>
      </c>
      <c r="D2625" s="8">
        <v>5</v>
      </c>
      <c r="E2625" s="11">
        <v>43111</v>
      </c>
      <c r="F2625" s="8" t="s">
        <v>57</v>
      </c>
      <c r="G2625" s="11">
        <v>43115</v>
      </c>
      <c r="H2625" s="8" t="s">
        <v>25</v>
      </c>
      <c r="J2625" s="8" t="s">
        <v>25</v>
      </c>
      <c r="N2625" s="8" t="s">
        <v>58</v>
      </c>
      <c r="O2625" s="8" t="s">
        <v>59</v>
      </c>
      <c r="P2625" s="8" t="s">
        <v>59</v>
      </c>
      <c r="R2625" s="8">
        <v>0</v>
      </c>
      <c r="S2625" s="8">
        <v>0</v>
      </c>
      <c r="T2625" s="8">
        <v>1</v>
      </c>
      <c r="U2625" s="8">
        <v>2</v>
      </c>
      <c r="AG2625" s="8" t="str">
        <f t="shared" si="161"/>
        <v/>
      </c>
      <c r="AI2625" s="8" t="str">
        <f t="shared" si="162"/>
        <v/>
      </c>
      <c r="AJ2625" s="8" t="str">
        <f t="shared" si="163"/>
        <v/>
      </c>
      <c r="AL2625" s="8" t="str">
        <f t="shared" si="164"/>
        <v/>
      </c>
    </row>
    <row r="2626" spans="1:38" x14ac:dyDescent="0.25">
      <c r="A2626" s="8" t="s">
        <v>563</v>
      </c>
      <c r="B2626" s="8" t="s">
        <v>564</v>
      </c>
      <c r="C2626" s="8">
        <v>30827273</v>
      </c>
      <c r="D2626" s="8">
        <v>5</v>
      </c>
      <c r="E2626" s="11">
        <v>43108</v>
      </c>
      <c r="F2626" s="8" t="s">
        <v>58</v>
      </c>
      <c r="G2626" s="11">
        <v>43108</v>
      </c>
      <c r="H2626" s="8" t="s">
        <v>25</v>
      </c>
      <c r="I2626" s="11">
        <v>43110</v>
      </c>
      <c r="J2626" s="8" t="s">
        <v>25</v>
      </c>
      <c r="N2626" s="8" t="s">
        <v>58</v>
      </c>
      <c r="O2626" s="8" t="s">
        <v>59</v>
      </c>
      <c r="P2626" s="8" t="s">
        <v>59</v>
      </c>
      <c r="R2626" s="8">
        <v>0</v>
      </c>
      <c r="S2626" s="8">
        <v>0</v>
      </c>
      <c r="T2626" s="8">
        <v>1</v>
      </c>
      <c r="U2626" s="8">
        <v>2</v>
      </c>
      <c r="X2626" s="8">
        <v>5</v>
      </c>
      <c r="AG2626" s="8" t="str">
        <f t="shared" si="161"/>
        <v/>
      </c>
      <c r="AI2626" s="8" t="str">
        <f t="shared" si="162"/>
        <v/>
      </c>
      <c r="AJ2626" s="8" t="str">
        <f t="shared" si="163"/>
        <v/>
      </c>
      <c r="AL2626" s="8" t="str">
        <f t="shared" si="164"/>
        <v/>
      </c>
    </row>
    <row r="2627" spans="1:38" x14ac:dyDescent="0.25">
      <c r="A2627" s="8" t="s">
        <v>2703</v>
      </c>
      <c r="B2627" s="8" t="s">
        <v>2704</v>
      </c>
      <c r="C2627" s="8">
        <v>30806891</v>
      </c>
      <c r="D2627" s="8">
        <v>5</v>
      </c>
      <c r="E2627" s="11">
        <v>43108</v>
      </c>
      <c r="F2627" s="8" t="s">
        <v>57</v>
      </c>
      <c r="G2627" s="11">
        <v>43110</v>
      </c>
      <c r="H2627" s="8" t="s">
        <v>25</v>
      </c>
      <c r="J2627" s="8" t="s">
        <v>25</v>
      </c>
      <c r="N2627" s="8" t="s">
        <v>58</v>
      </c>
      <c r="O2627" s="8" t="s">
        <v>59</v>
      </c>
      <c r="P2627" s="8" t="s">
        <v>59</v>
      </c>
      <c r="R2627" s="8">
        <v>0</v>
      </c>
      <c r="S2627" s="8">
        <v>0</v>
      </c>
      <c r="T2627" s="8">
        <v>1</v>
      </c>
      <c r="U2627" s="8">
        <v>2</v>
      </c>
      <c r="AG2627" s="8" t="str">
        <f t="shared" ref="AG2627:AG2690" si="165">IF(AND(U2627="",G2627&lt;&gt;"",NOT(OR(R2627,S2627))),IF(NETWORKDAYS.INTL(G2627,TODAY(),11)&lt;5,"En Plazo",IF(NETWORKDAYS.INTL(G2627,TODAY(),11)=5,"Riesgo Incumplimiento","FALTA_02")),"")</f>
        <v/>
      </c>
      <c r="AI2627" s="8" t="str">
        <f t="shared" ref="AI2627:AI2690" si="166">IF(AND(O2627&lt;&gt;"B1",F2627="Rejected"),IF(W2627="","FALTA_04",""),"")</f>
        <v/>
      </c>
      <c r="AJ2627" s="8" t="str">
        <f t="shared" ref="AJ2627:AJ2690" si="167">IF(AND(X2627="",I2627&lt;&gt;"",NOT(OR(R2627,S2627))),IF(NETWORKDAYS.INTL(G2627,TODAY(),11)&lt;=1,"En Plazo",IF(OR(AND(X2627="",O2627&lt;&gt;"M1"),AND(O2627="M1",(OR(Q2627="S - S",Q2627="S - T",)))),"FALTA_05","")),"")</f>
        <v/>
      </c>
      <c r="AL2627" s="8" t="str">
        <f t="shared" ref="AL2627:AL2690" si="168">IF(AND(O2627="B1",F2627="Rejected"),IF(Z2627="","FALTA_07",""),"")</f>
        <v/>
      </c>
    </row>
    <row r="2628" spans="1:38" x14ac:dyDescent="0.25">
      <c r="A2628" s="8" t="s">
        <v>1389</v>
      </c>
      <c r="B2628" s="8" t="s">
        <v>1390</v>
      </c>
      <c r="C2628" s="8">
        <v>30850543</v>
      </c>
      <c r="D2628" s="8">
        <v>5</v>
      </c>
      <c r="E2628" s="11">
        <v>43109</v>
      </c>
      <c r="F2628" s="8" t="s">
        <v>58</v>
      </c>
      <c r="G2628" s="11">
        <v>43109</v>
      </c>
      <c r="H2628" s="8" t="s">
        <v>25</v>
      </c>
      <c r="I2628" s="11">
        <v>43115</v>
      </c>
      <c r="J2628" s="8" t="s">
        <v>145</v>
      </c>
      <c r="N2628" s="8" t="s">
        <v>58</v>
      </c>
      <c r="O2628" s="8" t="s">
        <v>59</v>
      </c>
      <c r="P2628" s="8" t="s">
        <v>59</v>
      </c>
      <c r="R2628" s="8">
        <v>0</v>
      </c>
      <c r="S2628" s="8">
        <v>0</v>
      </c>
      <c r="T2628" s="8">
        <v>1</v>
      </c>
      <c r="U2628" s="8">
        <v>2</v>
      </c>
      <c r="X2628" s="8">
        <v>5</v>
      </c>
      <c r="AG2628" s="8" t="str">
        <f t="shared" si="165"/>
        <v/>
      </c>
      <c r="AI2628" s="8" t="str">
        <f t="shared" si="166"/>
        <v/>
      </c>
      <c r="AJ2628" s="8" t="str">
        <f t="shared" si="167"/>
        <v/>
      </c>
      <c r="AL2628" s="8" t="str">
        <f t="shared" si="168"/>
        <v/>
      </c>
    </row>
    <row r="2629" spans="1:38" x14ac:dyDescent="0.25">
      <c r="A2629" s="8" t="s">
        <v>5803</v>
      </c>
      <c r="B2629" s="8" t="s">
        <v>5804</v>
      </c>
      <c r="C2629" s="8">
        <v>30870076</v>
      </c>
      <c r="D2629" s="8">
        <v>5</v>
      </c>
      <c r="E2629" s="11">
        <v>43110</v>
      </c>
      <c r="F2629" s="8" t="s">
        <v>57</v>
      </c>
      <c r="G2629" s="11">
        <v>43112</v>
      </c>
      <c r="H2629" s="8" t="s">
        <v>25</v>
      </c>
      <c r="J2629" s="8" t="s">
        <v>25</v>
      </c>
      <c r="N2629" s="8" t="s">
        <v>58</v>
      </c>
      <c r="O2629" s="8" t="s">
        <v>59</v>
      </c>
      <c r="P2629" s="8" t="s">
        <v>59</v>
      </c>
      <c r="R2629" s="8">
        <v>0</v>
      </c>
      <c r="S2629" s="8">
        <v>0</v>
      </c>
      <c r="T2629" s="8">
        <v>1</v>
      </c>
      <c r="U2629" s="8">
        <v>2</v>
      </c>
      <c r="AG2629" s="8" t="str">
        <f t="shared" si="165"/>
        <v/>
      </c>
      <c r="AI2629" s="8" t="str">
        <f t="shared" si="166"/>
        <v/>
      </c>
      <c r="AJ2629" s="8" t="str">
        <f t="shared" si="167"/>
        <v/>
      </c>
      <c r="AL2629" s="8" t="str">
        <f t="shared" si="168"/>
        <v/>
      </c>
    </row>
    <row r="2630" spans="1:38" x14ac:dyDescent="0.25">
      <c r="A2630" s="8" t="s">
        <v>4178</v>
      </c>
      <c r="B2630" s="8" t="s">
        <v>4179</v>
      </c>
      <c r="C2630" s="8">
        <v>30883674</v>
      </c>
      <c r="D2630" s="8">
        <v>4</v>
      </c>
      <c r="E2630" s="11">
        <v>43111</v>
      </c>
      <c r="F2630" s="8" t="s">
        <v>57</v>
      </c>
      <c r="G2630" s="11">
        <v>43111</v>
      </c>
      <c r="H2630" s="8" t="s">
        <v>25</v>
      </c>
      <c r="J2630" s="8" t="s">
        <v>25</v>
      </c>
      <c r="N2630" s="8" t="s">
        <v>58</v>
      </c>
      <c r="O2630" s="8" t="s">
        <v>59</v>
      </c>
      <c r="P2630" s="8" t="s">
        <v>59</v>
      </c>
      <c r="R2630" s="8">
        <v>0</v>
      </c>
      <c r="S2630" s="8">
        <v>0</v>
      </c>
      <c r="T2630" s="8">
        <v>1</v>
      </c>
      <c r="U2630" s="8">
        <v>2</v>
      </c>
      <c r="AG2630" s="8" t="str">
        <f t="shared" si="165"/>
        <v/>
      </c>
      <c r="AI2630" s="8" t="str">
        <f t="shared" si="166"/>
        <v/>
      </c>
      <c r="AJ2630" s="8" t="str">
        <f t="shared" si="167"/>
        <v/>
      </c>
      <c r="AL2630" s="8" t="str">
        <f t="shared" si="168"/>
        <v/>
      </c>
    </row>
    <row r="2631" spans="1:38" x14ac:dyDescent="0.25">
      <c r="A2631" s="8" t="s">
        <v>5805</v>
      </c>
      <c r="B2631" s="8" t="s">
        <v>5806</v>
      </c>
      <c r="C2631" s="8">
        <v>30863562</v>
      </c>
      <c r="D2631" s="8">
        <v>5</v>
      </c>
      <c r="E2631" s="11">
        <v>43110</v>
      </c>
      <c r="F2631" s="8" t="s">
        <v>58</v>
      </c>
      <c r="G2631" s="11">
        <v>43112</v>
      </c>
      <c r="H2631" s="8" t="s">
        <v>25</v>
      </c>
      <c r="I2631" s="11">
        <v>43112</v>
      </c>
      <c r="J2631" s="8" t="s">
        <v>25</v>
      </c>
      <c r="N2631" s="8" t="s">
        <v>58</v>
      </c>
      <c r="O2631" s="8" t="s">
        <v>59</v>
      </c>
      <c r="P2631" s="8" t="s">
        <v>59</v>
      </c>
      <c r="R2631" s="8">
        <v>0</v>
      </c>
      <c r="S2631" s="8">
        <v>0</v>
      </c>
      <c r="T2631" s="8">
        <v>1</v>
      </c>
      <c r="U2631" s="8">
        <v>2</v>
      </c>
      <c r="X2631" s="8">
        <v>5</v>
      </c>
      <c r="AG2631" s="8" t="str">
        <f t="shared" si="165"/>
        <v/>
      </c>
      <c r="AI2631" s="8" t="str">
        <f t="shared" si="166"/>
        <v/>
      </c>
      <c r="AJ2631" s="8" t="str">
        <f t="shared" si="167"/>
        <v/>
      </c>
      <c r="AL2631" s="8" t="str">
        <f t="shared" si="168"/>
        <v/>
      </c>
    </row>
    <row r="2632" spans="1:38" x14ac:dyDescent="0.25">
      <c r="A2632" s="8" t="s">
        <v>1391</v>
      </c>
      <c r="B2632" s="8" t="s">
        <v>1392</v>
      </c>
      <c r="C2632" s="8">
        <v>30849749</v>
      </c>
      <c r="D2632" s="8">
        <v>5</v>
      </c>
      <c r="E2632" s="11">
        <v>43109</v>
      </c>
      <c r="F2632" s="8" t="s">
        <v>58</v>
      </c>
      <c r="G2632" s="11">
        <v>43109</v>
      </c>
      <c r="H2632" s="8" t="s">
        <v>25</v>
      </c>
      <c r="I2632" s="11">
        <v>43110</v>
      </c>
      <c r="J2632" s="8" t="s">
        <v>25</v>
      </c>
      <c r="N2632" s="8" t="s">
        <v>58</v>
      </c>
      <c r="O2632" s="8" t="s">
        <v>59</v>
      </c>
      <c r="P2632" s="8" t="s">
        <v>59</v>
      </c>
      <c r="R2632" s="8">
        <v>0</v>
      </c>
      <c r="S2632" s="8">
        <v>0</v>
      </c>
      <c r="T2632" s="8">
        <v>1</v>
      </c>
      <c r="U2632" s="8">
        <v>2</v>
      </c>
      <c r="X2632" s="8">
        <v>5</v>
      </c>
      <c r="AG2632" s="8" t="str">
        <f t="shared" si="165"/>
        <v/>
      </c>
      <c r="AI2632" s="8" t="str">
        <f t="shared" si="166"/>
        <v/>
      </c>
      <c r="AJ2632" s="8" t="str">
        <f t="shared" si="167"/>
        <v/>
      </c>
      <c r="AL2632" s="8" t="str">
        <f t="shared" si="168"/>
        <v/>
      </c>
    </row>
    <row r="2633" spans="1:38" x14ac:dyDescent="0.25">
      <c r="A2633" s="8" t="s">
        <v>7601</v>
      </c>
      <c r="B2633" s="8" t="s">
        <v>7602</v>
      </c>
      <c r="C2633" s="8">
        <v>30890352</v>
      </c>
      <c r="D2633" s="8">
        <v>5</v>
      </c>
      <c r="E2633" s="11">
        <v>43111</v>
      </c>
      <c r="F2633" s="8" t="s">
        <v>58</v>
      </c>
      <c r="G2633" s="11">
        <v>43115</v>
      </c>
      <c r="H2633" s="8" t="s">
        <v>25</v>
      </c>
      <c r="I2633" s="11">
        <v>43115</v>
      </c>
      <c r="J2633" s="8" t="s">
        <v>25</v>
      </c>
      <c r="N2633" s="8" t="s">
        <v>58</v>
      </c>
      <c r="O2633" s="8" t="s">
        <v>59</v>
      </c>
      <c r="P2633" s="8" t="s">
        <v>59</v>
      </c>
      <c r="R2633" s="8">
        <v>0</v>
      </c>
      <c r="S2633" s="8">
        <v>0</v>
      </c>
      <c r="T2633" s="8">
        <v>1</v>
      </c>
      <c r="U2633" s="8">
        <v>2</v>
      </c>
      <c r="X2633" s="8">
        <v>5</v>
      </c>
      <c r="AG2633" s="8" t="str">
        <f t="shared" si="165"/>
        <v/>
      </c>
      <c r="AI2633" s="8" t="str">
        <f t="shared" si="166"/>
        <v/>
      </c>
      <c r="AJ2633" s="8" t="str">
        <f t="shared" si="167"/>
        <v/>
      </c>
      <c r="AL2633" s="8" t="str">
        <f t="shared" si="168"/>
        <v/>
      </c>
    </row>
    <row r="2634" spans="1:38" x14ac:dyDescent="0.25">
      <c r="A2634" s="8" t="s">
        <v>5807</v>
      </c>
      <c r="B2634" s="8" t="s">
        <v>5808</v>
      </c>
      <c r="C2634" s="8">
        <v>30867712</v>
      </c>
      <c r="D2634" s="8">
        <v>5</v>
      </c>
      <c r="E2634" s="11">
        <v>43110</v>
      </c>
      <c r="F2634" s="8" t="s">
        <v>57</v>
      </c>
      <c r="G2634" s="11">
        <v>43112</v>
      </c>
      <c r="H2634" s="8" t="s">
        <v>25</v>
      </c>
      <c r="J2634" s="8" t="s">
        <v>25</v>
      </c>
      <c r="N2634" s="8" t="s">
        <v>58</v>
      </c>
      <c r="O2634" s="8" t="s">
        <v>59</v>
      </c>
      <c r="P2634" s="8" t="s">
        <v>59</v>
      </c>
      <c r="R2634" s="8">
        <v>0</v>
      </c>
      <c r="S2634" s="8">
        <v>0</v>
      </c>
      <c r="T2634" s="8">
        <v>1</v>
      </c>
      <c r="U2634" s="8">
        <v>2</v>
      </c>
      <c r="AG2634" s="8" t="str">
        <f t="shared" si="165"/>
        <v/>
      </c>
      <c r="AI2634" s="8" t="str">
        <f t="shared" si="166"/>
        <v/>
      </c>
      <c r="AJ2634" s="8" t="str">
        <f t="shared" si="167"/>
        <v/>
      </c>
      <c r="AL2634" s="8" t="str">
        <f t="shared" si="168"/>
        <v/>
      </c>
    </row>
    <row r="2635" spans="1:38" x14ac:dyDescent="0.25">
      <c r="A2635" s="8" t="s">
        <v>2705</v>
      </c>
      <c r="B2635" s="8" t="s">
        <v>2706</v>
      </c>
      <c r="C2635" s="8">
        <v>30811730</v>
      </c>
      <c r="D2635" s="8">
        <v>5</v>
      </c>
      <c r="E2635" s="11">
        <v>43108</v>
      </c>
      <c r="F2635" s="8" t="s">
        <v>57</v>
      </c>
      <c r="G2635" s="11">
        <v>43110</v>
      </c>
      <c r="H2635" s="8" t="s">
        <v>25</v>
      </c>
      <c r="J2635" s="8" t="s">
        <v>25</v>
      </c>
      <c r="N2635" s="8" t="s">
        <v>58</v>
      </c>
      <c r="O2635" s="8" t="s">
        <v>59</v>
      </c>
      <c r="P2635" s="8" t="s">
        <v>59</v>
      </c>
      <c r="R2635" s="8">
        <v>0</v>
      </c>
      <c r="S2635" s="8">
        <v>0</v>
      </c>
      <c r="T2635" s="8">
        <v>1</v>
      </c>
      <c r="U2635" s="8">
        <v>2</v>
      </c>
      <c r="AG2635" s="8" t="str">
        <f t="shared" si="165"/>
        <v/>
      </c>
      <c r="AI2635" s="8" t="str">
        <f t="shared" si="166"/>
        <v/>
      </c>
      <c r="AJ2635" s="8" t="str">
        <f t="shared" si="167"/>
        <v/>
      </c>
      <c r="AL2635" s="8" t="str">
        <f t="shared" si="168"/>
        <v/>
      </c>
    </row>
    <row r="2636" spans="1:38" x14ac:dyDescent="0.25">
      <c r="A2636" s="8" t="s">
        <v>565</v>
      </c>
      <c r="B2636" s="8" t="s">
        <v>566</v>
      </c>
      <c r="C2636" s="8">
        <v>30824417</v>
      </c>
      <c r="D2636" s="8">
        <v>5</v>
      </c>
      <c r="E2636" s="11">
        <v>43108</v>
      </c>
      <c r="F2636" s="8" t="s">
        <v>57</v>
      </c>
      <c r="G2636" s="11">
        <v>43108</v>
      </c>
      <c r="H2636" s="8" t="s">
        <v>25</v>
      </c>
      <c r="J2636" s="8" t="s">
        <v>25</v>
      </c>
      <c r="N2636" s="8" t="s">
        <v>58</v>
      </c>
      <c r="O2636" s="8" t="s">
        <v>59</v>
      </c>
      <c r="P2636" s="8" t="s">
        <v>59</v>
      </c>
      <c r="R2636" s="8">
        <v>0</v>
      </c>
      <c r="S2636" s="8">
        <v>0</v>
      </c>
      <c r="T2636" s="8">
        <v>1</v>
      </c>
      <c r="U2636" s="8">
        <v>2</v>
      </c>
      <c r="AG2636" s="8" t="str">
        <f t="shared" si="165"/>
        <v/>
      </c>
      <c r="AI2636" s="8" t="str">
        <f t="shared" si="166"/>
        <v/>
      </c>
      <c r="AJ2636" s="8" t="str">
        <f t="shared" si="167"/>
        <v/>
      </c>
      <c r="AL2636" s="8" t="str">
        <f t="shared" si="168"/>
        <v/>
      </c>
    </row>
    <row r="2637" spans="1:38" x14ac:dyDescent="0.25">
      <c r="A2637" s="8" t="s">
        <v>4180</v>
      </c>
      <c r="B2637" s="8" t="s">
        <v>4181</v>
      </c>
      <c r="C2637" s="8">
        <v>30837261</v>
      </c>
      <c r="D2637" s="8">
        <v>5</v>
      </c>
      <c r="E2637" s="11">
        <v>43109</v>
      </c>
      <c r="F2637" s="8" t="s">
        <v>57</v>
      </c>
      <c r="G2637" s="11">
        <v>43111</v>
      </c>
      <c r="H2637" s="8" t="s">
        <v>25</v>
      </c>
      <c r="J2637" s="8" t="s">
        <v>25</v>
      </c>
      <c r="N2637" s="8" t="s">
        <v>58</v>
      </c>
      <c r="O2637" s="8" t="s">
        <v>59</v>
      </c>
      <c r="P2637" s="8" t="s">
        <v>59</v>
      </c>
      <c r="R2637" s="8">
        <v>0</v>
      </c>
      <c r="S2637" s="8">
        <v>0</v>
      </c>
      <c r="T2637" s="8">
        <v>1</v>
      </c>
      <c r="U2637" s="8">
        <v>2</v>
      </c>
      <c r="AG2637" s="8" t="str">
        <f t="shared" si="165"/>
        <v/>
      </c>
      <c r="AI2637" s="8" t="str">
        <f t="shared" si="166"/>
        <v/>
      </c>
      <c r="AJ2637" s="8" t="str">
        <f t="shared" si="167"/>
        <v/>
      </c>
      <c r="AL2637" s="8" t="str">
        <f t="shared" si="168"/>
        <v/>
      </c>
    </row>
    <row r="2638" spans="1:38" x14ac:dyDescent="0.25">
      <c r="A2638" s="8" t="s">
        <v>567</v>
      </c>
      <c r="B2638" s="8" t="s">
        <v>568</v>
      </c>
      <c r="C2638" s="8">
        <v>30822267</v>
      </c>
      <c r="D2638" s="8">
        <v>5</v>
      </c>
      <c r="E2638" s="11">
        <v>43108</v>
      </c>
      <c r="F2638" s="8" t="s">
        <v>58</v>
      </c>
      <c r="G2638" s="11">
        <v>43108</v>
      </c>
      <c r="H2638" s="8" t="s">
        <v>25</v>
      </c>
      <c r="I2638" s="11">
        <v>43110</v>
      </c>
      <c r="J2638" s="8" t="s">
        <v>25</v>
      </c>
      <c r="N2638" s="8" t="s">
        <v>58</v>
      </c>
      <c r="O2638" s="8" t="s">
        <v>59</v>
      </c>
      <c r="P2638" s="8" t="s">
        <v>59</v>
      </c>
      <c r="R2638" s="8">
        <v>0</v>
      </c>
      <c r="S2638" s="8">
        <v>0</v>
      </c>
      <c r="T2638" s="8">
        <v>1</v>
      </c>
      <c r="U2638" s="8">
        <v>2</v>
      </c>
      <c r="X2638" s="8">
        <v>5</v>
      </c>
      <c r="AG2638" s="8" t="str">
        <f t="shared" si="165"/>
        <v/>
      </c>
      <c r="AI2638" s="8" t="str">
        <f t="shared" si="166"/>
        <v/>
      </c>
      <c r="AJ2638" s="8" t="str">
        <f t="shared" si="167"/>
        <v/>
      </c>
      <c r="AL2638" s="8" t="str">
        <f t="shared" si="168"/>
        <v/>
      </c>
    </row>
    <row r="2639" spans="1:38" x14ac:dyDescent="0.25">
      <c r="A2639" s="8" t="s">
        <v>4182</v>
      </c>
      <c r="B2639" s="8" t="s">
        <v>4183</v>
      </c>
      <c r="C2639" s="8">
        <v>30900698</v>
      </c>
      <c r="D2639" s="8">
        <v>5</v>
      </c>
      <c r="E2639" s="11">
        <v>43111</v>
      </c>
      <c r="F2639" s="8" t="s">
        <v>58</v>
      </c>
      <c r="G2639" s="11">
        <v>43111</v>
      </c>
      <c r="H2639" s="8" t="s">
        <v>25</v>
      </c>
      <c r="I2639" s="11">
        <v>43115</v>
      </c>
      <c r="J2639" s="8" t="s">
        <v>25</v>
      </c>
      <c r="N2639" s="8" t="s">
        <v>58</v>
      </c>
      <c r="O2639" s="8" t="s">
        <v>59</v>
      </c>
      <c r="P2639" s="8" t="s">
        <v>59</v>
      </c>
      <c r="R2639" s="8">
        <v>0</v>
      </c>
      <c r="S2639" s="8">
        <v>0</v>
      </c>
      <c r="T2639" s="8">
        <v>1</v>
      </c>
      <c r="U2639" s="8">
        <v>2</v>
      </c>
      <c r="X2639" s="8">
        <v>5</v>
      </c>
      <c r="AG2639" s="8" t="str">
        <f t="shared" si="165"/>
        <v/>
      </c>
      <c r="AI2639" s="8" t="str">
        <f t="shared" si="166"/>
        <v/>
      </c>
      <c r="AJ2639" s="8" t="str">
        <f t="shared" si="167"/>
        <v/>
      </c>
      <c r="AL2639" s="8" t="str">
        <f t="shared" si="168"/>
        <v/>
      </c>
    </row>
    <row r="2640" spans="1:38" x14ac:dyDescent="0.25">
      <c r="A2640" s="8" t="s">
        <v>1393</v>
      </c>
      <c r="B2640" s="8" t="s">
        <v>1394</v>
      </c>
      <c r="C2640" s="8">
        <v>30842552</v>
      </c>
      <c r="D2640" s="8">
        <v>5</v>
      </c>
      <c r="E2640" s="11">
        <v>43109</v>
      </c>
      <c r="F2640" s="8" t="s">
        <v>58</v>
      </c>
      <c r="G2640" s="11">
        <v>43109</v>
      </c>
      <c r="H2640" s="8" t="s">
        <v>25</v>
      </c>
      <c r="I2640" s="11">
        <v>43115</v>
      </c>
      <c r="J2640" s="8" t="s">
        <v>145</v>
      </c>
      <c r="N2640" s="8" t="s">
        <v>58</v>
      </c>
      <c r="O2640" s="8" t="s">
        <v>59</v>
      </c>
      <c r="P2640" s="8" t="s">
        <v>59</v>
      </c>
      <c r="R2640" s="8">
        <v>0</v>
      </c>
      <c r="S2640" s="8">
        <v>0</v>
      </c>
      <c r="T2640" s="8">
        <v>1</v>
      </c>
      <c r="U2640" s="8">
        <v>2</v>
      </c>
      <c r="X2640" s="8">
        <v>5</v>
      </c>
      <c r="AG2640" s="8" t="str">
        <f t="shared" si="165"/>
        <v/>
      </c>
      <c r="AI2640" s="8" t="str">
        <f t="shared" si="166"/>
        <v/>
      </c>
      <c r="AJ2640" s="8" t="str">
        <f t="shared" si="167"/>
        <v/>
      </c>
      <c r="AL2640" s="8" t="str">
        <f t="shared" si="168"/>
        <v/>
      </c>
    </row>
    <row r="2641" spans="1:38" x14ac:dyDescent="0.25">
      <c r="A2641" s="8" t="s">
        <v>7603</v>
      </c>
      <c r="B2641" s="8" t="s">
        <v>7604</v>
      </c>
      <c r="C2641" s="8">
        <v>30932414</v>
      </c>
      <c r="D2641" s="8">
        <v>5</v>
      </c>
      <c r="E2641" s="11">
        <v>43115</v>
      </c>
      <c r="F2641" s="8" t="s">
        <v>57</v>
      </c>
      <c r="G2641" s="11">
        <v>43115</v>
      </c>
      <c r="H2641" s="8" t="s">
        <v>25</v>
      </c>
      <c r="J2641" s="8" t="s">
        <v>25</v>
      </c>
      <c r="N2641" s="8" t="s">
        <v>58</v>
      </c>
      <c r="O2641" s="8" t="s">
        <v>59</v>
      </c>
      <c r="P2641" s="8" t="s">
        <v>59</v>
      </c>
      <c r="R2641" s="8">
        <v>0</v>
      </c>
      <c r="S2641" s="8">
        <v>0</v>
      </c>
      <c r="T2641" s="8">
        <v>1</v>
      </c>
      <c r="U2641" s="8">
        <v>2</v>
      </c>
      <c r="AG2641" s="8" t="str">
        <f t="shared" si="165"/>
        <v/>
      </c>
      <c r="AI2641" s="8" t="str">
        <f t="shared" si="166"/>
        <v/>
      </c>
      <c r="AJ2641" s="8" t="str">
        <f t="shared" si="167"/>
        <v/>
      </c>
      <c r="AL2641" s="8" t="str">
        <f t="shared" si="168"/>
        <v/>
      </c>
    </row>
    <row r="2642" spans="1:38" x14ac:dyDescent="0.25">
      <c r="A2642" s="8" t="s">
        <v>4184</v>
      </c>
      <c r="B2642" s="8" t="s">
        <v>4185</v>
      </c>
      <c r="C2642" s="8">
        <v>30832582</v>
      </c>
      <c r="D2642" s="8">
        <v>5</v>
      </c>
      <c r="E2642" s="11">
        <v>43109</v>
      </c>
      <c r="F2642" s="8" t="s">
        <v>57</v>
      </c>
      <c r="G2642" s="11">
        <v>43111</v>
      </c>
      <c r="H2642" s="8" t="s">
        <v>25</v>
      </c>
      <c r="J2642" s="8" t="s">
        <v>25</v>
      </c>
      <c r="N2642" s="8" t="s">
        <v>58</v>
      </c>
      <c r="O2642" s="8" t="s">
        <v>59</v>
      </c>
      <c r="P2642" s="8" t="s">
        <v>59</v>
      </c>
      <c r="R2642" s="8">
        <v>0</v>
      </c>
      <c r="S2642" s="8">
        <v>0</v>
      </c>
      <c r="T2642" s="8">
        <v>1</v>
      </c>
      <c r="U2642" s="8">
        <v>2</v>
      </c>
      <c r="AG2642" s="8" t="str">
        <f t="shared" si="165"/>
        <v/>
      </c>
      <c r="AI2642" s="8" t="str">
        <f t="shared" si="166"/>
        <v/>
      </c>
      <c r="AJ2642" s="8" t="str">
        <f t="shared" si="167"/>
        <v/>
      </c>
      <c r="AL2642" s="8" t="str">
        <f t="shared" si="168"/>
        <v/>
      </c>
    </row>
    <row r="2643" spans="1:38" x14ac:dyDescent="0.25">
      <c r="A2643" s="8" t="s">
        <v>5809</v>
      </c>
      <c r="B2643" s="8" t="s">
        <v>5810</v>
      </c>
      <c r="C2643" s="8">
        <v>30873962</v>
      </c>
      <c r="D2643" s="8">
        <v>5</v>
      </c>
      <c r="E2643" s="11">
        <v>43110</v>
      </c>
      <c r="F2643" s="8" t="s">
        <v>57</v>
      </c>
      <c r="G2643" s="11">
        <v>43112</v>
      </c>
      <c r="H2643" s="8" t="s">
        <v>25</v>
      </c>
      <c r="J2643" s="8" t="s">
        <v>25</v>
      </c>
      <c r="N2643" s="8" t="s">
        <v>58</v>
      </c>
      <c r="O2643" s="8" t="s">
        <v>59</v>
      </c>
      <c r="P2643" s="8" t="s">
        <v>59</v>
      </c>
      <c r="R2643" s="8">
        <v>0</v>
      </c>
      <c r="S2643" s="8">
        <v>0</v>
      </c>
      <c r="T2643" s="8">
        <v>1</v>
      </c>
      <c r="U2643" s="8">
        <v>2</v>
      </c>
      <c r="AG2643" s="8" t="str">
        <f t="shared" si="165"/>
        <v/>
      </c>
      <c r="AI2643" s="8" t="str">
        <f t="shared" si="166"/>
        <v/>
      </c>
      <c r="AJ2643" s="8" t="str">
        <f t="shared" si="167"/>
        <v/>
      </c>
      <c r="AL2643" s="8" t="str">
        <f t="shared" si="168"/>
        <v/>
      </c>
    </row>
    <row r="2644" spans="1:38" x14ac:dyDescent="0.25">
      <c r="A2644" s="8" t="s">
        <v>1395</v>
      </c>
      <c r="B2644" s="8" t="s">
        <v>1396</v>
      </c>
      <c r="C2644" s="8">
        <v>30848826</v>
      </c>
      <c r="D2644" s="8">
        <v>5</v>
      </c>
      <c r="E2644" s="11">
        <v>43109</v>
      </c>
      <c r="F2644" s="8" t="s">
        <v>57</v>
      </c>
      <c r="G2644" s="11">
        <v>43109</v>
      </c>
      <c r="H2644" s="8" t="s">
        <v>25</v>
      </c>
      <c r="J2644" s="8" t="s">
        <v>25</v>
      </c>
      <c r="N2644" s="8" t="s">
        <v>58</v>
      </c>
      <c r="O2644" s="8" t="s">
        <v>59</v>
      </c>
      <c r="P2644" s="8" t="s">
        <v>59</v>
      </c>
      <c r="R2644" s="8">
        <v>0</v>
      </c>
      <c r="S2644" s="8">
        <v>0</v>
      </c>
      <c r="T2644" s="8">
        <v>1</v>
      </c>
      <c r="U2644" s="8">
        <v>2</v>
      </c>
      <c r="AG2644" s="8" t="str">
        <f t="shared" si="165"/>
        <v/>
      </c>
      <c r="AI2644" s="8" t="str">
        <f t="shared" si="166"/>
        <v/>
      </c>
      <c r="AJ2644" s="8" t="str">
        <f t="shared" si="167"/>
        <v/>
      </c>
      <c r="AL2644" s="8" t="str">
        <f t="shared" si="168"/>
        <v/>
      </c>
    </row>
    <row r="2645" spans="1:38" x14ac:dyDescent="0.25">
      <c r="A2645" s="8" t="s">
        <v>569</v>
      </c>
      <c r="B2645" s="8" t="s">
        <v>570</v>
      </c>
      <c r="C2645" s="8">
        <v>30811482</v>
      </c>
      <c r="D2645" s="8">
        <v>5</v>
      </c>
      <c r="E2645" s="11">
        <v>43108</v>
      </c>
      <c r="F2645" s="8" t="s">
        <v>60</v>
      </c>
      <c r="G2645" s="11">
        <v>43108</v>
      </c>
      <c r="H2645" s="8" t="s">
        <v>25</v>
      </c>
      <c r="J2645" s="8" t="s">
        <v>25</v>
      </c>
      <c r="L2645" s="8" t="s">
        <v>3287</v>
      </c>
      <c r="N2645" s="8" t="s">
        <v>58</v>
      </c>
      <c r="O2645" s="8" t="s">
        <v>59</v>
      </c>
      <c r="P2645" s="8" t="s">
        <v>59</v>
      </c>
      <c r="R2645" s="8">
        <v>0</v>
      </c>
      <c r="S2645" s="8">
        <v>0</v>
      </c>
      <c r="T2645" s="8">
        <v>1</v>
      </c>
      <c r="U2645" s="8">
        <v>2</v>
      </c>
      <c r="W2645" s="8">
        <v>4</v>
      </c>
      <c r="AG2645" s="8" t="str">
        <f t="shared" si="165"/>
        <v/>
      </c>
      <c r="AI2645" s="8" t="str">
        <f t="shared" si="166"/>
        <v/>
      </c>
      <c r="AJ2645" s="8" t="str">
        <f t="shared" si="167"/>
        <v/>
      </c>
      <c r="AL2645" s="8" t="str">
        <f t="shared" si="168"/>
        <v/>
      </c>
    </row>
    <row r="2646" spans="1:38" x14ac:dyDescent="0.25">
      <c r="A2646" s="8" t="s">
        <v>5811</v>
      </c>
      <c r="B2646" s="8" t="s">
        <v>570</v>
      </c>
      <c r="C2646" s="8">
        <v>30921218</v>
      </c>
      <c r="D2646" s="8">
        <v>5</v>
      </c>
      <c r="E2646" s="11">
        <v>43112</v>
      </c>
      <c r="F2646" s="8" t="s">
        <v>57</v>
      </c>
      <c r="G2646" s="11">
        <v>43112</v>
      </c>
      <c r="H2646" s="8" t="s">
        <v>25</v>
      </c>
      <c r="J2646" s="8" t="s">
        <v>25</v>
      </c>
      <c r="N2646" s="8" t="s">
        <v>58</v>
      </c>
      <c r="O2646" s="8" t="s">
        <v>59</v>
      </c>
      <c r="P2646" s="8" t="s">
        <v>59</v>
      </c>
      <c r="R2646" s="8">
        <v>0</v>
      </c>
      <c r="S2646" s="8">
        <v>0</v>
      </c>
      <c r="T2646" s="8">
        <v>1</v>
      </c>
      <c r="U2646" s="8">
        <v>2</v>
      </c>
      <c r="AG2646" s="8" t="str">
        <f t="shared" si="165"/>
        <v/>
      </c>
      <c r="AI2646" s="8" t="str">
        <f t="shared" si="166"/>
        <v/>
      </c>
      <c r="AJ2646" s="8" t="str">
        <f t="shared" si="167"/>
        <v/>
      </c>
      <c r="AL2646" s="8" t="str">
        <f t="shared" si="168"/>
        <v/>
      </c>
    </row>
    <row r="2647" spans="1:38" x14ac:dyDescent="0.25">
      <c r="A2647" s="8" t="s">
        <v>2707</v>
      </c>
      <c r="B2647" s="8" t="s">
        <v>2708</v>
      </c>
      <c r="C2647" s="8">
        <v>30809964</v>
      </c>
      <c r="D2647" s="8">
        <v>5</v>
      </c>
      <c r="E2647" s="11">
        <v>43108</v>
      </c>
      <c r="F2647" s="8" t="s">
        <v>57</v>
      </c>
      <c r="G2647" s="11">
        <v>43110</v>
      </c>
      <c r="H2647" s="8" t="s">
        <v>25</v>
      </c>
      <c r="J2647" s="8" t="s">
        <v>25</v>
      </c>
      <c r="N2647" s="8" t="s">
        <v>58</v>
      </c>
      <c r="O2647" s="8" t="s">
        <v>59</v>
      </c>
      <c r="P2647" s="8" t="s">
        <v>59</v>
      </c>
      <c r="R2647" s="8">
        <v>0</v>
      </c>
      <c r="S2647" s="8">
        <v>0</v>
      </c>
      <c r="T2647" s="8">
        <v>1</v>
      </c>
      <c r="U2647" s="8">
        <v>2</v>
      </c>
      <c r="AG2647" s="8" t="str">
        <f t="shared" si="165"/>
        <v/>
      </c>
      <c r="AI2647" s="8" t="str">
        <f t="shared" si="166"/>
        <v/>
      </c>
      <c r="AJ2647" s="8" t="str">
        <f t="shared" si="167"/>
        <v/>
      </c>
      <c r="AL2647" s="8" t="str">
        <f t="shared" si="168"/>
        <v/>
      </c>
    </row>
    <row r="2648" spans="1:38" x14ac:dyDescent="0.25">
      <c r="A2648" s="8" t="s">
        <v>2709</v>
      </c>
      <c r="B2648" s="8" t="s">
        <v>2710</v>
      </c>
      <c r="C2648" s="8">
        <v>30814897</v>
      </c>
      <c r="D2648" s="8">
        <v>5</v>
      </c>
      <c r="E2648" s="11">
        <v>43108</v>
      </c>
      <c r="F2648" s="8" t="s">
        <v>58</v>
      </c>
      <c r="G2648" s="11">
        <v>43110</v>
      </c>
      <c r="H2648" s="8" t="s">
        <v>25</v>
      </c>
      <c r="I2648" s="11">
        <v>43111</v>
      </c>
      <c r="J2648" s="8" t="s">
        <v>25</v>
      </c>
      <c r="N2648" s="8" t="s">
        <v>58</v>
      </c>
      <c r="O2648" s="8" t="s">
        <v>59</v>
      </c>
      <c r="P2648" s="8" t="s">
        <v>59</v>
      </c>
      <c r="R2648" s="8">
        <v>0</v>
      </c>
      <c r="S2648" s="8">
        <v>0</v>
      </c>
      <c r="T2648" s="8">
        <v>1</v>
      </c>
      <c r="U2648" s="8">
        <v>2</v>
      </c>
      <c r="X2648" s="8">
        <v>5</v>
      </c>
      <c r="AG2648" s="8" t="str">
        <f t="shared" si="165"/>
        <v/>
      </c>
      <c r="AI2648" s="8" t="str">
        <f t="shared" si="166"/>
        <v/>
      </c>
      <c r="AJ2648" s="8" t="str">
        <f t="shared" si="167"/>
        <v/>
      </c>
      <c r="AL2648" s="8" t="str">
        <f t="shared" si="168"/>
        <v/>
      </c>
    </row>
    <row r="2649" spans="1:38" x14ac:dyDescent="0.25">
      <c r="A2649" s="8" t="s">
        <v>7605</v>
      </c>
      <c r="B2649" s="8" t="s">
        <v>7606</v>
      </c>
      <c r="C2649" s="8">
        <v>30887554</v>
      </c>
      <c r="D2649" s="8">
        <v>5</v>
      </c>
      <c r="E2649" s="11">
        <v>43111</v>
      </c>
      <c r="F2649" s="8" t="s">
        <v>57</v>
      </c>
      <c r="G2649" s="11">
        <v>43115</v>
      </c>
      <c r="H2649" s="8" t="s">
        <v>25</v>
      </c>
      <c r="J2649" s="8" t="s">
        <v>25</v>
      </c>
      <c r="N2649" s="8" t="s">
        <v>58</v>
      </c>
      <c r="O2649" s="8" t="s">
        <v>59</v>
      </c>
      <c r="P2649" s="8" t="s">
        <v>59</v>
      </c>
      <c r="R2649" s="8">
        <v>0</v>
      </c>
      <c r="S2649" s="8">
        <v>0</v>
      </c>
      <c r="T2649" s="8">
        <v>1</v>
      </c>
      <c r="U2649" s="8">
        <v>2</v>
      </c>
      <c r="AG2649" s="8" t="str">
        <f t="shared" si="165"/>
        <v/>
      </c>
      <c r="AI2649" s="8" t="str">
        <f t="shared" si="166"/>
        <v/>
      </c>
      <c r="AJ2649" s="8" t="str">
        <f t="shared" si="167"/>
        <v/>
      </c>
      <c r="AL2649" s="8" t="str">
        <f t="shared" si="168"/>
        <v/>
      </c>
    </row>
    <row r="2650" spans="1:38" x14ac:dyDescent="0.25">
      <c r="A2650" s="8" t="s">
        <v>4186</v>
      </c>
      <c r="B2650" s="8" t="s">
        <v>4187</v>
      </c>
      <c r="C2650" s="8">
        <v>30840621</v>
      </c>
      <c r="D2650" s="8">
        <v>4</v>
      </c>
      <c r="E2650" s="11">
        <v>43109</v>
      </c>
      <c r="F2650" s="8" t="s">
        <v>57</v>
      </c>
      <c r="G2650" s="11">
        <v>43111</v>
      </c>
      <c r="H2650" s="8" t="s">
        <v>25</v>
      </c>
      <c r="J2650" s="8" t="s">
        <v>25</v>
      </c>
      <c r="N2650" s="8" t="s">
        <v>58</v>
      </c>
      <c r="O2650" s="8" t="s">
        <v>59</v>
      </c>
      <c r="P2650" s="8" t="s">
        <v>59</v>
      </c>
      <c r="R2650" s="8">
        <v>0</v>
      </c>
      <c r="S2650" s="8">
        <v>0</v>
      </c>
      <c r="T2650" s="8">
        <v>1</v>
      </c>
      <c r="U2650" s="8">
        <v>2</v>
      </c>
      <c r="AG2650" s="8" t="str">
        <f t="shared" si="165"/>
        <v/>
      </c>
      <c r="AI2650" s="8" t="str">
        <f t="shared" si="166"/>
        <v/>
      </c>
      <c r="AJ2650" s="8" t="str">
        <f t="shared" si="167"/>
        <v/>
      </c>
      <c r="AL2650" s="8" t="str">
        <f t="shared" si="168"/>
        <v/>
      </c>
    </row>
    <row r="2651" spans="1:38" x14ac:dyDescent="0.25">
      <c r="A2651" s="8" t="s">
        <v>5812</v>
      </c>
      <c r="B2651" s="8" t="s">
        <v>5813</v>
      </c>
      <c r="C2651" s="8">
        <v>30915222</v>
      </c>
      <c r="D2651" s="8">
        <v>5</v>
      </c>
      <c r="E2651" s="11">
        <v>43112</v>
      </c>
      <c r="F2651" s="8" t="s">
        <v>57</v>
      </c>
      <c r="G2651" s="11">
        <v>43112</v>
      </c>
      <c r="H2651" s="8" t="s">
        <v>25</v>
      </c>
      <c r="J2651" s="8" t="s">
        <v>25</v>
      </c>
      <c r="N2651" s="8" t="s">
        <v>58</v>
      </c>
      <c r="O2651" s="8" t="s">
        <v>59</v>
      </c>
      <c r="P2651" s="8" t="s">
        <v>59</v>
      </c>
      <c r="R2651" s="8">
        <v>0</v>
      </c>
      <c r="S2651" s="8">
        <v>0</v>
      </c>
      <c r="T2651" s="8">
        <v>1</v>
      </c>
      <c r="U2651" s="8">
        <v>2</v>
      </c>
      <c r="AG2651" s="8" t="str">
        <f t="shared" si="165"/>
        <v/>
      </c>
      <c r="AI2651" s="8" t="str">
        <f t="shared" si="166"/>
        <v/>
      </c>
      <c r="AJ2651" s="8" t="str">
        <f t="shared" si="167"/>
        <v/>
      </c>
      <c r="AL2651" s="8" t="str">
        <f t="shared" si="168"/>
        <v/>
      </c>
    </row>
    <row r="2652" spans="1:38" x14ac:dyDescent="0.25">
      <c r="A2652" s="8" t="s">
        <v>571</v>
      </c>
      <c r="B2652" s="8" t="s">
        <v>572</v>
      </c>
      <c r="C2652" s="8">
        <v>30827458</v>
      </c>
      <c r="D2652" s="8">
        <v>5</v>
      </c>
      <c r="E2652" s="11">
        <v>43108</v>
      </c>
      <c r="F2652" s="8" t="s">
        <v>61</v>
      </c>
      <c r="G2652" s="11">
        <v>43108</v>
      </c>
      <c r="H2652" s="8" t="s">
        <v>25</v>
      </c>
      <c r="J2652" s="8" t="s">
        <v>25</v>
      </c>
      <c r="K2652" s="11">
        <v>43108</v>
      </c>
      <c r="N2652" s="8" t="s">
        <v>58</v>
      </c>
      <c r="O2652" s="8" t="s">
        <v>59</v>
      </c>
      <c r="P2652" s="8" t="s">
        <v>59</v>
      </c>
      <c r="R2652" s="8">
        <v>0</v>
      </c>
      <c r="S2652" s="8">
        <v>0</v>
      </c>
      <c r="T2652" s="8">
        <v>1</v>
      </c>
      <c r="U2652" s="8">
        <v>2</v>
      </c>
      <c r="Y2652" s="8">
        <v>6</v>
      </c>
      <c r="Z2652" s="8">
        <v>7</v>
      </c>
      <c r="AG2652" s="8" t="str">
        <f t="shared" si="165"/>
        <v/>
      </c>
      <c r="AI2652" s="8" t="str">
        <f t="shared" si="166"/>
        <v/>
      </c>
      <c r="AJ2652" s="8" t="str">
        <f t="shared" si="167"/>
        <v/>
      </c>
      <c r="AL2652" s="8" t="str">
        <f t="shared" si="168"/>
        <v/>
      </c>
    </row>
    <row r="2653" spans="1:38" x14ac:dyDescent="0.25">
      <c r="A2653" s="8" t="s">
        <v>1397</v>
      </c>
      <c r="B2653" s="8" t="s">
        <v>572</v>
      </c>
      <c r="C2653" s="8">
        <v>30832591</v>
      </c>
      <c r="D2653" s="8">
        <v>5</v>
      </c>
      <c r="E2653" s="11">
        <v>43109</v>
      </c>
      <c r="F2653" s="8" t="s">
        <v>58</v>
      </c>
      <c r="G2653" s="11">
        <v>43109</v>
      </c>
      <c r="H2653" s="8" t="s">
        <v>25</v>
      </c>
      <c r="I2653" s="11">
        <v>43112</v>
      </c>
      <c r="J2653" s="8" t="s">
        <v>25</v>
      </c>
      <c r="N2653" s="8" t="s">
        <v>58</v>
      </c>
      <c r="O2653" s="8" t="s">
        <v>59</v>
      </c>
      <c r="P2653" s="8" t="s">
        <v>59</v>
      </c>
      <c r="R2653" s="8">
        <v>0</v>
      </c>
      <c r="S2653" s="8">
        <v>0</v>
      </c>
      <c r="T2653" s="8">
        <v>1</v>
      </c>
      <c r="U2653" s="8">
        <v>2</v>
      </c>
      <c r="X2653" s="8">
        <v>5</v>
      </c>
      <c r="AG2653" s="8" t="str">
        <f t="shared" si="165"/>
        <v/>
      </c>
      <c r="AI2653" s="8" t="str">
        <f t="shared" si="166"/>
        <v/>
      </c>
      <c r="AJ2653" s="8" t="str">
        <f t="shared" si="167"/>
        <v/>
      </c>
      <c r="AL2653" s="8" t="str">
        <f t="shared" si="168"/>
        <v/>
      </c>
    </row>
    <row r="2654" spans="1:38" x14ac:dyDescent="0.25">
      <c r="A2654" s="8" t="s">
        <v>4188</v>
      </c>
      <c r="B2654" s="8" t="s">
        <v>4189</v>
      </c>
      <c r="C2654" s="8">
        <v>30850556</v>
      </c>
      <c r="D2654" s="8">
        <v>5</v>
      </c>
      <c r="E2654" s="11">
        <v>43109</v>
      </c>
      <c r="F2654" s="8" t="s">
        <v>58</v>
      </c>
      <c r="G2654" s="11">
        <v>43111</v>
      </c>
      <c r="H2654" s="8" t="s">
        <v>25</v>
      </c>
      <c r="I2654" s="11">
        <v>43111</v>
      </c>
      <c r="J2654" s="8" t="s">
        <v>25</v>
      </c>
      <c r="N2654" s="8" t="s">
        <v>58</v>
      </c>
      <c r="O2654" s="8" t="s">
        <v>59</v>
      </c>
      <c r="P2654" s="8" t="s">
        <v>59</v>
      </c>
      <c r="R2654" s="8">
        <v>0</v>
      </c>
      <c r="S2654" s="8">
        <v>0</v>
      </c>
      <c r="T2654" s="8">
        <v>1</v>
      </c>
      <c r="U2654" s="8">
        <v>2</v>
      </c>
      <c r="X2654" s="8">
        <v>5</v>
      </c>
      <c r="AG2654" s="8" t="str">
        <f t="shared" si="165"/>
        <v/>
      </c>
      <c r="AI2654" s="8" t="str">
        <f t="shared" si="166"/>
        <v/>
      </c>
      <c r="AJ2654" s="8" t="str">
        <f t="shared" si="167"/>
        <v/>
      </c>
      <c r="AL2654" s="8" t="str">
        <f t="shared" si="168"/>
        <v/>
      </c>
    </row>
    <row r="2655" spans="1:38" x14ac:dyDescent="0.25">
      <c r="A2655" s="8" t="s">
        <v>573</v>
      </c>
      <c r="B2655" s="8" t="s">
        <v>574</v>
      </c>
      <c r="C2655" s="8">
        <v>30814914</v>
      </c>
      <c r="D2655" s="8">
        <v>5</v>
      </c>
      <c r="E2655" s="11">
        <v>43108</v>
      </c>
      <c r="F2655" s="8" t="s">
        <v>58</v>
      </c>
      <c r="G2655" s="11">
        <v>43108</v>
      </c>
      <c r="H2655" s="8" t="s">
        <v>25</v>
      </c>
      <c r="I2655" s="11">
        <v>43112</v>
      </c>
      <c r="J2655" s="8" t="s">
        <v>145</v>
      </c>
      <c r="N2655" s="8" t="s">
        <v>58</v>
      </c>
      <c r="O2655" s="8" t="s">
        <v>59</v>
      </c>
      <c r="P2655" s="8" t="s">
        <v>59</v>
      </c>
      <c r="R2655" s="8">
        <v>0</v>
      </c>
      <c r="S2655" s="8">
        <v>0</v>
      </c>
      <c r="T2655" s="8">
        <v>1</v>
      </c>
      <c r="U2655" s="8">
        <v>2</v>
      </c>
      <c r="X2655" s="8">
        <v>5</v>
      </c>
      <c r="AG2655" s="8" t="str">
        <f t="shared" si="165"/>
        <v/>
      </c>
      <c r="AI2655" s="8" t="str">
        <f t="shared" si="166"/>
        <v/>
      </c>
      <c r="AJ2655" s="8" t="str">
        <f t="shared" si="167"/>
        <v/>
      </c>
      <c r="AL2655" s="8" t="str">
        <f t="shared" si="168"/>
        <v/>
      </c>
    </row>
    <row r="2656" spans="1:38" x14ac:dyDescent="0.25">
      <c r="A2656" s="8" t="s">
        <v>2711</v>
      </c>
      <c r="B2656" s="8" t="s">
        <v>2712</v>
      </c>
      <c r="C2656" s="8">
        <v>30815149</v>
      </c>
      <c r="D2656" s="8">
        <v>5</v>
      </c>
      <c r="E2656" s="11">
        <v>43108</v>
      </c>
      <c r="F2656" s="8" t="s">
        <v>58</v>
      </c>
      <c r="G2656" s="11">
        <v>43110</v>
      </c>
      <c r="H2656" s="8" t="s">
        <v>25</v>
      </c>
      <c r="I2656" s="11">
        <v>43112</v>
      </c>
      <c r="J2656" s="8" t="s">
        <v>25</v>
      </c>
      <c r="N2656" s="8" t="s">
        <v>58</v>
      </c>
      <c r="O2656" s="8" t="s">
        <v>59</v>
      </c>
      <c r="P2656" s="8" t="s">
        <v>59</v>
      </c>
      <c r="R2656" s="8">
        <v>0</v>
      </c>
      <c r="S2656" s="8">
        <v>0</v>
      </c>
      <c r="T2656" s="8">
        <v>1</v>
      </c>
      <c r="U2656" s="8">
        <v>2</v>
      </c>
      <c r="X2656" s="8">
        <v>5</v>
      </c>
      <c r="AG2656" s="8" t="str">
        <f t="shared" si="165"/>
        <v/>
      </c>
      <c r="AI2656" s="8" t="str">
        <f t="shared" si="166"/>
        <v/>
      </c>
      <c r="AJ2656" s="8" t="str">
        <f t="shared" si="167"/>
        <v/>
      </c>
      <c r="AL2656" s="8" t="str">
        <f t="shared" si="168"/>
        <v/>
      </c>
    </row>
    <row r="2657" spans="1:38" x14ac:dyDescent="0.25">
      <c r="A2657" s="8" t="s">
        <v>7607</v>
      </c>
      <c r="B2657" s="8" t="s">
        <v>7608</v>
      </c>
      <c r="C2657" s="8">
        <v>30921211</v>
      </c>
      <c r="D2657" s="8">
        <v>5</v>
      </c>
      <c r="E2657" s="11">
        <v>43112</v>
      </c>
      <c r="F2657" s="8" t="s">
        <v>57</v>
      </c>
      <c r="G2657" s="11">
        <v>43115</v>
      </c>
      <c r="H2657" s="8" t="s">
        <v>25</v>
      </c>
      <c r="J2657" s="8" t="s">
        <v>25</v>
      </c>
      <c r="N2657" s="8" t="s">
        <v>58</v>
      </c>
      <c r="O2657" s="8" t="s">
        <v>59</v>
      </c>
      <c r="P2657" s="8" t="s">
        <v>59</v>
      </c>
      <c r="R2657" s="8">
        <v>0</v>
      </c>
      <c r="S2657" s="8">
        <v>0</v>
      </c>
      <c r="T2657" s="8">
        <v>1</v>
      </c>
      <c r="U2657" s="8">
        <v>2</v>
      </c>
      <c r="AG2657" s="8" t="str">
        <f t="shared" si="165"/>
        <v/>
      </c>
      <c r="AI2657" s="8" t="str">
        <f t="shared" si="166"/>
        <v/>
      </c>
      <c r="AJ2657" s="8" t="str">
        <f t="shared" si="167"/>
        <v/>
      </c>
      <c r="AL2657" s="8" t="str">
        <f t="shared" si="168"/>
        <v/>
      </c>
    </row>
    <row r="2658" spans="1:38" x14ac:dyDescent="0.25">
      <c r="A2658" s="8" t="s">
        <v>1398</v>
      </c>
      <c r="B2658" s="8" t="s">
        <v>1399</v>
      </c>
      <c r="C2658" s="8">
        <v>30833196</v>
      </c>
      <c r="D2658" s="8">
        <v>5</v>
      </c>
      <c r="E2658" s="11">
        <v>43109</v>
      </c>
      <c r="F2658" s="8" t="s">
        <v>58</v>
      </c>
      <c r="G2658" s="11">
        <v>43109</v>
      </c>
      <c r="H2658" s="8" t="s">
        <v>25</v>
      </c>
      <c r="I2658" s="11">
        <v>43112</v>
      </c>
      <c r="J2658" s="8" t="s">
        <v>25</v>
      </c>
      <c r="N2658" s="8" t="s">
        <v>58</v>
      </c>
      <c r="O2658" s="8" t="s">
        <v>59</v>
      </c>
      <c r="P2658" s="8" t="s">
        <v>59</v>
      </c>
      <c r="R2658" s="8">
        <v>0</v>
      </c>
      <c r="S2658" s="8">
        <v>0</v>
      </c>
      <c r="T2658" s="8">
        <v>1</v>
      </c>
      <c r="U2658" s="8">
        <v>2</v>
      </c>
      <c r="X2658" s="8">
        <v>5</v>
      </c>
      <c r="AG2658" s="8" t="str">
        <f t="shared" si="165"/>
        <v/>
      </c>
      <c r="AI2658" s="8" t="str">
        <f t="shared" si="166"/>
        <v/>
      </c>
      <c r="AJ2658" s="8" t="str">
        <f t="shared" si="167"/>
        <v/>
      </c>
      <c r="AL2658" s="8" t="str">
        <f t="shared" si="168"/>
        <v/>
      </c>
    </row>
    <row r="2659" spans="1:38" x14ac:dyDescent="0.25">
      <c r="A2659" s="8" t="s">
        <v>5814</v>
      </c>
      <c r="B2659" s="8" t="s">
        <v>5815</v>
      </c>
      <c r="C2659" s="8">
        <v>30862181</v>
      </c>
      <c r="D2659" s="8">
        <v>5</v>
      </c>
      <c r="E2659" s="11">
        <v>43110</v>
      </c>
      <c r="F2659" s="8" t="s">
        <v>58</v>
      </c>
      <c r="G2659" s="11">
        <v>43112</v>
      </c>
      <c r="H2659" s="8" t="s">
        <v>25</v>
      </c>
      <c r="I2659" s="11">
        <v>43112</v>
      </c>
      <c r="J2659" s="8" t="s">
        <v>25</v>
      </c>
      <c r="N2659" s="8" t="s">
        <v>58</v>
      </c>
      <c r="O2659" s="8" t="s">
        <v>59</v>
      </c>
      <c r="P2659" s="8" t="s">
        <v>59</v>
      </c>
      <c r="R2659" s="8">
        <v>0</v>
      </c>
      <c r="S2659" s="8">
        <v>0</v>
      </c>
      <c r="T2659" s="8">
        <v>1</v>
      </c>
      <c r="U2659" s="8">
        <v>2</v>
      </c>
      <c r="X2659" s="8">
        <v>5</v>
      </c>
      <c r="AG2659" s="8" t="str">
        <f t="shared" si="165"/>
        <v/>
      </c>
      <c r="AI2659" s="8" t="str">
        <f t="shared" si="166"/>
        <v/>
      </c>
      <c r="AJ2659" s="8" t="str">
        <f t="shared" si="167"/>
        <v/>
      </c>
      <c r="AL2659" s="8" t="str">
        <f t="shared" si="168"/>
        <v/>
      </c>
    </row>
    <row r="2660" spans="1:38" x14ac:dyDescent="0.25">
      <c r="A2660" s="8" t="s">
        <v>4190</v>
      </c>
      <c r="B2660" s="8" t="s">
        <v>4191</v>
      </c>
      <c r="C2660" s="8">
        <v>30841312</v>
      </c>
      <c r="D2660" s="8">
        <v>5</v>
      </c>
      <c r="E2660" s="11">
        <v>43109</v>
      </c>
      <c r="F2660" s="8" t="s">
        <v>58</v>
      </c>
      <c r="G2660" s="11">
        <v>43111</v>
      </c>
      <c r="H2660" s="8" t="s">
        <v>25</v>
      </c>
      <c r="I2660" s="11">
        <v>43111</v>
      </c>
      <c r="J2660" s="8" t="s">
        <v>25</v>
      </c>
      <c r="N2660" s="8" t="s">
        <v>58</v>
      </c>
      <c r="O2660" s="8" t="s">
        <v>59</v>
      </c>
      <c r="P2660" s="8" t="s">
        <v>59</v>
      </c>
      <c r="R2660" s="8">
        <v>0</v>
      </c>
      <c r="S2660" s="8">
        <v>0</v>
      </c>
      <c r="T2660" s="8">
        <v>1</v>
      </c>
      <c r="U2660" s="8">
        <v>2</v>
      </c>
      <c r="X2660" s="8">
        <v>5</v>
      </c>
      <c r="AG2660" s="8" t="str">
        <f t="shared" si="165"/>
        <v/>
      </c>
      <c r="AI2660" s="8" t="str">
        <f t="shared" si="166"/>
        <v/>
      </c>
      <c r="AJ2660" s="8" t="str">
        <f t="shared" si="167"/>
        <v/>
      </c>
      <c r="AL2660" s="8" t="str">
        <f t="shared" si="168"/>
        <v/>
      </c>
    </row>
    <row r="2661" spans="1:38" x14ac:dyDescent="0.25">
      <c r="A2661" s="8" t="s">
        <v>4192</v>
      </c>
      <c r="B2661" s="8" t="s">
        <v>108</v>
      </c>
      <c r="C2661" s="8">
        <v>30888796</v>
      </c>
      <c r="D2661" s="8">
        <v>5</v>
      </c>
      <c r="E2661" s="11">
        <v>43111</v>
      </c>
      <c r="F2661" s="8" t="s">
        <v>57</v>
      </c>
      <c r="G2661" s="11">
        <v>43111</v>
      </c>
      <c r="H2661" s="8" t="s">
        <v>25</v>
      </c>
      <c r="J2661" s="8" t="s">
        <v>25</v>
      </c>
      <c r="N2661" s="8" t="s">
        <v>58</v>
      </c>
      <c r="O2661" s="8" t="s">
        <v>59</v>
      </c>
      <c r="P2661" s="8" t="s">
        <v>59</v>
      </c>
      <c r="R2661" s="8">
        <v>0</v>
      </c>
      <c r="S2661" s="8">
        <v>0</v>
      </c>
      <c r="T2661" s="8">
        <v>1</v>
      </c>
      <c r="U2661" s="8">
        <v>2</v>
      </c>
      <c r="AG2661" s="8" t="str">
        <f t="shared" si="165"/>
        <v/>
      </c>
      <c r="AI2661" s="8" t="str">
        <f t="shared" si="166"/>
        <v/>
      </c>
      <c r="AJ2661" s="8" t="str">
        <f t="shared" si="167"/>
        <v/>
      </c>
      <c r="AL2661" s="8" t="str">
        <f t="shared" si="168"/>
        <v/>
      </c>
    </row>
    <row r="2662" spans="1:38" x14ac:dyDescent="0.25">
      <c r="A2662" s="8" t="s">
        <v>5816</v>
      </c>
      <c r="B2662" s="8" t="s">
        <v>126</v>
      </c>
      <c r="C2662" s="8">
        <v>30918844</v>
      </c>
      <c r="D2662" s="8">
        <v>5</v>
      </c>
      <c r="E2662" s="11">
        <v>43112</v>
      </c>
      <c r="F2662" s="8" t="s">
        <v>57</v>
      </c>
      <c r="G2662" s="11">
        <v>43112</v>
      </c>
      <c r="H2662" s="8" t="s">
        <v>25</v>
      </c>
      <c r="J2662" s="8" t="s">
        <v>25</v>
      </c>
      <c r="N2662" s="8" t="s">
        <v>58</v>
      </c>
      <c r="O2662" s="8" t="s">
        <v>59</v>
      </c>
      <c r="P2662" s="8" t="s">
        <v>59</v>
      </c>
      <c r="R2662" s="8">
        <v>0</v>
      </c>
      <c r="S2662" s="8">
        <v>0</v>
      </c>
      <c r="T2662" s="8">
        <v>1</v>
      </c>
      <c r="U2662" s="8">
        <v>2</v>
      </c>
      <c r="AG2662" s="8" t="str">
        <f t="shared" si="165"/>
        <v/>
      </c>
      <c r="AI2662" s="8" t="str">
        <f t="shared" si="166"/>
        <v/>
      </c>
      <c r="AJ2662" s="8" t="str">
        <f t="shared" si="167"/>
        <v/>
      </c>
      <c r="AL2662" s="8" t="str">
        <f t="shared" si="168"/>
        <v/>
      </c>
    </row>
    <row r="2663" spans="1:38" x14ac:dyDescent="0.25">
      <c r="A2663" s="8" t="s">
        <v>5817</v>
      </c>
      <c r="B2663" s="8" t="s">
        <v>5818</v>
      </c>
      <c r="C2663" s="8">
        <v>30915815</v>
      </c>
      <c r="D2663" s="8">
        <v>5</v>
      </c>
      <c r="E2663" s="11">
        <v>43112</v>
      </c>
      <c r="F2663" s="8" t="s">
        <v>57</v>
      </c>
      <c r="G2663" s="11">
        <v>43112</v>
      </c>
      <c r="H2663" s="8" t="s">
        <v>25</v>
      </c>
      <c r="J2663" s="8" t="s">
        <v>25</v>
      </c>
      <c r="N2663" s="8" t="s">
        <v>58</v>
      </c>
      <c r="O2663" s="8" t="s">
        <v>59</v>
      </c>
      <c r="P2663" s="8" t="s">
        <v>59</v>
      </c>
      <c r="R2663" s="8">
        <v>0</v>
      </c>
      <c r="S2663" s="8">
        <v>0</v>
      </c>
      <c r="T2663" s="8">
        <v>1</v>
      </c>
      <c r="U2663" s="8">
        <v>2</v>
      </c>
      <c r="AG2663" s="8" t="str">
        <f t="shared" si="165"/>
        <v/>
      </c>
      <c r="AI2663" s="8" t="str">
        <f t="shared" si="166"/>
        <v/>
      </c>
      <c r="AJ2663" s="8" t="str">
        <f t="shared" si="167"/>
        <v/>
      </c>
      <c r="AL2663" s="8" t="str">
        <f t="shared" si="168"/>
        <v/>
      </c>
    </row>
    <row r="2664" spans="1:38" x14ac:dyDescent="0.25">
      <c r="A2664" s="8" t="s">
        <v>4193</v>
      </c>
      <c r="B2664" s="8" t="s">
        <v>109</v>
      </c>
      <c r="C2664" s="8">
        <v>30895753</v>
      </c>
      <c r="D2664" s="8">
        <v>5</v>
      </c>
      <c r="E2664" s="11">
        <v>43111</v>
      </c>
      <c r="F2664" s="8" t="s">
        <v>57</v>
      </c>
      <c r="G2664" s="11">
        <v>43111</v>
      </c>
      <c r="H2664" s="8" t="s">
        <v>25</v>
      </c>
      <c r="J2664" s="8" t="s">
        <v>25</v>
      </c>
      <c r="N2664" s="8" t="s">
        <v>58</v>
      </c>
      <c r="O2664" s="8" t="s">
        <v>59</v>
      </c>
      <c r="P2664" s="8" t="s">
        <v>59</v>
      </c>
      <c r="R2664" s="8">
        <v>0</v>
      </c>
      <c r="S2664" s="8">
        <v>0</v>
      </c>
      <c r="T2664" s="8">
        <v>1</v>
      </c>
      <c r="U2664" s="8">
        <v>2</v>
      </c>
      <c r="AG2664" s="8" t="str">
        <f t="shared" si="165"/>
        <v/>
      </c>
      <c r="AI2664" s="8" t="str">
        <f t="shared" si="166"/>
        <v/>
      </c>
      <c r="AJ2664" s="8" t="str">
        <f t="shared" si="167"/>
        <v/>
      </c>
      <c r="AL2664" s="8" t="str">
        <f t="shared" si="168"/>
        <v/>
      </c>
    </row>
    <row r="2665" spans="1:38" x14ac:dyDescent="0.25">
      <c r="A2665" s="8" t="s">
        <v>5819</v>
      </c>
      <c r="B2665" s="8" t="s">
        <v>5820</v>
      </c>
      <c r="C2665" s="8">
        <v>30873516</v>
      </c>
      <c r="D2665" s="8">
        <v>5</v>
      </c>
      <c r="E2665" s="11">
        <v>43110</v>
      </c>
      <c r="F2665" s="8" t="s">
        <v>57</v>
      </c>
      <c r="G2665" s="11">
        <v>43112</v>
      </c>
      <c r="H2665" s="8" t="s">
        <v>25</v>
      </c>
      <c r="J2665" s="8" t="s">
        <v>25</v>
      </c>
      <c r="N2665" s="8" t="s">
        <v>58</v>
      </c>
      <c r="O2665" s="8" t="s">
        <v>59</v>
      </c>
      <c r="P2665" s="8" t="s">
        <v>59</v>
      </c>
      <c r="R2665" s="8">
        <v>0</v>
      </c>
      <c r="S2665" s="8">
        <v>0</v>
      </c>
      <c r="T2665" s="8">
        <v>1</v>
      </c>
      <c r="U2665" s="8">
        <v>2</v>
      </c>
      <c r="AG2665" s="8" t="str">
        <f t="shared" si="165"/>
        <v/>
      </c>
      <c r="AI2665" s="8" t="str">
        <f t="shared" si="166"/>
        <v/>
      </c>
      <c r="AJ2665" s="8" t="str">
        <f t="shared" si="167"/>
        <v/>
      </c>
      <c r="AL2665" s="8" t="str">
        <f t="shared" si="168"/>
        <v/>
      </c>
    </row>
    <row r="2666" spans="1:38" x14ac:dyDescent="0.25">
      <c r="A2666" s="8" t="s">
        <v>5821</v>
      </c>
      <c r="B2666" s="8" t="s">
        <v>5822</v>
      </c>
      <c r="C2666" s="8">
        <v>30912690</v>
      </c>
      <c r="D2666" s="8">
        <v>5</v>
      </c>
      <c r="E2666" s="11">
        <v>43112</v>
      </c>
      <c r="F2666" s="8" t="s">
        <v>57</v>
      </c>
      <c r="G2666" s="11">
        <v>43112</v>
      </c>
      <c r="H2666" s="8" t="s">
        <v>25</v>
      </c>
      <c r="J2666" s="8" t="s">
        <v>25</v>
      </c>
      <c r="N2666" s="8" t="s">
        <v>58</v>
      </c>
      <c r="O2666" s="8" t="s">
        <v>59</v>
      </c>
      <c r="P2666" s="8" t="s">
        <v>59</v>
      </c>
      <c r="R2666" s="8">
        <v>0</v>
      </c>
      <c r="S2666" s="8">
        <v>0</v>
      </c>
      <c r="T2666" s="8">
        <v>1</v>
      </c>
      <c r="U2666" s="8">
        <v>2</v>
      </c>
      <c r="AG2666" s="8" t="str">
        <f t="shared" si="165"/>
        <v/>
      </c>
      <c r="AI2666" s="8" t="str">
        <f t="shared" si="166"/>
        <v/>
      </c>
      <c r="AJ2666" s="8" t="str">
        <f t="shared" si="167"/>
        <v/>
      </c>
      <c r="AL2666" s="8" t="str">
        <f t="shared" si="168"/>
        <v/>
      </c>
    </row>
    <row r="2667" spans="1:38" x14ac:dyDescent="0.25">
      <c r="A2667" s="8" t="s">
        <v>5823</v>
      </c>
      <c r="B2667" s="8" t="s">
        <v>5824</v>
      </c>
      <c r="C2667" s="8">
        <v>30881122</v>
      </c>
      <c r="D2667" s="8">
        <v>5</v>
      </c>
      <c r="E2667" s="11">
        <v>43111</v>
      </c>
      <c r="F2667" s="8" t="s">
        <v>58</v>
      </c>
      <c r="G2667" s="11">
        <v>43112</v>
      </c>
      <c r="H2667" s="8" t="s">
        <v>25</v>
      </c>
      <c r="I2667" s="11">
        <v>43112</v>
      </c>
      <c r="J2667" s="8" t="s">
        <v>25</v>
      </c>
      <c r="N2667" s="8" t="s">
        <v>58</v>
      </c>
      <c r="O2667" s="8" t="s">
        <v>59</v>
      </c>
      <c r="P2667" s="8" t="s">
        <v>59</v>
      </c>
      <c r="R2667" s="8">
        <v>0</v>
      </c>
      <c r="S2667" s="8">
        <v>0</v>
      </c>
      <c r="T2667" s="8">
        <v>1</v>
      </c>
      <c r="U2667" s="8">
        <v>2</v>
      </c>
      <c r="X2667" s="8">
        <v>5</v>
      </c>
      <c r="AG2667" s="8" t="str">
        <f t="shared" si="165"/>
        <v/>
      </c>
      <c r="AI2667" s="8" t="str">
        <f t="shared" si="166"/>
        <v/>
      </c>
      <c r="AJ2667" s="8" t="str">
        <f t="shared" si="167"/>
        <v/>
      </c>
      <c r="AL2667" s="8" t="str">
        <f t="shared" si="168"/>
        <v/>
      </c>
    </row>
    <row r="2668" spans="1:38" x14ac:dyDescent="0.25">
      <c r="A2668" s="8" t="s">
        <v>7609</v>
      </c>
      <c r="B2668" s="8" t="s">
        <v>7610</v>
      </c>
      <c r="C2668" s="8">
        <v>30946183</v>
      </c>
      <c r="D2668" s="8">
        <v>5</v>
      </c>
      <c r="E2668" s="11">
        <v>43115</v>
      </c>
      <c r="F2668" s="8" t="s">
        <v>61</v>
      </c>
      <c r="G2668" s="11">
        <v>43115</v>
      </c>
      <c r="H2668" s="8" t="s">
        <v>25</v>
      </c>
      <c r="J2668" s="8" t="s">
        <v>25</v>
      </c>
      <c r="K2668" s="11">
        <v>43115</v>
      </c>
      <c r="N2668" s="8" t="s">
        <v>58</v>
      </c>
      <c r="O2668" s="8" t="s">
        <v>59</v>
      </c>
      <c r="P2668" s="8" t="s">
        <v>59</v>
      </c>
      <c r="R2668" s="8">
        <v>0</v>
      </c>
      <c r="S2668" s="8">
        <v>0</v>
      </c>
      <c r="T2668" s="8">
        <v>1</v>
      </c>
      <c r="U2668" s="8">
        <v>2</v>
      </c>
      <c r="Y2668" s="8">
        <v>6</v>
      </c>
      <c r="Z2668" s="8">
        <v>7</v>
      </c>
      <c r="AG2668" s="8" t="str">
        <f t="shared" si="165"/>
        <v/>
      </c>
      <c r="AI2668" s="8" t="str">
        <f t="shared" si="166"/>
        <v/>
      </c>
      <c r="AJ2668" s="8" t="str">
        <f t="shared" si="167"/>
        <v/>
      </c>
      <c r="AL2668" s="8" t="str">
        <f t="shared" si="168"/>
        <v/>
      </c>
    </row>
    <row r="2669" spans="1:38" x14ac:dyDescent="0.25">
      <c r="A2669" s="8" t="s">
        <v>5825</v>
      </c>
      <c r="B2669" s="8" t="s">
        <v>136</v>
      </c>
      <c r="C2669" s="8">
        <v>30898374</v>
      </c>
      <c r="D2669" s="8">
        <v>3</v>
      </c>
      <c r="E2669" s="11">
        <v>43111</v>
      </c>
      <c r="F2669" s="8" t="s">
        <v>57</v>
      </c>
      <c r="G2669" s="11">
        <v>43112</v>
      </c>
      <c r="H2669" s="8" t="s">
        <v>25</v>
      </c>
      <c r="J2669" s="8" t="s">
        <v>25</v>
      </c>
      <c r="N2669" s="8" t="s">
        <v>58</v>
      </c>
      <c r="O2669" s="8" t="s">
        <v>59</v>
      </c>
      <c r="P2669" s="8" t="s">
        <v>59</v>
      </c>
      <c r="R2669" s="8">
        <v>0</v>
      </c>
      <c r="S2669" s="8">
        <v>0</v>
      </c>
      <c r="T2669" s="8">
        <v>1</v>
      </c>
      <c r="U2669" s="8">
        <v>2</v>
      </c>
      <c r="AG2669" s="8" t="str">
        <f t="shared" si="165"/>
        <v/>
      </c>
      <c r="AI2669" s="8" t="str">
        <f t="shared" si="166"/>
        <v/>
      </c>
      <c r="AJ2669" s="8" t="str">
        <f t="shared" si="167"/>
        <v/>
      </c>
      <c r="AL2669" s="8" t="str">
        <f t="shared" si="168"/>
        <v/>
      </c>
    </row>
    <row r="2670" spans="1:38" x14ac:dyDescent="0.25">
      <c r="A2670" s="8" t="s">
        <v>7611</v>
      </c>
      <c r="B2670" s="8" t="s">
        <v>7612</v>
      </c>
      <c r="C2670" s="8">
        <v>30929372</v>
      </c>
      <c r="D2670" s="8">
        <v>5</v>
      </c>
      <c r="E2670" s="11">
        <v>43115</v>
      </c>
      <c r="F2670" s="8" t="s">
        <v>57</v>
      </c>
      <c r="G2670" s="11">
        <v>43115</v>
      </c>
      <c r="H2670" s="8" t="s">
        <v>25</v>
      </c>
      <c r="J2670" s="8" t="s">
        <v>25</v>
      </c>
      <c r="N2670" s="8" t="s">
        <v>58</v>
      </c>
      <c r="O2670" s="8" t="s">
        <v>59</v>
      </c>
      <c r="P2670" s="8" t="s">
        <v>59</v>
      </c>
      <c r="R2670" s="8">
        <v>0</v>
      </c>
      <c r="S2670" s="8">
        <v>0</v>
      </c>
      <c r="T2670" s="8">
        <v>1</v>
      </c>
      <c r="U2670" s="8">
        <v>2</v>
      </c>
      <c r="AG2670" s="8" t="str">
        <f t="shared" si="165"/>
        <v/>
      </c>
      <c r="AI2670" s="8" t="str">
        <f t="shared" si="166"/>
        <v/>
      </c>
      <c r="AJ2670" s="8" t="str">
        <f t="shared" si="167"/>
        <v/>
      </c>
      <c r="AL2670" s="8" t="str">
        <f t="shared" si="168"/>
        <v/>
      </c>
    </row>
    <row r="2671" spans="1:38" x14ac:dyDescent="0.25">
      <c r="A2671" s="8" t="s">
        <v>7613</v>
      </c>
      <c r="B2671" s="8" t="s">
        <v>7614</v>
      </c>
      <c r="C2671" s="8">
        <v>30933367</v>
      </c>
      <c r="D2671" s="8">
        <v>5</v>
      </c>
      <c r="E2671" s="11">
        <v>43115</v>
      </c>
      <c r="F2671" s="8" t="s">
        <v>57</v>
      </c>
      <c r="G2671" s="11">
        <v>43115</v>
      </c>
      <c r="H2671" s="8" t="s">
        <v>25</v>
      </c>
      <c r="J2671" s="8" t="s">
        <v>25</v>
      </c>
      <c r="N2671" s="8" t="s">
        <v>58</v>
      </c>
      <c r="O2671" s="8" t="s">
        <v>59</v>
      </c>
      <c r="P2671" s="8" t="s">
        <v>59</v>
      </c>
      <c r="R2671" s="8">
        <v>0</v>
      </c>
      <c r="S2671" s="8">
        <v>0</v>
      </c>
      <c r="T2671" s="8">
        <v>1</v>
      </c>
      <c r="U2671" s="8">
        <v>2</v>
      </c>
      <c r="AG2671" s="8" t="str">
        <f t="shared" si="165"/>
        <v/>
      </c>
      <c r="AI2671" s="8" t="str">
        <f t="shared" si="166"/>
        <v/>
      </c>
      <c r="AJ2671" s="8" t="str">
        <f t="shared" si="167"/>
        <v/>
      </c>
      <c r="AL2671" s="8" t="str">
        <f t="shared" si="168"/>
        <v/>
      </c>
    </row>
    <row r="2672" spans="1:38" x14ac:dyDescent="0.25">
      <c r="A2672" s="8" t="s">
        <v>4194</v>
      </c>
      <c r="B2672" s="8" t="s">
        <v>4195</v>
      </c>
      <c r="C2672" s="8">
        <v>30900748</v>
      </c>
      <c r="D2672" s="8">
        <v>5</v>
      </c>
      <c r="E2672" s="11">
        <v>43111</v>
      </c>
      <c r="F2672" s="8" t="s">
        <v>57</v>
      </c>
      <c r="G2672" s="11">
        <v>43111</v>
      </c>
      <c r="H2672" s="8" t="s">
        <v>25</v>
      </c>
      <c r="J2672" s="8" t="s">
        <v>25</v>
      </c>
      <c r="N2672" s="8" t="s">
        <v>58</v>
      </c>
      <c r="O2672" s="8" t="s">
        <v>59</v>
      </c>
      <c r="P2672" s="8" t="s">
        <v>59</v>
      </c>
      <c r="R2672" s="8">
        <v>0</v>
      </c>
      <c r="S2672" s="8">
        <v>0</v>
      </c>
      <c r="T2672" s="8">
        <v>1</v>
      </c>
      <c r="U2672" s="8">
        <v>2</v>
      </c>
      <c r="AG2672" s="8" t="str">
        <f t="shared" si="165"/>
        <v/>
      </c>
      <c r="AI2672" s="8" t="str">
        <f t="shared" si="166"/>
        <v/>
      </c>
      <c r="AJ2672" s="8" t="str">
        <f t="shared" si="167"/>
        <v/>
      </c>
      <c r="AL2672" s="8" t="str">
        <f t="shared" si="168"/>
        <v/>
      </c>
    </row>
    <row r="2673" spans="1:38" x14ac:dyDescent="0.25">
      <c r="A2673" s="8" t="s">
        <v>1400</v>
      </c>
      <c r="B2673" s="8" t="s">
        <v>1401</v>
      </c>
      <c r="C2673" s="8">
        <v>30850679</v>
      </c>
      <c r="D2673" s="8">
        <v>4</v>
      </c>
      <c r="E2673" s="11">
        <v>43109</v>
      </c>
      <c r="F2673" s="8" t="s">
        <v>60</v>
      </c>
      <c r="G2673" s="11">
        <v>43109</v>
      </c>
      <c r="H2673" s="8" t="s">
        <v>25</v>
      </c>
      <c r="J2673" s="8" t="s">
        <v>25</v>
      </c>
      <c r="L2673" s="8" t="s">
        <v>3287</v>
      </c>
      <c r="N2673" s="8" t="s">
        <v>58</v>
      </c>
      <c r="O2673" s="8" t="s">
        <v>59</v>
      </c>
      <c r="P2673" s="8" t="s">
        <v>59</v>
      </c>
      <c r="R2673" s="8">
        <v>0</v>
      </c>
      <c r="S2673" s="8">
        <v>0</v>
      </c>
      <c r="T2673" s="8">
        <v>1</v>
      </c>
      <c r="U2673" s="8">
        <v>2</v>
      </c>
      <c r="W2673" s="8">
        <v>4</v>
      </c>
      <c r="AG2673" s="8" t="str">
        <f t="shared" si="165"/>
        <v/>
      </c>
      <c r="AI2673" s="8" t="str">
        <f t="shared" si="166"/>
        <v/>
      </c>
      <c r="AJ2673" s="8" t="str">
        <f t="shared" si="167"/>
        <v/>
      </c>
      <c r="AL2673" s="8" t="str">
        <f t="shared" si="168"/>
        <v/>
      </c>
    </row>
    <row r="2674" spans="1:38" x14ac:dyDescent="0.25">
      <c r="A2674" s="8" t="s">
        <v>5826</v>
      </c>
      <c r="B2674" s="8" t="s">
        <v>1401</v>
      </c>
      <c r="C2674" s="8">
        <v>30922576</v>
      </c>
      <c r="D2674" s="8">
        <v>4</v>
      </c>
      <c r="E2674" s="11">
        <v>43112</v>
      </c>
      <c r="F2674" s="8" t="s">
        <v>57</v>
      </c>
      <c r="G2674" s="11">
        <v>43112</v>
      </c>
      <c r="H2674" s="8" t="s">
        <v>25</v>
      </c>
      <c r="J2674" s="8" t="s">
        <v>25</v>
      </c>
      <c r="N2674" s="8" t="s">
        <v>58</v>
      </c>
      <c r="O2674" s="8" t="s">
        <v>59</v>
      </c>
      <c r="P2674" s="8" t="s">
        <v>59</v>
      </c>
      <c r="R2674" s="8">
        <v>0</v>
      </c>
      <c r="S2674" s="8">
        <v>0</v>
      </c>
      <c r="T2674" s="8">
        <v>1</v>
      </c>
      <c r="U2674" s="8">
        <v>2</v>
      </c>
      <c r="AG2674" s="8" t="str">
        <f t="shared" si="165"/>
        <v/>
      </c>
      <c r="AI2674" s="8" t="str">
        <f t="shared" si="166"/>
        <v/>
      </c>
      <c r="AJ2674" s="8" t="str">
        <f t="shared" si="167"/>
        <v/>
      </c>
      <c r="AL2674" s="8" t="str">
        <f t="shared" si="168"/>
        <v/>
      </c>
    </row>
    <row r="2675" spans="1:38" x14ac:dyDescent="0.25">
      <c r="A2675" s="8" t="s">
        <v>5827</v>
      </c>
      <c r="B2675" s="8" t="s">
        <v>5828</v>
      </c>
      <c r="C2675" s="8">
        <v>30887270</v>
      </c>
      <c r="D2675" s="8">
        <v>5</v>
      </c>
      <c r="E2675" s="11">
        <v>43111</v>
      </c>
      <c r="F2675" s="8" t="s">
        <v>58</v>
      </c>
      <c r="G2675" s="11">
        <v>43112</v>
      </c>
      <c r="H2675" s="8" t="s">
        <v>25</v>
      </c>
      <c r="I2675" s="11">
        <v>43115</v>
      </c>
      <c r="J2675" s="8" t="s">
        <v>25</v>
      </c>
      <c r="N2675" s="8" t="s">
        <v>58</v>
      </c>
      <c r="O2675" s="8" t="s">
        <v>59</v>
      </c>
      <c r="P2675" s="8" t="s">
        <v>59</v>
      </c>
      <c r="R2675" s="8">
        <v>0</v>
      </c>
      <c r="S2675" s="8">
        <v>0</v>
      </c>
      <c r="T2675" s="8">
        <v>1</v>
      </c>
      <c r="U2675" s="8">
        <v>2</v>
      </c>
      <c r="X2675" s="8">
        <v>5</v>
      </c>
      <c r="AG2675" s="8" t="str">
        <f t="shared" si="165"/>
        <v/>
      </c>
      <c r="AI2675" s="8" t="str">
        <f t="shared" si="166"/>
        <v/>
      </c>
      <c r="AJ2675" s="8" t="str">
        <f t="shared" si="167"/>
        <v/>
      </c>
      <c r="AL2675" s="8" t="str">
        <f t="shared" si="168"/>
        <v/>
      </c>
    </row>
    <row r="2676" spans="1:38" x14ac:dyDescent="0.25">
      <c r="A2676" s="8" t="s">
        <v>7615</v>
      </c>
      <c r="B2676" s="8" t="s">
        <v>7616</v>
      </c>
      <c r="C2676" s="8">
        <v>30930583</v>
      </c>
      <c r="D2676" s="8">
        <v>5</v>
      </c>
      <c r="E2676" s="11">
        <v>43115</v>
      </c>
      <c r="F2676" s="8" t="s">
        <v>57</v>
      </c>
      <c r="G2676" s="11">
        <v>43115</v>
      </c>
      <c r="H2676" s="8" t="s">
        <v>25</v>
      </c>
      <c r="J2676" s="8" t="s">
        <v>25</v>
      </c>
      <c r="N2676" s="8" t="s">
        <v>58</v>
      </c>
      <c r="O2676" s="8" t="s">
        <v>59</v>
      </c>
      <c r="P2676" s="8" t="s">
        <v>59</v>
      </c>
      <c r="R2676" s="8">
        <v>0</v>
      </c>
      <c r="S2676" s="8">
        <v>0</v>
      </c>
      <c r="T2676" s="8">
        <v>1</v>
      </c>
      <c r="U2676" s="8">
        <v>2</v>
      </c>
      <c r="AG2676" s="8" t="str">
        <f t="shared" si="165"/>
        <v/>
      </c>
      <c r="AI2676" s="8" t="str">
        <f t="shared" si="166"/>
        <v/>
      </c>
      <c r="AJ2676" s="8" t="str">
        <f t="shared" si="167"/>
        <v/>
      </c>
      <c r="AL2676" s="8" t="str">
        <f t="shared" si="168"/>
        <v/>
      </c>
    </row>
    <row r="2677" spans="1:38" x14ac:dyDescent="0.25">
      <c r="A2677" s="8" t="s">
        <v>5829</v>
      </c>
      <c r="B2677" s="8" t="s">
        <v>5830</v>
      </c>
      <c r="C2677" s="8">
        <v>30881138</v>
      </c>
      <c r="D2677" s="8">
        <v>5</v>
      </c>
      <c r="E2677" s="11">
        <v>43111</v>
      </c>
      <c r="F2677" s="8" t="s">
        <v>58</v>
      </c>
      <c r="G2677" s="11">
        <v>43112</v>
      </c>
      <c r="H2677" s="8" t="s">
        <v>25</v>
      </c>
      <c r="I2677" s="11">
        <v>43115</v>
      </c>
      <c r="J2677" s="8" t="s">
        <v>25</v>
      </c>
      <c r="N2677" s="8" t="s">
        <v>58</v>
      </c>
      <c r="O2677" s="8" t="s">
        <v>59</v>
      </c>
      <c r="P2677" s="8" t="s">
        <v>59</v>
      </c>
      <c r="R2677" s="8">
        <v>0</v>
      </c>
      <c r="S2677" s="8">
        <v>0</v>
      </c>
      <c r="T2677" s="8">
        <v>1</v>
      </c>
      <c r="U2677" s="8">
        <v>2</v>
      </c>
      <c r="X2677" s="8">
        <v>5</v>
      </c>
      <c r="AG2677" s="8" t="str">
        <f t="shared" si="165"/>
        <v/>
      </c>
      <c r="AI2677" s="8" t="str">
        <f t="shared" si="166"/>
        <v/>
      </c>
      <c r="AJ2677" s="8" t="str">
        <f t="shared" si="167"/>
        <v/>
      </c>
      <c r="AL2677" s="8" t="str">
        <f t="shared" si="168"/>
        <v/>
      </c>
    </row>
    <row r="2678" spans="1:38" x14ac:dyDescent="0.25">
      <c r="A2678" s="8" t="s">
        <v>5831</v>
      </c>
      <c r="B2678" s="8" t="s">
        <v>5832</v>
      </c>
      <c r="C2678" s="8">
        <v>30869050</v>
      </c>
      <c r="D2678" s="8">
        <v>5</v>
      </c>
      <c r="E2678" s="11">
        <v>43110</v>
      </c>
      <c r="F2678" s="8" t="s">
        <v>58</v>
      </c>
      <c r="G2678" s="11">
        <v>43112</v>
      </c>
      <c r="H2678" s="8" t="s">
        <v>25</v>
      </c>
      <c r="I2678" s="11">
        <v>43112</v>
      </c>
      <c r="J2678" s="8" t="s">
        <v>25</v>
      </c>
      <c r="N2678" s="8" t="s">
        <v>58</v>
      </c>
      <c r="O2678" s="8" t="s">
        <v>59</v>
      </c>
      <c r="P2678" s="8" t="s">
        <v>59</v>
      </c>
      <c r="R2678" s="8">
        <v>0</v>
      </c>
      <c r="S2678" s="8">
        <v>0</v>
      </c>
      <c r="T2678" s="8">
        <v>1</v>
      </c>
      <c r="U2678" s="8">
        <v>2</v>
      </c>
      <c r="X2678" s="8">
        <v>5</v>
      </c>
      <c r="AG2678" s="8" t="str">
        <f t="shared" si="165"/>
        <v/>
      </c>
      <c r="AI2678" s="8" t="str">
        <f t="shared" si="166"/>
        <v/>
      </c>
      <c r="AJ2678" s="8" t="str">
        <f t="shared" si="167"/>
        <v/>
      </c>
      <c r="AL2678" s="8" t="str">
        <f t="shared" si="168"/>
        <v/>
      </c>
    </row>
    <row r="2679" spans="1:38" x14ac:dyDescent="0.25">
      <c r="A2679" s="8" t="s">
        <v>5833</v>
      </c>
      <c r="B2679" s="8" t="s">
        <v>5834</v>
      </c>
      <c r="C2679" s="8">
        <v>30869028</v>
      </c>
      <c r="D2679" s="8">
        <v>5</v>
      </c>
      <c r="E2679" s="11">
        <v>43110</v>
      </c>
      <c r="F2679" s="8" t="s">
        <v>57</v>
      </c>
      <c r="G2679" s="11">
        <v>43112</v>
      </c>
      <c r="H2679" s="8" t="s">
        <v>25</v>
      </c>
      <c r="J2679" s="8" t="s">
        <v>25</v>
      </c>
      <c r="N2679" s="8" t="s">
        <v>58</v>
      </c>
      <c r="O2679" s="8" t="s">
        <v>59</v>
      </c>
      <c r="P2679" s="8" t="s">
        <v>59</v>
      </c>
      <c r="R2679" s="8">
        <v>0</v>
      </c>
      <c r="S2679" s="8">
        <v>0</v>
      </c>
      <c r="T2679" s="8">
        <v>1</v>
      </c>
      <c r="U2679" s="8">
        <v>2</v>
      </c>
      <c r="AG2679" s="8" t="str">
        <f t="shared" si="165"/>
        <v/>
      </c>
      <c r="AI2679" s="8" t="str">
        <f t="shared" si="166"/>
        <v/>
      </c>
      <c r="AJ2679" s="8" t="str">
        <f t="shared" si="167"/>
        <v/>
      </c>
      <c r="AL2679" s="8" t="str">
        <f t="shared" si="168"/>
        <v/>
      </c>
    </row>
    <row r="2680" spans="1:38" x14ac:dyDescent="0.25">
      <c r="A2680" s="8" t="s">
        <v>4196</v>
      </c>
      <c r="B2680" s="8" t="s">
        <v>4197</v>
      </c>
      <c r="C2680" s="8">
        <v>30844653</v>
      </c>
      <c r="D2680" s="8">
        <v>5</v>
      </c>
      <c r="E2680" s="11">
        <v>43109</v>
      </c>
      <c r="F2680" s="8" t="s">
        <v>58</v>
      </c>
      <c r="G2680" s="11">
        <v>43111</v>
      </c>
      <c r="H2680" s="8" t="s">
        <v>25</v>
      </c>
      <c r="I2680" s="11">
        <v>43115</v>
      </c>
      <c r="J2680" s="8" t="s">
        <v>25</v>
      </c>
      <c r="N2680" s="8" t="s">
        <v>58</v>
      </c>
      <c r="O2680" s="8" t="s">
        <v>59</v>
      </c>
      <c r="P2680" s="8" t="s">
        <v>59</v>
      </c>
      <c r="R2680" s="8">
        <v>0</v>
      </c>
      <c r="S2680" s="8">
        <v>0</v>
      </c>
      <c r="T2680" s="8">
        <v>1</v>
      </c>
      <c r="U2680" s="8">
        <v>2</v>
      </c>
      <c r="X2680" s="8">
        <v>5</v>
      </c>
      <c r="AG2680" s="8" t="str">
        <f t="shared" si="165"/>
        <v/>
      </c>
      <c r="AI2680" s="8" t="str">
        <f t="shared" si="166"/>
        <v/>
      </c>
      <c r="AJ2680" s="8" t="str">
        <f t="shared" si="167"/>
        <v/>
      </c>
      <c r="AL2680" s="8" t="str">
        <f t="shared" si="168"/>
        <v/>
      </c>
    </row>
    <row r="2681" spans="1:38" x14ac:dyDescent="0.25">
      <c r="A2681" s="8" t="s">
        <v>7617</v>
      </c>
      <c r="B2681" s="8" t="s">
        <v>7618</v>
      </c>
      <c r="C2681" s="8">
        <v>30944548</v>
      </c>
      <c r="D2681" s="8">
        <v>5</v>
      </c>
      <c r="E2681" s="11">
        <v>43115</v>
      </c>
      <c r="F2681" s="8" t="s">
        <v>57</v>
      </c>
      <c r="G2681" s="11">
        <v>43115</v>
      </c>
      <c r="H2681" s="8" t="s">
        <v>25</v>
      </c>
      <c r="J2681" s="8" t="s">
        <v>25</v>
      </c>
      <c r="N2681" s="8" t="s">
        <v>58</v>
      </c>
      <c r="O2681" s="8" t="s">
        <v>59</v>
      </c>
      <c r="P2681" s="8" t="s">
        <v>59</v>
      </c>
      <c r="R2681" s="8">
        <v>0</v>
      </c>
      <c r="S2681" s="8">
        <v>0</v>
      </c>
      <c r="T2681" s="8">
        <v>1</v>
      </c>
      <c r="U2681" s="8">
        <v>2</v>
      </c>
      <c r="AG2681" s="8" t="str">
        <f t="shared" si="165"/>
        <v/>
      </c>
      <c r="AI2681" s="8" t="str">
        <f t="shared" si="166"/>
        <v/>
      </c>
      <c r="AJ2681" s="8" t="str">
        <f t="shared" si="167"/>
        <v/>
      </c>
      <c r="AL2681" s="8" t="str">
        <f t="shared" si="168"/>
        <v/>
      </c>
    </row>
    <row r="2682" spans="1:38" x14ac:dyDescent="0.25">
      <c r="A2682" s="8" t="s">
        <v>1402</v>
      </c>
      <c r="B2682" s="8" t="s">
        <v>1403</v>
      </c>
      <c r="C2682" s="8">
        <v>30850641</v>
      </c>
      <c r="D2682" s="8">
        <v>5</v>
      </c>
      <c r="E2682" s="11">
        <v>43109</v>
      </c>
      <c r="F2682" s="8" t="s">
        <v>58</v>
      </c>
      <c r="G2682" s="11">
        <v>43109</v>
      </c>
      <c r="H2682" s="8" t="s">
        <v>25</v>
      </c>
      <c r="I2682" s="11">
        <v>43110</v>
      </c>
      <c r="J2682" s="8" t="s">
        <v>25</v>
      </c>
      <c r="N2682" s="8" t="s">
        <v>58</v>
      </c>
      <c r="O2682" s="8" t="s">
        <v>59</v>
      </c>
      <c r="P2682" s="8" t="s">
        <v>59</v>
      </c>
      <c r="R2682" s="8">
        <v>0</v>
      </c>
      <c r="S2682" s="8">
        <v>0</v>
      </c>
      <c r="T2682" s="8">
        <v>1</v>
      </c>
      <c r="U2682" s="8">
        <v>2</v>
      </c>
      <c r="X2682" s="8">
        <v>5</v>
      </c>
      <c r="AG2682" s="8" t="str">
        <f t="shared" si="165"/>
        <v/>
      </c>
      <c r="AI2682" s="8" t="str">
        <f t="shared" si="166"/>
        <v/>
      </c>
      <c r="AJ2682" s="8" t="str">
        <f t="shared" si="167"/>
        <v/>
      </c>
      <c r="AL2682" s="8" t="str">
        <f t="shared" si="168"/>
        <v/>
      </c>
    </row>
    <row r="2683" spans="1:38" x14ac:dyDescent="0.25">
      <c r="A2683" s="8" t="s">
        <v>5835</v>
      </c>
      <c r="B2683" s="8" t="s">
        <v>5836</v>
      </c>
      <c r="C2683" s="8">
        <v>30860407</v>
      </c>
      <c r="D2683" s="8">
        <v>5</v>
      </c>
      <c r="E2683" s="11">
        <v>43110</v>
      </c>
      <c r="F2683" s="8" t="s">
        <v>57</v>
      </c>
      <c r="G2683" s="11">
        <v>43112</v>
      </c>
      <c r="H2683" s="8" t="s">
        <v>25</v>
      </c>
      <c r="J2683" s="8" t="s">
        <v>25</v>
      </c>
      <c r="N2683" s="8" t="s">
        <v>58</v>
      </c>
      <c r="O2683" s="8" t="s">
        <v>59</v>
      </c>
      <c r="P2683" s="8" t="s">
        <v>59</v>
      </c>
      <c r="R2683" s="8">
        <v>0</v>
      </c>
      <c r="S2683" s="8">
        <v>0</v>
      </c>
      <c r="T2683" s="8">
        <v>1</v>
      </c>
      <c r="U2683" s="8">
        <v>2</v>
      </c>
      <c r="AG2683" s="8" t="str">
        <f t="shared" si="165"/>
        <v/>
      </c>
      <c r="AI2683" s="8" t="str">
        <f t="shared" si="166"/>
        <v/>
      </c>
      <c r="AJ2683" s="8" t="str">
        <f t="shared" si="167"/>
        <v/>
      </c>
      <c r="AL2683" s="8" t="str">
        <f t="shared" si="168"/>
        <v/>
      </c>
    </row>
    <row r="2684" spans="1:38" x14ac:dyDescent="0.25">
      <c r="A2684" s="8" t="s">
        <v>7619</v>
      </c>
      <c r="B2684" s="8" t="s">
        <v>7620</v>
      </c>
      <c r="C2684" s="8">
        <v>30886731</v>
      </c>
      <c r="D2684" s="8">
        <v>5</v>
      </c>
      <c r="E2684" s="11">
        <v>43111</v>
      </c>
      <c r="F2684" s="8" t="s">
        <v>58</v>
      </c>
      <c r="G2684" s="11">
        <v>43115</v>
      </c>
      <c r="H2684" s="8" t="s">
        <v>25</v>
      </c>
      <c r="I2684" s="11">
        <v>43115</v>
      </c>
      <c r="J2684" s="8" t="s">
        <v>25</v>
      </c>
      <c r="N2684" s="8" t="s">
        <v>58</v>
      </c>
      <c r="O2684" s="8" t="s">
        <v>59</v>
      </c>
      <c r="P2684" s="8" t="s">
        <v>59</v>
      </c>
      <c r="R2684" s="8">
        <v>0</v>
      </c>
      <c r="S2684" s="8">
        <v>0</v>
      </c>
      <c r="T2684" s="8">
        <v>1</v>
      </c>
      <c r="U2684" s="8">
        <v>2</v>
      </c>
      <c r="X2684" s="8">
        <v>5</v>
      </c>
      <c r="AG2684" s="8" t="str">
        <f t="shared" si="165"/>
        <v/>
      </c>
      <c r="AI2684" s="8" t="str">
        <f t="shared" si="166"/>
        <v/>
      </c>
      <c r="AJ2684" s="8" t="str">
        <f t="shared" si="167"/>
        <v/>
      </c>
      <c r="AL2684" s="8" t="str">
        <f t="shared" si="168"/>
        <v/>
      </c>
    </row>
    <row r="2685" spans="1:38" x14ac:dyDescent="0.25">
      <c r="A2685" s="8" t="s">
        <v>2713</v>
      </c>
      <c r="B2685" s="8" t="s">
        <v>2714</v>
      </c>
      <c r="C2685" s="8">
        <v>30809044</v>
      </c>
      <c r="D2685" s="8">
        <v>4</v>
      </c>
      <c r="E2685" s="11">
        <v>43108</v>
      </c>
      <c r="F2685" s="8" t="s">
        <v>58</v>
      </c>
      <c r="G2685" s="11">
        <v>43110</v>
      </c>
      <c r="H2685" s="8" t="s">
        <v>25</v>
      </c>
      <c r="I2685" s="11">
        <v>43112</v>
      </c>
      <c r="J2685" s="8" t="s">
        <v>25</v>
      </c>
      <c r="N2685" s="8" t="s">
        <v>58</v>
      </c>
      <c r="O2685" s="8" t="s">
        <v>59</v>
      </c>
      <c r="P2685" s="8" t="s">
        <v>59</v>
      </c>
      <c r="R2685" s="8">
        <v>0</v>
      </c>
      <c r="S2685" s="8">
        <v>0</v>
      </c>
      <c r="T2685" s="8">
        <v>1</v>
      </c>
      <c r="U2685" s="8">
        <v>2</v>
      </c>
      <c r="X2685" s="8">
        <v>5</v>
      </c>
      <c r="AG2685" s="8" t="str">
        <f t="shared" si="165"/>
        <v/>
      </c>
      <c r="AI2685" s="8" t="str">
        <f t="shared" si="166"/>
        <v/>
      </c>
      <c r="AJ2685" s="8" t="str">
        <f t="shared" si="167"/>
        <v/>
      </c>
      <c r="AL2685" s="8" t="str">
        <f t="shared" si="168"/>
        <v/>
      </c>
    </row>
    <row r="2686" spans="1:38" x14ac:dyDescent="0.25">
      <c r="A2686" s="8" t="s">
        <v>7621</v>
      </c>
      <c r="B2686" s="8" t="s">
        <v>7622</v>
      </c>
      <c r="C2686" s="8">
        <v>30881505</v>
      </c>
      <c r="D2686" s="8">
        <v>5</v>
      </c>
      <c r="E2686" s="11">
        <v>43111</v>
      </c>
      <c r="F2686" s="8" t="s">
        <v>58</v>
      </c>
      <c r="G2686" s="11">
        <v>43115</v>
      </c>
      <c r="H2686" s="8" t="s">
        <v>25</v>
      </c>
      <c r="I2686" s="11">
        <v>43115</v>
      </c>
      <c r="J2686" s="8" t="s">
        <v>25</v>
      </c>
      <c r="N2686" s="8" t="s">
        <v>58</v>
      </c>
      <c r="O2686" s="8" t="s">
        <v>59</v>
      </c>
      <c r="P2686" s="8" t="s">
        <v>59</v>
      </c>
      <c r="R2686" s="8">
        <v>0</v>
      </c>
      <c r="S2686" s="8">
        <v>0</v>
      </c>
      <c r="T2686" s="8">
        <v>1</v>
      </c>
      <c r="U2686" s="8">
        <v>2</v>
      </c>
      <c r="X2686" s="8">
        <v>5</v>
      </c>
      <c r="AG2686" s="8" t="str">
        <f t="shared" si="165"/>
        <v/>
      </c>
      <c r="AI2686" s="8" t="str">
        <f t="shared" si="166"/>
        <v/>
      </c>
      <c r="AJ2686" s="8" t="str">
        <f t="shared" si="167"/>
        <v/>
      </c>
      <c r="AL2686" s="8" t="str">
        <f t="shared" si="168"/>
        <v/>
      </c>
    </row>
    <row r="2687" spans="1:38" x14ac:dyDescent="0.25">
      <c r="A2687" s="8" t="s">
        <v>7623</v>
      </c>
      <c r="B2687" s="8" t="s">
        <v>7624</v>
      </c>
      <c r="C2687" s="8">
        <v>30906360</v>
      </c>
      <c r="D2687" s="8">
        <v>5</v>
      </c>
      <c r="E2687" s="11">
        <v>43112</v>
      </c>
      <c r="F2687" s="8" t="s">
        <v>58</v>
      </c>
      <c r="G2687" s="11">
        <v>43115</v>
      </c>
      <c r="H2687" s="8" t="s">
        <v>25</v>
      </c>
      <c r="I2687" s="11">
        <v>43115</v>
      </c>
      <c r="J2687" s="8" t="s">
        <v>25</v>
      </c>
      <c r="N2687" s="8" t="s">
        <v>58</v>
      </c>
      <c r="O2687" s="8" t="s">
        <v>59</v>
      </c>
      <c r="P2687" s="8" t="s">
        <v>59</v>
      </c>
      <c r="R2687" s="8">
        <v>0</v>
      </c>
      <c r="S2687" s="8">
        <v>0</v>
      </c>
      <c r="T2687" s="8">
        <v>1</v>
      </c>
      <c r="U2687" s="8">
        <v>2</v>
      </c>
      <c r="X2687" s="8">
        <v>5</v>
      </c>
      <c r="AG2687" s="8" t="str">
        <f t="shared" si="165"/>
        <v/>
      </c>
      <c r="AI2687" s="8" t="str">
        <f t="shared" si="166"/>
        <v/>
      </c>
      <c r="AJ2687" s="8" t="str">
        <f t="shared" si="167"/>
        <v/>
      </c>
      <c r="AL2687" s="8" t="str">
        <f t="shared" si="168"/>
        <v/>
      </c>
    </row>
    <row r="2688" spans="1:38" x14ac:dyDescent="0.25">
      <c r="A2688" s="8" t="s">
        <v>5837</v>
      </c>
      <c r="B2688" s="8" t="s">
        <v>5838</v>
      </c>
      <c r="C2688" s="8">
        <v>30864859</v>
      </c>
      <c r="D2688" s="8">
        <v>5</v>
      </c>
      <c r="E2688" s="11">
        <v>43110</v>
      </c>
      <c r="F2688" s="8" t="s">
        <v>58</v>
      </c>
      <c r="G2688" s="11">
        <v>43112</v>
      </c>
      <c r="H2688" s="8" t="s">
        <v>25</v>
      </c>
      <c r="I2688" s="11">
        <v>43112</v>
      </c>
      <c r="J2688" s="8" t="s">
        <v>25</v>
      </c>
      <c r="N2688" s="8" t="s">
        <v>58</v>
      </c>
      <c r="O2688" s="8" t="s">
        <v>59</v>
      </c>
      <c r="P2688" s="8" t="s">
        <v>59</v>
      </c>
      <c r="R2688" s="8">
        <v>0</v>
      </c>
      <c r="S2688" s="8">
        <v>0</v>
      </c>
      <c r="T2688" s="8">
        <v>1</v>
      </c>
      <c r="U2688" s="8">
        <v>2</v>
      </c>
      <c r="X2688" s="8">
        <v>5</v>
      </c>
      <c r="AG2688" s="8" t="str">
        <f t="shared" si="165"/>
        <v/>
      </c>
      <c r="AI2688" s="8" t="str">
        <f t="shared" si="166"/>
        <v/>
      </c>
      <c r="AJ2688" s="8" t="str">
        <f t="shared" si="167"/>
        <v/>
      </c>
      <c r="AL2688" s="8" t="str">
        <f t="shared" si="168"/>
        <v/>
      </c>
    </row>
    <row r="2689" spans="1:38" x14ac:dyDescent="0.25">
      <c r="A2689" s="8" t="s">
        <v>4198</v>
      </c>
      <c r="B2689" s="8" t="s">
        <v>4199</v>
      </c>
      <c r="C2689" s="8">
        <v>30900726</v>
      </c>
      <c r="D2689" s="8">
        <v>5</v>
      </c>
      <c r="E2689" s="11">
        <v>43111</v>
      </c>
      <c r="F2689" s="8" t="s">
        <v>57</v>
      </c>
      <c r="G2689" s="11">
        <v>43111</v>
      </c>
      <c r="H2689" s="8" t="s">
        <v>25</v>
      </c>
      <c r="J2689" s="8" t="s">
        <v>25</v>
      </c>
      <c r="N2689" s="8" t="s">
        <v>58</v>
      </c>
      <c r="O2689" s="8" t="s">
        <v>59</v>
      </c>
      <c r="P2689" s="8" t="s">
        <v>59</v>
      </c>
      <c r="R2689" s="8">
        <v>0</v>
      </c>
      <c r="S2689" s="8">
        <v>0</v>
      </c>
      <c r="T2689" s="8">
        <v>1</v>
      </c>
      <c r="U2689" s="8">
        <v>2</v>
      </c>
      <c r="AG2689" s="8" t="str">
        <f t="shared" si="165"/>
        <v/>
      </c>
      <c r="AI2689" s="8" t="str">
        <f t="shared" si="166"/>
        <v/>
      </c>
      <c r="AJ2689" s="8" t="str">
        <f t="shared" si="167"/>
        <v/>
      </c>
      <c r="AL2689" s="8" t="str">
        <f t="shared" si="168"/>
        <v/>
      </c>
    </row>
    <row r="2690" spans="1:38" x14ac:dyDescent="0.25">
      <c r="A2690" s="8" t="s">
        <v>2715</v>
      </c>
      <c r="B2690" s="8" t="s">
        <v>2716</v>
      </c>
      <c r="C2690" s="8">
        <v>30811206</v>
      </c>
      <c r="D2690" s="8">
        <v>5</v>
      </c>
      <c r="E2690" s="11">
        <v>43108</v>
      </c>
      <c r="F2690" s="8" t="s">
        <v>58</v>
      </c>
      <c r="G2690" s="11">
        <v>43110</v>
      </c>
      <c r="H2690" s="8" t="s">
        <v>25</v>
      </c>
      <c r="I2690" s="11">
        <v>43110</v>
      </c>
      <c r="J2690" s="8" t="s">
        <v>25</v>
      </c>
      <c r="N2690" s="8" t="s">
        <v>58</v>
      </c>
      <c r="O2690" s="8" t="s">
        <v>59</v>
      </c>
      <c r="P2690" s="8" t="s">
        <v>59</v>
      </c>
      <c r="R2690" s="8">
        <v>0</v>
      </c>
      <c r="S2690" s="8">
        <v>0</v>
      </c>
      <c r="T2690" s="8">
        <v>1</v>
      </c>
      <c r="U2690" s="8">
        <v>2</v>
      </c>
      <c r="X2690" s="8">
        <v>5</v>
      </c>
      <c r="AG2690" s="8" t="str">
        <f t="shared" si="165"/>
        <v/>
      </c>
      <c r="AI2690" s="8" t="str">
        <f t="shared" si="166"/>
        <v/>
      </c>
      <c r="AJ2690" s="8" t="str">
        <f t="shared" si="167"/>
        <v/>
      </c>
      <c r="AL2690" s="8" t="str">
        <f t="shared" si="168"/>
        <v/>
      </c>
    </row>
    <row r="2691" spans="1:38" x14ac:dyDescent="0.25">
      <c r="A2691" s="8" t="s">
        <v>4200</v>
      </c>
      <c r="B2691" s="8" t="s">
        <v>4201</v>
      </c>
      <c r="C2691" s="8">
        <v>30850847</v>
      </c>
      <c r="D2691" s="8">
        <v>5</v>
      </c>
      <c r="E2691" s="11">
        <v>43109</v>
      </c>
      <c r="F2691" s="8" t="s">
        <v>57</v>
      </c>
      <c r="G2691" s="11">
        <v>43111</v>
      </c>
      <c r="H2691" s="8" t="s">
        <v>25</v>
      </c>
      <c r="J2691" s="8" t="s">
        <v>25</v>
      </c>
      <c r="N2691" s="8" t="s">
        <v>58</v>
      </c>
      <c r="O2691" s="8" t="s">
        <v>59</v>
      </c>
      <c r="P2691" s="8" t="s">
        <v>59</v>
      </c>
      <c r="R2691" s="8">
        <v>0</v>
      </c>
      <c r="S2691" s="8">
        <v>0</v>
      </c>
      <c r="T2691" s="8">
        <v>1</v>
      </c>
      <c r="U2691" s="8">
        <v>2</v>
      </c>
      <c r="AG2691" s="8" t="str">
        <f t="shared" ref="AG2691:AG2754" si="169">IF(AND(U2691="",G2691&lt;&gt;"",NOT(OR(R2691,S2691))),IF(NETWORKDAYS.INTL(G2691,TODAY(),11)&lt;5,"En Plazo",IF(NETWORKDAYS.INTL(G2691,TODAY(),11)=5,"Riesgo Incumplimiento","FALTA_02")),"")</f>
        <v/>
      </c>
      <c r="AI2691" s="8" t="str">
        <f t="shared" ref="AI2691:AI2754" si="170">IF(AND(O2691&lt;&gt;"B1",F2691="Rejected"),IF(W2691="","FALTA_04",""),"")</f>
        <v/>
      </c>
      <c r="AJ2691" s="8" t="str">
        <f t="shared" ref="AJ2691:AJ2754" si="171">IF(AND(X2691="",I2691&lt;&gt;"",NOT(OR(R2691,S2691))),IF(NETWORKDAYS.INTL(G2691,TODAY(),11)&lt;=1,"En Plazo",IF(OR(AND(X2691="",O2691&lt;&gt;"M1"),AND(O2691="M1",(OR(Q2691="S - S",Q2691="S - T",)))),"FALTA_05","")),"")</f>
        <v/>
      </c>
      <c r="AL2691" s="8" t="str">
        <f t="shared" ref="AL2691:AL2754" si="172">IF(AND(O2691="B1",F2691="Rejected"),IF(Z2691="","FALTA_07",""),"")</f>
        <v/>
      </c>
    </row>
    <row r="2692" spans="1:38" x14ac:dyDescent="0.25">
      <c r="A2692" s="8" t="s">
        <v>575</v>
      </c>
      <c r="B2692" s="8" t="s">
        <v>576</v>
      </c>
      <c r="C2692" s="8">
        <v>30806719</v>
      </c>
      <c r="D2692" s="8">
        <v>5</v>
      </c>
      <c r="E2692" s="11">
        <v>43108</v>
      </c>
      <c r="F2692" s="8" t="s">
        <v>58</v>
      </c>
      <c r="G2692" s="11">
        <v>43108</v>
      </c>
      <c r="H2692" s="8" t="s">
        <v>25</v>
      </c>
      <c r="I2692" s="11">
        <v>43110</v>
      </c>
      <c r="J2692" s="8" t="s">
        <v>25</v>
      </c>
      <c r="N2692" s="8" t="s">
        <v>58</v>
      </c>
      <c r="O2692" s="8" t="s">
        <v>59</v>
      </c>
      <c r="P2692" s="8" t="s">
        <v>59</v>
      </c>
      <c r="R2692" s="8">
        <v>0</v>
      </c>
      <c r="S2692" s="8">
        <v>0</v>
      </c>
      <c r="T2692" s="8">
        <v>1</v>
      </c>
      <c r="U2692" s="8">
        <v>2</v>
      </c>
      <c r="X2692" s="8">
        <v>5</v>
      </c>
      <c r="AG2692" s="8" t="str">
        <f t="shared" si="169"/>
        <v/>
      </c>
      <c r="AI2692" s="8" t="str">
        <f t="shared" si="170"/>
        <v/>
      </c>
      <c r="AJ2692" s="8" t="str">
        <f t="shared" si="171"/>
        <v/>
      </c>
      <c r="AL2692" s="8" t="str">
        <f t="shared" si="172"/>
        <v/>
      </c>
    </row>
    <row r="2693" spans="1:38" x14ac:dyDescent="0.25">
      <c r="A2693" s="8" t="s">
        <v>2717</v>
      </c>
      <c r="B2693" s="8" t="s">
        <v>2718</v>
      </c>
      <c r="C2693" s="8">
        <v>30817246</v>
      </c>
      <c r="D2693" s="8">
        <v>5</v>
      </c>
      <c r="E2693" s="11">
        <v>43108</v>
      </c>
      <c r="F2693" s="8" t="s">
        <v>58</v>
      </c>
      <c r="G2693" s="11">
        <v>43110</v>
      </c>
      <c r="H2693" s="8" t="s">
        <v>25</v>
      </c>
      <c r="I2693" s="11">
        <v>43110</v>
      </c>
      <c r="J2693" s="8" t="s">
        <v>25</v>
      </c>
      <c r="N2693" s="8" t="s">
        <v>58</v>
      </c>
      <c r="O2693" s="8" t="s">
        <v>59</v>
      </c>
      <c r="P2693" s="8" t="s">
        <v>59</v>
      </c>
      <c r="R2693" s="8">
        <v>0</v>
      </c>
      <c r="S2693" s="8">
        <v>0</v>
      </c>
      <c r="T2693" s="8">
        <v>1</v>
      </c>
      <c r="U2693" s="8">
        <v>2</v>
      </c>
      <c r="X2693" s="8">
        <v>5</v>
      </c>
      <c r="AG2693" s="8" t="str">
        <f t="shared" si="169"/>
        <v/>
      </c>
      <c r="AI2693" s="8" t="str">
        <f t="shared" si="170"/>
        <v/>
      </c>
      <c r="AJ2693" s="8" t="str">
        <f t="shared" si="171"/>
        <v/>
      </c>
      <c r="AL2693" s="8" t="str">
        <f t="shared" si="172"/>
        <v/>
      </c>
    </row>
    <row r="2694" spans="1:38" x14ac:dyDescent="0.25">
      <c r="A2694" s="8" t="s">
        <v>4202</v>
      </c>
      <c r="B2694" s="8" t="s">
        <v>4203</v>
      </c>
      <c r="C2694" s="8">
        <v>30850836</v>
      </c>
      <c r="D2694" s="8">
        <v>5</v>
      </c>
      <c r="E2694" s="11">
        <v>43109</v>
      </c>
      <c r="F2694" s="8" t="s">
        <v>58</v>
      </c>
      <c r="G2694" s="11">
        <v>43111</v>
      </c>
      <c r="H2694" s="8" t="s">
        <v>25</v>
      </c>
      <c r="I2694" s="11">
        <v>43112</v>
      </c>
      <c r="J2694" s="8" t="s">
        <v>25</v>
      </c>
      <c r="N2694" s="8" t="s">
        <v>58</v>
      </c>
      <c r="O2694" s="8" t="s">
        <v>59</v>
      </c>
      <c r="P2694" s="8" t="s">
        <v>59</v>
      </c>
      <c r="R2694" s="8">
        <v>0</v>
      </c>
      <c r="S2694" s="8">
        <v>0</v>
      </c>
      <c r="T2694" s="8">
        <v>1</v>
      </c>
      <c r="U2694" s="8">
        <v>2</v>
      </c>
      <c r="X2694" s="8">
        <v>5</v>
      </c>
      <c r="AG2694" s="8" t="str">
        <f t="shared" si="169"/>
        <v/>
      </c>
      <c r="AI2694" s="8" t="str">
        <f t="shared" si="170"/>
        <v/>
      </c>
      <c r="AJ2694" s="8" t="str">
        <f t="shared" si="171"/>
        <v/>
      </c>
      <c r="AL2694" s="8" t="str">
        <f t="shared" si="172"/>
        <v/>
      </c>
    </row>
    <row r="2695" spans="1:38" x14ac:dyDescent="0.25">
      <c r="A2695" s="8" t="s">
        <v>2719</v>
      </c>
      <c r="B2695" s="8" t="s">
        <v>2720</v>
      </c>
      <c r="C2695" s="8">
        <v>30858660</v>
      </c>
      <c r="D2695" s="8">
        <v>5</v>
      </c>
      <c r="E2695" s="11">
        <v>43110</v>
      </c>
      <c r="F2695" s="8" t="s">
        <v>57</v>
      </c>
      <c r="G2695" s="11">
        <v>43110</v>
      </c>
      <c r="H2695" s="8" t="s">
        <v>25</v>
      </c>
      <c r="J2695" s="8" t="s">
        <v>25</v>
      </c>
      <c r="N2695" s="8" t="s">
        <v>58</v>
      </c>
      <c r="O2695" s="8" t="s">
        <v>59</v>
      </c>
      <c r="P2695" s="8" t="s">
        <v>59</v>
      </c>
      <c r="R2695" s="8">
        <v>0</v>
      </c>
      <c r="S2695" s="8">
        <v>0</v>
      </c>
      <c r="T2695" s="8">
        <v>1</v>
      </c>
      <c r="U2695" s="8">
        <v>2</v>
      </c>
      <c r="AG2695" s="8" t="str">
        <f t="shared" si="169"/>
        <v/>
      </c>
      <c r="AI2695" s="8" t="str">
        <f t="shared" si="170"/>
        <v/>
      </c>
      <c r="AJ2695" s="8" t="str">
        <f t="shared" si="171"/>
        <v/>
      </c>
      <c r="AL2695" s="8" t="str">
        <f t="shared" si="172"/>
        <v/>
      </c>
    </row>
    <row r="2696" spans="1:38" x14ac:dyDescent="0.25">
      <c r="A2696" s="8" t="s">
        <v>4204</v>
      </c>
      <c r="B2696" s="8" t="s">
        <v>4205</v>
      </c>
      <c r="C2696" s="8">
        <v>30841339</v>
      </c>
      <c r="D2696" s="8">
        <v>5</v>
      </c>
      <c r="E2696" s="11">
        <v>43109</v>
      </c>
      <c r="F2696" s="8" t="s">
        <v>57</v>
      </c>
      <c r="G2696" s="11">
        <v>43111</v>
      </c>
      <c r="H2696" s="8" t="s">
        <v>25</v>
      </c>
      <c r="J2696" s="8" t="s">
        <v>25</v>
      </c>
      <c r="N2696" s="8" t="s">
        <v>58</v>
      </c>
      <c r="O2696" s="8" t="s">
        <v>59</v>
      </c>
      <c r="P2696" s="8" t="s">
        <v>59</v>
      </c>
      <c r="R2696" s="8">
        <v>0</v>
      </c>
      <c r="S2696" s="8">
        <v>0</v>
      </c>
      <c r="T2696" s="8">
        <v>1</v>
      </c>
      <c r="U2696" s="8">
        <v>2</v>
      </c>
      <c r="AG2696" s="8" t="str">
        <f t="shared" si="169"/>
        <v/>
      </c>
      <c r="AI2696" s="8" t="str">
        <f t="shared" si="170"/>
        <v/>
      </c>
      <c r="AJ2696" s="8" t="str">
        <f t="shared" si="171"/>
        <v/>
      </c>
      <c r="AL2696" s="8" t="str">
        <f t="shared" si="172"/>
        <v/>
      </c>
    </row>
    <row r="2697" spans="1:38" x14ac:dyDescent="0.25">
      <c r="A2697" s="8" t="s">
        <v>2721</v>
      </c>
      <c r="B2697" s="8" t="s">
        <v>2722</v>
      </c>
      <c r="C2697" s="8">
        <v>30824582</v>
      </c>
      <c r="D2697" s="8">
        <v>5</v>
      </c>
      <c r="E2697" s="11">
        <v>43108</v>
      </c>
      <c r="F2697" s="8" t="s">
        <v>60</v>
      </c>
      <c r="G2697" s="11">
        <v>43110</v>
      </c>
      <c r="H2697" s="8" t="s">
        <v>25</v>
      </c>
      <c r="J2697" s="8" t="s">
        <v>145</v>
      </c>
      <c r="L2697" s="8" t="s">
        <v>6525</v>
      </c>
      <c r="N2697" s="8" t="s">
        <v>58</v>
      </c>
      <c r="O2697" s="8" t="s">
        <v>59</v>
      </c>
      <c r="P2697" s="8" t="s">
        <v>59</v>
      </c>
      <c r="R2697" s="8">
        <v>0</v>
      </c>
      <c r="S2697" s="8">
        <v>0</v>
      </c>
      <c r="T2697" s="8">
        <v>1</v>
      </c>
      <c r="U2697" s="8">
        <v>2</v>
      </c>
      <c r="W2697" s="8">
        <v>4</v>
      </c>
      <c r="AG2697" s="8" t="str">
        <f t="shared" si="169"/>
        <v/>
      </c>
      <c r="AI2697" s="8" t="str">
        <f t="shared" si="170"/>
        <v/>
      </c>
      <c r="AJ2697" s="8" t="str">
        <f t="shared" si="171"/>
        <v/>
      </c>
      <c r="AL2697" s="8" t="str">
        <f t="shared" si="172"/>
        <v/>
      </c>
    </row>
    <row r="2698" spans="1:38" x14ac:dyDescent="0.25">
      <c r="A2698" s="8" t="s">
        <v>5839</v>
      </c>
      <c r="B2698" s="8" t="s">
        <v>137</v>
      </c>
      <c r="C2698" s="8">
        <v>30916024</v>
      </c>
      <c r="D2698" s="8">
        <v>5</v>
      </c>
      <c r="E2698" s="11">
        <v>43112</v>
      </c>
      <c r="F2698" s="8" t="s">
        <v>57</v>
      </c>
      <c r="G2698" s="11">
        <v>43112</v>
      </c>
      <c r="H2698" s="8" t="s">
        <v>25</v>
      </c>
      <c r="J2698" s="8" t="s">
        <v>25</v>
      </c>
      <c r="N2698" s="8" t="s">
        <v>58</v>
      </c>
      <c r="O2698" s="8" t="s">
        <v>59</v>
      </c>
      <c r="P2698" s="8" t="s">
        <v>59</v>
      </c>
      <c r="R2698" s="8">
        <v>0</v>
      </c>
      <c r="S2698" s="8">
        <v>0</v>
      </c>
      <c r="T2698" s="8">
        <v>1</v>
      </c>
      <c r="U2698" s="8">
        <v>2</v>
      </c>
      <c r="AG2698" s="8" t="str">
        <f t="shared" si="169"/>
        <v/>
      </c>
      <c r="AI2698" s="8" t="str">
        <f t="shared" si="170"/>
        <v/>
      </c>
      <c r="AJ2698" s="8" t="str">
        <f t="shared" si="171"/>
        <v/>
      </c>
      <c r="AL2698" s="8" t="str">
        <f t="shared" si="172"/>
        <v/>
      </c>
    </row>
    <row r="2699" spans="1:38" x14ac:dyDescent="0.25">
      <c r="A2699" s="8" t="s">
        <v>2723</v>
      </c>
      <c r="B2699" s="8" t="s">
        <v>2724</v>
      </c>
      <c r="C2699" s="8">
        <v>30870767</v>
      </c>
      <c r="D2699" s="8">
        <v>4</v>
      </c>
      <c r="E2699" s="11">
        <v>43110</v>
      </c>
      <c r="F2699" s="8" t="s">
        <v>58</v>
      </c>
      <c r="G2699" s="11">
        <v>43110</v>
      </c>
      <c r="H2699" s="8" t="s">
        <v>25</v>
      </c>
      <c r="I2699" s="11">
        <v>43115</v>
      </c>
      <c r="J2699" s="8" t="s">
        <v>145</v>
      </c>
      <c r="N2699" s="8" t="s">
        <v>58</v>
      </c>
      <c r="O2699" s="8" t="s">
        <v>59</v>
      </c>
      <c r="P2699" s="8" t="s">
        <v>59</v>
      </c>
      <c r="R2699" s="8">
        <v>0</v>
      </c>
      <c r="S2699" s="8">
        <v>0</v>
      </c>
      <c r="T2699" s="8">
        <v>1</v>
      </c>
      <c r="U2699" s="8">
        <v>2</v>
      </c>
      <c r="X2699" s="8">
        <v>5</v>
      </c>
      <c r="AG2699" s="8" t="str">
        <f t="shared" si="169"/>
        <v/>
      </c>
      <c r="AI2699" s="8" t="str">
        <f t="shared" si="170"/>
        <v/>
      </c>
      <c r="AJ2699" s="8" t="str">
        <f t="shared" si="171"/>
        <v/>
      </c>
      <c r="AL2699" s="8" t="str">
        <f t="shared" si="172"/>
        <v/>
      </c>
    </row>
    <row r="2700" spans="1:38" x14ac:dyDescent="0.25">
      <c r="A2700" s="8" t="s">
        <v>7625</v>
      </c>
      <c r="B2700" s="8" t="s">
        <v>7626</v>
      </c>
      <c r="C2700" s="8">
        <v>30894111</v>
      </c>
      <c r="D2700" s="8">
        <v>5</v>
      </c>
      <c r="E2700" s="11">
        <v>43111</v>
      </c>
      <c r="F2700" s="8" t="s">
        <v>57</v>
      </c>
      <c r="G2700" s="11">
        <v>43115</v>
      </c>
      <c r="H2700" s="8" t="s">
        <v>25</v>
      </c>
      <c r="J2700" s="8" t="s">
        <v>25</v>
      </c>
      <c r="N2700" s="8" t="s">
        <v>58</v>
      </c>
      <c r="O2700" s="8" t="s">
        <v>59</v>
      </c>
      <c r="P2700" s="8" t="s">
        <v>59</v>
      </c>
      <c r="R2700" s="8">
        <v>0</v>
      </c>
      <c r="S2700" s="8">
        <v>0</v>
      </c>
      <c r="T2700" s="8">
        <v>1</v>
      </c>
      <c r="U2700" s="8">
        <v>2</v>
      </c>
      <c r="AG2700" s="8" t="str">
        <f t="shared" si="169"/>
        <v/>
      </c>
      <c r="AI2700" s="8" t="str">
        <f t="shared" si="170"/>
        <v/>
      </c>
      <c r="AJ2700" s="8" t="str">
        <f t="shared" si="171"/>
        <v/>
      </c>
      <c r="AL2700" s="8" t="str">
        <f t="shared" si="172"/>
        <v/>
      </c>
    </row>
    <row r="2701" spans="1:38" x14ac:dyDescent="0.25">
      <c r="A2701" s="8" t="s">
        <v>7627</v>
      </c>
      <c r="B2701" s="8" t="s">
        <v>7628</v>
      </c>
      <c r="C2701" s="8">
        <v>30902714</v>
      </c>
      <c r="D2701" s="8">
        <v>5</v>
      </c>
      <c r="E2701" s="11">
        <v>43111</v>
      </c>
      <c r="F2701" s="8" t="s">
        <v>57</v>
      </c>
      <c r="G2701" s="11">
        <v>43115</v>
      </c>
      <c r="H2701" s="8" t="s">
        <v>25</v>
      </c>
      <c r="J2701" s="8" t="s">
        <v>25</v>
      </c>
      <c r="N2701" s="8" t="s">
        <v>58</v>
      </c>
      <c r="O2701" s="8" t="s">
        <v>59</v>
      </c>
      <c r="P2701" s="8" t="s">
        <v>59</v>
      </c>
      <c r="R2701" s="8">
        <v>0</v>
      </c>
      <c r="S2701" s="8">
        <v>0</v>
      </c>
      <c r="T2701" s="8">
        <v>1</v>
      </c>
      <c r="U2701" s="8">
        <v>2</v>
      </c>
      <c r="AG2701" s="8" t="str">
        <f t="shared" si="169"/>
        <v/>
      </c>
      <c r="AI2701" s="8" t="str">
        <f t="shared" si="170"/>
        <v/>
      </c>
      <c r="AJ2701" s="8" t="str">
        <f t="shared" si="171"/>
        <v/>
      </c>
      <c r="AL2701" s="8" t="str">
        <f t="shared" si="172"/>
        <v/>
      </c>
    </row>
    <row r="2702" spans="1:38" x14ac:dyDescent="0.25">
      <c r="A2702" s="8" t="s">
        <v>5840</v>
      </c>
      <c r="B2702" s="8" t="s">
        <v>5841</v>
      </c>
      <c r="C2702" s="8">
        <v>30878442</v>
      </c>
      <c r="D2702" s="8">
        <v>5</v>
      </c>
      <c r="E2702" s="11">
        <v>43110</v>
      </c>
      <c r="F2702" s="8" t="s">
        <v>57</v>
      </c>
      <c r="G2702" s="11">
        <v>43112</v>
      </c>
      <c r="H2702" s="8" t="s">
        <v>25</v>
      </c>
      <c r="J2702" s="8" t="s">
        <v>25</v>
      </c>
      <c r="N2702" s="8" t="s">
        <v>58</v>
      </c>
      <c r="O2702" s="8" t="s">
        <v>59</v>
      </c>
      <c r="P2702" s="8" t="s">
        <v>59</v>
      </c>
      <c r="R2702" s="8">
        <v>0</v>
      </c>
      <c r="S2702" s="8">
        <v>0</v>
      </c>
      <c r="T2702" s="8">
        <v>1</v>
      </c>
      <c r="U2702" s="8">
        <v>2</v>
      </c>
      <c r="AG2702" s="8" t="str">
        <f t="shared" si="169"/>
        <v/>
      </c>
      <c r="AI2702" s="8" t="str">
        <f t="shared" si="170"/>
        <v/>
      </c>
      <c r="AJ2702" s="8" t="str">
        <f t="shared" si="171"/>
        <v/>
      </c>
      <c r="AL2702" s="8" t="str">
        <f t="shared" si="172"/>
        <v/>
      </c>
    </row>
    <row r="2703" spans="1:38" x14ac:dyDescent="0.25">
      <c r="A2703" s="8" t="s">
        <v>7629</v>
      </c>
      <c r="B2703" s="8" t="s">
        <v>7630</v>
      </c>
      <c r="C2703" s="8">
        <v>30887229</v>
      </c>
      <c r="D2703" s="8">
        <v>5</v>
      </c>
      <c r="E2703" s="11">
        <v>43111</v>
      </c>
      <c r="F2703" s="8" t="s">
        <v>57</v>
      </c>
      <c r="G2703" s="11">
        <v>43115</v>
      </c>
      <c r="H2703" s="8" t="s">
        <v>25</v>
      </c>
      <c r="J2703" s="8" t="s">
        <v>25</v>
      </c>
      <c r="N2703" s="8" t="s">
        <v>58</v>
      </c>
      <c r="O2703" s="8" t="s">
        <v>59</v>
      </c>
      <c r="P2703" s="8" t="s">
        <v>59</v>
      </c>
      <c r="R2703" s="8">
        <v>0</v>
      </c>
      <c r="S2703" s="8">
        <v>0</v>
      </c>
      <c r="T2703" s="8">
        <v>1</v>
      </c>
      <c r="U2703" s="8">
        <v>2</v>
      </c>
      <c r="AG2703" s="8" t="str">
        <f t="shared" si="169"/>
        <v/>
      </c>
      <c r="AI2703" s="8" t="str">
        <f t="shared" si="170"/>
        <v/>
      </c>
      <c r="AJ2703" s="8" t="str">
        <f t="shared" si="171"/>
        <v/>
      </c>
      <c r="AL2703" s="8" t="str">
        <f t="shared" si="172"/>
        <v/>
      </c>
    </row>
    <row r="2704" spans="1:38" x14ac:dyDescent="0.25">
      <c r="A2704" s="8" t="s">
        <v>4206</v>
      </c>
      <c r="B2704" s="8" t="s">
        <v>4207</v>
      </c>
      <c r="C2704" s="8">
        <v>30836035</v>
      </c>
      <c r="D2704" s="8">
        <v>5</v>
      </c>
      <c r="E2704" s="11">
        <v>43109</v>
      </c>
      <c r="F2704" s="8" t="s">
        <v>57</v>
      </c>
      <c r="G2704" s="11">
        <v>43111</v>
      </c>
      <c r="H2704" s="8" t="s">
        <v>25</v>
      </c>
      <c r="J2704" s="8" t="s">
        <v>25</v>
      </c>
      <c r="N2704" s="8" t="s">
        <v>58</v>
      </c>
      <c r="O2704" s="8" t="s">
        <v>59</v>
      </c>
      <c r="P2704" s="8" t="s">
        <v>59</v>
      </c>
      <c r="R2704" s="8">
        <v>0</v>
      </c>
      <c r="S2704" s="8">
        <v>0</v>
      </c>
      <c r="T2704" s="8">
        <v>1</v>
      </c>
      <c r="U2704" s="8">
        <v>2</v>
      </c>
      <c r="AG2704" s="8" t="str">
        <f t="shared" si="169"/>
        <v/>
      </c>
      <c r="AI2704" s="8" t="str">
        <f t="shared" si="170"/>
        <v/>
      </c>
      <c r="AJ2704" s="8" t="str">
        <f t="shared" si="171"/>
        <v/>
      </c>
      <c r="AL2704" s="8" t="str">
        <f t="shared" si="172"/>
        <v/>
      </c>
    </row>
    <row r="2705" spans="1:38" x14ac:dyDescent="0.25">
      <c r="A2705" s="8" t="s">
        <v>7631</v>
      </c>
      <c r="B2705" s="8" t="s">
        <v>7632</v>
      </c>
      <c r="C2705" s="8">
        <v>30929602</v>
      </c>
      <c r="D2705" s="8">
        <v>5</v>
      </c>
      <c r="E2705" s="11">
        <v>43115</v>
      </c>
      <c r="F2705" s="8" t="s">
        <v>57</v>
      </c>
      <c r="G2705" s="11">
        <v>43115</v>
      </c>
      <c r="H2705" s="8" t="s">
        <v>25</v>
      </c>
      <c r="J2705" s="8" t="s">
        <v>25</v>
      </c>
      <c r="N2705" s="8" t="s">
        <v>58</v>
      </c>
      <c r="O2705" s="8" t="s">
        <v>59</v>
      </c>
      <c r="P2705" s="8" t="s">
        <v>59</v>
      </c>
      <c r="R2705" s="8">
        <v>0</v>
      </c>
      <c r="S2705" s="8">
        <v>0</v>
      </c>
      <c r="T2705" s="8">
        <v>1</v>
      </c>
      <c r="U2705" s="8">
        <v>2</v>
      </c>
      <c r="AG2705" s="8" t="str">
        <f t="shared" si="169"/>
        <v/>
      </c>
      <c r="AI2705" s="8" t="str">
        <f t="shared" si="170"/>
        <v/>
      </c>
      <c r="AJ2705" s="8" t="str">
        <f t="shared" si="171"/>
        <v/>
      </c>
      <c r="AL2705" s="8" t="str">
        <f t="shared" si="172"/>
        <v/>
      </c>
    </row>
    <row r="2706" spans="1:38" x14ac:dyDescent="0.25">
      <c r="A2706" s="8" t="s">
        <v>5842</v>
      </c>
      <c r="B2706" s="8" t="s">
        <v>5843</v>
      </c>
      <c r="C2706" s="8">
        <v>30869434</v>
      </c>
      <c r="D2706" s="8">
        <v>5</v>
      </c>
      <c r="E2706" s="11">
        <v>43110</v>
      </c>
      <c r="F2706" s="8" t="s">
        <v>57</v>
      </c>
      <c r="G2706" s="11">
        <v>43112</v>
      </c>
      <c r="H2706" s="8" t="s">
        <v>25</v>
      </c>
      <c r="J2706" s="8" t="s">
        <v>25</v>
      </c>
      <c r="N2706" s="8" t="s">
        <v>58</v>
      </c>
      <c r="O2706" s="8" t="s">
        <v>59</v>
      </c>
      <c r="P2706" s="8" t="s">
        <v>59</v>
      </c>
      <c r="R2706" s="8">
        <v>0</v>
      </c>
      <c r="S2706" s="8">
        <v>0</v>
      </c>
      <c r="T2706" s="8">
        <v>1</v>
      </c>
      <c r="U2706" s="8">
        <v>2</v>
      </c>
      <c r="AG2706" s="8" t="str">
        <f t="shared" si="169"/>
        <v/>
      </c>
      <c r="AI2706" s="8" t="str">
        <f t="shared" si="170"/>
        <v/>
      </c>
      <c r="AJ2706" s="8" t="str">
        <f t="shared" si="171"/>
        <v/>
      </c>
      <c r="AL2706" s="8" t="str">
        <f t="shared" si="172"/>
        <v/>
      </c>
    </row>
    <row r="2707" spans="1:38" x14ac:dyDescent="0.25">
      <c r="A2707" s="8" t="s">
        <v>2725</v>
      </c>
      <c r="B2707" s="8" t="s">
        <v>2726</v>
      </c>
      <c r="C2707" s="8">
        <v>30857100</v>
      </c>
      <c r="D2707" s="8">
        <v>5</v>
      </c>
      <c r="E2707" s="11">
        <v>43110</v>
      </c>
      <c r="F2707" s="8" t="s">
        <v>60</v>
      </c>
      <c r="G2707" s="11">
        <v>43110</v>
      </c>
      <c r="H2707" s="8" t="s">
        <v>25</v>
      </c>
      <c r="J2707" s="8" t="s">
        <v>25</v>
      </c>
      <c r="L2707" s="8" t="s">
        <v>4797</v>
      </c>
      <c r="N2707" s="8" t="s">
        <v>58</v>
      </c>
      <c r="O2707" s="8" t="s">
        <v>59</v>
      </c>
      <c r="P2707" s="8" t="s">
        <v>59</v>
      </c>
      <c r="R2707" s="8">
        <v>0</v>
      </c>
      <c r="S2707" s="8">
        <v>0</v>
      </c>
      <c r="T2707" s="8">
        <v>1</v>
      </c>
      <c r="U2707" s="8">
        <v>2</v>
      </c>
      <c r="W2707" s="8">
        <v>4</v>
      </c>
      <c r="AG2707" s="8" t="str">
        <f t="shared" si="169"/>
        <v/>
      </c>
      <c r="AI2707" s="8" t="str">
        <f t="shared" si="170"/>
        <v/>
      </c>
      <c r="AJ2707" s="8" t="str">
        <f t="shared" si="171"/>
        <v/>
      </c>
      <c r="AL2707" s="8" t="str">
        <f t="shared" si="172"/>
        <v/>
      </c>
    </row>
    <row r="2708" spans="1:38" x14ac:dyDescent="0.25">
      <c r="A2708" s="8" t="s">
        <v>4208</v>
      </c>
      <c r="B2708" s="8" t="s">
        <v>4209</v>
      </c>
      <c r="C2708" s="8">
        <v>30902856</v>
      </c>
      <c r="D2708" s="8">
        <v>5</v>
      </c>
      <c r="E2708" s="11">
        <v>43111</v>
      </c>
      <c r="F2708" s="8" t="s">
        <v>57</v>
      </c>
      <c r="G2708" s="11">
        <v>43111</v>
      </c>
      <c r="H2708" s="8" t="s">
        <v>25</v>
      </c>
      <c r="J2708" s="8" t="s">
        <v>25</v>
      </c>
      <c r="N2708" s="8" t="s">
        <v>58</v>
      </c>
      <c r="O2708" s="8" t="s">
        <v>59</v>
      </c>
      <c r="P2708" s="8" t="s">
        <v>59</v>
      </c>
      <c r="R2708" s="8">
        <v>0</v>
      </c>
      <c r="S2708" s="8">
        <v>0</v>
      </c>
      <c r="T2708" s="8">
        <v>1</v>
      </c>
      <c r="U2708" s="8">
        <v>2</v>
      </c>
      <c r="AG2708" s="8" t="str">
        <f t="shared" si="169"/>
        <v/>
      </c>
      <c r="AI2708" s="8" t="str">
        <f t="shared" si="170"/>
        <v/>
      </c>
      <c r="AJ2708" s="8" t="str">
        <f t="shared" si="171"/>
        <v/>
      </c>
      <c r="AL2708" s="8" t="str">
        <f t="shared" si="172"/>
        <v/>
      </c>
    </row>
    <row r="2709" spans="1:38" x14ac:dyDescent="0.25">
      <c r="A2709" s="8" t="s">
        <v>2727</v>
      </c>
      <c r="B2709" s="8" t="s">
        <v>90</v>
      </c>
      <c r="C2709" s="8">
        <v>30871788</v>
      </c>
      <c r="D2709" s="8">
        <v>5</v>
      </c>
      <c r="E2709" s="11">
        <v>43110</v>
      </c>
      <c r="F2709" s="8" t="s">
        <v>57</v>
      </c>
      <c r="G2709" s="11">
        <v>43110</v>
      </c>
      <c r="H2709" s="8" t="s">
        <v>25</v>
      </c>
      <c r="J2709" s="8" t="s">
        <v>25</v>
      </c>
      <c r="N2709" s="8" t="s">
        <v>58</v>
      </c>
      <c r="O2709" s="8" t="s">
        <v>59</v>
      </c>
      <c r="P2709" s="8" t="s">
        <v>59</v>
      </c>
      <c r="R2709" s="8">
        <v>0</v>
      </c>
      <c r="S2709" s="8">
        <v>0</v>
      </c>
      <c r="T2709" s="8">
        <v>1</v>
      </c>
      <c r="U2709" s="8">
        <v>2</v>
      </c>
      <c r="AG2709" s="8" t="str">
        <f t="shared" si="169"/>
        <v/>
      </c>
      <c r="AI2709" s="8" t="str">
        <f t="shared" si="170"/>
        <v/>
      </c>
      <c r="AJ2709" s="8" t="str">
        <f t="shared" si="171"/>
        <v/>
      </c>
      <c r="AL2709" s="8" t="str">
        <f t="shared" si="172"/>
        <v/>
      </c>
    </row>
    <row r="2710" spans="1:38" x14ac:dyDescent="0.25">
      <c r="A2710" s="8" t="s">
        <v>2728</v>
      </c>
      <c r="B2710" s="8" t="s">
        <v>91</v>
      </c>
      <c r="C2710" s="8">
        <v>30871917</v>
      </c>
      <c r="D2710" s="8">
        <v>5</v>
      </c>
      <c r="E2710" s="11">
        <v>43110</v>
      </c>
      <c r="F2710" s="8" t="s">
        <v>57</v>
      </c>
      <c r="G2710" s="11">
        <v>43110</v>
      </c>
      <c r="H2710" s="8" t="s">
        <v>25</v>
      </c>
      <c r="J2710" s="8" t="s">
        <v>25</v>
      </c>
      <c r="N2710" s="8" t="s">
        <v>58</v>
      </c>
      <c r="O2710" s="8" t="s">
        <v>59</v>
      </c>
      <c r="P2710" s="8" t="s">
        <v>59</v>
      </c>
      <c r="R2710" s="8">
        <v>0</v>
      </c>
      <c r="S2710" s="8">
        <v>0</v>
      </c>
      <c r="T2710" s="8">
        <v>1</v>
      </c>
      <c r="U2710" s="8">
        <v>2</v>
      </c>
      <c r="AG2710" s="8" t="str">
        <f t="shared" si="169"/>
        <v/>
      </c>
      <c r="AI2710" s="8" t="str">
        <f t="shared" si="170"/>
        <v/>
      </c>
      <c r="AJ2710" s="8" t="str">
        <f t="shared" si="171"/>
        <v/>
      </c>
      <c r="AL2710" s="8" t="str">
        <f t="shared" si="172"/>
        <v/>
      </c>
    </row>
    <row r="2711" spans="1:38" x14ac:dyDescent="0.25">
      <c r="A2711" s="8" t="s">
        <v>5844</v>
      </c>
      <c r="B2711" s="8" t="s">
        <v>5845</v>
      </c>
      <c r="C2711" s="8">
        <v>30909645</v>
      </c>
      <c r="D2711" s="8">
        <v>5</v>
      </c>
      <c r="E2711" s="11">
        <v>43112</v>
      </c>
      <c r="F2711" s="8" t="s">
        <v>57</v>
      </c>
      <c r="G2711" s="11">
        <v>43112</v>
      </c>
      <c r="H2711" s="8" t="s">
        <v>25</v>
      </c>
      <c r="J2711" s="8" t="s">
        <v>25</v>
      </c>
      <c r="N2711" s="8" t="s">
        <v>58</v>
      </c>
      <c r="O2711" s="8" t="s">
        <v>59</v>
      </c>
      <c r="P2711" s="8" t="s">
        <v>59</v>
      </c>
      <c r="R2711" s="8">
        <v>0</v>
      </c>
      <c r="S2711" s="8">
        <v>0</v>
      </c>
      <c r="T2711" s="8">
        <v>1</v>
      </c>
      <c r="U2711" s="8">
        <v>2</v>
      </c>
      <c r="AG2711" s="8" t="str">
        <f t="shared" si="169"/>
        <v/>
      </c>
      <c r="AI2711" s="8" t="str">
        <f t="shared" si="170"/>
        <v/>
      </c>
      <c r="AJ2711" s="8" t="str">
        <f t="shared" si="171"/>
        <v/>
      </c>
      <c r="AL2711" s="8" t="str">
        <f t="shared" si="172"/>
        <v/>
      </c>
    </row>
    <row r="2712" spans="1:38" x14ac:dyDescent="0.25">
      <c r="A2712" s="8" t="s">
        <v>5846</v>
      </c>
      <c r="B2712" s="8" t="s">
        <v>5847</v>
      </c>
      <c r="C2712" s="8">
        <v>30874864</v>
      </c>
      <c r="D2712" s="8">
        <v>5</v>
      </c>
      <c r="E2712" s="11">
        <v>43110</v>
      </c>
      <c r="F2712" s="8" t="s">
        <v>57</v>
      </c>
      <c r="G2712" s="11">
        <v>43112</v>
      </c>
      <c r="H2712" s="8" t="s">
        <v>25</v>
      </c>
      <c r="J2712" s="8" t="s">
        <v>25</v>
      </c>
      <c r="N2712" s="8" t="s">
        <v>58</v>
      </c>
      <c r="O2712" s="8" t="s">
        <v>59</v>
      </c>
      <c r="P2712" s="8" t="s">
        <v>59</v>
      </c>
      <c r="R2712" s="8">
        <v>0</v>
      </c>
      <c r="S2712" s="8">
        <v>0</v>
      </c>
      <c r="T2712" s="8">
        <v>1</v>
      </c>
      <c r="U2712" s="8">
        <v>2</v>
      </c>
      <c r="AG2712" s="8" t="str">
        <f t="shared" si="169"/>
        <v/>
      </c>
      <c r="AI2712" s="8" t="str">
        <f t="shared" si="170"/>
        <v/>
      </c>
      <c r="AJ2712" s="8" t="str">
        <f t="shared" si="171"/>
        <v/>
      </c>
      <c r="AL2712" s="8" t="str">
        <f t="shared" si="172"/>
        <v/>
      </c>
    </row>
    <row r="2713" spans="1:38" x14ac:dyDescent="0.25">
      <c r="A2713" s="8" t="s">
        <v>7633</v>
      </c>
      <c r="B2713" s="8" t="s">
        <v>7634</v>
      </c>
      <c r="C2713" s="8">
        <v>30929597</v>
      </c>
      <c r="D2713" s="8">
        <v>5</v>
      </c>
      <c r="E2713" s="11">
        <v>43115</v>
      </c>
      <c r="F2713" s="8" t="s">
        <v>57</v>
      </c>
      <c r="G2713" s="11">
        <v>43115</v>
      </c>
      <c r="H2713" s="8" t="s">
        <v>25</v>
      </c>
      <c r="J2713" s="8" t="s">
        <v>25</v>
      </c>
      <c r="N2713" s="8" t="s">
        <v>58</v>
      </c>
      <c r="O2713" s="8" t="s">
        <v>59</v>
      </c>
      <c r="P2713" s="8" t="s">
        <v>59</v>
      </c>
      <c r="R2713" s="8">
        <v>0</v>
      </c>
      <c r="S2713" s="8">
        <v>0</v>
      </c>
      <c r="T2713" s="8">
        <v>1</v>
      </c>
      <c r="U2713" s="8">
        <v>2</v>
      </c>
      <c r="AG2713" s="8" t="str">
        <f t="shared" si="169"/>
        <v/>
      </c>
      <c r="AI2713" s="8" t="str">
        <f t="shared" si="170"/>
        <v/>
      </c>
      <c r="AJ2713" s="8" t="str">
        <f t="shared" si="171"/>
        <v/>
      </c>
      <c r="AL2713" s="8" t="str">
        <f t="shared" si="172"/>
        <v/>
      </c>
    </row>
    <row r="2714" spans="1:38" x14ac:dyDescent="0.25">
      <c r="A2714" s="8" t="s">
        <v>4210</v>
      </c>
      <c r="B2714" s="8" t="s">
        <v>4211</v>
      </c>
      <c r="C2714" s="8">
        <v>30854281</v>
      </c>
      <c r="D2714" s="8">
        <v>5</v>
      </c>
      <c r="E2714" s="11">
        <v>43109</v>
      </c>
      <c r="F2714" s="8" t="s">
        <v>57</v>
      </c>
      <c r="G2714" s="11">
        <v>43111</v>
      </c>
      <c r="H2714" s="8" t="s">
        <v>25</v>
      </c>
      <c r="J2714" s="8" t="s">
        <v>25</v>
      </c>
      <c r="N2714" s="8" t="s">
        <v>58</v>
      </c>
      <c r="O2714" s="8" t="s">
        <v>59</v>
      </c>
      <c r="P2714" s="8" t="s">
        <v>59</v>
      </c>
      <c r="R2714" s="8">
        <v>0</v>
      </c>
      <c r="S2714" s="8">
        <v>0</v>
      </c>
      <c r="T2714" s="8">
        <v>1</v>
      </c>
      <c r="U2714" s="8">
        <v>2</v>
      </c>
      <c r="AG2714" s="8" t="str">
        <f t="shared" si="169"/>
        <v/>
      </c>
      <c r="AI2714" s="8" t="str">
        <f t="shared" si="170"/>
        <v/>
      </c>
      <c r="AJ2714" s="8" t="str">
        <f t="shared" si="171"/>
        <v/>
      </c>
      <c r="AL2714" s="8" t="str">
        <f t="shared" si="172"/>
        <v/>
      </c>
    </row>
    <row r="2715" spans="1:38" x14ac:dyDescent="0.25">
      <c r="A2715" s="8" t="s">
        <v>4212</v>
      </c>
      <c r="B2715" s="8" t="s">
        <v>4213</v>
      </c>
      <c r="C2715" s="8">
        <v>30831693</v>
      </c>
      <c r="D2715" s="8">
        <v>5</v>
      </c>
      <c r="E2715" s="11">
        <v>43109</v>
      </c>
      <c r="F2715" s="8" t="s">
        <v>57</v>
      </c>
      <c r="G2715" s="11">
        <v>43111</v>
      </c>
      <c r="H2715" s="8" t="s">
        <v>25</v>
      </c>
      <c r="J2715" s="8" t="s">
        <v>25</v>
      </c>
      <c r="N2715" s="8" t="s">
        <v>58</v>
      </c>
      <c r="O2715" s="8" t="s">
        <v>59</v>
      </c>
      <c r="P2715" s="8" t="s">
        <v>59</v>
      </c>
      <c r="R2715" s="8">
        <v>0</v>
      </c>
      <c r="S2715" s="8">
        <v>0</v>
      </c>
      <c r="T2715" s="8">
        <v>1</v>
      </c>
      <c r="U2715" s="8">
        <v>2</v>
      </c>
      <c r="AG2715" s="8" t="str">
        <f t="shared" si="169"/>
        <v/>
      </c>
      <c r="AI2715" s="8" t="str">
        <f t="shared" si="170"/>
        <v/>
      </c>
      <c r="AJ2715" s="8" t="str">
        <f t="shared" si="171"/>
        <v/>
      </c>
      <c r="AL2715" s="8" t="str">
        <f t="shared" si="172"/>
        <v/>
      </c>
    </row>
    <row r="2716" spans="1:38" x14ac:dyDescent="0.25">
      <c r="A2716" s="8" t="s">
        <v>4214</v>
      </c>
      <c r="B2716" s="8" t="s">
        <v>110</v>
      </c>
      <c r="C2716" s="8">
        <v>30888226</v>
      </c>
      <c r="D2716" s="8">
        <v>5</v>
      </c>
      <c r="E2716" s="11">
        <v>43111</v>
      </c>
      <c r="F2716" s="8" t="s">
        <v>57</v>
      </c>
      <c r="G2716" s="11">
        <v>43111</v>
      </c>
      <c r="H2716" s="8" t="s">
        <v>25</v>
      </c>
      <c r="J2716" s="8" t="s">
        <v>25</v>
      </c>
      <c r="N2716" s="8" t="s">
        <v>58</v>
      </c>
      <c r="O2716" s="8" t="s">
        <v>59</v>
      </c>
      <c r="P2716" s="8" t="s">
        <v>59</v>
      </c>
      <c r="R2716" s="8">
        <v>0</v>
      </c>
      <c r="S2716" s="8">
        <v>0</v>
      </c>
      <c r="T2716" s="8">
        <v>1</v>
      </c>
      <c r="U2716" s="8">
        <v>2</v>
      </c>
      <c r="AG2716" s="8" t="str">
        <f t="shared" si="169"/>
        <v/>
      </c>
      <c r="AI2716" s="8" t="str">
        <f t="shared" si="170"/>
        <v/>
      </c>
      <c r="AJ2716" s="8" t="str">
        <f t="shared" si="171"/>
        <v/>
      </c>
      <c r="AL2716" s="8" t="str">
        <f t="shared" si="172"/>
        <v/>
      </c>
    </row>
    <row r="2717" spans="1:38" x14ac:dyDescent="0.25">
      <c r="A2717" s="8" t="s">
        <v>577</v>
      </c>
      <c r="B2717" s="8" t="s">
        <v>578</v>
      </c>
      <c r="C2717" s="8">
        <v>30826235</v>
      </c>
      <c r="D2717" s="8">
        <v>5</v>
      </c>
      <c r="E2717" s="11">
        <v>43108</v>
      </c>
      <c r="F2717" s="8" t="s">
        <v>57</v>
      </c>
      <c r="G2717" s="11">
        <v>43108</v>
      </c>
      <c r="H2717" s="8" t="s">
        <v>25</v>
      </c>
      <c r="J2717" s="8" t="s">
        <v>25</v>
      </c>
      <c r="N2717" s="8" t="s">
        <v>58</v>
      </c>
      <c r="O2717" s="8" t="s">
        <v>59</v>
      </c>
      <c r="P2717" s="8" t="s">
        <v>59</v>
      </c>
      <c r="R2717" s="8">
        <v>0</v>
      </c>
      <c r="S2717" s="8">
        <v>0</v>
      </c>
      <c r="T2717" s="8">
        <v>1</v>
      </c>
      <c r="U2717" s="8">
        <v>2</v>
      </c>
      <c r="AG2717" s="8" t="str">
        <f t="shared" si="169"/>
        <v/>
      </c>
      <c r="AI2717" s="8" t="str">
        <f t="shared" si="170"/>
        <v/>
      </c>
      <c r="AJ2717" s="8" t="str">
        <f t="shared" si="171"/>
        <v/>
      </c>
      <c r="AL2717" s="8" t="str">
        <f t="shared" si="172"/>
        <v/>
      </c>
    </row>
    <row r="2718" spans="1:38" x14ac:dyDescent="0.25">
      <c r="A2718" s="8" t="s">
        <v>4215</v>
      </c>
      <c r="B2718" s="8" t="s">
        <v>4216</v>
      </c>
      <c r="C2718" s="8">
        <v>30841491</v>
      </c>
      <c r="D2718" s="8">
        <v>4</v>
      </c>
      <c r="E2718" s="11">
        <v>43109</v>
      </c>
      <c r="F2718" s="8" t="s">
        <v>57</v>
      </c>
      <c r="G2718" s="11">
        <v>43111</v>
      </c>
      <c r="H2718" s="8" t="s">
        <v>25</v>
      </c>
      <c r="J2718" s="8" t="s">
        <v>25</v>
      </c>
      <c r="N2718" s="8" t="s">
        <v>58</v>
      </c>
      <c r="O2718" s="8" t="s">
        <v>59</v>
      </c>
      <c r="P2718" s="8" t="s">
        <v>59</v>
      </c>
      <c r="R2718" s="8">
        <v>0</v>
      </c>
      <c r="S2718" s="8">
        <v>0</v>
      </c>
      <c r="T2718" s="8">
        <v>1</v>
      </c>
      <c r="U2718" s="8">
        <v>2</v>
      </c>
      <c r="AG2718" s="8" t="str">
        <f t="shared" si="169"/>
        <v/>
      </c>
      <c r="AI2718" s="8" t="str">
        <f t="shared" si="170"/>
        <v/>
      </c>
      <c r="AJ2718" s="8" t="str">
        <f t="shared" si="171"/>
        <v/>
      </c>
      <c r="AL2718" s="8" t="str">
        <f t="shared" si="172"/>
        <v/>
      </c>
    </row>
    <row r="2719" spans="1:38" x14ac:dyDescent="0.25">
      <c r="A2719" s="8" t="s">
        <v>4217</v>
      </c>
      <c r="B2719" s="8" t="s">
        <v>4218</v>
      </c>
      <c r="C2719" s="8">
        <v>30838888</v>
      </c>
      <c r="D2719" s="8">
        <v>5</v>
      </c>
      <c r="E2719" s="11">
        <v>43109</v>
      </c>
      <c r="F2719" s="8" t="s">
        <v>57</v>
      </c>
      <c r="G2719" s="11">
        <v>43111</v>
      </c>
      <c r="H2719" s="8" t="s">
        <v>25</v>
      </c>
      <c r="J2719" s="8" t="s">
        <v>25</v>
      </c>
      <c r="N2719" s="8" t="s">
        <v>58</v>
      </c>
      <c r="O2719" s="8" t="s">
        <v>59</v>
      </c>
      <c r="P2719" s="8" t="s">
        <v>59</v>
      </c>
      <c r="R2719" s="8">
        <v>0</v>
      </c>
      <c r="S2719" s="8">
        <v>0</v>
      </c>
      <c r="T2719" s="8">
        <v>1</v>
      </c>
      <c r="U2719" s="8">
        <v>2</v>
      </c>
      <c r="AG2719" s="8" t="str">
        <f t="shared" si="169"/>
        <v/>
      </c>
      <c r="AI2719" s="8" t="str">
        <f t="shared" si="170"/>
        <v/>
      </c>
      <c r="AJ2719" s="8" t="str">
        <f t="shared" si="171"/>
        <v/>
      </c>
      <c r="AL2719" s="8" t="str">
        <f t="shared" si="172"/>
        <v/>
      </c>
    </row>
    <row r="2720" spans="1:38" x14ac:dyDescent="0.25">
      <c r="A2720" s="8" t="s">
        <v>7635</v>
      </c>
      <c r="B2720" s="8" t="s">
        <v>7636</v>
      </c>
      <c r="C2720" s="8">
        <v>30943588</v>
      </c>
      <c r="D2720" s="8">
        <v>5</v>
      </c>
      <c r="E2720" s="11">
        <v>43115</v>
      </c>
      <c r="F2720" s="8" t="s">
        <v>57</v>
      </c>
      <c r="G2720" s="11">
        <v>43115</v>
      </c>
      <c r="H2720" s="8" t="s">
        <v>25</v>
      </c>
      <c r="J2720" s="8" t="s">
        <v>25</v>
      </c>
      <c r="N2720" s="8" t="s">
        <v>58</v>
      </c>
      <c r="O2720" s="8" t="s">
        <v>59</v>
      </c>
      <c r="P2720" s="8" t="s">
        <v>59</v>
      </c>
      <c r="R2720" s="8">
        <v>0</v>
      </c>
      <c r="S2720" s="8">
        <v>0</v>
      </c>
      <c r="T2720" s="8">
        <v>1</v>
      </c>
      <c r="U2720" s="8">
        <v>2</v>
      </c>
      <c r="AG2720" s="8" t="str">
        <f t="shared" si="169"/>
        <v/>
      </c>
      <c r="AI2720" s="8" t="str">
        <f t="shared" si="170"/>
        <v/>
      </c>
      <c r="AJ2720" s="8" t="str">
        <f t="shared" si="171"/>
        <v/>
      </c>
      <c r="AL2720" s="8" t="str">
        <f t="shared" si="172"/>
        <v/>
      </c>
    </row>
    <row r="2721" spans="1:38" x14ac:dyDescent="0.25">
      <c r="A2721" s="8" t="s">
        <v>5848</v>
      </c>
      <c r="B2721" s="8" t="s">
        <v>5849</v>
      </c>
      <c r="C2721" s="8">
        <v>30873894</v>
      </c>
      <c r="D2721" s="8">
        <v>5</v>
      </c>
      <c r="E2721" s="11">
        <v>43110</v>
      </c>
      <c r="F2721" s="8" t="s">
        <v>57</v>
      </c>
      <c r="G2721" s="11">
        <v>43112</v>
      </c>
      <c r="H2721" s="8" t="s">
        <v>25</v>
      </c>
      <c r="J2721" s="8" t="s">
        <v>25</v>
      </c>
      <c r="N2721" s="8" t="s">
        <v>58</v>
      </c>
      <c r="O2721" s="8" t="s">
        <v>59</v>
      </c>
      <c r="P2721" s="8" t="s">
        <v>59</v>
      </c>
      <c r="R2721" s="8">
        <v>0</v>
      </c>
      <c r="S2721" s="8">
        <v>0</v>
      </c>
      <c r="T2721" s="8">
        <v>1</v>
      </c>
      <c r="U2721" s="8">
        <v>2</v>
      </c>
      <c r="AG2721" s="8" t="str">
        <f t="shared" si="169"/>
        <v/>
      </c>
      <c r="AI2721" s="8" t="str">
        <f t="shared" si="170"/>
        <v/>
      </c>
      <c r="AJ2721" s="8" t="str">
        <f t="shared" si="171"/>
        <v/>
      </c>
      <c r="AL2721" s="8" t="str">
        <f t="shared" si="172"/>
        <v/>
      </c>
    </row>
    <row r="2722" spans="1:38" x14ac:dyDescent="0.25">
      <c r="A2722" s="8" t="s">
        <v>2729</v>
      </c>
      <c r="B2722" s="8" t="s">
        <v>2730</v>
      </c>
      <c r="C2722" s="8">
        <v>30816625</v>
      </c>
      <c r="D2722" s="8">
        <v>5</v>
      </c>
      <c r="E2722" s="11">
        <v>43108</v>
      </c>
      <c r="F2722" s="8" t="s">
        <v>57</v>
      </c>
      <c r="G2722" s="11">
        <v>43110</v>
      </c>
      <c r="H2722" s="8" t="s">
        <v>25</v>
      </c>
      <c r="J2722" s="8" t="s">
        <v>25</v>
      </c>
      <c r="N2722" s="8" t="s">
        <v>58</v>
      </c>
      <c r="O2722" s="8" t="s">
        <v>59</v>
      </c>
      <c r="P2722" s="8" t="s">
        <v>59</v>
      </c>
      <c r="R2722" s="8">
        <v>0</v>
      </c>
      <c r="S2722" s="8">
        <v>0</v>
      </c>
      <c r="T2722" s="8">
        <v>1</v>
      </c>
      <c r="U2722" s="8">
        <v>2</v>
      </c>
      <c r="AG2722" s="8" t="str">
        <f t="shared" si="169"/>
        <v/>
      </c>
      <c r="AI2722" s="8" t="str">
        <f t="shared" si="170"/>
        <v/>
      </c>
      <c r="AJ2722" s="8" t="str">
        <f t="shared" si="171"/>
        <v/>
      </c>
      <c r="AL2722" s="8" t="str">
        <f t="shared" si="172"/>
        <v/>
      </c>
    </row>
    <row r="2723" spans="1:38" x14ac:dyDescent="0.25">
      <c r="A2723" s="8" t="s">
        <v>5850</v>
      </c>
      <c r="B2723" s="8" t="s">
        <v>5851</v>
      </c>
      <c r="C2723" s="8">
        <v>30887714</v>
      </c>
      <c r="D2723" s="8">
        <v>4</v>
      </c>
      <c r="E2723" s="11">
        <v>43111</v>
      </c>
      <c r="F2723" s="8" t="s">
        <v>57</v>
      </c>
      <c r="G2723" s="11">
        <v>43112</v>
      </c>
      <c r="H2723" s="8" t="s">
        <v>25</v>
      </c>
      <c r="J2723" s="8" t="s">
        <v>25</v>
      </c>
      <c r="N2723" s="8" t="s">
        <v>58</v>
      </c>
      <c r="O2723" s="8" t="s">
        <v>59</v>
      </c>
      <c r="P2723" s="8" t="s">
        <v>59</v>
      </c>
      <c r="R2723" s="8">
        <v>0</v>
      </c>
      <c r="S2723" s="8">
        <v>0</v>
      </c>
      <c r="T2723" s="8">
        <v>1</v>
      </c>
      <c r="U2723" s="8">
        <v>2</v>
      </c>
      <c r="AG2723" s="8" t="str">
        <f t="shared" si="169"/>
        <v/>
      </c>
      <c r="AI2723" s="8" t="str">
        <f t="shared" si="170"/>
        <v/>
      </c>
      <c r="AJ2723" s="8" t="str">
        <f t="shared" si="171"/>
        <v/>
      </c>
      <c r="AL2723" s="8" t="str">
        <f t="shared" si="172"/>
        <v/>
      </c>
    </row>
    <row r="2724" spans="1:38" x14ac:dyDescent="0.25">
      <c r="A2724" s="8" t="s">
        <v>1404</v>
      </c>
      <c r="B2724" s="8" t="s">
        <v>1405</v>
      </c>
      <c r="C2724" s="8">
        <v>30850839</v>
      </c>
      <c r="D2724" s="8">
        <v>5</v>
      </c>
      <c r="E2724" s="11">
        <v>43109</v>
      </c>
      <c r="F2724" s="8" t="s">
        <v>58</v>
      </c>
      <c r="G2724" s="11">
        <v>43109</v>
      </c>
      <c r="H2724" s="8" t="s">
        <v>25</v>
      </c>
      <c r="I2724" s="11">
        <v>43115</v>
      </c>
      <c r="J2724" s="8" t="s">
        <v>145</v>
      </c>
      <c r="N2724" s="8" t="s">
        <v>58</v>
      </c>
      <c r="O2724" s="8" t="s">
        <v>59</v>
      </c>
      <c r="P2724" s="8" t="s">
        <v>59</v>
      </c>
      <c r="R2724" s="8">
        <v>0</v>
      </c>
      <c r="S2724" s="8">
        <v>0</v>
      </c>
      <c r="T2724" s="8">
        <v>1</v>
      </c>
      <c r="U2724" s="8">
        <v>2</v>
      </c>
      <c r="X2724" s="8">
        <v>5</v>
      </c>
      <c r="AG2724" s="8" t="str">
        <f t="shared" si="169"/>
        <v/>
      </c>
      <c r="AI2724" s="8" t="str">
        <f t="shared" si="170"/>
        <v/>
      </c>
      <c r="AJ2724" s="8" t="str">
        <f t="shared" si="171"/>
        <v/>
      </c>
      <c r="AL2724" s="8" t="str">
        <f t="shared" si="172"/>
        <v/>
      </c>
    </row>
    <row r="2725" spans="1:38" x14ac:dyDescent="0.25">
      <c r="A2725" s="8" t="s">
        <v>2731</v>
      </c>
      <c r="B2725" s="8" t="s">
        <v>2732</v>
      </c>
      <c r="C2725" s="8">
        <v>30815461</v>
      </c>
      <c r="D2725" s="8">
        <v>5</v>
      </c>
      <c r="E2725" s="11">
        <v>43108</v>
      </c>
      <c r="F2725" s="8" t="s">
        <v>57</v>
      </c>
      <c r="G2725" s="11">
        <v>43110</v>
      </c>
      <c r="H2725" s="8" t="s">
        <v>25</v>
      </c>
      <c r="J2725" s="8" t="s">
        <v>25</v>
      </c>
      <c r="N2725" s="8" t="s">
        <v>58</v>
      </c>
      <c r="O2725" s="8" t="s">
        <v>59</v>
      </c>
      <c r="P2725" s="8" t="s">
        <v>59</v>
      </c>
      <c r="R2725" s="8">
        <v>0</v>
      </c>
      <c r="S2725" s="8">
        <v>0</v>
      </c>
      <c r="T2725" s="8">
        <v>1</v>
      </c>
      <c r="U2725" s="8">
        <v>2</v>
      </c>
      <c r="AG2725" s="8" t="str">
        <f t="shared" si="169"/>
        <v/>
      </c>
      <c r="AI2725" s="8" t="str">
        <f t="shared" si="170"/>
        <v/>
      </c>
      <c r="AJ2725" s="8" t="str">
        <f t="shared" si="171"/>
        <v/>
      </c>
      <c r="AL2725" s="8" t="str">
        <f t="shared" si="172"/>
        <v/>
      </c>
    </row>
    <row r="2726" spans="1:38" x14ac:dyDescent="0.25">
      <c r="A2726" s="8" t="s">
        <v>5852</v>
      </c>
      <c r="B2726" s="8" t="s">
        <v>5853</v>
      </c>
      <c r="C2726" s="8">
        <v>30908704</v>
      </c>
      <c r="D2726" s="8">
        <v>5</v>
      </c>
      <c r="E2726" s="11">
        <v>43112</v>
      </c>
      <c r="F2726" s="8" t="s">
        <v>57</v>
      </c>
      <c r="G2726" s="11">
        <v>43112</v>
      </c>
      <c r="H2726" s="8" t="s">
        <v>25</v>
      </c>
      <c r="J2726" s="8" t="s">
        <v>25</v>
      </c>
      <c r="N2726" s="8" t="s">
        <v>58</v>
      </c>
      <c r="O2726" s="8" t="s">
        <v>59</v>
      </c>
      <c r="P2726" s="8" t="s">
        <v>59</v>
      </c>
      <c r="R2726" s="8">
        <v>0</v>
      </c>
      <c r="S2726" s="8">
        <v>0</v>
      </c>
      <c r="T2726" s="8">
        <v>1</v>
      </c>
      <c r="U2726" s="8">
        <v>2</v>
      </c>
      <c r="AG2726" s="8" t="str">
        <f t="shared" si="169"/>
        <v/>
      </c>
      <c r="AI2726" s="8" t="str">
        <f t="shared" si="170"/>
        <v/>
      </c>
      <c r="AJ2726" s="8" t="str">
        <f t="shared" si="171"/>
        <v/>
      </c>
      <c r="AL2726" s="8" t="str">
        <f t="shared" si="172"/>
        <v/>
      </c>
    </row>
    <row r="2727" spans="1:38" x14ac:dyDescent="0.25">
      <c r="A2727" s="8" t="s">
        <v>4219</v>
      </c>
      <c r="B2727" s="8" t="s">
        <v>111</v>
      </c>
      <c r="C2727" s="8">
        <v>30888489</v>
      </c>
      <c r="D2727" s="8">
        <v>5</v>
      </c>
      <c r="E2727" s="11">
        <v>43111</v>
      </c>
      <c r="F2727" s="8" t="s">
        <v>57</v>
      </c>
      <c r="G2727" s="11">
        <v>43111</v>
      </c>
      <c r="H2727" s="8" t="s">
        <v>25</v>
      </c>
      <c r="J2727" s="8" t="s">
        <v>25</v>
      </c>
      <c r="N2727" s="8" t="s">
        <v>58</v>
      </c>
      <c r="O2727" s="8" t="s">
        <v>59</v>
      </c>
      <c r="P2727" s="8" t="s">
        <v>59</v>
      </c>
      <c r="R2727" s="8">
        <v>0</v>
      </c>
      <c r="S2727" s="8">
        <v>0</v>
      </c>
      <c r="T2727" s="8">
        <v>1</v>
      </c>
      <c r="U2727" s="8">
        <v>2</v>
      </c>
      <c r="AG2727" s="8" t="str">
        <f t="shared" si="169"/>
        <v/>
      </c>
      <c r="AI2727" s="8" t="str">
        <f t="shared" si="170"/>
        <v/>
      </c>
      <c r="AJ2727" s="8" t="str">
        <f t="shared" si="171"/>
        <v/>
      </c>
      <c r="AL2727" s="8" t="str">
        <f t="shared" si="172"/>
        <v/>
      </c>
    </row>
    <row r="2728" spans="1:38" x14ac:dyDescent="0.25">
      <c r="A2728" s="8" t="s">
        <v>7637</v>
      </c>
      <c r="B2728" s="8" t="s">
        <v>7638</v>
      </c>
      <c r="C2728" s="8">
        <v>30883355</v>
      </c>
      <c r="D2728" s="8">
        <v>5</v>
      </c>
      <c r="E2728" s="11">
        <v>43111</v>
      </c>
      <c r="F2728" s="8" t="s">
        <v>57</v>
      </c>
      <c r="G2728" s="11">
        <v>43115</v>
      </c>
      <c r="H2728" s="8" t="s">
        <v>25</v>
      </c>
      <c r="J2728" s="8" t="s">
        <v>25</v>
      </c>
      <c r="N2728" s="8" t="s">
        <v>58</v>
      </c>
      <c r="O2728" s="8" t="s">
        <v>59</v>
      </c>
      <c r="P2728" s="8" t="s">
        <v>59</v>
      </c>
      <c r="R2728" s="8">
        <v>0</v>
      </c>
      <c r="S2728" s="8">
        <v>0</v>
      </c>
      <c r="T2728" s="8">
        <v>1</v>
      </c>
      <c r="U2728" s="8">
        <v>2</v>
      </c>
      <c r="AG2728" s="8" t="str">
        <f t="shared" si="169"/>
        <v/>
      </c>
      <c r="AI2728" s="8" t="str">
        <f t="shared" si="170"/>
        <v/>
      </c>
      <c r="AJ2728" s="8" t="str">
        <f t="shared" si="171"/>
        <v/>
      </c>
      <c r="AL2728" s="8" t="str">
        <f t="shared" si="172"/>
        <v/>
      </c>
    </row>
    <row r="2729" spans="1:38" x14ac:dyDescent="0.25">
      <c r="A2729" s="8" t="s">
        <v>579</v>
      </c>
      <c r="B2729" s="8" t="s">
        <v>580</v>
      </c>
      <c r="C2729" s="8">
        <v>30807136</v>
      </c>
      <c r="D2729" s="8">
        <v>5</v>
      </c>
      <c r="E2729" s="11">
        <v>43108</v>
      </c>
      <c r="F2729" s="8" t="s">
        <v>58</v>
      </c>
      <c r="G2729" s="11">
        <v>43108</v>
      </c>
      <c r="H2729" s="8" t="s">
        <v>25</v>
      </c>
      <c r="I2729" s="11">
        <v>43110</v>
      </c>
      <c r="J2729" s="8" t="s">
        <v>25</v>
      </c>
      <c r="N2729" s="8" t="s">
        <v>58</v>
      </c>
      <c r="O2729" s="8" t="s">
        <v>59</v>
      </c>
      <c r="P2729" s="8" t="s">
        <v>59</v>
      </c>
      <c r="R2729" s="8">
        <v>0</v>
      </c>
      <c r="S2729" s="8">
        <v>0</v>
      </c>
      <c r="T2729" s="8">
        <v>1</v>
      </c>
      <c r="U2729" s="8">
        <v>2</v>
      </c>
      <c r="X2729" s="8">
        <v>5</v>
      </c>
      <c r="AG2729" s="8" t="str">
        <f t="shared" si="169"/>
        <v/>
      </c>
      <c r="AI2729" s="8" t="str">
        <f t="shared" si="170"/>
        <v/>
      </c>
      <c r="AJ2729" s="8" t="str">
        <f t="shared" si="171"/>
        <v/>
      </c>
      <c r="AL2729" s="8" t="str">
        <f t="shared" si="172"/>
        <v/>
      </c>
    </row>
    <row r="2730" spans="1:38" x14ac:dyDescent="0.25">
      <c r="A2730" s="8" t="s">
        <v>1406</v>
      </c>
      <c r="B2730" s="8" t="s">
        <v>1407</v>
      </c>
      <c r="C2730" s="8">
        <v>30840050</v>
      </c>
      <c r="D2730" s="8">
        <v>5</v>
      </c>
      <c r="E2730" s="11">
        <v>43109</v>
      </c>
      <c r="F2730" s="8" t="s">
        <v>57</v>
      </c>
      <c r="G2730" s="11">
        <v>43109</v>
      </c>
      <c r="H2730" s="8" t="s">
        <v>25</v>
      </c>
      <c r="J2730" s="8" t="s">
        <v>25</v>
      </c>
      <c r="N2730" s="8" t="s">
        <v>58</v>
      </c>
      <c r="O2730" s="8" t="s">
        <v>59</v>
      </c>
      <c r="P2730" s="8" t="s">
        <v>59</v>
      </c>
      <c r="R2730" s="8">
        <v>0</v>
      </c>
      <c r="S2730" s="8">
        <v>0</v>
      </c>
      <c r="T2730" s="8">
        <v>1</v>
      </c>
      <c r="U2730" s="8">
        <v>2</v>
      </c>
      <c r="AG2730" s="8" t="str">
        <f t="shared" si="169"/>
        <v/>
      </c>
      <c r="AI2730" s="8" t="str">
        <f t="shared" si="170"/>
        <v/>
      </c>
      <c r="AJ2730" s="8" t="str">
        <f t="shared" si="171"/>
        <v/>
      </c>
      <c r="AL2730" s="8" t="str">
        <f t="shared" si="172"/>
        <v/>
      </c>
    </row>
    <row r="2731" spans="1:38" x14ac:dyDescent="0.25">
      <c r="A2731" s="8" t="s">
        <v>1408</v>
      </c>
      <c r="B2731" s="8" t="s">
        <v>1409</v>
      </c>
      <c r="C2731" s="8">
        <v>30840727</v>
      </c>
      <c r="D2731" s="8">
        <v>5</v>
      </c>
      <c r="E2731" s="11">
        <v>43109</v>
      </c>
      <c r="F2731" s="8" t="s">
        <v>60</v>
      </c>
      <c r="G2731" s="11">
        <v>43109</v>
      </c>
      <c r="H2731" s="8" t="s">
        <v>25</v>
      </c>
      <c r="J2731" s="8" t="s">
        <v>145</v>
      </c>
      <c r="L2731" s="8" t="s">
        <v>6525</v>
      </c>
      <c r="N2731" s="8" t="s">
        <v>58</v>
      </c>
      <c r="O2731" s="8" t="s">
        <v>59</v>
      </c>
      <c r="P2731" s="8" t="s">
        <v>59</v>
      </c>
      <c r="R2731" s="8">
        <v>0</v>
      </c>
      <c r="S2731" s="8">
        <v>0</v>
      </c>
      <c r="T2731" s="8">
        <v>1</v>
      </c>
      <c r="U2731" s="8">
        <v>2</v>
      </c>
      <c r="W2731" s="8">
        <v>4</v>
      </c>
      <c r="AG2731" s="8" t="str">
        <f t="shared" si="169"/>
        <v/>
      </c>
      <c r="AI2731" s="8" t="str">
        <f t="shared" si="170"/>
        <v/>
      </c>
      <c r="AJ2731" s="8" t="str">
        <f t="shared" si="171"/>
        <v/>
      </c>
      <c r="AL2731" s="8" t="str">
        <f t="shared" si="172"/>
        <v/>
      </c>
    </row>
    <row r="2732" spans="1:38" x14ac:dyDescent="0.25">
      <c r="A2732" s="8" t="s">
        <v>581</v>
      </c>
      <c r="B2732" s="8" t="s">
        <v>92</v>
      </c>
      <c r="C2732" s="8">
        <v>30811950</v>
      </c>
      <c r="D2732" s="8">
        <v>5</v>
      </c>
      <c r="E2732" s="11">
        <v>43108</v>
      </c>
      <c r="F2732" s="8" t="s">
        <v>60</v>
      </c>
      <c r="G2732" s="11">
        <v>43108</v>
      </c>
      <c r="H2732" s="8" t="s">
        <v>25</v>
      </c>
      <c r="J2732" s="8" t="s">
        <v>856</v>
      </c>
      <c r="L2732" s="8" t="s">
        <v>6525</v>
      </c>
      <c r="N2732" s="8" t="s">
        <v>58</v>
      </c>
      <c r="O2732" s="8" t="s">
        <v>59</v>
      </c>
      <c r="P2732" s="8" t="s">
        <v>59</v>
      </c>
      <c r="R2732" s="8">
        <v>0</v>
      </c>
      <c r="S2732" s="8">
        <v>0</v>
      </c>
      <c r="T2732" s="8">
        <v>1</v>
      </c>
      <c r="U2732" s="8">
        <v>2</v>
      </c>
      <c r="W2732" s="8">
        <v>4</v>
      </c>
      <c r="AG2732" s="8" t="str">
        <f t="shared" si="169"/>
        <v/>
      </c>
      <c r="AI2732" s="8" t="str">
        <f t="shared" si="170"/>
        <v/>
      </c>
      <c r="AJ2732" s="8" t="str">
        <f t="shared" si="171"/>
        <v/>
      </c>
      <c r="AL2732" s="8" t="str">
        <f t="shared" si="172"/>
        <v/>
      </c>
    </row>
    <row r="2733" spans="1:38" x14ac:dyDescent="0.25">
      <c r="A2733" s="8" t="s">
        <v>2733</v>
      </c>
      <c r="B2733" s="8" t="s">
        <v>2734</v>
      </c>
      <c r="C2733" s="8">
        <v>30819863</v>
      </c>
      <c r="D2733" s="8">
        <v>5</v>
      </c>
      <c r="E2733" s="11">
        <v>43108</v>
      </c>
      <c r="F2733" s="8" t="s">
        <v>58</v>
      </c>
      <c r="G2733" s="11">
        <v>43110</v>
      </c>
      <c r="H2733" s="8" t="s">
        <v>25</v>
      </c>
      <c r="I2733" s="11">
        <v>43115</v>
      </c>
      <c r="J2733" s="8" t="s">
        <v>145</v>
      </c>
      <c r="N2733" s="8" t="s">
        <v>58</v>
      </c>
      <c r="O2733" s="8" t="s">
        <v>59</v>
      </c>
      <c r="P2733" s="8" t="s">
        <v>59</v>
      </c>
      <c r="R2733" s="8">
        <v>0</v>
      </c>
      <c r="S2733" s="8">
        <v>0</v>
      </c>
      <c r="T2733" s="8">
        <v>1</v>
      </c>
      <c r="U2733" s="8">
        <v>2</v>
      </c>
      <c r="X2733" s="8">
        <v>5</v>
      </c>
      <c r="AG2733" s="8" t="str">
        <f t="shared" si="169"/>
        <v/>
      </c>
      <c r="AI2733" s="8" t="str">
        <f t="shared" si="170"/>
        <v/>
      </c>
      <c r="AJ2733" s="8" t="str">
        <f t="shared" si="171"/>
        <v/>
      </c>
      <c r="AL2733" s="8" t="str">
        <f t="shared" si="172"/>
        <v/>
      </c>
    </row>
    <row r="2734" spans="1:38" x14ac:dyDescent="0.25">
      <c r="A2734" s="8" t="s">
        <v>7639</v>
      </c>
      <c r="B2734" s="8" t="s">
        <v>7640</v>
      </c>
      <c r="C2734" s="8">
        <v>30883513</v>
      </c>
      <c r="D2734" s="8">
        <v>5</v>
      </c>
      <c r="E2734" s="11">
        <v>43111</v>
      </c>
      <c r="F2734" s="8" t="s">
        <v>57</v>
      </c>
      <c r="G2734" s="11">
        <v>43115</v>
      </c>
      <c r="H2734" s="8" t="s">
        <v>25</v>
      </c>
      <c r="J2734" s="8" t="s">
        <v>25</v>
      </c>
      <c r="N2734" s="8" t="s">
        <v>58</v>
      </c>
      <c r="O2734" s="8" t="s">
        <v>59</v>
      </c>
      <c r="P2734" s="8" t="s">
        <v>59</v>
      </c>
      <c r="R2734" s="8">
        <v>0</v>
      </c>
      <c r="S2734" s="8">
        <v>0</v>
      </c>
      <c r="T2734" s="8">
        <v>1</v>
      </c>
      <c r="U2734" s="8">
        <v>2</v>
      </c>
      <c r="AG2734" s="8" t="str">
        <f t="shared" si="169"/>
        <v/>
      </c>
      <c r="AI2734" s="8" t="str">
        <f t="shared" si="170"/>
        <v/>
      </c>
      <c r="AJ2734" s="8" t="str">
        <f t="shared" si="171"/>
        <v/>
      </c>
      <c r="AL2734" s="8" t="str">
        <f t="shared" si="172"/>
        <v/>
      </c>
    </row>
    <row r="2735" spans="1:38" x14ac:dyDescent="0.25">
      <c r="A2735" s="8" t="s">
        <v>7641</v>
      </c>
      <c r="B2735" s="8" t="s">
        <v>7642</v>
      </c>
      <c r="C2735" s="8">
        <v>30932558</v>
      </c>
      <c r="D2735" s="8">
        <v>5</v>
      </c>
      <c r="E2735" s="11">
        <v>43115</v>
      </c>
      <c r="F2735" s="8" t="s">
        <v>57</v>
      </c>
      <c r="G2735" s="11">
        <v>43115</v>
      </c>
      <c r="H2735" s="8" t="s">
        <v>25</v>
      </c>
      <c r="J2735" s="8" t="s">
        <v>25</v>
      </c>
      <c r="N2735" s="8" t="s">
        <v>58</v>
      </c>
      <c r="O2735" s="8" t="s">
        <v>59</v>
      </c>
      <c r="P2735" s="8" t="s">
        <v>59</v>
      </c>
      <c r="R2735" s="8">
        <v>0</v>
      </c>
      <c r="S2735" s="8">
        <v>0</v>
      </c>
      <c r="T2735" s="8">
        <v>1</v>
      </c>
      <c r="U2735" s="8">
        <v>2</v>
      </c>
      <c r="AG2735" s="8" t="str">
        <f t="shared" si="169"/>
        <v/>
      </c>
      <c r="AI2735" s="8" t="str">
        <f t="shared" si="170"/>
        <v/>
      </c>
      <c r="AJ2735" s="8" t="str">
        <f t="shared" si="171"/>
        <v/>
      </c>
      <c r="AL2735" s="8" t="str">
        <f t="shared" si="172"/>
        <v/>
      </c>
    </row>
    <row r="2736" spans="1:38" x14ac:dyDescent="0.25">
      <c r="A2736" s="8" t="s">
        <v>7643</v>
      </c>
      <c r="B2736" s="8" t="s">
        <v>7644</v>
      </c>
      <c r="C2736" s="8">
        <v>30903687</v>
      </c>
      <c r="D2736" s="8">
        <v>5</v>
      </c>
      <c r="E2736" s="11">
        <v>43111</v>
      </c>
      <c r="F2736" s="8" t="s">
        <v>57</v>
      </c>
      <c r="G2736" s="11">
        <v>43115</v>
      </c>
      <c r="H2736" s="8" t="s">
        <v>25</v>
      </c>
      <c r="J2736" s="8" t="s">
        <v>25</v>
      </c>
      <c r="N2736" s="8" t="s">
        <v>58</v>
      </c>
      <c r="O2736" s="8" t="s">
        <v>59</v>
      </c>
      <c r="P2736" s="8" t="s">
        <v>59</v>
      </c>
      <c r="R2736" s="8">
        <v>0</v>
      </c>
      <c r="S2736" s="8">
        <v>0</v>
      </c>
      <c r="T2736" s="8">
        <v>1</v>
      </c>
      <c r="U2736" s="8">
        <v>2</v>
      </c>
      <c r="AG2736" s="8" t="str">
        <f t="shared" si="169"/>
        <v/>
      </c>
      <c r="AI2736" s="8" t="str">
        <f t="shared" si="170"/>
        <v/>
      </c>
      <c r="AJ2736" s="8" t="str">
        <f t="shared" si="171"/>
        <v/>
      </c>
      <c r="AL2736" s="8" t="str">
        <f t="shared" si="172"/>
        <v/>
      </c>
    </row>
    <row r="2737" spans="1:38" x14ac:dyDescent="0.25">
      <c r="A2737" s="8" t="s">
        <v>7645</v>
      </c>
      <c r="B2737" s="8" t="s">
        <v>7646</v>
      </c>
      <c r="C2737" s="8">
        <v>30883220</v>
      </c>
      <c r="D2737" s="8">
        <v>5</v>
      </c>
      <c r="E2737" s="11">
        <v>43111</v>
      </c>
      <c r="F2737" s="8" t="s">
        <v>57</v>
      </c>
      <c r="G2737" s="11">
        <v>43115</v>
      </c>
      <c r="H2737" s="8" t="s">
        <v>25</v>
      </c>
      <c r="J2737" s="8" t="s">
        <v>25</v>
      </c>
      <c r="N2737" s="8" t="s">
        <v>58</v>
      </c>
      <c r="O2737" s="8" t="s">
        <v>59</v>
      </c>
      <c r="P2737" s="8" t="s">
        <v>59</v>
      </c>
      <c r="R2737" s="8">
        <v>0</v>
      </c>
      <c r="S2737" s="8">
        <v>0</v>
      </c>
      <c r="T2737" s="8">
        <v>1</v>
      </c>
      <c r="U2737" s="8">
        <v>2</v>
      </c>
      <c r="AG2737" s="8" t="str">
        <f t="shared" si="169"/>
        <v/>
      </c>
      <c r="AI2737" s="8" t="str">
        <f t="shared" si="170"/>
        <v/>
      </c>
      <c r="AJ2737" s="8" t="str">
        <f t="shared" si="171"/>
        <v/>
      </c>
      <c r="AL2737" s="8" t="str">
        <f t="shared" si="172"/>
        <v/>
      </c>
    </row>
    <row r="2738" spans="1:38" x14ac:dyDescent="0.25">
      <c r="A2738" s="8" t="s">
        <v>7647</v>
      </c>
      <c r="B2738" s="8" t="s">
        <v>7648</v>
      </c>
      <c r="C2738" s="8">
        <v>30883654</v>
      </c>
      <c r="D2738" s="8">
        <v>5</v>
      </c>
      <c r="E2738" s="11">
        <v>43111</v>
      </c>
      <c r="F2738" s="8" t="s">
        <v>57</v>
      </c>
      <c r="G2738" s="11">
        <v>43115</v>
      </c>
      <c r="H2738" s="8" t="s">
        <v>25</v>
      </c>
      <c r="J2738" s="8" t="s">
        <v>25</v>
      </c>
      <c r="N2738" s="8" t="s">
        <v>58</v>
      </c>
      <c r="O2738" s="8" t="s">
        <v>59</v>
      </c>
      <c r="P2738" s="8" t="s">
        <v>59</v>
      </c>
      <c r="R2738" s="8">
        <v>0</v>
      </c>
      <c r="S2738" s="8">
        <v>0</v>
      </c>
      <c r="T2738" s="8">
        <v>1</v>
      </c>
      <c r="U2738" s="8">
        <v>2</v>
      </c>
      <c r="AG2738" s="8" t="str">
        <f t="shared" si="169"/>
        <v/>
      </c>
      <c r="AI2738" s="8" t="str">
        <f t="shared" si="170"/>
        <v/>
      </c>
      <c r="AJ2738" s="8" t="str">
        <f t="shared" si="171"/>
        <v/>
      </c>
      <c r="AL2738" s="8" t="str">
        <f t="shared" si="172"/>
        <v/>
      </c>
    </row>
    <row r="2739" spans="1:38" x14ac:dyDescent="0.25">
      <c r="A2739" s="8" t="s">
        <v>7649</v>
      </c>
      <c r="B2739" s="8" t="s">
        <v>7650</v>
      </c>
      <c r="C2739" s="8">
        <v>30881916</v>
      </c>
      <c r="D2739" s="8">
        <v>5</v>
      </c>
      <c r="E2739" s="11">
        <v>43111</v>
      </c>
      <c r="F2739" s="8" t="s">
        <v>57</v>
      </c>
      <c r="G2739" s="11">
        <v>43115</v>
      </c>
      <c r="H2739" s="8" t="s">
        <v>25</v>
      </c>
      <c r="J2739" s="8" t="s">
        <v>25</v>
      </c>
      <c r="N2739" s="8" t="s">
        <v>58</v>
      </c>
      <c r="O2739" s="8" t="s">
        <v>59</v>
      </c>
      <c r="P2739" s="8" t="s">
        <v>59</v>
      </c>
      <c r="R2739" s="8">
        <v>0</v>
      </c>
      <c r="S2739" s="8">
        <v>0</v>
      </c>
      <c r="T2739" s="8">
        <v>1</v>
      </c>
      <c r="U2739" s="8">
        <v>2</v>
      </c>
      <c r="AG2739" s="8" t="str">
        <f t="shared" si="169"/>
        <v/>
      </c>
      <c r="AI2739" s="8" t="str">
        <f t="shared" si="170"/>
        <v/>
      </c>
      <c r="AJ2739" s="8" t="str">
        <f t="shared" si="171"/>
        <v/>
      </c>
      <c r="AL2739" s="8" t="str">
        <f t="shared" si="172"/>
        <v/>
      </c>
    </row>
    <row r="2740" spans="1:38" x14ac:dyDescent="0.25">
      <c r="A2740" s="8" t="s">
        <v>7651</v>
      </c>
      <c r="B2740" s="8" t="s">
        <v>7652</v>
      </c>
      <c r="C2740" s="8">
        <v>30882422</v>
      </c>
      <c r="D2740" s="8">
        <v>5</v>
      </c>
      <c r="E2740" s="11">
        <v>43111</v>
      </c>
      <c r="F2740" s="8" t="s">
        <v>57</v>
      </c>
      <c r="G2740" s="11">
        <v>43115</v>
      </c>
      <c r="H2740" s="8" t="s">
        <v>25</v>
      </c>
      <c r="J2740" s="8" t="s">
        <v>25</v>
      </c>
      <c r="N2740" s="8" t="s">
        <v>58</v>
      </c>
      <c r="O2740" s="8" t="s">
        <v>59</v>
      </c>
      <c r="P2740" s="8" t="s">
        <v>59</v>
      </c>
      <c r="R2740" s="8">
        <v>0</v>
      </c>
      <c r="S2740" s="8">
        <v>0</v>
      </c>
      <c r="T2740" s="8">
        <v>1</v>
      </c>
      <c r="U2740" s="8">
        <v>2</v>
      </c>
      <c r="AG2740" s="8" t="str">
        <f t="shared" si="169"/>
        <v/>
      </c>
      <c r="AI2740" s="8" t="str">
        <f t="shared" si="170"/>
        <v/>
      </c>
      <c r="AJ2740" s="8" t="str">
        <f t="shared" si="171"/>
        <v/>
      </c>
      <c r="AL2740" s="8" t="str">
        <f t="shared" si="172"/>
        <v/>
      </c>
    </row>
    <row r="2741" spans="1:38" x14ac:dyDescent="0.25">
      <c r="A2741" s="8" t="s">
        <v>7653</v>
      </c>
      <c r="B2741" s="8" t="s">
        <v>7654</v>
      </c>
      <c r="C2741" s="8">
        <v>30882142</v>
      </c>
      <c r="D2741" s="8">
        <v>5</v>
      </c>
      <c r="E2741" s="11">
        <v>43111</v>
      </c>
      <c r="F2741" s="8" t="s">
        <v>57</v>
      </c>
      <c r="G2741" s="11">
        <v>43115</v>
      </c>
      <c r="H2741" s="8" t="s">
        <v>25</v>
      </c>
      <c r="J2741" s="8" t="s">
        <v>25</v>
      </c>
      <c r="N2741" s="8" t="s">
        <v>58</v>
      </c>
      <c r="O2741" s="8" t="s">
        <v>59</v>
      </c>
      <c r="P2741" s="8" t="s">
        <v>59</v>
      </c>
      <c r="R2741" s="8">
        <v>0</v>
      </c>
      <c r="S2741" s="8">
        <v>0</v>
      </c>
      <c r="T2741" s="8">
        <v>1</v>
      </c>
      <c r="U2741" s="8">
        <v>2</v>
      </c>
      <c r="AG2741" s="8" t="str">
        <f t="shared" si="169"/>
        <v/>
      </c>
      <c r="AI2741" s="8" t="str">
        <f t="shared" si="170"/>
        <v/>
      </c>
      <c r="AJ2741" s="8" t="str">
        <f t="shared" si="171"/>
        <v/>
      </c>
      <c r="AL2741" s="8" t="str">
        <f t="shared" si="172"/>
        <v/>
      </c>
    </row>
    <row r="2742" spans="1:38" x14ac:dyDescent="0.25">
      <c r="A2742" s="8" t="s">
        <v>7655</v>
      </c>
      <c r="B2742" s="8" t="s">
        <v>7656</v>
      </c>
      <c r="C2742" s="8">
        <v>30881632</v>
      </c>
      <c r="D2742" s="8">
        <v>5</v>
      </c>
      <c r="E2742" s="11">
        <v>43111</v>
      </c>
      <c r="F2742" s="8" t="s">
        <v>57</v>
      </c>
      <c r="G2742" s="11">
        <v>43115</v>
      </c>
      <c r="H2742" s="8" t="s">
        <v>25</v>
      </c>
      <c r="J2742" s="8" t="s">
        <v>25</v>
      </c>
      <c r="N2742" s="8" t="s">
        <v>58</v>
      </c>
      <c r="O2742" s="8" t="s">
        <v>59</v>
      </c>
      <c r="P2742" s="8" t="s">
        <v>59</v>
      </c>
      <c r="R2742" s="8">
        <v>0</v>
      </c>
      <c r="S2742" s="8">
        <v>0</v>
      </c>
      <c r="T2742" s="8">
        <v>1</v>
      </c>
      <c r="U2742" s="8">
        <v>2</v>
      </c>
      <c r="AG2742" s="8" t="str">
        <f t="shared" si="169"/>
        <v/>
      </c>
      <c r="AI2742" s="8" t="str">
        <f t="shared" si="170"/>
        <v/>
      </c>
      <c r="AJ2742" s="8" t="str">
        <f t="shared" si="171"/>
        <v/>
      </c>
      <c r="AL2742" s="8" t="str">
        <f t="shared" si="172"/>
        <v/>
      </c>
    </row>
    <row r="2743" spans="1:38" x14ac:dyDescent="0.25">
      <c r="A2743" s="8" t="s">
        <v>5854</v>
      </c>
      <c r="B2743" s="8" t="s">
        <v>5855</v>
      </c>
      <c r="C2743" s="8">
        <v>30906647</v>
      </c>
      <c r="D2743" s="8">
        <v>5</v>
      </c>
      <c r="E2743" s="11">
        <v>43112</v>
      </c>
      <c r="F2743" s="8" t="s">
        <v>58</v>
      </c>
      <c r="G2743" s="11">
        <v>43112</v>
      </c>
      <c r="H2743" s="8" t="s">
        <v>25</v>
      </c>
      <c r="I2743" s="11">
        <v>43112</v>
      </c>
      <c r="J2743" s="8" t="s">
        <v>25</v>
      </c>
      <c r="N2743" s="8" t="s">
        <v>58</v>
      </c>
      <c r="O2743" s="8" t="s">
        <v>59</v>
      </c>
      <c r="P2743" s="8" t="s">
        <v>59</v>
      </c>
      <c r="R2743" s="8">
        <v>0</v>
      </c>
      <c r="S2743" s="8">
        <v>0</v>
      </c>
      <c r="T2743" s="8">
        <v>1</v>
      </c>
      <c r="U2743" s="8">
        <v>2</v>
      </c>
      <c r="X2743" s="8">
        <v>5</v>
      </c>
      <c r="AG2743" s="8" t="str">
        <f t="shared" si="169"/>
        <v/>
      </c>
      <c r="AI2743" s="8" t="str">
        <f t="shared" si="170"/>
        <v/>
      </c>
      <c r="AJ2743" s="8" t="str">
        <f t="shared" si="171"/>
        <v/>
      </c>
      <c r="AL2743" s="8" t="str">
        <f t="shared" si="172"/>
        <v/>
      </c>
    </row>
    <row r="2744" spans="1:38" x14ac:dyDescent="0.25">
      <c r="A2744" s="8" t="s">
        <v>582</v>
      </c>
      <c r="B2744" s="8" t="s">
        <v>583</v>
      </c>
      <c r="C2744" s="8">
        <v>30813320</v>
      </c>
      <c r="D2744" s="8">
        <v>5</v>
      </c>
      <c r="E2744" s="11">
        <v>43108</v>
      </c>
      <c r="F2744" s="8" t="s">
        <v>58</v>
      </c>
      <c r="G2744" s="11">
        <v>43108</v>
      </c>
      <c r="H2744" s="8" t="s">
        <v>25</v>
      </c>
      <c r="I2744" s="11">
        <v>43112</v>
      </c>
      <c r="J2744" s="8" t="s">
        <v>145</v>
      </c>
      <c r="N2744" s="8" t="s">
        <v>58</v>
      </c>
      <c r="O2744" s="8" t="s">
        <v>59</v>
      </c>
      <c r="P2744" s="8" t="s">
        <v>59</v>
      </c>
      <c r="R2744" s="8">
        <v>0</v>
      </c>
      <c r="S2744" s="8">
        <v>0</v>
      </c>
      <c r="T2744" s="8">
        <v>1</v>
      </c>
      <c r="U2744" s="8">
        <v>2</v>
      </c>
      <c r="X2744" s="8">
        <v>5</v>
      </c>
      <c r="AG2744" s="8" t="str">
        <f t="shared" si="169"/>
        <v/>
      </c>
      <c r="AI2744" s="8" t="str">
        <f t="shared" si="170"/>
        <v/>
      </c>
      <c r="AJ2744" s="8" t="str">
        <f t="shared" si="171"/>
        <v/>
      </c>
      <c r="AL2744" s="8" t="str">
        <f t="shared" si="172"/>
        <v/>
      </c>
    </row>
    <row r="2745" spans="1:38" x14ac:dyDescent="0.25">
      <c r="A2745" s="8" t="s">
        <v>1410</v>
      </c>
      <c r="B2745" s="8" t="s">
        <v>127</v>
      </c>
      <c r="C2745" s="8">
        <v>30838909</v>
      </c>
      <c r="D2745" s="8">
        <v>5</v>
      </c>
      <c r="E2745" s="11">
        <v>43109</v>
      </c>
      <c r="F2745" s="8" t="s">
        <v>58</v>
      </c>
      <c r="G2745" s="11">
        <v>43109</v>
      </c>
      <c r="H2745" s="8" t="s">
        <v>25</v>
      </c>
      <c r="I2745" s="11">
        <v>43111</v>
      </c>
      <c r="J2745" s="8" t="s">
        <v>25</v>
      </c>
      <c r="N2745" s="8" t="s">
        <v>58</v>
      </c>
      <c r="O2745" s="8" t="s">
        <v>59</v>
      </c>
      <c r="P2745" s="8" t="s">
        <v>59</v>
      </c>
      <c r="R2745" s="8">
        <v>0</v>
      </c>
      <c r="S2745" s="8">
        <v>0</v>
      </c>
      <c r="T2745" s="8">
        <v>1</v>
      </c>
      <c r="U2745" s="8">
        <v>2</v>
      </c>
      <c r="X2745" s="8">
        <v>5</v>
      </c>
      <c r="AG2745" s="8" t="str">
        <f t="shared" si="169"/>
        <v/>
      </c>
      <c r="AI2745" s="8" t="str">
        <f t="shared" si="170"/>
        <v/>
      </c>
      <c r="AJ2745" s="8" t="str">
        <f t="shared" si="171"/>
        <v/>
      </c>
      <c r="AL2745" s="8" t="str">
        <f t="shared" si="172"/>
        <v/>
      </c>
    </row>
    <row r="2746" spans="1:38" x14ac:dyDescent="0.25">
      <c r="A2746" s="8" t="s">
        <v>5856</v>
      </c>
      <c r="B2746" s="8" t="s">
        <v>5857</v>
      </c>
      <c r="C2746" s="8">
        <v>30869206</v>
      </c>
      <c r="D2746" s="8">
        <v>5</v>
      </c>
      <c r="E2746" s="11">
        <v>43110</v>
      </c>
      <c r="F2746" s="8" t="s">
        <v>57</v>
      </c>
      <c r="G2746" s="11">
        <v>43112</v>
      </c>
      <c r="H2746" s="8" t="s">
        <v>25</v>
      </c>
      <c r="J2746" s="8" t="s">
        <v>25</v>
      </c>
      <c r="N2746" s="8" t="s">
        <v>58</v>
      </c>
      <c r="O2746" s="8" t="s">
        <v>59</v>
      </c>
      <c r="P2746" s="8" t="s">
        <v>59</v>
      </c>
      <c r="R2746" s="8">
        <v>0</v>
      </c>
      <c r="S2746" s="8">
        <v>0</v>
      </c>
      <c r="T2746" s="8">
        <v>1</v>
      </c>
      <c r="U2746" s="8">
        <v>2</v>
      </c>
      <c r="AG2746" s="8" t="str">
        <f t="shared" si="169"/>
        <v/>
      </c>
      <c r="AI2746" s="8" t="str">
        <f t="shared" si="170"/>
        <v/>
      </c>
      <c r="AJ2746" s="8" t="str">
        <f t="shared" si="171"/>
        <v/>
      </c>
      <c r="AL2746" s="8" t="str">
        <f t="shared" si="172"/>
        <v/>
      </c>
    </row>
    <row r="2747" spans="1:38" x14ac:dyDescent="0.25">
      <c r="A2747" s="8" t="s">
        <v>2735</v>
      </c>
      <c r="B2747" s="8" t="s">
        <v>2736</v>
      </c>
      <c r="C2747" s="8">
        <v>30875703</v>
      </c>
      <c r="D2747" s="8">
        <v>5</v>
      </c>
      <c r="E2747" s="11">
        <v>43110</v>
      </c>
      <c r="F2747" s="8" t="s">
        <v>57</v>
      </c>
      <c r="G2747" s="11">
        <v>43110</v>
      </c>
      <c r="H2747" s="8" t="s">
        <v>25</v>
      </c>
      <c r="J2747" s="8" t="s">
        <v>25</v>
      </c>
      <c r="N2747" s="8" t="s">
        <v>58</v>
      </c>
      <c r="O2747" s="8" t="s">
        <v>59</v>
      </c>
      <c r="P2747" s="8" t="s">
        <v>59</v>
      </c>
      <c r="R2747" s="8">
        <v>0</v>
      </c>
      <c r="S2747" s="8">
        <v>0</v>
      </c>
      <c r="T2747" s="8">
        <v>1</v>
      </c>
      <c r="U2747" s="8">
        <v>2</v>
      </c>
      <c r="AG2747" s="8" t="str">
        <f t="shared" si="169"/>
        <v/>
      </c>
      <c r="AI2747" s="8" t="str">
        <f t="shared" si="170"/>
        <v/>
      </c>
      <c r="AJ2747" s="8" t="str">
        <f t="shared" si="171"/>
        <v/>
      </c>
      <c r="AL2747" s="8" t="str">
        <f t="shared" si="172"/>
        <v/>
      </c>
    </row>
    <row r="2748" spans="1:38" x14ac:dyDescent="0.25">
      <c r="A2748" s="8" t="s">
        <v>7657</v>
      </c>
      <c r="B2748" s="8" t="s">
        <v>7658</v>
      </c>
      <c r="C2748" s="8">
        <v>30901209</v>
      </c>
      <c r="D2748" s="8">
        <v>5</v>
      </c>
      <c r="E2748" s="11">
        <v>43111</v>
      </c>
      <c r="F2748" s="8" t="s">
        <v>57</v>
      </c>
      <c r="G2748" s="11">
        <v>43115</v>
      </c>
      <c r="H2748" s="8" t="s">
        <v>25</v>
      </c>
      <c r="J2748" s="8" t="s">
        <v>25</v>
      </c>
      <c r="N2748" s="8" t="s">
        <v>58</v>
      </c>
      <c r="O2748" s="8" t="s">
        <v>59</v>
      </c>
      <c r="P2748" s="8" t="s">
        <v>59</v>
      </c>
      <c r="R2748" s="8">
        <v>0</v>
      </c>
      <c r="S2748" s="8">
        <v>0</v>
      </c>
      <c r="T2748" s="8">
        <v>1</v>
      </c>
      <c r="U2748" s="8">
        <v>2</v>
      </c>
      <c r="AG2748" s="8" t="str">
        <f t="shared" si="169"/>
        <v/>
      </c>
      <c r="AI2748" s="8" t="str">
        <f t="shared" si="170"/>
        <v/>
      </c>
      <c r="AJ2748" s="8" t="str">
        <f t="shared" si="171"/>
        <v/>
      </c>
      <c r="AL2748" s="8" t="str">
        <f t="shared" si="172"/>
        <v/>
      </c>
    </row>
    <row r="2749" spans="1:38" x14ac:dyDescent="0.25">
      <c r="A2749" s="8" t="s">
        <v>2737</v>
      </c>
      <c r="B2749" s="8" t="s">
        <v>2738</v>
      </c>
      <c r="C2749" s="8">
        <v>30827341</v>
      </c>
      <c r="D2749" s="8">
        <v>5</v>
      </c>
      <c r="E2749" s="11">
        <v>43108</v>
      </c>
      <c r="F2749" s="8" t="s">
        <v>57</v>
      </c>
      <c r="G2749" s="11">
        <v>43110</v>
      </c>
      <c r="H2749" s="8" t="s">
        <v>25</v>
      </c>
      <c r="J2749" s="8" t="s">
        <v>25</v>
      </c>
      <c r="N2749" s="8" t="s">
        <v>58</v>
      </c>
      <c r="O2749" s="8" t="s">
        <v>59</v>
      </c>
      <c r="P2749" s="8" t="s">
        <v>59</v>
      </c>
      <c r="R2749" s="8">
        <v>0</v>
      </c>
      <c r="S2749" s="8">
        <v>0</v>
      </c>
      <c r="T2749" s="8">
        <v>1</v>
      </c>
      <c r="U2749" s="8">
        <v>2</v>
      </c>
      <c r="AG2749" s="8" t="str">
        <f t="shared" si="169"/>
        <v/>
      </c>
      <c r="AI2749" s="8" t="str">
        <f t="shared" si="170"/>
        <v/>
      </c>
      <c r="AJ2749" s="8" t="str">
        <f t="shared" si="171"/>
        <v/>
      </c>
      <c r="AL2749" s="8" t="str">
        <f t="shared" si="172"/>
        <v/>
      </c>
    </row>
    <row r="2750" spans="1:38" x14ac:dyDescent="0.25">
      <c r="A2750" s="8" t="s">
        <v>2739</v>
      </c>
      <c r="B2750" s="8" t="s">
        <v>2740</v>
      </c>
      <c r="C2750" s="8">
        <v>30833084</v>
      </c>
      <c r="D2750" s="8">
        <v>5</v>
      </c>
      <c r="E2750" s="11">
        <v>43109</v>
      </c>
      <c r="F2750" s="8" t="s">
        <v>58</v>
      </c>
      <c r="G2750" s="11">
        <v>43110</v>
      </c>
      <c r="H2750" s="8" t="s">
        <v>25</v>
      </c>
      <c r="I2750" s="11">
        <v>43113</v>
      </c>
      <c r="J2750" s="8" t="s">
        <v>25</v>
      </c>
      <c r="N2750" s="8" t="s">
        <v>58</v>
      </c>
      <c r="O2750" s="8" t="s">
        <v>59</v>
      </c>
      <c r="P2750" s="8" t="s">
        <v>59</v>
      </c>
      <c r="R2750" s="8">
        <v>0</v>
      </c>
      <c r="S2750" s="8">
        <v>0</v>
      </c>
      <c r="T2750" s="8">
        <v>1</v>
      </c>
      <c r="U2750" s="8">
        <v>2</v>
      </c>
      <c r="X2750" s="8">
        <v>5</v>
      </c>
      <c r="AG2750" s="8" t="str">
        <f t="shared" si="169"/>
        <v/>
      </c>
      <c r="AI2750" s="8" t="str">
        <f t="shared" si="170"/>
        <v/>
      </c>
      <c r="AJ2750" s="8" t="str">
        <f t="shared" si="171"/>
        <v/>
      </c>
      <c r="AL2750" s="8" t="str">
        <f t="shared" si="172"/>
        <v/>
      </c>
    </row>
    <row r="2751" spans="1:38" x14ac:dyDescent="0.25">
      <c r="A2751" s="8" t="s">
        <v>5858</v>
      </c>
      <c r="B2751" s="8" t="s">
        <v>5859</v>
      </c>
      <c r="C2751" s="8">
        <v>30903740</v>
      </c>
      <c r="D2751" s="8">
        <v>5</v>
      </c>
      <c r="E2751" s="11">
        <v>43111</v>
      </c>
      <c r="F2751" s="8" t="s">
        <v>57</v>
      </c>
      <c r="G2751" s="11">
        <v>43112</v>
      </c>
      <c r="H2751" s="8" t="s">
        <v>25</v>
      </c>
      <c r="J2751" s="8" t="s">
        <v>25</v>
      </c>
      <c r="N2751" s="8" t="s">
        <v>58</v>
      </c>
      <c r="O2751" s="8" t="s">
        <v>59</v>
      </c>
      <c r="P2751" s="8" t="s">
        <v>59</v>
      </c>
      <c r="R2751" s="8">
        <v>0</v>
      </c>
      <c r="S2751" s="8">
        <v>0</v>
      </c>
      <c r="T2751" s="8">
        <v>1</v>
      </c>
      <c r="U2751" s="8">
        <v>2</v>
      </c>
      <c r="AG2751" s="8" t="str">
        <f t="shared" si="169"/>
        <v/>
      </c>
      <c r="AI2751" s="8" t="str">
        <f t="shared" si="170"/>
        <v/>
      </c>
      <c r="AJ2751" s="8" t="str">
        <f t="shared" si="171"/>
        <v/>
      </c>
      <c r="AL2751" s="8" t="str">
        <f t="shared" si="172"/>
        <v/>
      </c>
    </row>
    <row r="2752" spans="1:38" x14ac:dyDescent="0.25">
      <c r="A2752" s="8" t="s">
        <v>7659</v>
      </c>
      <c r="B2752" s="8" t="s">
        <v>7660</v>
      </c>
      <c r="C2752" s="8">
        <v>30902424</v>
      </c>
      <c r="D2752" s="8">
        <v>5</v>
      </c>
      <c r="E2752" s="11">
        <v>43111</v>
      </c>
      <c r="F2752" s="8" t="s">
        <v>58</v>
      </c>
      <c r="G2752" s="11">
        <v>43115</v>
      </c>
      <c r="H2752" s="8" t="s">
        <v>25</v>
      </c>
      <c r="I2752" s="11">
        <v>43115</v>
      </c>
      <c r="J2752" s="8" t="s">
        <v>25</v>
      </c>
      <c r="N2752" s="8" t="s">
        <v>58</v>
      </c>
      <c r="O2752" s="8" t="s">
        <v>59</v>
      </c>
      <c r="P2752" s="8" t="s">
        <v>59</v>
      </c>
      <c r="R2752" s="8">
        <v>0</v>
      </c>
      <c r="S2752" s="8">
        <v>0</v>
      </c>
      <c r="T2752" s="8">
        <v>1</v>
      </c>
      <c r="U2752" s="8">
        <v>2</v>
      </c>
      <c r="X2752" s="8">
        <v>5</v>
      </c>
      <c r="AG2752" s="8" t="str">
        <f t="shared" si="169"/>
        <v/>
      </c>
      <c r="AI2752" s="8" t="str">
        <f t="shared" si="170"/>
        <v/>
      </c>
      <c r="AJ2752" s="8" t="str">
        <f t="shared" si="171"/>
        <v/>
      </c>
      <c r="AL2752" s="8" t="str">
        <f t="shared" si="172"/>
        <v/>
      </c>
    </row>
    <row r="2753" spans="1:38" x14ac:dyDescent="0.25">
      <c r="A2753" s="8" t="s">
        <v>2741</v>
      </c>
      <c r="B2753" s="8" t="s">
        <v>2742</v>
      </c>
      <c r="C2753" s="8">
        <v>30861565</v>
      </c>
      <c r="D2753" s="8">
        <v>5</v>
      </c>
      <c r="E2753" s="11">
        <v>43110</v>
      </c>
      <c r="F2753" s="8" t="s">
        <v>57</v>
      </c>
      <c r="G2753" s="11">
        <v>43110</v>
      </c>
      <c r="H2753" s="8" t="s">
        <v>25</v>
      </c>
      <c r="J2753" s="8" t="s">
        <v>25</v>
      </c>
      <c r="N2753" s="8" t="s">
        <v>58</v>
      </c>
      <c r="O2753" s="8" t="s">
        <v>59</v>
      </c>
      <c r="P2753" s="8" t="s">
        <v>59</v>
      </c>
      <c r="R2753" s="8">
        <v>0</v>
      </c>
      <c r="S2753" s="8">
        <v>0</v>
      </c>
      <c r="T2753" s="8">
        <v>1</v>
      </c>
      <c r="U2753" s="8">
        <v>2</v>
      </c>
      <c r="AG2753" s="8" t="str">
        <f t="shared" si="169"/>
        <v/>
      </c>
      <c r="AI2753" s="8" t="str">
        <f t="shared" si="170"/>
        <v/>
      </c>
      <c r="AJ2753" s="8" t="str">
        <f t="shared" si="171"/>
        <v/>
      </c>
      <c r="AL2753" s="8" t="str">
        <f t="shared" si="172"/>
        <v/>
      </c>
    </row>
    <row r="2754" spans="1:38" x14ac:dyDescent="0.25">
      <c r="A2754" s="8" t="s">
        <v>4220</v>
      </c>
      <c r="B2754" s="8" t="s">
        <v>4221</v>
      </c>
      <c r="C2754" s="8">
        <v>30841442</v>
      </c>
      <c r="D2754" s="8">
        <v>5</v>
      </c>
      <c r="E2754" s="11">
        <v>43109</v>
      </c>
      <c r="F2754" s="8" t="s">
        <v>58</v>
      </c>
      <c r="G2754" s="11">
        <v>43111</v>
      </c>
      <c r="H2754" s="8" t="s">
        <v>25</v>
      </c>
      <c r="I2754" s="11">
        <v>43115</v>
      </c>
      <c r="J2754" s="8" t="s">
        <v>25</v>
      </c>
      <c r="N2754" s="8" t="s">
        <v>58</v>
      </c>
      <c r="O2754" s="8" t="s">
        <v>59</v>
      </c>
      <c r="P2754" s="8" t="s">
        <v>59</v>
      </c>
      <c r="R2754" s="8">
        <v>0</v>
      </c>
      <c r="S2754" s="8">
        <v>0</v>
      </c>
      <c r="T2754" s="8">
        <v>1</v>
      </c>
      <c r="U2754" s="8">
        <v>2</v>
      </c>
      <c r="X2754" s="8">
        <v>5</v>
      </c>
      <c r="AG2754" s="8" t="str">
        <f t="shared" si="169"/>
        <v/>
      </c>
      <c r="AI2754" s="8" t="str">
        <f t="shared" si="170"/>
        <v/>
      </c>
      <c r="AJ2754" s="8" t="str">
        <f t="shared" si="171"/>
        <v/>
      </c>
      <c r="AL2754" s="8" t="str">
        <f t="shared" si="172"/>
        <v/>
      </c>
    </row>
    <row r="2755" spans="1:38" x14ac:dyDescent="0.25">
      <c r="A2755" s="8" t="s">
        <v>2743</v>
      </c>
      <c r="B2755" s="8" t="s">
        <v>2744</v>
      </c>
      <c r="C2755" s="8">
        <v>30819868</v>
      </c>
      <c r="D2755" s="8">
        <v>5</v>
      </c>
      <c r="E2755" s="11">
        <v>43108</v>
      </c>
      <c r="F2755" s="8" t="s">
        <v>58</v>
      </c>
      <c r="G2755" s="11">
        <v>43110</v>
      </c>
      <c r="H2755" s="8" t="s">
        <v>25</v>
      </c>
      <c r="I2755" s="11">
        <v>43115</v>
      </c>
      <c r="J2755" s="8" t="s">
        <v>145</v>
      </c>
      <c r="N2755" s="8" t="s">
        <v>58</v>
      </c>
      <c r="O2755" s="8" t="s">
        <v>59</v>
      </c>
      <c r="P2755" s="8" t="s">
        <v>59</v>
      </c>
      <c r="R2755" s="8">
        <v>0</v>
      </c>
      <c r="S2755" s="8">
        <v>0</v>
      </c>
      <c r="T2755" s="8">
        <v>1</v>
      </c>
      <c r="U2755" s="8">
        <v>2</v>
      </c>
      <c r="X2755" s="8">
        <v>5</v>
      </c>
      <c r="AG2755" s="8" t="str">
        <f t="shared" ref="AG2755:AG2818" si="173">IF(AND(U2755="",G2755&lt;&gt;"",NOT(OR(R2755,S2755))),IF(NETWORKDAYS.INTL(G2755,TODAY(),11)&lt;5,"En Plazo",IF(NETWORKDAYS.INTL(G2755,TODAY(),11)=5,"Riesgo Incumplimiento","FALTA_02")),"")</f>
        <v/>
      </c>
      <c r="AI2755" s="8" t="str">
        <f t="shared" ref="AI2755:AI2818" si="174">IF(AND(O2755&lt;&gt;"B1",F2755="Rejected"),IF(W2755="","FALTA_04",""),"")</f>
        <v/>
      </c>
      <c r="AJ2755" s="8" t="str">
        <f t="shared" ref="AJ2755:AJ2818" si="175">IF(AND(X2755="",I2755&lt;&gt;"",NOT(OR(R2755,S2755))),IF(NETWORKDAYS.INTL(G2755,TODAY(),11)&lt;=1,"En Plazo",IF(OR(AND(X2755="",O2755&lt;&gt;"M1"),AND(O2755="M1",(OR(Q2755="S - S",Q2755="S - T",)))),"FALTA_05","")),"")</f>
        <v/>
      </c>
      <c r="AL2755" s="8" t="str">
        <f t="shared" ref="AL2755:AL2818" si="176">IF(AND(O2755="B1",F2755="Rejected"),IF(Z2755="","FALTA_07",""),"")</f>
        <v/>
      </c>
    </row>
    <row r="2756" spans="1:38" x14ac:dyDescent="0.25">
      <c r="A2756" s="8" t="s">
        <v>2745</v>
      </c>
      <c r="B2756" s="8" t="s">
        <v>2746</v>
      </c>
      <c r="C2756" s="8">
        <v>30815905</v>
      </c>
      <c r="D2756" s="8">
        <v>5</v>
      </c>
      <c r="E2756" s="11">
        <v>43108</v>
      </c>
      <c r="F2756" s="8" t="s">
        <v>57</v>
      </c>
      <c r="G2756" s="11">
        <v>43110</v>
      </c>
      <c r="H2756" s="8" t="s">
        <v>25</v>
      </c>
      <c r="J2756" s="8" t="s">
        <v>25</v>
      </c>
      <c r="N2756" s="8" t="s">
        <v>58</v>
      </c>
      <c r="O2756" s="8" t="s">
        <v>59</v>
      </c>
      <c r="P2756" s="8" t="s">
        <v>59</v>
      </c>
      <c r="R2756" s="8">
        <v>0</v>
      </c>
      <c r="S2756" s="8">
        <v>0</v>
      </c>
      <c r="T2756" s="8">
        <v>1</v>
      </c>
      <c r="U2756" s="8">
        <v>2</v>
      </c>
      <c r="AG2756" s="8" t="str">
        <f t="shared" si="173"/>
        <v/>
      </c>
      <c r="AI2756" s="8" t="str">
        <f t="shared" si="174"/>
        <v/>
      </c>
      <c r="AJ2756" s="8" t="str">
        <f t="shared" si="175"/>
        <v/>
      </c>
      <c r="AL2756" s="8" t="str">
        <f t="shared" si="176"/>
        <v/>
      </c>
    </row>
    <row r="2757" spans="1:38" x14ac:dyDescent="0.25">
      <c r="A2757" s="8" t="s">
        <v>4222</v>
      </c>
      <c r="B2757" s="8" t="s">
        <v>4223</v>
      </c>
      <c r="C2757" s="8">
        <v>30848610</v>
      </c>
      <c r="D2757" s="8">
        <v>5</v>
      </c>
      <c r="E2757" s="11">
        <v>43109</v>
      </c>
      <c r="F2757" s="8" t="s">
        <v>58</v>
      </c>
      <c r="G2757" s="11">
        <v>43111</v>
      </c>
      <c r="H2757" s="8" t="s">
        <v>25</v>
      </c>
      <c r="I2757" s="11">
        <v>43115</v>
      </c>
      <c r="J2757" s="8" t="s">
        <v>25</v>
      </c>
      <c r="N2757" s="8" t="s">
        <v>58</v>
      </c>
      <c r="O2757" s="8" t="s">
        <v>59</v>
      </c>
      <c r="P2757" s="8" t="s">
        <v>59</v>
      </c>
      <c r="R2757" s="8">
        <v>0</v>
      </c>
      <c r="S2757" s="8">
        <v>0</v>
      </c>
      <c r="T2757" s="8">
        <v>1</v>
      </c>
      <c r="U2757" s="8">
        <v>2</v>
      </c>
      <c r="X2757" s="8">
        <v>5</v>
      </c>
      <c r="AG2757" s="8" t="str">
        <f t="shared" si="173"/>
        <v/>
      </c>
      <c r="AI2757" s="8" t="str">
        <f t="shared" si="174"/>
        <v/>
      </c>
      <c r="AJ2757" s="8" t="str">
        <f t="shared" si="175"/>
        <v/>
      </c>
      <c r="AL2757" s="8" t="str">
        <f t="shared" si="176"/>
        <v/>
      </c>
    </row>
    <row r="2758" spans="1:38" x14ac:dyDescent="0.25">
      <c r="A2758" s="8" t="s">
        <v>7661</v>
      </c>
      <c r="B2758" s="8" t="s">
        <v>7662</v>
      </c>
      <c r="C2758" s="8">
        <v>30883514</v>
      </c>
      <c r="D2758" s="8">
        <v>5</v>
      </c>
      <c r="E2758" s="11">
        <v>43111</v>
      </c>
      <c r="F2758" s="8" t="s">
        <v>57</v>
      </c>
      <c r="G2758" s="11">
        <v>43115</v>
      </c>
      <c r="H2758" s="8" t="s">
        <v>25</v>
      </c>
      <c r="J2758" s="8" t="s">
        <v>25</v>
      </c>
      <c r="N2758" s="8" t="s">
        <v>58</v>
      </c>
      <c r="O2758" s="8" t="s">
        <v>59</v>
      </c>
      <c r="P2758" s="8" t="s">
        <v>59</v>
      </c>
      <c r="R2758" s="8">
        <v>0</v>
      </c>
      <c r="S2758" s="8">
        <v>0</v>
      </c>
      <c r="T2758" s="8">
        <v>1</v>
      </c>
      <c r="U2758" s="8">
        <v>2</v>
      </c>
      <c r="AG2758" s="8" t="str">
        <f t="shared" si="173"/>
        <v/>
      </c>
      <c r="AI2758" s="8" t="str">
        <f t="shared" si="174"/>
        <v/>
      </c>
      <c r="AJ2758" s="8" t="str">
        <f t="shared" si="175"/>
        <v/>
      </c>
      <c r="AL2758" s="8" t="str">
        <f t="shared" si="176"/>
        <v/>
      </c>
    </row>
    <row r="2759" spans="1:38" x14ac:dyDescent="0.25">
      <c r="A2759" s="8" t="s">
        <v>2747</v>
      </c>
      <c r="B2759" s="8" t="s">
        <v>2748</v>
      </c>
      <c r="C2759" s="8">
        <v>30814133</v>
      </c>
      <c r="D2759" s="8">
        <v>5</v>
      </c>
      <c r="E2759" s="11">
        <v>43108</v>
      </c>
      <c r="F2759" s="8" t="s">
        <v>58</v>
      </c>
      <c r="G2759" s="11">
        <v>43110</v>
      </c>
      <c r="H2759" s="8" t="s">
        <v>25</v>
      </c>
      <c r="I2759" s="11">
        <v>43115</v>
      </c>
      <c r="J2759" s="8" t="s">
        <v>145</v>
      </c>
      <c r="N2759" s="8" t="s">
        <v>58</v>
      </c>
      <c r="O2759" s="8" t="s">
        <v>59</v>
      </c>
      <c r="P2759" s="8" t="s">
        <v>59</v>
      </c>
      <c r="R2759" s="8">
        <v>0</v>
      </c>
      <c r="S2759" s="8">
        <v>0</v>
      </c>
      <c r="T2759" s="8">
        <v>1</v>
      </c>
      <c r="U2759" s="8">
        <v>2</v>
      </c>
      <c r="X2759" s="8">
        <v>5</v>
      </c>
      <c r="AG2759" s="8" t="str">
        <f t="shared" si="173"/>
        <v/>
      </c>
      <c r="AI2759" s="8" t="str">
        <f t="shared" si="174"/>
        <v/>
      </c>
      <c r="AJ2759" s="8" t="str">
        <f t="shared" si="175"/>
        <v/>
      </c>
      <c r="AL2759" s="8" t="str">
        <f t="shared" si="176"/>
        <v/>
      </c>
    </row>
    <row r="2760" spans="1:38" x14ac:dyDescent="0.25">
      <c r="A2760" s="8" t="s">
        <v>5860</v>
      </c>
      <c r="B2760" s="8" t="s">
        <v>5861</v>
      </c>
      <c r="C2760" s="8">
        <v>30861445</v>
      </c>
      <c r="D2760" s="8">
        <v>5</v>
      </c>
      <c r="E2760" s="11">
        <v>43110</v>
      </c>
      <c r="F2760" s="8" t="s">
        <v>57</v>
      </c>
      <c r="G2760" s="11">
        <v>43112</v>
      </c>
      <c r="H2760" s="8" t="s">
        <v>25</v>
      </c>
      <c r="J2760" s="8" t="s">
        <v>25</v>
      </c>
      <c r="N2760" s="8" t="s">
        <v>58</v>
      </c>
      <c r="O2760" s="8" t="s">
        <v>59</v>
      </c>
      <c r="P2760" s="8" t="s">
        <v>59</v>
      </c>
      <c r="R2760" s="8">
        <v>0</v>
      </c>
      <c r="S2760" s="8">
        <v>0</v>
      </c>
      <c r="T2760" s="8">
        <v>1</v>
      </c>
      <c r="U2760" s="8">
        <v>2</v>
      </c>
      <c r="AG2760" s="8" t="str">
        <f t="shared" si="173"/>
        <v/>
      </c>
      <c r="AI2760" s="8" t="str">
        <f t="shared" si="174"/>
        <v/>
      </c>
      <c r="AJ2760" s="8" t="str">
        <f t="shared" si="175"/>
        <v/>
      </c>
      <c r="AL2760" s="8" t="str">
        <f t="shared" si="176"/>
        <v/>
      </c>
    </row>
    <row r="2761" spans="1:38" x14ac:dyDescent="0.25">
      <c r="A2761" s="8" t="s">
        <v>2749</v>
      </c>
      <c r="B2761" s="8" t="s">
        <v>2750</v>
      </c>
      <c r="C2761" s="8">
        <v>30807138</v>
      </c>
      <c r="D2761" s="8">
        <v>5</v>
      </c>
      <c r="E2761" s="11">
        <v>43108</v>
      </c>
      <c r="F2761" s="8" t="s">
        <v>58</v>
      </c>
      <c r="G2761" s="11">
        <v>43110</v>
      </c>
      <c r="H2761" s="8" t="s">
        <v>25</v>
      </c>
      <c r="I2761" s="11">
        <v>43112</v>
      </c>
      <c r="J2761" s="8" t="s">
        <v>25</v>
      </c>
      <c r="N2761" s="8" t="s">
        <v>58</v>
      </c>
      <c r="O2761" s="8" t="s">
        <v>59</v>
      </c>
      <c r="P2761" s="8" t="s">
        <v>59</v>
      </c>
      <c r="R2761" s="8">
        <v>0</v>
      </c>
      <c r="S2761" s="8">
        <v>0</v>
      </c>
      <c r="T2761" s="8">
        <v>1</v>
      </c>
      <c r="U2761" s="8">
        <v>2</v>
      </c>
      <c r="X2761" s="8">
        <v>5</v>
      </c>
      <c r="AG2761" s="8" t="str">
        <f t="shared" si="173"/>
        <v/>
      </c>
      <c r="AI2761" s="8" t="str">
        <f t="shared" si="174"/>
        <v/>
      </c>
      <c r="AJ2761" s="8" t="str">
        <f t="shared" si="175"/>
        <v/>
      </c>
      <c r="AL2761" s="8" t="str">
        <f t="shared" si="176"/>
        <v/>
      </c>
    </row>
    <row r="2762" spans="1:38" x14ac:dyDescent="0.25">
      <c r="A2762" s="8" t="s">
        <v>4224</v>
      </c>
      <c r="B2762" s="8" t="s">
        <v>4225</v>
      </c>
      <c r="C2762" s="8">
        <v>30852089</v>
      </c>
      <c r="D2762" s="8">
        <v>5</v>
      </c>
      <c r="E2762" s="11">
        <v>43109</v>
      </c>
      <c r="F2762" s="8" t="s">
        <v>57</v>
      </c>
      <c r="G2762" s="11">
        <v>43111</v>
      </c>
      <c r="H2762" s="8" t="s">
        <v>25</v>
      </c>
      <c r="J2762" s="8" t="s">
        <v>25</v>
      </c>
      <c r="N2762" s="8" t="s">
        <v>58</v>
      </c>
      <c r="O2762" s="8" t="s">
        <v>59</v>
      </c>
      <c r="P2762" s="8" t="s">
        <v>59</v>
      </c>
      <c r="R2762" s="8">
        <v>0</v>
      </c>
      <c r="S2762" s="8">
        <v>0</v>
      </c>
      <c r="T2762" s="8">
        <v>1</v>
      </c>
      <c r="U2762" s="8">
        <v>2</v>
      </c>
      <c r="AG2762" s="8" t="str">
        <f t="shared" si="173"/>
        <v/>
      </c>
      <c r="AI2762" s="8" t="str">
        <f t="shared" si="174"/>
        <v/>
      </c>
      <c r="AJ2762" s="8" t="str">
        <f t="shared" si="175"/>
        <v/>
      </c>
      <c r="AL2762" s="8" t="str">
        <f t="shared" si="176"/>
        <v/>
      </c>
    </row>
    <row r="2763" spans="1:38" x14ac:dyDescent="0.25">
      <c r="A2763" s="8" t="s">
        <v>7663</v>
      </c>
      <c r="B2763" s="8" t="s">
        <v>7664</v>
      </c>
      <c r="C2763" s="8">
        <v>30903773</v>
      </c>
      <c r="D2763" s="8">
        <v>5</v>
      </c>
      <c r="E2763" s="11">
        <v>43111</v>
      </c>
      <c r="F2763" s="8" t="s">
        <v>57</v>
      </c>
      <c r="G2763" s="11">
        <v>43115</v>
      </c>
      <c r="H2763" s="8" t="s">
        <v>25</v>
      </c>
      <c r="J2763" s="8" t="s">
        <v>25</v>
      </c>
      <c r="N2763" s="8" t="s">
        <v>58</v>
      </c>
      <c r="O2763" s="8" t="s">
        <v>59</v>
      </c>
      <c r="P2763" s="8" t="s">
        <v>59</v>
      </c>
      <c r="R2763" s="8">
        <v>0</v>
      </c>
      <c r="S2763" s="8">
        <v>0</v>
      </c>
      <c r="T2763" s="8">
        <v>1</v>
      </c>
      <c r="U2763" s="8">
        <v>2</v>
      </c>
      <c r="AG2763" s="8" t="str">
        <f t="shared" si="173"/>
        <v/>
      </c>
      <c r="AI2763" s="8" t="str">
        <f t="shared" si="174"/>
        <v/>
      </c>
      <c r="AJ2763" s="8" t="str">
        <f t="shared" si="175"/>
        <v/>
      </c>
      <c r="AL2763" s="8" t="str">
        <f t="shared" si="176"/>
        <v/>
      </c>
    </row>
    <row r="2764" spans="1:38" x14ac:dyDescent="0.25">
      <c r="A2764" s="8" t="s">
        <v>7665</v>
      </c>
      <c r="B2764" s="8" t="s">
        <v>7666</v>
      </c>
      <c r="C2764" s="8">
        <v>30940471</v>
      </c>
      <c r="D2764" s="8">
        <v>5</v>
      </c>
      <c r="E2764" s="11">
        <v>43115</v>
      </c>
      <c r="F2764" s="8" t="s">
        <v>57</v>
      </c>
      <c r="G2764" s="11">
        <v>43115</v>
      </c>
      <c r="H2764" s="8" t="s">
        <v>25</v>
      </c>
      <c r="J2764" s="8" t="s">
        <v>25</v>
      </c>
      <c r="N2764" s="8" t="s">
        <v>58</v>
      </c>
      <c r="O2764" s="8" t="s">
        <v>59</v>
      </c>
      <c r="P2764" s="8" t="s">
        <v>59</v>
      </c>
      <c r="R2764" s="8">
        <v>0</v>
      </c>
      <c r="S2764" s="8">
        <v>0</v>
      </c>
      <c r="T2764" s="8">
        <v>1</v>
      </c>
      <c r="U2764" s="8">
        <v>2</v>
      </c>
      <c r="AG2764" s="8" t="str">
        <f t="shared" si="173"/>
        <v/>
      </c>
      <c r="AI2764" s="8" t="str">
        <f t="shared" si="174"/>
        <v/>
      </c>
      <c r="AJ2764" s="8" t="str">
        <f t="shared" si="175"/>
        <v/>
      </c>
      <c r="AL2764" s="8" t="str">
        <f t="shared" si="176"/>
        <v/>
      </c>
    </row>
    <row r="2765" spans="1:38" x14ac:dyDescent="0.25">
      <c r="A2765" s="8" t="s">
        <v>4226</v>
      </c>
      <c r="B2765" s="8" t="s">
        <v>4227</v>
      </c>
      <c r="C2765" s="8">
        <v>30845692</v>
      </c>
      <c r="D2765" s="8">
        <v>5</v>
      </c>
      <c r="E2765" s="11">
        <v>43109</v>
      </c>
      <c r="F2765" s="8" t="s">
        <v>57</v>
      </c>
      <c r="G2765" s="11">
        <v>43111</v>
      </c>
      <c r="H2765" s="8" t="s">
        <v>25</v>
      </c>
      <c r="J2765" s="8" t="s">
        <v>25</v>
      </c>
      <c r="N2765" s="8" t="s">
        <v>58</v>
      </c>
      <c r="O2765" s="8" t="s">
        <v>59</v>
      </c>
      <c r="P2765" s="8" t="s">
        <v>59</v>
      </c>
      <c r="R2765" s="8">
        <v>0</v>
      </c>
      <c r="S2765" s="8">
        <v>0</v>
      </c>
      <c r="T2765" s="8">
        <v>1</v>
      </c>
      <c r="U2765" s="8">
        <v>2</v>
      </c>
      <c r="AG2765" s="8" t="str">
        <f t="shared" si="173"/>
        <v/>
      </c>
      <c r="AI2765" s="8" t="str">
        <f t="shared" si="174"/>
        <v/>
      </c>
      <c r="AJ2765" s="8" t="str">
        <f t="shared" si="175"/>
        <v/>
      </c>
      <c r="AL2765" s="8" t="str">
        <f t="shared" si="176"/>
        <v/>
      </c>
    </row>
    <row r="2766" spans="1:38" x14ac:dyDescent="0.25">
      <c r="A2766" s="8" t="s">
        <v>584</v>
      </c>
      <c r="B2766" s="8" t="s">
        <v>585</v>
      </c>
      <c r="C2766" s="8">
        <v>30820555</v>
      </c>
      <c r="D2766" s="8">
        <v>5</v>
      </c>
      <c r="E2766" s="11">
        <v>43108</v>
      </c>
      <c r="F2766" s="8" t="s">
        <v>58</v>
      </c>
      <c r="G2766" s="11">
        <v>43108</v>
      </c>
      <c r="H2766" s="8" t="s">
        <v>25</v>
      </c>
      <c r="I2766" s="11">
        <v>43110</v>
      </c>
      <c r="J2766" s="8" t="s">
        <v>25</v>
      </c>
      <c r="N2766" s="8" t="s">
        <v>58</v>
      </c>
      <c r="O2766" s="8" t="s">
        <v>59</v>
      </c>
      <c r="P2766" s="8" t="s">
        <v>59</v>
      </c>
      <c r="R2766" s="8">
        <v>0</v>
      </c>
      <c r="S2766" s="8">
        <v>0</v>
      </c>
      <c r="T2766" s="8">
        <v>1</v>
      </c>
      <c r="U2766" s="8">
        <v>2</v>
      </c>
      <c r="X2766" s="8">
        <v>5</v>
      </c>
      <c r="AG2766" s="8" t="str">
        <f t="shared" si="173"/>
        <v/>
      </c>
      <c r="AI2766" s="8" t="str">
        <f t="shared" si="174"/>
        <v/>
      </c>
      <c r="AJ2766" s="8" t="str">
        <f t="shared" si="175"/>
        <v/>
      </c>
      <c r="AL2766" s="8" t="str">
        <f t="shared" si="176"/>
        <v/>
      </c>
    </row>
    <row r="2767" spans="1:38" x14ac:dyDescent="0.25">
      <c r="A2767" s="8" t="s">
        <v>7667</v>
      </c>
      <c r="B2767" s="8" t="s">
        <v>7668</v>
      </c>
      <c r="C2767" s="8">
        <v>30903788</v>
      </c>
      <c r="D2767" s="8">
        <v>5</v>
      </c>
      <c r="E2767" s="11">
        <v>43111</v>
      </c>
      <c r="F2767" s="8" t="s">
        <v>57</v>
      </c>
      <c r="G2767" s="11">
        <v>43115</v>
      </c>
      <c r="H2767" s="8" t="s">
        <v>25</v>
      </c>
      <c r="J2767" s="8" t="s">
        <v>25</v>
      </c>
      <c r="N2767" s="8" t="s">
        <v>58</v>
      </c>
      <c r="O2767" s="8" t="s">
        <v>59</v>
      </c>
      <c r="P2767" s="8" t="s">
        <v>59</v>
      </c>
      <c r="R2767" s="8">
        <v>0</v>
      </c>
      <c r="S2767" s="8">
        <v>0</v>
      </c>
      <c r="T2767" s="8">
        <v>1</v>
      </c>
      <c r="U2767" s="8">
        <v>2</v>
      </c>
      <c r="AG2767" s="8" t="str">
        <f t="shared" si="173"/>
        <v/>
      </c>
      <c r="AI2767" s="8" t="str">
        <f t="shared" si="174"/>
        <v/>
      </c>
      <c r="AJ2767" s="8" t="str">
        <f t="shared" si="175"/>
        <v/>
      </c>
      <c r="AL2767" s="8" t="str">
        <f t="shared" si="176"/>
        <v/>
      </c>
    </row>
    <row r="2768" spans="1:38" x14ac:dyDescent="0.25">
      <c r="A2768" s="8" t="s">
        <v>4228</v>
      </c>
      <c r="B2768" s="8" t="s">
        <v>4229</v>
      </c>
      <c r="C2768" s="8">
        <v>30840887</v>
      </c>
      <c r="D2768" s="8">
        <v>5</v>
      </c>
      <c r="E2768" s="11">
        <v>43109</v>
      </c>
      <c r="F2768" s="8" t="s">
        <v>57</v>
      </c>
      <c r="G2768" s="11">
        <v>43111</v>
      </c>
      <c r="H2768" s="8" t="s">
        <v>25</v>
      </c>
      <c r="J2768" s="8" t="s">
        <v>25</v>
      </c>
      <c r="N2768" s="8" t="s">
        <v>58</v>
      </c>
      <c r="O2768" s="8" t="s">
        <v>59</v>
      </c>
      <c r="P2768" s="8" t="s">
        <v>59</v>
      </c>
      <c r="R2768" s="8">
        <v>0</v>
      </c>
      <c r="S2768" s="8">
        <v>0</v>
      </c>
      <c r="T2768" s="8">
        <v>1</v>
      </c>
      <c r="U2768" s="8">
        <v>2</v>
      </c>
      <c r="AG2768" s="8" t="str">
        <f t="shared" si="173"/>
        <v/>
      </c>
      <c r="AI2768" s="8" t="str">
        <f t="shared" si="174"/>
        <v/>
      </c>
      <c r="AJ2768" s="8" t="str">
        <f t="shared" si="175"/>
        <v/>
      </c>
      <c r="AL2768" s="8" t="str">
        <f t="shared" si="176"/>
        <v/>
      </c>
    </row>
    <row r="2769" spans="1:38" x14ac:dyDescent="0.25">
      <c r="A2769" s="8" t="s">
        <v>5862</v>
      </c>
      <c r="B2769" s="8" t="s">
        <v>5863</v>
      </c>
      <c r="C2769" s="8">
        <v>30870626</v>
      </c>
      <c r="D2769" s="8">
        <v>5</v>
      </c>
      <c r="E2769" s="11">
        <v>43110</v>
      </c>
      <c r="F2769" s="8" t="s">
        <v>57</v>
      </c>
      <c r="G2769" s="11">
        <v>43112</v>
      </c>
      <c r="H2769" s="8" t="s">
        <v>25</v>
      </c>
      <c r="J2769" s="8" t="s">
        <v>25</v>
      </c>
      <c r="N2769" s="8" t="s">
        <v>58</v>
      </c>
      <c r="O2769" s="8" t="s">
        <v>59</v>
      </c>
      <c r="P2769" s="8" t="s">
        <v>59</v>
      </c>
      <c r="R2769" s="8">
        <v>0</v>
      </c>
      <c r="S2769" s="8">
        <v>0</v>
      </c>
      <c r="T2769" s="8">
        <v>1</v>
      </c>
      <c r="U2769" s="8">
        <v>2</v>
      </c>
      <c r="AG2769" s="8" t="str">
        <f t="shared" si="173"/>
        <v/>
      </c>
      <c r="AI2769" s="8" t="str">
        <f t="shared" si="174"/>
        <v/>
      </c>
      <c r="AJ2769" s="8" t="str">
        <f t="shared" si="175"/>
        <v/>
      </c>
      <c r="AL2769" s="8" t="str">
        <f t="shared" si="176"/>
        <v/>
      </c>
    </row>
    <row r="2770" spans="1:38" x14ac:dyDescent="0.25">
      <c r="A2770" s="8" t="s">
        <v>4230</v>
      </c>
      <c r="B2770" s="8" t="s">
        <v>4231</v>
      </c>
      <c r="C2770" s="8">
        <v>30840966</v>
      </c>
      <c r="D2770" s="8">
        <v>4</v>
      </c>
      <c r="E2770" s="11">
        <v>43109</v>
      </c>
      <c r="F2770" s="8" t="s">
        <v>58</v>
      </c>
      <c r="G2770" s="11">
        <v>43111</v>
      </c>
      <c r="H2770" s="8" t="s">
        <v>25</v>
      </c>
      <c r="I2770" s="11">
        <v>43112</v>
      </c>
      <c r="J2770" s="8" t="s">
        <v>25</v>
      </c>
      <c r="N2770" s="8" t="s">
        <v>58</v>
      </c>
      <c r="O2770" s="8" t="s">
        <v>59</v>
      </c>
      <c r="P2770" s="8" t="s">
        <v>59</v>
      </c>
      <c r="R2770" s="8">
        <v>0</v>
      </c>
      <c r="S2770" s="8">
        <v>0</v>
      </c>
      <c r="T2770" s="8">
        <v>1</v>
      </c>
      <c r="U2770" s="8">
        <v>2</v>
      </c>
      <c r="X2770" s="8">
        <v>5</v>
      </c>
      <c r="AG2770" s="8" t="str">
        <f t="shared" si="173"/>
        <v/>
      </c>
      <c r="AI2770" s="8" t="str">
        <f t="shared" si="174"/>
        <v/>
      </c>
      <c r="AJ2770" s="8" t="str">
        <f t="shared" si="175"/>
        <v/>
      </c>
      <c r="AL2770" s="8" t="str">
        <f t="shared" si="176"/>
        <v/>
      </c>
    </row>
    <row r="2771" spans="1:38" x14ac:dyDescent="0.25">
      <c r="A2771" s="8" t="s">
        <v>7669</v>
      </c>
      <c r="B2771" s="8" t="s">
        <v>7670</v>
      </c>
      <c r="C2771" s="8">
        <v>30944599</v>
      </c>
      <c r="D2771" s="8">
        <v>5</v>
      </c>
      <c r="E2771" s="11">
        <v>43115</v>
      </c>
      <c r="F2771" s="8" t="s">
        <v>57</v>
      </c>
      <c r="G2771" s="11">
        <v>43115</v>
      </c>
      <c r="H2771" s="8" t="s">
        <v>25</v>
      </c>
      <c r="J2771" s="8" t="s">
        <v>25</v>
      </c>
      <c r="N2771" s="8" t="s">
        <v>58</v>
      </c>
      <c r="O2771" s="8" t="s">
        <v>59</v>
      </c>
      <c r="P2771" s="8" t="s">
        <v>59</v>
      </c>
      <c r="R2771" s="8">
        <v>0</v>
      </c>
      <c r="S2771" s="8">
        <v>0</v>
      </c>
      <c r="T2771" s="8">
        <v>1</v>
      </c>
      <c r="U2771" s="8">
        <v>2</v>
      </c>
      <c r="AG2771" s="8" t="str">
        <f t="shared" si="173"/>
        <v/>
      </c>
      <c r="AI2771" s="8" t="str">
        <f t="shared" si="174"/>
        <v/>
      </c>
      <c r="AJ2771" s="8" t="str">
        <f t="shared" si="175"/>
        <v/>
      </c>
      <c r="AL2771" s="8" t="str">
        <f t="shared" si="176"/>
        <v/>
      </c>
    </row>
    <row r="2772" spans="1:38" x14ac:dyDescent="0.25">
      <c r="A2772" s="8" t="s">
        <v>586</v>
      </c>
      <c r="B2772" s="8" t="s">
        <v>587</v>
      </c>
      <c r="C2772" s="8">
        <v>30826153</v>
      </c>
      <c r="D2772" s="8">
        <v>5</v>
      </c>
      <c r="E2772" s="11">
        <v>43108</v>
      </c>
      <c r="F2772" s="8" t="s">
        <v>58</v>
      </c>
      <c r="G2772" s="11">
        <v>43108</v>
      </c>
      <c r="H2772" s="8" t="s">
        <v>25</v>
      </c>
      <c r="I2772" s="11">
        <v>43110</v>
      </c>
      <c r="J2772" s="8" t="s">
        <v>25</v>
      </c>
      <c r="N2772" s="8" t="s">
        <v>58</v>
      </c>
      <c r="O2772" s="8" t="s">
        <v>59</v>
      </c>
      <c r="P2772" s="8" t="s">
        <v>59</v>
      </c>
      <c r="R2772" s="8">
        <v>0</v>
      </c>
      <c r="S2772" s="8">
        <v>0</v>
      </c>
      <c r="T2772" s="8">
        <v>1</v>
      </c>
      <c r="U2772" s="8">
        <v>2</v>
      </c>
      <c r="X2772" s="8">
        <v>5</v>
      </c>
      <c r="AG2772" s="8" t="str">
        <f t="shared" si="173"/>
        <v/>
      </c>
      <c r="AI2772" s="8" t="str">
        <f t="shared" si="174"/>
        <v/>
      </c>
      <c r="AJ2772" s="8" t="str">
        <f t="shared" si="175"/>
        <v/>
      </c>
      <c r="AL2772" s="8" t="str">
        <f t="shared" si="176"/>
        <v/>
      </c>
    </row>
    <row r="2773" spans="1:38" x14ac:dyDescent="0.25">
      <c r="A2773" s="8" t="s">
        <v>2751</v>
      </c>
      <c r="B2773" s="8" t="s">
        <v>2752</v>
      </c>
      <c r="C2773" s="8">
        <v>30810973</v>
      </c>
      <c r="D2773" s="8">
        <v>5</v>
      </c>
      <c r="E2773" s="11">
        <v>43108</v>
      </c>
      <c r="F2773" s="8" t="s">
        <v>58</v>
      </c>
      <c r="G2773" s="11">
        <v>43110</v>
      </c>
      <c r="H2773" s="8" t="s">
        <v>25</v>
      </c>
      <c r="I2773" s="11">
        <v>43112</v>
      </c>
      <c r="J2773" s="8" t="s">
        <v>25</v>
      </c>
      <c r="N2773" s="8" t="s">
        <v>58</v>
      </c>
      <c r="O2773" s="8" t="s">
        <v>59</v>
      </c>
      <c r="P2773" s="8" t="s">
        <v>59</v>
      </c>
      <c r="R2773" s="8">
        <v>0</v>
      </c>
      <c r="S2773" s="8">
        <v>0</v>
      </c>
      <c r="T2773" s="8">
        <v>1</v>
      </c>
      <c r="U2773" s="8">
        <v>2</v>
      </c>
      <c r="X2773" s="8">
        <v>5</v>
      </c>
      <c r="AG2773" s="8" t="str">
        <f t="shared" si="173"/>
        <v/>
      </c>
      <c r="AI2773" s="8" t="str">
        <f t="shared" si="174"/>
        <v/>
      </c>
      <c r="AJ2773" s="8" t="str">
        <f t="shared" si="175"/>
        <v/>
      </c>
      <c r="AL2773" s="8" t="str">
        <f t="shared" si="176"/>
        <v/>
      </c>
    </row>
    <row r="2774" spans="1:38" x14ac:dyDescent="0.25">
      <c r="A2774" s="8" t="s">
        <v>2753</v>
      </c>
      <c r="B2774" s="8" t="s">
        <v>2754</v>
      </c>
      <c r="C2774" s="8">
        <v>30815188</v>
      </c>
      <c r="D2774" s="8">
        <v>5</v>
      </c>
      <c r="E2774" s="11">
        <v>43108</v>
      </c>
      <c r="F2774" s="8" t="s">
        <v>57</v>
      </c>
      <c r="G2774" s="11">
        <v>43110</v>
      </c>
      <c r="H2774" s="8" t="s">
        <v>25</v>
      </c>
      <c r="J2774" s="8" t="s">
        <v>25</v>
      </c>
      <c r="N2774" s="8" t="s">
        <v>58</v>
      </c>
      <c r="O2774" s="8" t="s">
        <v>59</v>
      </c>
      <c r="P2774" s="8" t="s">
        <v>59</v>
      </c>
      <c r="R2774" s="8">
        <v>0</v>
      </c>
      <c r="S2774" s="8">
        <v>0</v>
      </c>
      <c r="T2774" s="8">
        <v>1</v>
      </c>
      <c r="U2774" s="8">
        <v>2</v>
      </c>
      <c r="AG2774" s="8" t="str">
        <f t="shared" si="173"/>
        <v/>
      </c>
      <c r="AI2774" s="8" t="str">
        <f t="shared" si="174"/>
        <v/>
      </c>
      <c r="AJ2774" s="8" t="str">
        <f t="shared" si="175"/>
        <v/>
      </c>
      <c r="AL2774" s="8" t="str">
        <f t="shared" si="176"/>
        <v/>
      </c>
    </row>
    <row r="2775" spans="1:38" x14ac:dyDescent="0.25">
      <c r="A2775" s="8" t="s">
        <v>5864</v>
      </c>
      <c r="B2775" s="8" t="s">
        <v>5865</v>
      </c>
      <c r="C2775" s="8">
        <v>30886444</v>
      </c>
      <c r="D2775" s="8">
        <v>5</v>
      </c>
      <c r="E2775" s="11">
        <v>43111</v>
      </c>
      <c r="F2775" s="8" t="s">
        <v>57</v>
      </c>
      <c r="G2775" s="11">
        <v>43112</v>
      </c>
      <c r="H2775" s="8" t="s">
        <v>25</v>
      </c>
      <c r="J2775" s="8" t="s">
        <v>25</v>
      </c>
      <c r="N2775" s="8" t="s">
        <v>58</v>
      </c>
      <c r="O2775" s="8" t="s">
        <v>59</v>
      </c>
      <c r="P2775" s="8" t="s">
        <v>59</v>
      </c>
      <c r="R2775" s="8">
        <v>0</v>
      </c>
      <c r="S2775" s="8">
        <v>0</v>
      </c>
      <c r="T2775" s="8">
        <v>1</v>
      </c>
      <c r="U2775" s="8">
        <v>2</v>
      </c>
      <c r="AG2775" s="8" t="str">
        <f t="shared" si="173"/>
        <v/>
      </c>
      <c r="AI2775" s="8" t="str">
        <f t="shared" si="174"/>
        <v/>
      </c>
      <c r="AJ2775" s="8" t="str">
        <f t="shared" si="175"/>
        <v/>
      </c>
      <c r="AL2775" s="8" t="str">
        <f t="shared" si="176"/>
        <v/>
      </c>
    </row>
    <row r="2776" spans="1:38" x14ac:dyDescent="0.25">
      <c r="A2776" s="8" t="s">
        <v>2755</v>
      </c>
      <c r="B2776" s="8" t="s">
        <v>2756</v>
      </c>
      <c r="C2776" s="8">
        <v>30808081</v>
      </c>
      <c r="D2776" s="8">
        <v>5</v>
      </c>
      <c r="E2776" s="11">
        <v>43108</v>
      </c>
      <c r="F2776" s="8" t="s">
        <v>58</v>
      </c>
      <c r="G2776" s="11">
        <v>43110</v>
      </c>
      <c r="H2776" s="8" t="s">
        <v>25</v>
      </c>
      <c r="I2776" s="11">
        <v>43112</v>
      </c>
      <c r="J2776" s="8" t="s">
        <v>25</v>
      </c>
      <c r="N2776" s="8" t="s">
        <v>58</v>
      </c>
      <c r="O2776" s="8" t="s">
        <v>59</v>
      </c>
      <c r="P2776" s="8" t="s">
        <v>59</v>
      </c>
      <c r="R2776" s="8">
        <v>0</v>
      </c>
      <c r="S2776" s="8">
        <v>0</v>
      </c>
      <c r="T2776" s="8">
        <v>1</v>
      </c>
      <c r="U2776" s="8">
        <v>2</v>
      </c>
      <c r="X2776" s="8">
        <v>5</v>
      </c>
      <c r="AG2776" s="8" t="str">
        <f t="shared" si="173"/>
        <v/>
      </c>
      <c r="AI2776" s="8" t="str">
        <f t="shared" si="174"/>
        <v/>
      </c>
      <c r="AJ2776" s="8" t="str">
        <f t="shared" si="175"/>
        <v/>
      </c>
      <c r="AL2776" s="8" t="str">
        <f t="shared" si="176"/>
        <v/>
      </c>
    </row>
    <row r="2777" spans="1:38" x14ac:dyDescent="0.25">
      <c r="A2777" s="8" t="s">
        <v>2757</v>
      </c>
      <c r="B2777" s="8" t="s">
        <v>2758</v>
      </c>
      <c r="C2777" s="8">
        <v>30827113</v>
      </c>
      <c r="D2777" s="8">
        <v>4</v>
      </c>
      <c r="E2777" s="11">
        <v>43108</v>
      </c>
      <c r="F2777" s="8" t="s">
        <v>57</v>
      </c>
      <c r="G2777" s="11">
        <v>43110</v>
      </c>
      <c r="H2777" s="8" t="s">
        <v>25</v>
      </c>
      <c r="J2777" s="8" t="s">
        <v>25</v>
      </c>
      <c r="N2777" s="8" t="s">
        <v>58</v>
      </c>
      <c r="O2777" s="8" t="s">
        <v>59</v>
      </c>
      <c r="P2777" s="8" t="s">
        <v>59</v>
      </c>
      <c r="R2777" s="8">
        <v>0</v>
      </c>
      <c r="S2777" s="8">
        <v>0</v>
      </c>
      <c r="T2777" s="8">
        <v>1</v>
      </c>
      <c r="U2777" s="8">
        <v>2</v>
      </c>
      <c r="AG2777" s="8" t="str">
        <f t="shared" si="173"/>
        <v/>
      </c>
      <c r="AI2777" s="8" t="str">
        <f t="shared" si="174"/>
        <v/>
      </c>
      <c r="AJ2777" s="8" t="str">
        <f t="shared" si="175"/>
        <v/>
      </c>
      <c r="AL2777" s="8" t="str">
        <f t="shared" si="176"/>
        <v/>
      </c>
    </row>
    <row r="2778" spans="1:38" x14ac:dyDescent="0.25">
      <c r="A2778" s="8" t="s">
        <v>7671</v>
      </c>
      <c r="B2778" s="8" t="s">
        <v>7672</v>
      </c>
      <c r="C2778" s="8">
        <v>30946957</v>
      </c>
      <c r="D2778" s="8">
        <v>5</v>
      </c>
      <c r="E2778" s="11">
        <v>43115</v>
      </c>
      <c r="F2778" s="8" t="s">
        <v>57</v>
      </c>
      <c r="G2778" s="11">
        <v>43115</v>
      </c>
      <c r="H2778" s="8" t="s">
        <v>25</v>
      </c>
      <c r="J2778" s="8" t="s">
        <v>25</v>
      </c>
      <c r="N2778" s="8" t="s">
        <v>58</v>
      </c>
      <c r="O2778" s="8" t="s">
        <v>59</v>
      </c>
      <c r="P2778" s="8" t="s">
        <v>59</v>
      </c>
      <c r="R2778" s="8">
        <v>0</v>
      </c>
      <c r="S2778" s="8">
        <v>0</v>
      </c>
      <c r="T2778" s="8">
        <v>1</v>
      </c>
      <c r="U2778" s="8">
        <v>2</v>
      </c>
      <c r="AG2778" s="8" t="str">
        <f t="shared" si="173"/>
        <v/>
      </c>
      <c r="AI2778" s="8" t="str">
        <f t="shared" si="174"/>
        <v/>
      </c>
      <c r="AJ2778" s="8" t="str">
        <f t="shared" si="175"/>
        <v/>
      </c>
      <c r="AL2778" s="8" t="str">
        <f t="shared" si="176"/>
        <v/>
      </c>
    </row>
    <row r="2779" spans="1:38" x14ac:dyDescent="0.25">
      <c r="A2779" s="8" t="s">
        <v>2759</v>
      </c>
      <c r="B2779" s="8" t="s">
        <v>2760</v>
      </c>
      <c r="C2779" s="8">
        <v>30816687</v>
      </c>
      <c r="D2779" s="8">
        <v>5</v>
      </c>
      <c r="E2779" s="11">
        <v>43108</v>
      </c>
      <c r="F2779" s="8" t="s">
        <v>58</v>
      </c>
      <c r="G2779" s="11">
        <v>43110</v>
      </c>
      <c r="H2779" s="8" t="s">
        <v>25</v>
      </c>
      <c r="I2779" s="11">
        <v>43115</v>
      </c>
      <c r="J2779" s="8" t="s">
        <v>145</v>
      </c>
      <c r="N2779" s="8" t="s">
        <v>58</v>
      </c>
      <c r="O2779" s="8" t="s">
        <v>59</v>
      </c>
      <c r="P2779" s="8" t="s">
        <v>59</v>
      </c>
      <c r="R2779" s="8">
        <v>0</v>
      </c>
      <c r="S2779" s="8">
        <v>0</v>
      </c>
      <c r="T2779" s="8">
        <v>1</v>
      </c>
      <c r="U2779" s="8">
        <v>2</v>
      </c>
      <c r="X2779" s="8">
        <v>5</v>
      </c>
      <c r="AG2779" s="8" t="str">
        <f t="shared" si="173"/>
        <v/>
      </c>
      <c r="AI2779" s="8" t="str">
        <f t="shared" si="174"/>
        <v/>
      </c>
      <c r="AJ2779" s="8" t="str">
        <f t="shared" si="175"/>
        <v/>
      </c>
      <c r="AL2779" s="8" t="str">
        <f t="shared" si="176"/>
        <v/>
      </c>
    </row>
    <row r="2780" spans="1:38" x14ac:dyDescent="0.25">
      <c r="A2780" s="8" t="s">
        <v>1411</v>
      </c>
      <c r="B2780" s="8" t="s">
        <v>1412</v>
      </c>
      <c r="C2780" s="8">
        <v>30850622</v>
      </c>
      <c r="D2780" s="8">
        <v>5</v>
      </c>
      <c r="E2780" s="11">
        <v>43109</v>
      </c>
      <c r="F2780" s="8" t="s">
        <v>58</v>
      </c>
      <c r="G2780" s="11">
        <v>43109</v>
      </c>
      <c r="H2780" s="8" t="s">
        <v>25</v>
      </c>
      <c r="I2780" s="11">
        <v>43115</v>
      </c>
      <c r="J2780" s="8" t="s">
        <v>145</v>
      </c>
      <c r="N2780" s="8" t="s">
        <v>58</v>
      </c>
      <c r="O2780" s="8" t="s">
        <v>59</v>
      </c>
      <c r="P2780" s="8" t="s">
        <v>59</v>
      </c>
      <c r="R2780" s="8">
        <v>0</v>
      </c>
      <c r="S2780" s="8">
        <v>0</v>
      </c>
      <c r="T2780" s="8">
        <v>1</v>
      </c>
      <c r="U2780" s="8">
        <v>2</v>
      </c>
      <c r="X2780" s="8">
        <v>5</v>
      </c>
      <c r="AG2780" s="8" t="str">
        <f t="shared" si="173"/>
        <v/>
      </c>
      <c r="AI2780" s="8" t="str">
        <f t="shared" si="174"/>
        <v/>
      </c>
      <c r="AJ2780" s="8" t="str">
        <f t="shared" si="175"/>
        <v/>
      </c>
      <c r="AL2780" s="8" t="str">
        <f t="shared" si="176"/>
        <v/>
      </c>
    </row>
    <row r="2781" spans="1:38" x14ac:dyDescent="0.25">
      <c r="A2781" s="8" t="s">
        <v>5866</v>
      </c>
      <c r="B2781" s="8" t="s">
        <v>5867</v>
      </c>
      <c r="C2781" s="8">
        <v>30870749</v>
      </c>
      <c r="D2781" s="8">
        <v>5</v>
      </c>
      <c r="E2781" s="11">
        <v>43110</v>
      </c>
      <c r="F2781" s="8" t="s">
        <v>57</v>
      </c>
      <c r="G2781" s="11">
        <v>43112</v>
      </c>
      <c r="H2781" s="8" t="s">
        <v>25</v>
      </c>
      <c r="J2781" s="8" t="s">
        <v>25</v>
      </c>
      <c r="N2781" s="8" t="s">
        <v>58</v>
      </c>
      <c r="O2781" s="8" t="s">
        <v>59</v>
      </c>
      <c r="P2781" s="8" t="s">
        <v>59</v>
      </c>
      <c r="R2781" s="8">
        <v>0</v>
      </c>
      <c r="S2781" s="8">
        <v>0</v>
      </c>
      <c r="T2781" s="8">
        <v>1</v>
      </c>
      <c r="U2781" s="8">
        <v>2</v>
      </c>
      <c r="AG2781" s="8" t="str">
        <f t="shared" si="173"/>
        <v/>
      </c>
      <c r="AI2781" s="8" t="str">
        <f t="shared" si="174"/>
        <v/>
      </c>
      <c r="AJ2781" s="8" t="str">
        <f t="shared" si="175"/>
        <v/>
      </c>
      <c r="AL2781" s="8" t="str">
        <f t="shared" si="176"/>
        <v/>
      </c>
    </row>
    <row r="2782" spans="1:38" x14ac:dyDescent="0.25">
      <c r="A2782" s="8" t="s">
        <v>588</v>
      </c>
      <c r="B2782" s="8" t="s">
        <v>589</v>
      </c>
      <c r="C2782" s="8">
        <v>30823610</v>
      </c>
      <c r="D2782" s="8">
        <v>5</v>
      </c>
      <c r="E2782" s="11">
        <v>43108</v>
      </c>
      <c r="F2782" s="8" t="s">
        <v>58</v>
      </c>
      <c r="G2782" s="11">
        <v>43108</v>
      </c>
      <c r="H2782" s="8" t="s">
        <v>25</v>
      </c>
      <c r="I2782" s="11">
        <v>43115</v>
      </c>
      <c r="J2782" s="8" t="s">
        <v>856</v>
      </c>
      <c r="N2782" s="8" t="s">
        <v>58</v>
      </c>
      <c r="O2782" s="8" t="s">
        <v>59</v>
      </c>
      <c r="P2782" s="8" t="s">
        <v>59</v>
      </c>
      <c r="R2782" s="8">
        <v>0</v>
      </c>
      <c r="S2782" s="8">
        <v>0</v>
      </c>
      <c r="T2782" s="8">
        <v>1</v>
      </c>
      <c r="U2782" s="8">
        <v>2</v>
      </c>
      <c r="X2782" s="8">
        <v>5</v>
      </c>
      <c r="AG2782" s="8" t="str">
        <f t="shared" si="173"/>
        <v/>
      </c>
      <c r="AI2782" s="8" t="str">
        <f t="shared" si="174"/>
        <v/>
      </c>
      <c r="AJ2782" s="8" t="str">
        <f t="shared" si="175"/>
        <v/>
      </c>
      <c r="AL2782" s="8" t="str">
        <f t="shared" si="176"/>
        <v/>
      </c>
    </row>
    <row r="2783" spans="1:38" x14ac:dyDescent="0.25">
      <c r="A2783" s="8" t="s">
        <v>7673</v>
      </c>
      <c r="B2783" s="8" t="s">
        <v>7674</v>
      </c>
      <c r="C2783" s="8">
        <v>30887107</v>
      </c>
      <c r="D2783" s="8">
        <v>5</v>
      </c>
      <c r="E2783" s="11">
        <v>43111</v>
      </c>
      <c r="F2783" s="8" t="s">
        <v>58</v>
      </c>
      <c r="G2783" s="11">
        <v>43115</v>
      </c>
      <c r="H2783" s="8" t="s">
        <v>25</v>
      </c>
      <c r="I2783" s="11">
        <v>43115</v>
      </c>
      <c r="J2783" s="8" t="s">
        <v>25</v>
      </c>
      <c r="N2783" s="8" t="s">
        <v>58</v>
      </c>
      <c r="O2783" s="8" t="s">
        <v>59</v>
      </c>
      <c r="P2783" s="8" t="s">
        <v>59</v>
      </c>
      <c r="R2783" s="8">
        <v>0</v>
      </c>
      <c r="S2783" s="8">
        <v>0</v>
      </c>
      <c r="T2783" s="8">
        <v>1</v>
      </c>
      <c r="U2783" s="8">
        <v>2</v>
      </c>
      <c r="X2783" s="8">
        <v>5</v>
      </c>
      <c r="AG2783" s="8" t="str">
        <f t="shared" si="173"/>
        <v/>
      </c>
      <c r="AI2783" s="8" t="str">
        <f t="shared" si="174"/>
        <v/>
      </c>
      <c r="AJ2783" s="8" t="str">
        <f t="shared" si="175"/>
        <v/>
      </c>
      <c r="AL2783" s="8" t="str">
        <f t="shared" si="176"/>
        <v/>
      </c>
    </row>
    <row r="2784" spans="1:38" x14ac:dyDescent="0.25">
      <c r="A2784" s="8" t="s">
        <v>1413</v>
      </c>
      <c r="B2784" s="8" t="s">
        <v>1414</v>
      </c>
      <c r="C2784" s="8">
        <v>30842236</v>
      </c>
      <c r="D2784" s="8">
        <v>5</v>
      </c>
      <c r="E2784" s="11">
        <v>43109</v>
      </c>
      <c r="F2784" s="8" t="s">
        <v>58</v>
      </c>
      <c r="G2784" s="11">
        <v>43109</v>
      </c>
      <c r="H2784" s="8" t="s">
        <v>25</v>
      </c>
      <c r="I2784" s="11">
        <v>43110</v>
      </c>
      <c r="J2784" s="8" t="s">
        <v>25</v>
      </c>
      <c r="N2784" s="8" t="s">
        <v>58</v>
      </c>
      <c r="O2784" s="8" t="s">
        <v>59</v>
      </c>
      <c r="P2784" s="8" t="s">
        <v>59</v>
      </c>
      <c r="R2784" s="8">
        <v>0</v>
      </c>
      <c r="S2784" s="8">
        <v>0</v>
      </c>
      <c r="T2784" s="8">
        <v>1</v>
      </c>
      <c r="U2784" s="8">
        <v>2</v>
      </c>
      <c r="X2784" s="8">
        <v>5</v>
      </c>
      <c r="AG2784" s="8" t="str">
        <f t="shared" si="173"/>
        <v/>
      </c>
      <c r="AI2784" s="8" t="str">
        <f t="shared" si="174"/>
        <v/>
      </c>
      <c r="AJ2784" s="8" t="str">
        <f t="shared" si="175"/>
        <v/>
      </c>
      <c r="AL2784" s="8" t="str">
        <f t="shared" si="176"/>
        <v/>
      </c>
    </row>
    <row r="2785" spans="1:38" x14ac:dyDescent="0.25">
      <c r="A2785" s="8" t="s">
        <v>4232</v>
      </c>
      <c r="B2785" s="8" t="s">
        <v>4233</v>
      </c>
      <c r="C2785" s="8">
        <v>30846495</v>
      </c>
      <c r="D2785" s="8">
        <v>5</v>
      </c>
      <c r="E2785" s="11">
        <v>43109</v>
      </c>
      <c r="F2785" s="8" t="s">
        <v>57</v>
      </c>
      <c r="G2785" s="11">
        <v>43111</v>
      </c>
      <c r="H2785" s="8" t="s">
        <v>25</v>
      </c>
      <c r="J2785" s="8" t="s">
        <v>25</v>
      </c>
      <c r="N2785" s="8" t="s">
        <v>58</v>
      </c>
      <c r="O2785" s="8" t="s">
        <v>59</v>
      </c>
      <c r="P2785" s="8" t="s">
        <v>59</v>
      </c>
      <c r="R2785" s="8">
        <v>0</v>
      </c>
      <c r="S2785" s="8">
        <v>0</v>
      </c>
      <c r="T2785" s="8">
        <v>1</v>
      </c>
      <c r="U2785" s="8">
        <v>2</v>
      </c>
      <c r="AG2785" s="8" t="str">
        <f t="shared" si="173"/>
        <v/>
      </c>
      <c r="AI2785" s="8" t="str">
        <f t="shared" si="174"/>
        <v/>
      </c>
      <c r="AJ2785" s="8" t="str">
        <f t="shared" si="175"/>
        <v/>
      </c>
      <c r="AL2785" s="8" t="str">
        <f t="shared" si="176"/>
        <v/>
      </c>
    </row>
    <row r="2786" spans="1:38" x14ac:dyDescent="0.25">
      <c r="A2786" s="8" t="s">
        <v>5868</v>
      </c>
      <c r="B2786" s="8" t="s">
        <v>5869</v>
      </c>
      <c r="C2786" s="8">
        <v>30877286</v>
      </c>
      <c r="D2786" s="8">
        <v>5</v>
      </c>
      <c r="E2786" s="11">
        <v>43110</v>
      </c>
      <c r="F2786" s="8" t="s">
        <v>57</v>
      </c>
      <c r="G2786" s="11">
        <v>43112</v>
      </c>
      <c r="H2786" s="8" t="s">
        <v>25</v>
      </c>
      <c r="J2786" s="8" t="s">
        <v>25</v>
      </c>
      <c r="N2786" s="8" t="s">
        <v>58</v>
      </c>
      <c r="O2786" s="8" t="s">
        <v>59</v>
      </c>
      <c r="P2786" s="8" t="s">
        <v>59</v>
      </c>
      <c r="R2786" s="8">
        <v>0</v>
      </c>
      <c r="S2786" s="8">
        <v>0</v>
      </c>
      <c r="T2786" s="8">
        <v>1</v>
      </c>
      <c r="U2786" s="8">
        <v>2</v>
      </c>
      <c r="AG2786" s="8" t="str">
        <f t="shared" si="173"/>
        <v/>
      </c>
      <c r="AI2786" s="8" t="str">
        <f t="shared" si="174"/>
        <v/>
      </c>
      <c r="AJ2786" s="8" t="str">
        <f t="shared" si="175"/>
        <v/>
      </c>
      <c r="AL2786" s="8" t="str">
        <f t="shared" si="176"/>
        <v/>
      </c>
    </row>
    <row r="2787" spans="1:38" x14ac:dyDescent="0.25">
      <c r="A2787" s="8" t="s">
        <v>7675</v>
      </c>
      <c r="B2787" s="8" t="s">
        <v>7676</v>
      </c>
      <c r="C2787" s="8">
        <v>30896415</v>
      </c>
      <c r="D2787" s="8">
        <v>5</v>
      </c>
      <c r="E2787" s="11">
        <v>43111</v>
      </c>
      <c r="F2787" s="8" t="s">
        <v>57</v>
      </c>
      <c r="G2787" s="11">
        <v>43115</v>
      </c>
      <c r="H2787" s="8" t="s">
        <v>25</v>
      </c>
      <c r="J2787" s="8" t="s">
        <v>25</v>
      </c>
      <c r="N2787" s="8" t="s">
        <v>58</v>
      </c>
      <c r="O2787" s="8" t="s">
        <v>59</v>
      </c>
      <c r="P2787" s="8" t="s">
        <v>59</v>
      </c>
      <c r="R2787" s="8">
        <v>0</v>
      </c>
      <c r="S2787" s="8">
        <v>0</v>
      </c>
      <c r="T2787" s="8">
        <v>1</v>
      </c>
      <c r="U2787" s="8">
        <v>2</v>
      </c>
      <c r="AG2787" s="8" t="str">
        <f t="shared" si="173"/>
        <v/>
      </c>
      <c r="AI2787" s="8" t="str">
        <f t="shared" si="174"/>
        <v/>
      </c>
      <c r="AJ2787" s="8" t="str">
        <f t="shared" si="175"/>
        <v/>
      </c>
      <c r="AL2787" s="8" t="str">
        <f t="shared" si="176"/>
        <v/>
      </c>
    </row>
    <row r="2788" spans="1:38" x14ac:dyDescent="0.25">
      <c r="A2788" s="8" t="s">
        <v>1415</v>
      </c>
      <c r="B2788" s="8" t="s">
        <v>1416</v>
      </c>
      <c r="C2788" s="8">
        <v>30839646</v>
      </c>
      <c r="D2788" s="8">
        <v>5</v>
      </c>
      <c r="E2788" s="11">
        <v>43109</v>
      </c>
      <c r="F2788" s="8" t="s">
        <v>60</v>
      </c>
      <c r="G2788" s="11">
        <v>43109</v>
      </c>
      <c r="H2788" s="8" t="s">
        <v>25</v>
      </c>
      <c r="J2788" s="8" t="s">
        <v>25</v>
      </c>
      <c r="L2788" s="8" t="s">
        <v>3287</v>
      </c>
      <c r="N2788" s="8" t="s">
        <v>58</v>
      </c>
      <c r="O2788" s="8" t="s">
        <v>59</v>
      </c>
      <c r="P2788" s="8" t="s">
        <v>59</v>
      </c>
      <c r="R2788" s="8">
        <v>0</v>
      </c>
      <c r="S2788" s="8">
        <v>0</v>
      </c>
      <c r="T2788" s="8">
        <v>1</v>
      </c>
      <c r="U2788" s="8">
        <v>2</v>
      </c>
      <c r="W2788" s="8">
        <v>4</v>
      </c>
      <c r="AG2788" s="8" t="str">
        <f t="shared" si="173"/>
        <v/>
      </c>
      <c r="AI2788" s="8" t="str">
        <f t="shared" si="174"/>
        <v/>
      </c>
      <c r="AJ2788" s="8" t="str">
        <f t="shared" si="175"/>
        <v/>
      </c>
      <c r="AL2788" s="8" t="str">
        <f t="shared" si="176"/>
        <v/>
      </c>
    </row>
    <row r="2789" spans="1:38" x14ac:dyDescent="0.25">
      <c r="A2789" s="8" t="s">
        <v>7677</v>
      </c>
      <c r="B2789" s="8" t="s">
        <v>1416</v>
      </c>
      <c r="C2789" s="8">
        <v>30937199</v>
      </c>
      <c r="D2789" s="8">
        <v>5</v>
      </c>
      <c r="E2789" s="11">
        <v>43115</v>
      </c>
      <c r="F2789" s="8" t="s">
        <v>57</v>
      </c>
      <c r="G2789" s="11">
        <v>43115</v>
      </c>
      <c r="H2789" s="8" t="s">
        <v>25</v>
      </c>
      <c r="J2789" s="8" t="s">
        <v>25</v>
      </c>
      <c r="N2789" s="8" t="s">
        <v>58</v>
      </c>
      <c r="O2789" s="8" t="s">
        <v>59</v>
      </c>
      <c r="P2789" s="8" t="s">
        <v>59</v>
      </c>
      <c r="R2789" s="8">
        <v>0</v>
      </c>
      <c r="S2789" s="8">
        <v>0</v>
      </c>
      <c r="T2789" s="8">
        <v>1</v>
      </c>
      <c r="U2789" s="8">
        <v>2</v>
      </c>
      <c r="AG2789" s="8" t="str">
        <f t="shared" si="173"/>
        <v/>
      </c>
      <c r="AI2789" s="8" t="str">
        <f t="shared" si="174"/>
        <v/>
      </c>
      <c r="AJ2789" s="8" t="str">
        <f t="shared" si="175"/>
        <v/>
      </c>
      <c r="AL2789" s="8" t="str">
        <f t="shared" si="176"/>
        <v/>
      </c>
    </row>
    <row r="2790" spans="1:38" x14ac:dyDescent="0.25">
      <c r="A2790" s="8" t="s">
        <v>4234</v>
      </c>
      <c r="B2790" s="8" t="s">
        <v>112</v>
      </c>
      <c r="C2790" s="8">
        <v>30887307</v>
      </c>
      <c r="D2790" s="8">
        <v>5</v>
      </c>
      <c r="E2790" s="11">
        <v>43111</v>
      </c>
      <c r="F2790" s="8" t="s">
        <v>58</v>
      </c>
      <c r="G2790" s="11">
        <v>43111</v>
      </c>
      <c r="H2790" s="8" t="s">
        <v>25</v>
      </c>
      <c r="I2790" s="11">
        <v>43112</v>
      </c>
      <c r="J2790" s="8" t="s">
        <v>25</v>
      </c>
      <c r="N2790" s="8" t="s">
        <v>58</v>
      </c>
      <c r="O2790" s="8" t="s">
        <v>59</v>
      </c>
      <c r="P2790" s="8" t="s">
        <v>59</v>
      </c>
      <c r="R2790" s="8">
        <v>0</v>
      </c>
      <c r="S2790" s="8">
        <v>0</v>
      </c>
      <c r="T2790" s="8">
        <v>1</v>
      </c>
      <c r="U2790" s="8">
        <v>2</v>
      </c>
      <c r="X2790" s="8">
        <v>5</v>
      </c>
      <c r="AG2790" s="8" t="str">
        <f t="shared" si="173"/>
        <v/>
      </c>
      <c r="AI2790" s="8" t="str">
        <f t="shared" si="174"/>
        <v/>
      </c>
      <c r="AJ2790" s="8" t="str">
        <f t="shared" si="175"/>
        <v/>
      </c>
      <c r="AL2790" s="8" t="str">
        <f t="shared" si="176"/>
        <v/>
      </c>
    </row>
    <row r="2791" spans="1:38" x14ac:dyDescent="0.25">
      <c r="A2791" s="8" t="s">
        <v>7678</v>
      </c>
      <c r="B2791" s="8" t="s">
        <v>7679</v>
      </c>
      <c r="C2791" s="8">
        <v>30881321</v>
      </c>
      <c r="D2791" s="8">
        <v>5</v>
      </c>
      <c r="E2791" s="11">
        <v>43111</v>
      </c>
      <c r="F2791" s="8" t="s">
        <v>58</v>
      </c>
      <c r="G2791" s="11">
        <v>43115</v>
      </c>
      <c r="H2791" s="8" t="s">
        <v>25</v>
      </c>
      <c r="I2791" s="11">
        <v>43115</v>
      </c>
      <c r="J2791" s="8" t="s">
        <v>25</v>
      </c>
      <c r="N2791" s="8" t="s">
        <v>58</v>
      </c>
      <c r="O2791" s="8" t="s">
        <v>59</v>
      </c>
      <c r="P2791" s="8" t="s">
        <v>59</v>
      </c>
      <c r="R2791" s="8">
        <v>0</v>
      </c>
      <c r="S2791" s="8">
        <v>0</v>
      </c>
      <c r="T2791" s="8">
        <v>1</v>
      </c>
      <c r="U2791" s="8">
        <v>2</v>
      </c>
      <c r="X2791" s="8">
        <v>5</v>
      </c>
      <c r="AG2791" s="8" t="str">
        <f t="shared" si="173"/>
        <v/>
      </c>
      <c r="AI2791" s="8" t="str">
        <f t="shared" si="174"/>
        <v/>
      </c>
      <c r="AJ2791" s="8" t="str">
        <f t="shared" si="175"/>
        <v/>
      </c>
      <c r="AL2791" s="8" t="str">
        <f t="shared" si="176"/>
        <v/>
      </c>
    </row>
    <row r="2792" spans="1:38" x14ac:dyDescent="0.25">
      <c r="A2792" s="8" t="s">
        <v>590</v>
      </c>
      <c r="B2792" s="8" t="s">
        <v>591</v>
      </c>
      <c r="C2792" s="8">
        <v>30824772</v>
      </c>
      <c r="D2792" s="8">
        <v>5</v>
      </c>
      <c r="E2792" s="11">
        <v>43108</v>
      </c>
      <c r="F2792" s="8" t="s">
        <v>60</v>
      </c>
      <c r="G2792" s="11">
        <v>43108</v>
      </c>
      <c r="H2792" s="8" t="s">
        <v>25</v>
      </c>
      <c r="J2792" s="8" t="s">
        <v>25</v>
      </c>
      <c r="L2792" s="8" t="s">
        <v>3287</v>
      </c>
      <c r="N2792" s="8" t="s">
        <v>58</v>
      </c>
      <c r="O2792" s="8" t="s">
        <v>59</v>
      </c>
      <c r="P2792" s="8" t="s">
        <v>59</v>
      </c>
      <c r="R2792" s="8">
        <v>0</v>
      </c>
      <c r="S2792" s="8">
        <v>0</v>
      </c>
      <c r="T2792" s="8">
        <v>1</v>
      </c>
      <c r="U2792" s="8">
        <v>2</v>
      </c>
      <c r="W2792" s="8">
        <v>4</v>
      </c>
      <c r="AG2792" s="8" t="str">
        <f t="shared" si="173"/>
        <v/>
      </c>
      <c r="AI2792" s="8" t="str">
        <f t="shared" si="174"/>
        <v/>
      </c>
      <c r="AJ2792" s="8" t="str">
        <f t="shared" si="175"/>
        <v/>
      </c>
      <c r="AL2792" s="8" t="str">
        <f t="shared" si="176"/>
        <v/>
      </c>
    </row>
    <row r="2793" spans="1:38" x14ac:dyDescent="0.25">
      <c r="A2793" s="8" t="s">
        <v>4235</v>
      </c>
      <c r="B2793" s="8" t="s">
        <v>1417</v>
      </c>
      <c r="C2793" s="8">
        <v>30897482</v>
      </c>
      <c r="D2793" s="8">
        <v>5</v>
      </c>
      <c r="E2793" s="11">
        <v>43111</v>
      </c>
      <c r="F2793" s="8" t="s">
        <v>58</v>
      </c>
      <c r="G2793" s="11">
        <v>43111</v>
      </c>
      <c r="H2793" s="8" t="s">
        <v>25</v>
      </c>
      <c r="I2793" s="11">
        <v>43115</v>
      </c>
      <c r="J2793" s="8" t="s">
        <v>25</v>
      </c>
      <c r="N2793" s="8" t="s">
        <v>58</v>
      </c>
      <c r="O2793" s="8" t="s">
        <v>59</v>
      </c>
      <c r="P2793" s="8" t="s">
        <v>59</v>
      </c>
      <c r="R2793" s="8">
        <v>0</v>
      </c>
      <c r="S2793" s="8">
        <v>0</v>
      </c>
      <c r="T2793" s="8">
        <v>1</v>
      </c>
      <c r="U2793" s="8">
        <v>2</v>
      </c>
      <c r="X2793" s="8">
        <v>5</v>
      </c>
      <c r="AG2793" s="8" t="str">
        <f t="shared" si="173"/>
        <v/>
      </c>
      <c r="AI2793" s="8" t="str">
        <f t="shared" si="174"/>
        <v/>
      </c>
      <c r="AJ2793" s="8" t="str">
        <f t="shared" si="175"/>
        <v/>
      </c>
      <c r="AL2793" s="8" t="str">
        <f t="shared" si="176"/>
        <v/>
      </c>
    </row>
    <row r="2794" spans="1:38" x14ac:dyDescent="0.25">
      <c r="A2794" s="8" t="s">
        <v>5870</v>
      </c>
      <c r="B2794" s="8" t="s">
        <v>5871</v>
      </c>
      <c r="C2794" s="8">
        <v>30860554</v>
      </c>
      <c r="D2794" s="8">
        <v>5</v>
      </c>
      <c r="E2794" s="11">
        <v>43110</v>
      </c>
      <c r="F2794" s="8" t="s">
        <v>58</v>
      </c>
      <c r="G2794" s="11">
        <v>43112</v>
      </c>
      <c r="H2794" s="8" t="s">
        <v>25</v>
      </c>
      <c r="I2794" s="11">
        <v>43115</v>
      </c>
      <c r="J2794" s="8" t="s">
        <v>25</v>
      </c>
      <c r="N2794" s="8" t="s">
        <v>58</v>
      </c>
      <c r="O2794" s="8" t="s">
        <v>59</v>
      </c>
      <c r="P2794" s="8" t="s">
        <v>59</v>
      </c>
      <c r="R2794" s="8">
        <v>0</v>
      </c>
      <c r="S2794" s="8">
        <v>0</v>
      </c>
      <c r="T2794" s="8">
        <v>1</v>
      </c>
      <c r="U2794" s="8">
        <v>2</v>
      </c>
      <c r="X2794" s="8">
        <v>5</v>
      </c>
      <c r="AG2794" s="8" t="str">
        <f t="shared" si="173"/>
        <v/>
      </c>
      <c r="AI2794" s="8" t="str">
        <f t="shared" si="174"/>
        <v/>
      </c>
      <c r="AJ2794" s="8" t="str">
        <f t="shared" si="175"/>
        <v/>
      </c>
      <c r="AL2794" s="8" t="str">
        <f t="shared" si="176"/>
        <v/>
      </c>
    </row>
    <row r="2795" spans="1:38" x14ac:dyDescent="0.25">
      <c r="A2795" s="8" t="s">
        <v>2761</v>
      </c>
      <c r="B2795" s="8" t="s">
        <v>2762</v>
      </c>
      <c r="C2795" s="8">
        <v>30869526</v>
      </c>
      <c r="D2795" s="8">
        <v>5</v>
      </c>
      <c r="E2795" s="11">
        <v>43110</v>
      </c>
      <c r="F2795" s="8" t="s">
        <v>58</v>
      </c>
      <c r="G2795" s="11">
        <v>43110</v>
      </c>
      <c r="H2795" s="8" t="s">
        <v>25</v>
      </c>
      <c r="I2795" s="11">
        <v>43111</v>
      </c>
      <c r="J2795" s="8" t="s">
        <v>25</v>
      </c>
      <c r="N2795" s="8" t="s">
        <v>58</v>
      </c>
      <c r="O2795" s="8" t="s">
        <v>59</v>
      </c>
      <c r="P2795" s="8" t="s">
        <v>59</v>
      </c>
      <c r="R2795" s="8">
        <v>0</v>
      </c>
      <c r="S2795" s="8">
        <v>0</v>
      </c>
      <c r="T2795" s="8">
        <v>1</v>
      </c>
      <c r="U2795" s="8">
        <v>2</v>
      </c>
      <c r="X2795" s="8">
        <v>5</v>
      </c>
      <c r="AG2795" s="8" t="str">
        <f t="shared" si="173"/>
        <v/>
      </c>
      <c r="AI2795" s="8" t="str">
        <f t="shared" si="174"/>
        <v/>
      </c>
      <c r="AJ2795" s="8" t="str">
        <f t="shared" si="175"/>
        <v/>
      </c>
      <c r="AL2795" s="8" t="str">
        <f t="shared" si="176"/>
        <v/>
      </c>
    </row>
    <row r="2796" spans="1:38" x14ac:dyDescent="0.25">
      <c r="A2796" s="8" t="s">
        <v>2763</v>
      </c>
      <c r="B2796" s="8" t="s">
        <v>2764</v>
      </c>
      <c r="C2796" s="8">
        <v>30825399</v>
      </c>
      <c r="D2796" s="8">
        <v>5</v>
      </c>
      <c r="E2796" s="11">
        <v>43108</v>
      </c>
      <c r="F2796" s="8" t="s">
        <v>58</v>
      </c>
      <c r="G2796" s="11">
        <v>43110</v>
      </c>
      <c r="H2796" s="8" t="s">
        <v>25</v>
      </c>
      <c r="I2796" s="11">
        <v>43111</v>
      </c>
      <c r="J2796" s="8" t="s">
        <v>25</v>
      </c>
      <c r="N2796" s="8" t="s">
        <v>58</v>
      </c>
      <c r="O2796" s="8" t="s">
        <v>59</v>
      </c>
      <c r="P2796" s="8" t="s">
        <v>59</v>
      </c>
      <c r="R2796" s="8">
        <v>0</v>
      </c>
      <c r="S2796" s="8">
        <v>0</v>
      </c>
      <c r="T2796" s="8">
        <v>1</v>
      </c>
      <c r="U2796" s="8">
        <v>2</v>
      </c>
      <c r="X2796" s="8">
        <v>5</v>
      </c>
      <c r="AG2796" s="8" t="str">
        <f t="shared" si="173"/>
        <v/>
      </c>
      <c r="AI2796" s="8" t="str">
        <f t="shared" si="174"/>
        <v/>
      </c>
      <c r="AJ2796" s="8" t="str">
        <f t="shared" si="175"/>
        <v/>
      </c>
      <c r="AL2796" s="8" t="str">
        <f t="shared" si="176"/>
        <v/>
      </c>
    </row>
    <row r="2797" spans="1:38" x14ac:dyDescent="0.25">
      <c r="A2797" s="8" t="s">
        <v>5872</v>
      </c>
      <c r="B2797" s="8" t="s">
        <v>5873</v>
      </c>
      <c r="C2797" s="8">
        <v>30877187</v>
      </c>
      <c r="D2797" s="8">
        <v>5</v>
      </c>
      <c r="E2797" s="11">
        <v>43110</v>
      </c>
      <c r="F2797" s="8" t="s">
        <v>58</v>
      </c>
      <c r="G2797" s="11">
        <v>43112</v>
      </c>
      <c r="H2797" s="8" t="s">
        <v>25</v>
      </c>
      <c r="I2797" s="11">
        <v>43112</v>
      </c>
      <c r="J2797" s="8" t="s">
        <v>25</v>
      </c>
      <c r="N2797" s="8" t="s">
        <v>58</v>
      </c>
      <c r="O2797" s="8" t="s">
        <v>59</v>
      </c>
      <c r="P2797" s="8" t="s">
        <v>59</v>
      </c>
      <c r="R2797" s="8">
        <v>0</v>
      </c>
      <c r="S2797" s="8">
        <v>0</v>
      </c>
      <c r="T2797" s="8">
        <v>1</v>
      </c>
      <c r="U2797" s="8">
        <v>2</v>
      </c>
      <c r="X2797" s="8">
        <v>5</v>
      </c>
      <c r="AG2797" s="8" t="str">
        <f t="shared" si="173"/>
        <v/>
      </c>
      <c r="AI2797" s="8" t="str">
        <f t="shared" si="174"/>
        <v/>
      </c>
      <c r="AJ2797" s="8" t="str">
        <f t="shared" si="175"/>
        <v/>
      </c>
      <c r="AL2797" s="8" t="str">
        <f t="shared" si="176"/>
        <v/>
      </c>
    </row>
    <row r="2798" spans="1:38" x14ac:dyDescent="0.25">
      <c r="A2798" s="8" t="s">
        <v>5874</v>
      </c>
      <c r="B2798" s="8" t="s">
        <v>5875</v>
      </c>
      <c r="C2798" s="8">
        <v>30918957</v>
      </c>
      <c r="D2798" s="8">
        <v>5</v>
      </c>
      <c r="E2798" s="11">
        <v>43112</v>
      </c>
      <c r="F2798" s="8" t="s">
        <v>57</v>
      </c>
      <c r="G2798" s="11">
        <v>43112</v>
      </c>
      <c r="H2798" s="8" t="s">
        <v>25</v>
      </c>
      <c r="J2798" s="8" t="s">
        <v>25</v>
      </c>
      <c r="N2798" s="8" t="s">
        <v>58</v>
      </c>
      <c r="O2798" s="8" t="s">
        <v>59</v>
      </c>
      <c r="P2798" s="8" t="s">
        <v>59</v>
      </c>
      <c r="R2798" s="8">
        <v>0</v>
      </c>
      <c r="S2798" s="8">
        <v>0</v>
      </c>
      <c r="T2798" s="8">
        <v>1</v>
      </c>
      <c r="U2798" s="8">
        <v>2</v>
      </c>
      <c r="AG2798" s="8" t="str">
        <f t="shared" si="173"/>
        <v/>
      </c>
      <c r="AI2798" s="8" t="str">
        <f t="shared" si="174"/>
        <v/>
      </c>
      <c r="AJ2798" s="8" t="str">
        <f t="shared" si="175"/>
        <v/>
      </c>
      <c r="AL2798" s="8" t="str">
        <f t="shared" si="176"/>
        <v/>
      </c>
    </row>
    <row r="2799" spans="1:38" x14ac:dyDescent="0.25">
      <c r="A2799" s="8" t="s">
        <v>7680</v>
      </c>
      <c r="B2799" s="8" t="s">
        <v>7681</v>
      </c>
      <c r="C2799" s="8">
        <v>30892246</v>
      </c>
      <c r="D2799" s="8">
        <v>5</v>
      </c>
      <c r="E2799" s="11">
        <v>43111</v>
      </c>
      <c r="F2799" s="8" t="s">
        <v>58</v>
      </c>
      <c r="G2799" s="11">
        <v>43115</v>
      </c>
      <c r="H2799" s="8" t="s">
        <v>25</v>
      </c>
      <c r="I2799" s="11">
        <v>43115</v>
      </c>
      <c r="J2799" s="8" t="s">
        <v>25</v>
      </c>
      <c r="N2799" s="8" t="s">
        <v>58</v>
      </c>
      <c r="O2799" s="8" t="s">
        <v>59</v>
      </c>
      <c r="P2799" s="8" t="s">
        <v>59</v>
      </c>
      <c r="R2799" s="8">
        <v>0</v>
      </c>
      <c r="S2799" s="8">
        <v>0</v>
      </c>
      <c r="T2799" s="8">
        <v>1</v>
      </c>
      <c r="U2799" s="8">
        <v>2</v>
      </c>
      <c r="X2799" s="8">
        <v>5</v>
      </c>
      <c r="AG2799" s="8" t="str">
        <f t="shared" si="173"/>
        <v/>
      </c>
      <c r="AI2799" s="8" t="str">
        <f t="shared" si="174"/>
        <v/>
      </c>
      <c r="AJ2799" s="8" t="str">
        <f t="shared" si="175"/>
        <v/>
      </c>
      <c r="AL2799" s="8" t="str">
        <f t="shared" si="176"/>
        <v/>
      </c>
    </row>
    <row r="2800" spans="1:38" x14ac:dyDescent="0.25">
      <c r="A2800" s="8" t="s">
        <v>7682</v>
      </c>
      <c r="B2800" s="8" t="s">
        <v>7683</v>
      </c>
      <c r="C2800" s="8">
        <v>30903806</v>
      </c>
      <c r="D2800" s="8">
        <v>5</v>
      </c>
      <c r="E2800" s="11">
        <v>43111</v>
      </c>
      <c r="F2800" s="8" t="s">
        <v>57</v>
      </c>
      <c r="G2800" s="11">
        <v>43115</v>
      </c>
      <c r="H2800" s="8" t="s">
        <v>25</v>
      </c>
      <c r="J2800" s="8" t="s">
        <v>25</v>
      </c>
      <c r="N2800" s="8" t="s">
        <v>58</v>
      </c>
      <c r="O2800" s="8" t="s">
        <v>59</v>
      </c>
      <c r="P2800" s="8" t="s">
        <v>59</v>
      </c>
      <c r="R2800" s="8">
        <v>0</v>
      </c>
      <c r="S2800" s="8">
        <v>0</v>
      </c>
      <c r="T2800" s="8">
        <v>1</v>
      </c>
      <c r="U2800" s="8">
        <v>2</v>
      </c>
      <c r="AG2800" s="8" t="str">
        <f t="shared" si="173"/>
        <v/>
      </c>
      <c r="AI2800" s="8" t="str">
        <f t="shared" si="174"/>
        <v/>
      </c>
      <c r="AJ2800" s="8" t="str">
        <f t="shared" si="175"/>
        <v/>
      </c>
      <c r="AL2800" s="8" t="str">
        <f t="shared" si="176"/>
        <v/>
      </c>
    </row>
    <row r="2801" spans="1:38" x14ac:dyDescent="0.25">
      <c r="A2801" s="8" t="s">
        <v>5876</v>
      </c>
      <c r="B2801" s="8" t="s">
        <v>5877</v>
      </c>
      <c r="C2801" s="8">
        <v>30856695</v>
      </c>
      <c r="D2801" s="8">
        <v>5</v>
      </c>
      <c r="E2801" s="11">
        <v>43110</v>
      </c>
      <c r="F2801" s="8" t="s">
        <v>58</v>
      </c>
      <c r="G2801" s="11">
        <v>43112</v>
      </c>
      <c r="H2801" s="8" t="s">
        <v>25</v>
      </c>
      <c r="I2801" s="11">
        <v>43112</v>
      </c>
      <c r="J2801" s="8" t="s">
        <v>25</v>
      </c>
      <c r="N2801" s="8" t="s">
        <v>58</v>
      </c>
      <c r="O2801" s="8" t="s">
        <v>59</v>
      </c>
      <c r="P2801" s="8" t="s">
        <v>59</v>
      </c>
      <c r="R2801" s="8">
        <v>0</v>
      </c>
      <c r="S2801" s="8">
        <v>0</v>
      </c>
      <c r="T2801" s="8">
        <v>1</v>
      </c>
      <c r="U2801" s="8">
        <v>2</v>
      </c>
      <c r="X2801" s="8">
        <v>5</v>
      </c>
      <c r="AG2801" s="8" t="str">
        <f t="shared" si="173"/>
        <v/>
      </c>
      <c r="AI2801" s="8" t="str">
        <f t="shared" si="174"/>
        <v/>
      </c>
      <c r="AJ2801" s="8" t="str">
        <f t="shared" si="175"/>
        <v/>
      </c>
      <c r="AL2801" s="8" t="str">
        <f t="shared" si="176"/>
        <v/>
      </c>
    </row>
    <row r="2802" spans="1:38" x14ac:dyDescent="0.25">
      <c r="A2802" s="8" t="s">
        <v>1418</v>
      </c>
      <c r="B2802" s="8" t="s">
        <v>1419</v>
      </c>
      <c r="C2802" s="8">
        <v>30841056</v>
      </c>
      <c r="D2802" s="8">
        <v>5</v>
      </c>
      <c r="E2802" s="11">
        <v>43109</v>
      </c>
      <c r="F2802" s="8" t="s">
        <v>60</v>
      </c>
      <c r="G2802" s="11">
        <v>43109</v>
      </c>
      <c r="H2802" s="8" t="s">
        <v>25</v>
      </c>
      <c r="J2802" s="8" t="s">
        <v>25</v>
      </c>
      <c r="L2802" s="8" t="s">
        <v>4797</v>
      </c>
      <c r="N2802" s="8" t="s">
        <v>58</v>
      </c>
      <c r="O2802" s="8" t="s">
        <v>59</v>
      </c>
      <c r="P2802" s="8" t="s">
        <v>59</v>
      </c>
      <c r="R2802" s="8">
        <v>0</v>
      </c>
      <c r="S2802" s="8">
        <v>0</v>
      </c>
      <c r="T2802" s="8">
        <v>1</v>
      </c>
      <c r="U2802" s="8">
        <v>2</v>
      </c>
      <c r="W2802" s="8">
        <v>4</v>
      </c>
      <c r="AG2802" s="8" t="str">
        <f t="shared" si="173"/>
        <v/>
      </c>
      <c r="AI2802" s="8" t="str">
        <f t="shared" si="174"/>
        <v/>
      </c>
      <c r="AJ2802" s="8" t="str">
        <f t="shared" si="175"/>
        <v/>
      </c>
      <c r="AL2802" s="8" t="str">
        <f t="shared" si="176"/>
        <v/>
      </c>
    </row>
    <row r="2803" spans="1:38" x14ac:dyDescent="0.25">
      <c r="A2803" s="8" t="s">
        <v>2765</v>
      </c>
      <c r="B2803" s="8" t="s">
        <v>2766</v>
      </c>
      <c r="C2803" s="8">
        <v>30825220</v>
      </c>
      <c r="D2803" s="8">
        <v>5</v>
      </c>
      <c r="E2803" s="11">
        <v>43108</v>
      </c>
      <c r="F2803" s="8" t="s">
        <v>57</v>
      </c>
      <c r="G2803" s="11">
        <v>43110</v>
      </c>
      <c r="H2803" s="8" t="s">
        <v>25</v>
      </c>
      <c r="J2803" s="8" t="s">
        <v>25</v>
      </c>
      <c r="N2803" s="8" t="s">
        <v>58</v>
      </c>
      <c r="O2803" s="8" t="s">
        <v>59</v>
      </c>
      <c r="P2803" s="8" t="s">
        <v>59</v>
      </c>
      <c r="R2803" s="8">
        <v>0</v>
      </c>
      <c r="S2803" s="8">
        <v>0</v>
      </c>
      <c r="T2803" s="8">
        <v>1</v>
      </c>
      <c r="U2803" s="8">
        <v>2</v>
      </c>
      <c r="AG2803" s="8" t="str">
        <f t="shared" si="173"/>
        <v/>
      </c>
      <c r="AI2803" s="8" t="str">
        <f t="shared" si="174"/>
        <v/>
      </c>
      <c r="AJ2803" s="8" t="str">
        <f t="shared" si="175"/>
        <v/>
      </c>
      <c r="AL2803" s="8" t="str">
        <f t="shared" si="176"/>
        <v/>
      </c>
    </row>
    <row r="2804" spans="1:38" x14ac:dyDescent="0.25">
      <c r="A2804" s="8" t="s">
        <v>2767</v>
      </c>
      <c r="B2804" s="8" t="s">
        <v>2768</v>
      </c>
      <c r="C2804" s="8">
        <v>30818764</v>
      </c>
      <c r="D2804" s="8">
        <v>5</v>
      </c>
      <c r="E2804" s="11">
        <v>43108</v>
      </c>
      <c r="F2804" s="8" t="s">
        <v>58</v>
      </c>
      <c r="G2804" s="11">
        <v>43110</v>
      </c>
      <c r="H2804" s="8" t="s">
        <v>25</v>
      </c>
      <c r="I2804" s="11">
        <v>43110</v>
      </c>
      <c r="J2804" s="8" t="s">
        <v>25</v>
      </c>
      <c r="N2804" s="8" t="s">
        <v>58</v>
      </c>
      <c r="O2804" s="8" t="s">
        <v>59</v>
      </c>
      <c r="P2804" s="8" t="s">
        <v>59</v>
      </c>
      <c r="R2804" s="8">
        <v>0</v>
      </c>
      <c r="S2804" s="8">
        <v>0</v>
      </c>
      <c r="T2804" s="8">
        <v>1</v>
      </c>
      <c r="U2804" s="8">
        <v>2</v>
      </c>
      <c r="X2804" s="8">
        <v>5</v>
      </c>
      <c r="AG2804" s="8" t="str">
        <f t="shared" si="173"/>
        <v/>
      </c>
      <c r="AI2804" s="8" t="str">
        <f t="shared" si="174"/>
        <v/>
      </c>
      <c r="AJ2804" s="8" t="str">
        <f t="shared" si="175"/>
        <v/>
      </c>
      <c r="AL2804" s="8" t="str">
        <f t="shared" si="176"/>
        <v/>
      </c>
    </row>
    <row r="2805" spans="1:38" x14ac:dyDescent="0.25">
      <c r="A2805" s="8" t="s">
        <v>7684</v>
      </c>
      <c r="B2805" s="8" t="s">
        <v>7685</v>
      </c>
      <c r="C2805" s="8">
        <v>30903816</v>
      </c>
      <c r="D2805" s="8">
        <v>5</v>
      </c>
      <c r="E2805" s="11">
        <v>43111</v>
      </c>
      <c r="F2805" s="8" t="s">
        <v>58</v>
      </c>
      <c r="G2805" s="11">
        <v>43115</v>
      </c>
      <c r="H2805" s="8" t="s">
        <v>25</v>
      </c>
      <c r="I2805" s="11">
        <v>43115</v>
      </c>
      <c r="J2805" s="8" t="s">
        <v>25</v>
      </c>
      <c r="N2805" s="8" t="s">
        <v>58</v>
      </c>
      <c r="O2805" s="8" t="s">
        <v>59</v>
      </c>
      <c r="P2805" s="8" t="s">
        <v>59</v>
      </c>
      <c r="R2805" s="8">
        <v>0</v>
      </c>
      <c r="S2805" s="8">
        <v>0</v>
      </c>
      <c r="T2805" s="8">
        <v>1</v>
      </c>
      <c r="U2805" s="8">
        <v>2</v>
      </c>
      <c r="X2805" s="8">
        <v>5</v>
      </c>
      <c r="AG2805" s="8" t="str">
        <f t="shared" si="173"/>
        <v/>
      </c>
      <c r="AI2805" s="8" t="str">
        <f t="shared" si="174"/>
        <v/>
      </c>
      <c r="AJ2805" s="8" t="str">
        <f t="shared" si="175"/>
        <v/>
      </c>
      <c r="AL2805" s="8" t="str">
        <f t="shared" si="176"/>
        <v/>
      </c>
    </row>
    <row r="2806" spans="1:38" x14ac:dyDescent="0.25">
      <c r="A2806" s="8" t="s">
        <v>2769</v>
      </c>
      <c r="B2806" s="8" t="s">
        <v>2770</v>
      </c>
      <c r="C2806" s="8">
        <v>30813902</v>
      </c>
      <c r="D2806" s="8">
        <v>5</v>
      </c>
      <c r="E2806" s="11">
        <v>43108</v>
      </c>
      <c r="F2806" s="8" t="s">
        <v>60</v>
      </c>
      <c r="G2806" s="11">
        <v>43110</v>
      </c>
      <c r="H2806" s="8" t="s">
        <v>25</v>
      </c>
      <c r="J2806" s="8" t="s">
        <v>25</v>
      </c>
      <c r="L2806" s="8" t="s">
        <v>1662</v>
      </c>
      <c r="N2806" s="8" t="s">
        <v>58</v>
      </c>
      <c r="O2806" s="8" t="s">
        <v>59</v>
      </c>
      <c r="P2806" s="8" t="s">
        <v>59</v>
      </c>
      <c r="R2806" s="8">
        <v>0</v>
      </c>
      <c r="S2806" s="8">
        <v>0</v>
      </c>
      <c r="T2806" s="8">
        <v>1</v>
      </c>
      <c r="U2806" s="8">
        <v>2</v>
      </c>
      <c r="W2806" s="8">
        <v>4</v>
      </c>
      <c r="AG2806" s="8" t="str">
        <f t="shared" si="173"/>
        <v/>
      </c>
      <c r="AI2806" s="8" t="str">
        <f t="shared" si="174"/>
        <v/>
      </c>
      <c r="AJ2806" s="8" t="str">
        <f t="shared" si="175"/>
        <v/>
      </c>
      <c r="AL2806" s="8" t="str">
        <f t="shared" si="176"/>
        <v/>
      </c>
    </row>
    <row r="2807" spans="1:38" x14ac:dyDescent="0.25">
      <c r="A2807" s="8" t="s">
        <v>7686</v>
      </c>
      <c r="B2807" s="8" t="s">
        <v>2770</v>
      </c>
      <c r="C2807" s="8">
        <v>30938783</v>
      </c>
      <c r="D2807" s="8">
        <v>5</v>
      </c>
      <c r="E2807" s="11">
        <v>43115</v>
      </c>
      <c r="F2807" s="8" t="s">
        <v>57</v>
      </c>
      <c r="G2807" s="11">
        <v>43115</v>
      </c>
      <c r="H2807" s="8" t="s">
        <v>25</v>
      </c>
      <c r="J2807" s="8" t="s">
        <v>25</v>
      </c>
      <c r="N2807" s="8" t="s">
        <v>58</v>
      </c>
      <c r="O2807" s="8" t="s">
        <v>59</v>
      </c>
      <c r="P2807" s="8" t="s">
        <v>59</v>
      </c>
      <c r="R2807" s="8">
        <v>0</v>
      </c>
      <c r="S2807" s="8">
        <v>0</v>
      </c>
      <c r="T2807" s="8">
        <v>1</v>
      </c>
      <c r="U2807" s="8">
        <v>2</v>
      </c>
      <c r="AG2807" s="8" t="str">
        <f t="shared" si="173"/>
        <v/>
      </c>
      <c r="AI2807" s="8" t="str">
        <f t="shared" si="174"/>
        <v/>
      </c>
      <c r="AJ2807" s="8" t="str">
        <f t="shared" si="175"/>
        <v/>
      </c>
      <c r="AL2807" s="8" t="str">
        <f t="shared" si="176"/>
        <v/>
      </c>
    </row>
    <row r="2808" spans="1:38" x14ac:dyDescent="0.25">
      <c r="A2808" s="8" t="s">
        <v>5878</v>
      </c>
      <c r="B2808" s="8" t="s">
        <v>5879</v>
      </c>
      <c r="C2808" s="8">
        <v>30911182</v>
      </c>
      <c r="D2808" s="8">
        <v>5</v>
      </c>
      <c r="E2808" s="11">
        <v>43112</v>
      </c>
      <c r="F2808" s="8" t="s">
        <v>57</v>
      </c>
      <c r="G2808" s="11">
        <v>43112</v>
      </c>
      <c r="H2808" s="8" t="s">
        <v>25</v>
      </c>
      <c r="J2808" s="8" t="s">
        <v>25</v>
      </c>
      <c r="N2808" s="8" t="s">
        <v>58</v>
      </c>
      <c r="O2808" s="8" t="s">
        <v>59</v>
      </c>
      <c r="P2808" s="8" t="s">
        <v>59</v>
      </c>
      <c r="R2808" s="8">
        <v>0</v>
      </c>
      <c r="S2808" s="8">
        <v>0</v>
      </c>
      <c r="T2808" s="8">
        <v>1</v>
      </c>
      <c r="U2808" s="8">
        <v>2</v>
      </c>
      <c r="AG2808" s="8" t="str">
        <f t="shared" si="173"/>
        <v/>
      </c>
      <c r="AI2808" s="8" t="str">
        <f t="shared" si="174"/>
        <v/>
      </c>
      <c r="AJ2808" s="8" t="str">
        <f t="shared" si="175"/>
        <v/>
      </c>
      <c r="AL2808" s="8" t="str">
        <f t="shared" si="176"/>
        <v/>
      </c>
    </row>
    <row r="2809" spans="1:38" x14ac:dyDescent="0.25">
      <c r="A2809" s="8" t="s">
        <v>4236</v>
      </c>
      <c r="B2809" s="8" t="s">
        <v>4237</v>
      </c>
      <c r="C2809" s="8">
        <v>30892821</v>
      </c>
      <c r="D2809" s="8">
        <v>5</v>
      </c>
      <c r="E2809" s="11">
        <v>43111</v>
      </c>
      <c r="F2809" s="8" t="s">
        <v>60</v>
      </c>
      <c r="G2809" s="11">
        <v>43111</v>
      </c>
      <c r="H2809" s="8" t="s">
        <v>25</v>
      </c>
      <c r="J2809" s="8" t="s">
        <v>25</v>
      </c>
      <c r="L2809" s="8" t="s">
        <v>4797</v>
      </c>
      <c r="N2809" s="8" t="s">
        <v>58</v>
      </c>
      <c r="O2809" s="8" t="s">
        <v>59</v>
      </c>
      <c r="P2809" s="8" t="s">
        <v>59</v>
      </c>
      <c r="R2809" s="8">
        <v>0</v>
      </c>
      <c r="S2809" s="8">
        <v>0</v>
      </c>
      <c r="T2809" s="8">
        <v>1</v>
      </c>
      <c r="U2809" s="8">
        <v>2</v>
      </c>
      <c r="W2809" s="8">
        <v>4</v>
      </c>
      <c r="AG2809" s="8" t="str">
        <f t="shared" si="173"/>
        <v/>
      </c>
      <c r="AI2809" s="8" t="str">
        <f t="shared" si="174"/>
        <v/>
      </c>
      <c r="AJ2809" s="8" t="str">
        <f t="shared" si="175"/>
        <v/>
      </c>
      <c r="AL2809" s="8" t="str">
        <f t="shared" si="176"/>
        <v/>
      </c>
    </row>
    <row r="2810" spans="1:38" x14ac:dyDescent="0.25">
      <c r="A2810" s="8" t="s">
        <v>2771</v>
      </c>
      <c r="B2810" s="8" t="s">
        <v>2772</v>
      </c>
      <c r="C2810" s="8">
        <v>30862627</v>
      </c>
      <c r="D2810" s="8">
        <v>5</v>
      </c>
      <c r="E2810" s="11">
        <v>43110</v>
      </c>
      <c r="F2810" s="8" t="s">
        <v>58</v>
      </c>
      <c r="G2810" s="11">
        <v>43110</v>
      </c>
      <c r="H2810" s="8" t="s">
        <v>25</v>
      </c>
      <c r="I2810" s="11">
        <v>43110</v>
      </c>
      <c r="J2810" s="8" t="s">
        <v>25</v>
      </c>
      <c r="N2810" s="8" t="s">
        <v>58</v>
      </c>
      <c r="O2810" s="8" t="s">
        <v>59</v>
      </c>
      <c r="P2810" s="8" t="s">
        <v>59</v>
      </c>
      <c r="R2810" s="8">
        <v>0</v>
      </c>
      <c r="S2810" s="8">
        <v>0</v>
      </c>
      <c r="T2810" s="8">
        <v>1</v>
      </c>
      <c r="U2810" s="8">
        <v>2</v>
      </c>
      <c r="X2810" s="8">
        <v>5</v>
      </c>
      <c r="AG2810" s="8" t="str">
        <f t="shared" si="173"/>
        <v/>
      </c>
      <c r="AI2810" s="8" t="str">
        <f t="shared" si="174"/>
        <v/>
      </c>
      <c r="AJ2810" s="8" t="str">
        <f t="shared" si="175"/>
        <v/>
      </c>
      <c r="AL2810" s="8" t="str">
        <f t="shared" si="176"/>
        <v/>
      </c>
    </row>
    <row r="2811" spans="1:38" x14ac:dyDescent="0.25">
      <c r="A2811" s="8" t="s">
        <v>4238</v>
      </c>
      <c r="B2811" s="8" t="s">
        <v>4239</v>
      </c>
      <c r="C2811" s="8">
        <v>30891760</v>
      </c>
      <c r="D2811" s="8">
        <v>5</v>
      </c>
      <c r="E2811" s="11">
        <v>43111</v>
      </c>
      <c r="F2811" s="8" t="s">
        <v>57</v>
      </c>
      <c r="G2811" s="11">
        <v>43111</v>
      </c>
      <c r="H2811" s="8" t="s">
        <v>25</v>
      </c>
      <c r="J2811" s="8" t="s">
        <v>25</v>
      </c>
      <c r="N2811" s="8" t="s">
        <v>58</v>
      </c>
      <c r="O2811" s="8" t="s">
        <v>59</v>
      </c>
      <c r="P2811" s="8" t="s">
        <v>59</v>
      </c>
      <c r="R2811" s="8">
        <v>0</v>
      </c>
      <c r="S2811" s="8">
        <v>0</v>
      </c>
      <c r="T2811" s="8">
        <v>1</v>
      </c>
      <c r="U2811" s="8">
        <v>2</v>
      </c>
      <c r="AG2811" s="8" t="str">
        <f t="shared" si="173"/>
        <v/>
      </c>
      <c r="AI2811" s="8" t="str">
        <f t="shared" si="174"/>
        <v/>
      </c>
      <c r="AJ2811" s="8" t="str">
        <f t="shared" si="175"/>
        <v/>
      </c>
      <c r="AL2811" s="8" t="str">
        <f t="shared" si="176"/>
        <v/>
      </c>
    </row>
    <row r="2812" spans="1:38" x14ac:dyDescent="0.25">
      <c r="A2812" s="8" t="s">
        <v>592</v>
      </c>
      <c r="B2812" s="8" t="s">
        <v>593</v>
      </c>
      <c r="C2812" s="8">
        <v>30818411</v>
      </c>
      <c r="D2812" s="8">
        <v>5</v>
      </c>
      <c r="E2812" s="11">
        <v>43108</v>
      </c>
      <c r="F2812" s="8" t="s">
        <v>60</v>
      </c>
      <c r="G2812" s="11">
        <v>43108</v>
      </c>
      <c r="H2812" s="8" t="s">
        <v>25</v>
      </c>
      <c r="J2812" s="8" t="s">
        <v>25</v>
      </c>
      <c r="L2812" s="8" t="s">
        <v>3287</v>
      </c>
      <c r="N2812" s="8" t="s">
        <v>58</v>
      </c>
      <c r="O2812" s="8" t="s">
        <v>59</v>
      </c>
      <c r="P2812" s="8" t="s">
        <v>59</v>
      </c>
      <c r="R2812" s="8">
        <v>0</v>
      </c>
      <c r="S2812" s="8">
        <v>0</v>
      </c>
      <c r="T2812" s="8">
        <v>1</v>
      </c>
      <c r="U2812" s="8">
        <v>2</v>
      </c>
      <c r="W2812" s="8">
        <v>4</v>
      </c>
      <c r="AG2812" s="8" t="str">
        <f t="shared" si="173"/>
        <v/>
      </c>
      <c r="AI2812" s="8" t="str">
        <f t="shared" si="174"/>
        <v/>
      </c>
      <c r="AJ2812" s="8" t="str">
        <f t="shared" si="175"/>
        <v/>
      </c>
      <c r="AL2812" s="8" t="str">
        <f t="shared" si="176"/>
        <v/>
      </c>
    </row>
    <row r="2813" spans="1:38" x14ac:dyDescent="0.25">
      <c r="A2813" s="8" t="s">
        <v>5880</v>
      </c>
      <c r="B2813" s="8" t="s">
        <v>593</v>
      </c>
      <c r="C2813" s="8">
        <v>30908828</v>
      </c>
      <c r="D2813" s="8">
        <v>5</v>
      </c>
      <c r="E2813" s="11">
        <v>43112</v>
      </c>
      <c r="F2813" s="8" t="s">
        <v>57</v>
      </c>
      <c r="G2813" s="11">
        <v>43112</v>
      </c>
      <c r="H2813" s="8" t="s">
        <v>25</v>
      </c>
      <c r="J2813" s="8" t="s">
        <v>25</v>
      </c>
      <c r="N2813" s="8" t="s">
        <v>58</v>
      </c>
      <c r="O2813" s="8" t="s">
        <v>59</v>
      </c>
      <c r="P2813" s="8" t="s">
        <v>59</v>
      </c>
      <c r="R2813" s="8">
        <v>0</v>
      </c>
      <c r="S2813" s="8">
        <v>0</v>
      </c>
      <c r="T2813" s="8">
        <v>1</v>
      </c>
      <c r="U2813" s="8">
        <v>2</v>
      </c>
      <c r="AG2813" s="8" t="str">
        <f t="shared" si="173"/>
        <v/>
      </c>
      <c r="AI2813" s="8" t="str">
        <f t="shared" si="174"/>
        <v/>
      </c>
      <c r="AJ2813" s="8" t="str">
        <f t="shared" si="175"/>
        <v/>
      </c>
      <c r="AL2813" s="8" t="str">
        <f t="shared" si="176"/>
        <v/>
      </c>
    </row>
    <row r="2814" spans="1:38" x14ac:dyDescent="0.25">
      <c r="A2814" s="8" t="s">
        <v>1420</v>
      </c>
      <c r="B2814" s="8" t="s">
        <v>1421</v>
      </c>
      <c r="C2814" s="8">
        <v>30834267</v>
      </c>
      <c r="D2814" s="8">
        <v>5</v>
      </c>
      <c r="E2814" s="11">
        <v>43109</v>
      </c>
      <c r="F2814" s="8" t="s">
        <v>58</v>
      </c>
      <c r="G2814" s="11">
        <v>43109</v>
      </c>
      <c r="H2814" s="8" t="s">
        <v>25</v>
      </c>
      <c r="I2814" s="11">
        <v>43111</v>
      </c>
      <c r="J2814" s="8" t="s">
        <v>25</v>
      </c>
      <c r="N2814" s="8" t="s">
        <v>58</v>
      </c>
      <c r="O2814" s="8" t="s">
        <v>59</v>
      </c>
      <c r="P2814" s="8" t="s">
        <v>59</v>
      </c>
      <c r="R2814" s="8">
        <v>0</v>
      </c>
      <c r="S2814" s="8">
        <v>0</v>
      </c>
      <c r="T2814" s="8">
        <v>1</v>
      </c>
      <c r="U2814" s="8">
        <v>2</v>
      </c>
      <c r="X2814" s="8">
        <v>5</v>
      </c>
      <c r="AG2814" s="8" t="str">
        <f t="shared" si="173"/>
        <v/>
      </c>
      <c r="AI2814" s="8" t="str">
        <f t="shared" si="174"/>
        <v/>
      </c>
      <c r="AJ2814" s="8" t="str">
        <f t="shared" si="175"/>
        <v/>
      </c>
      <c r="AL2814" s="8" t="str">
        <f t="shared" si="176"/>
        <v/>
      </c>
    </row>
    <row r="2815" spans="1:38" x14ac:dyDescent="0.25">
      <c r="A2815" s="8" t="s">
        <v>2774</v>
      </c>
      <c r="B2815" s="8" t="s">
        <v>2775</v>
      </c>
      <c r="C2815" s="8">
        <v>30820885</v>
      </c>
      <c r="D2815" s="8">
        <v>5</v>
      </c>
      <c r="E2815" s="11">
        <v>43108</v>
      </c>
      <c r="F2815" s="8" t="s">
        <v>57</v>
      </c>
      <c r="G2815" s="11">
        <v>43110</v>
      </c>
      <c r="H2815" s="8" t="s">
        <v>25</v>
      </c>
      <c r="J2815" s="8" t="s">
        <v>25</v>
      </c>
      <c r="N2815" s="8" t="s">
        <v>58</v>
      </c>
      <c r="O2815" s="8" t="s">
        <v>59</v>
      </c>
      <c r="P2815" s="8" t="s">
        <v>59</v>
      </c>
      <c r="R2815" s="8">
        <v>0</v>
      </c>
      <c r="S2815" s="8">
        <v>0</v>
      </c>
      <c r="T2815" s="8">
        <v>1</v>
      </c>
      <c r="U2815" s="8">
        <v>2</v>
      </c>
      <c r="AG2815" s="8" t="str">
        <f t="shared" si="173"/>
        <v/>
      </c>
      <c r="AI2815" s="8" t="str">
        <f t="shared" si="174"/>
        <v/>
      </c>
      <c r="AJ2815" s="8" t="str">
        <f t="shared" si="175"/>
        <v/>
      </c>
      <c r="AL2815" s="8" t="str">
        <f t="shared" si="176"/>
        <v/>
      </c>
    </row>
    <row r="2816" spans="1:38" x14ac:dyDescent="0.25">
      <c r="A2816" s="8" t="s">
        <v>2776</v>
      </c>
      <c r="B2816" s="8" t="s">
        <v>2777</v>
      </c>
      <c r="C2816" s="8">
        <v>30867778</v>
      </c>
      <c r="D2816" s="8">
        <v>5</v>
      </c>
      <c r="E2816" s="11">
        <v>43110</v>
      </c>
      <c r="F2816" s="8" t="s">
        <v>57</v>
      </c>
      <c r="G2816" s="11">
        <v>43110</v>
      </c>
      <c r="H2816" s="8" t="s">
        <v>25</v>
      </c>
      <c r="J2816" s="8" t="s">
        <v>25</v>
      </c>
      <c r="N2816" s="8" t="s">
        <v>58</v>
      </c>
      <c r="O2816" s="8" t="s">
        <v>59</v>
      </c>
      <c r="P2816" s="8" t="s">
        <v>59</v>
      </c>
      <c r="R2816" s="8">
        <v>0</v>
      </c>
      <c r="S2816" s="8">
        <v>0</v>
      </c>
      <c r="T2816" s="8">
        <v>1</v>
      </c>
      <c r="U2816" s="8">
        <v>2</v>
      </c>
      <c r="AG2816" s="8" t="str">
        <f t="shared" si="173"/>
        <v/>
      </c>
      <c r="AI2816" s="8" t="str">
        <f t="shared" si="174"/>
        <v/>
      </c>
      <c r="AJ2816" s="8" t="str">
        <f t="shared" si="175"/>
        <v/>
      </c>
      <c r="AL2816" s="8" t="str">
        <f t="shared" si="176"/>
        <v/>
      </c>
    </row>
    <row r="2817" spans="1:38" x14ac:dyDescent="0.25">
      <c r="A2817" s="8" t="s">
        <v>7687</v>
      </c>
      <c r="B2817" s="8" t="s">
        <v>7688</v>
      </c>
      <c r="C2817" s="8">
        <v>30900171</v>
      </c>
      <c r="D2817" s="8">
        <v>4</v>
      </c>
      <c r="E2817" s="11">
        <v>43111</v>
      </c>
      <c r="F2817" s="8" t="s">
        <v>57</v>
      </c>
      <c r="G2817" s="11">
        <v>43115</v>
      </c>
      <c r="H2817" s="8" t="s">
        <v>25</v>
      </c>
      <c r="J2817" s="8" t="s">
        <v>25</v>
      </c>
      <c r="N2817" s="8" t="s">
        <v>58</v>
      </c>
      <c r="O2817" s="8" t="s">
        <v>59</v>
      </c>
      <c r="P2817" s="8" t="s">
        <v>59</v>
      </c>
      <c r="R2817" s="8">
        <v>0</v>
      </c>
      <c r="S2817" s="8">
        <v>0</v>
      </c>
      <c r="T2817" s="8">
        <v>1</v>
      </c>
      <c r="U2817" s="8">
        <v>2</v>
      </c>
      <c r="AG2817" s="8" t="str">
        <f t="shared" si="173"/>
        <v/>
      </c>
      <c r="AI2817" s="8" t="str">
        <f t="shared" si="174"/>
        <v/>
      </c>
      <c r="AJ2817" s="8" t="str">
        <f t="shared" si="175"/>
        <v/>
      </c>
      <c r="AL2817" s="8" t="str">
        <f t="shared" si="176"/>
        <v/>
      </c>
    </row>
    <row r="2818" spans="1:38" x14ac:dyDescent="0.25">
      <c r="A2818" s="8" t="s">
        <v>5881</v>
      </c>
      <c r="B2818" s="8" t="s">
        <v>5882</v>
      </c>
      <c r="C2818" s="8">
        <v>30891761</v>
      </c>
      <c r="D2818" s="8">
        <v>5</v>
      </c>
      <c r="E2818" s="11">
        <v>43111</v>
      </c>
      <c r="F2818" s="8" t="s">
        <v>58</v>
      </c>
      <c r="G2818" s="11">
        <v>43112</v>
      </c>
      <c r="H2818" s="8" t="s">
        <v>25</v>
      </c>
      <c r="I2818" s="11">
        <v>43115</v>
      </c>
      <c r="J2818" s="8" t="s">
        <v>25</v>
      </c>
      <c r="N2818" s="8" t="s">
        <v>58</v>
      </c>
      <c r="O2818" s="8" t="s">
        <v>59</v>
      </c>
      <c r="P2818" s="8" t="s">
        <v>59</v>
      </c>
      <c r="R2818" s="8">
        <v>0</v>
      </c>
      <c r="S2818" s="8">
        <v>0</v>
      </c>
      <c r="T2818" s="8">
        <v>1</v>
      </c>
      <c r="U2818" s="8">
        <v>2</v>
      </c>
      <c r="X2818" s="8">
        <v>5</v>
      </c>
      <c r="AG2818" s="8" t="str">
        <f t="shared" si="173"/>
        <v/>
      </c>
      <c r="AI2818" s="8" t="str">
        <f t="shared" si="174"/>
        <v/>
      </c>
      <c r="AJ2818" s="8" t="str">
        <f t="shared" si="175"/>
        <v/>
      </c>
      <c r="AL2818" s="8" t="str">
        <f t="shared" si="176"/>
        <v/>
      </c>
    </row>
    <row r="2819" spans="1:38" x14ac:dyDescent="0.25">
      <c r="A2819" s="8" t="s">
        <v>1422</v>
      </c>
      <c r="B2819" s="8" t="s">
        <v>1423</v>
      </c>
      <c r="C2819" s="8">
        <v>30832433</v>
      </c>
      <c r="D2819" s="8">
        <v>5</v>
      </c>
      <c r="E2819" s="11">
        <v>43109</v>
      </c>
      <c r="F2819" s="8" t="s">
        <v>57</v>
      </c>
      <c r="G2819" s="11">
        <v>43109</v>
      </c>
      <c r="H2819" s="8" t="s">
        <v>25</v>
      </c>
      <c r="J2819" s="8" t="s">
        <v>25</v>
      </c>
      <c r="N2819" s="8" t="s">
        <v>58</v>
      </c>
      <c r="O2819" s="8" t="s">
        <v>59</v>
      </c>
      <c r="P2819" s="8" t="s">
        <v>59</v>
      </c>
      <c r="R2819" s="8">
        <v>0</v>
      </c>
      <c r="S2819" s="8">
        <v>0</v>
      </c>
      <c r="T2819" s="8">
        <v>1</v>
      </c>
      <c r="U2819" s="8">
        <v>2</v>
      </c>
      <c r="AG2819" s="8" t="str">
        <f t="shared" ref="AG2819:AG2882" si="177">IF(AND(U2819="",G2819&lt;&gt;"",NOT(OR(R2819,S2819))),IF(NETWORKDAYS.INTL(G2819,TODAY(),11)&lt;5,"En Plazo",IF(NETWORKDAYS.INTL(G2819,TODAY(),11)=5,"Riesgo Incumplimiento","FALTA_02")),"")</f>
        <v/>
      </c>
      <c r="AI2819" s="8" t="str">
        <f t="shared" ref="AI2819:AI2882" si="178">IF(AND(O2819&lt;&gt;"B1",F2819="Rejected"),IF(W2819="","FALTA_04",""),"")</f>
        <v/>
      </c>
      <c r="AJ2819" s="8" t="str">
        <f t="shared" ref="AJ2819:AJ2882" si="179">IF(AND(X2819="",I2819&lt;&gt;"",NOT(OR(R2819,S2819))),IF(NETWORKDAYS.INTL(G2819,TODAY(),11)&lt;=1,"En Plazo",IF(OR(AND(X2819="",O2819&lt;&gt;"M1"),AND(O2819="M1",(OR(Q2819="S - S",Q2819="S - T",)))),"FALTA_05","")),"")</f>
        <v/>
      </c>
      <c r="AL2819" s="8" t="str">
        <f t="shared" ref="AL2819:AL2882" si="180">IF(AND(O2819="B1",F2819="Rejected"),IF(Z2819="","FALTA_07",""),"")</f>
        <v/>
      </c>
    </row>
    <row r="2820" spans="1:38" x14ac:dyDescent="0.25">
      <c r="A2820" s="8" t="s">
        <v>5883</v>
      </c>
      <c r="B2820" s="8" t="s">
        <v>5884</v>
      </c>
      <c r="C2820" s="8">
        <v>30858588</v>
      </c>
      <c r="D2820" s="8">
        <v>5</v>
      </c>
      <c r="E2820" s="11">
        <v>43110</v>
      </c>
      <c r="F2820" s="8" t="s">
        <v>57</v>
      </c>
      <c r="G2820" s="11">
        <v>43114</v>
      </c>
      <c r="H2820" s="8" t="s">
        <v>25</v>
      </c>
      <c r="J2820" s="8" t="s">
        <v>25</v>
      </c>
      <c r="N2820" s="8" t="s">
        <v>58</v>
      </c>
      <c r="O2820" s="8" t="s">
        <v>59</v>
      </c>
      <c r="P2820" s="8" t="s">
        <v>59</v>
      </c>
      <c r="R2820" s="8">
        <v>0</v>
      </c>
      <c r="S2820" s="8">
        <v>0</v>
      </c>
      <c r="T2820" s="8">
        <v>1</v>
      </c>
      <c r="U2820" s="8">
        <v>2</v>
      </c>
      <c r="AG2820" s="8" t="str">
        <f t="shared" si="177"/>
        <v/>
      </c>
      <c r="AI2820" s="8" t="str">
        <f t="shared" si="178"/>
        <v/>
      </c>
      <c r="AJ2820" s="8" t="str">
        <f t="shared" si="179"/>
        <v/>
      </c>
      <c r="AL2820" s="8" t="str">
        <f t="shared" si="180"/>
        <v/>
      </c>
    </row>
    <row r="2821" spans="1:38" x14ac:dyDescent="0.25">
      <c r="A2821" s="8" t="s">
        <v>4240</v>
      </c>
      <c r="B2821" s="8" t="s">
        <v>4241</v>
      </c>
      <c r="C2821" s="8">
        <v>30843647</v>
      </c>
      <c r="D2821" s="8">
        <v>5</v>
      </c>
      <c r="E2821" s="11">
        <v>43109</v>
      </c>
      <c r="F2821" s="8" t="s">
        <v>58</v>
      </c>
      <c r="G2821" s="11">
        <v>43111</v>
      </c>
      <c r="H2821" s="8" t="s">
        <v>25</v>
      </c>
      <c r="I2821" s="11">
        <v>43111</v>
      </c>
      <c r="J2821" s="8" t="s">
        <v>25</v>
      </c>
      <c r="N2821" s="8" t="s">
        <v>58</v>
      </c>
      <c r="O2821" s="8" t="s">
        <v>59</v>
      </c>
      <c r="P2821" s="8" t="s">
        <v>59</v>
      </c>
      <c r="R2821" s="8">
        <v>0</v>
      </c>
      <c r="S2821" s="8">
        <v>0</v>
      </c>
      <c r="T2821" s="8">
        <v>1</v>
      </c>
      <c r="U2821" s="8">
        <v>2</v>
      </c>
      <c r="X2821" s="8">
        <v>5</v>
      </c>
      <c r="AG2821" s="8" t="str">
        <f t="shared" si="177"/>
        <v/>
      </c>
      <c r="AI2821" s="8" t="str">
        <f t="shared" si="178"/>
        <v/>
      </c>
      <c r="AJ2821" s="8" t="str">
        <f t="shared" si="179"/>
        <v/>
      </c>
      <c r="AL2821" s="8" t="str">
        <f t="shared" si="180"/>
        <v/>
      </c>
    </row>
    <row r="2822" spans="1:38" x14ac:dyDescent="0.25">
      <c r="A2822" s="8" t="s">
        <v>4242</v>
      </c>
      <c r="B2822" s="8" t="s">
        <v>4243</v>
      </c>
      <c r="C2822" s="8">
        <v>30842397</v>
      </c>
      <c r="D2822" s="8">
        <v>5</v>
      </c>
      <c r="E2822" s="11">
        <v>43109</v>
      </c>
      <c r="F2822" s="8" t="s">
        <v>57</v>
      </c>
      <c r="G2822" s="11">
        <v>43111</v>
      </c>
      <c r="H2822" s="8" t="s">
        <v>25</v>
      </c>
      <c r="J2822" s="8" t="s">
        <v>25</v>
      </c>
      <c r="N2822" s="8" t="s">
        <v>58</v>
      </c>
      <c r="O2822" s="8" t="s">
        <v>59</v>
      </c>
      <c r="P2822" s="8" t="s">
        <v>59</v>
      </c>
      <c r="R2822" s="8">
        <v>0</v>
      </c>
      <c r="S2822" s="8">
        <v>0</v>
      </c>
      <c r="T2822" s="8">
        <v>1</v>
      </c>
      <c r="U2822" s="8">
        <v>2</v>
      </c>
      <c r="AG2822" s="8" t="str">
        <f t="shared" si="177"/>
        <v/>
      </c>
      <c r="AI2822" s="8" t="str">
        <f t="shared" si="178"/>
        <v/>
      </c>
      <c r="AJ2822" s="8" t="str">
        <f t="shared" si="179"/>
        <v/>
      </c>
      <c r="AL2822" s="8" t="str">
        <f t="shared" si="180"/>
        <v/>
      </c>
    </row>
    <row r="2823" spans="1:38" x14ac:dyDescent="0.25">
      <c r="A2823" s="8" t="s">
        <v>4244</v>
      </c>
      <c r="B2823" s="8" t="s">
        <v>4245</v>
      </c>
      <c r="C2823" s="8">
        <v>30834147</v>
      </c>
      <c r="D2823" s="8">
        <v>5</v>
      </c>
      <c r="E2823" s="11">
        <v>43109</v>
      </c>
      <c r="F2823" s="8" t="s">
        <v>58</v>
      </c>
      <c r="G2823" s="11">
        <v>43111</v>
      </c>
      <c r="H2823" s="8" t="s">
        <v>25</v>
      </c>
      <c r="I2823" s="11">
        <v>43111</v>
      </c>
      <c r="J2823" s="8" t="s">
        <v>25</v>
      </c>
      <c r="N2823" s="8" t="s">
        <v>58</v>
      </c>
      <c r="O2823" s="8" t="s">
        <v>59</v>
      </c>
      <c r="P2823" s="8" t="s">
        <v>59</v>
      </c>
      <c r="R2823" s="8">
        <v>0</v>
      </c>
      <c r="S2823" s="8">
        <v>0</v>
      </c>
      <c r="T2823" s="8">
        <v>1</v>
      </c>
      <c r="U2823" s="8">
        <v>2</v>
      </c>
      <c r="X2823" s="8">
        <v>5</v>
      </c>
      <c r="AG2823" s="8" t="str">
        <f t="shared" si="177"/>
        <v/>
      </c>
      <c r="AI2823" s="8" t="str">
        <f t="shared" si="178"/>
        <v/>
      </c>
      <c r="AJ2823" s="8" t="str">
        <f t="shared" si="179"/>
        <v/>
      </c>
      <c r="AL2823" s="8" t="str">
        <f t="shared" si="180"/>
        <v/>
      </c>
    </row>
    <row r="2824" spans="1:38" x14ac:dyDescent="0.25">
      <c r="A2824" s="8" t="s">
        <v>4246</v>
      </c>
      <c r="B2824" s="8" t="s">
        <v>4247</v>
      </c>
      <c r="C2824" s="8">
        <v>30841319</v>
      </c>
      <c r="D2824" s="8">
        <v>5</v>
      </c>
      <c r="E2824" s="11">
        <v>43109</v>
      </c>
      <c r="F2824" s="8" t="s">
        <v>57</v>
      </c>
      <c r="G2824" s="11">
        <v>43111</v>
      </c>
      <c r="H2824" s="8" t="s">
        <v>25</v>
      </c>
      <c r="J2824" s="8" t="s">
        <v>25</v>
      </c>
      <c r="N2824" s="8" t="s">
        <v>58</v>
      </c>
      <c r="O2824" s="8" t="s">
        <v>59</v>
      </c>
      <c r="P2824" s="8" t="s">
        <v>59</v>
      </c>
      <c r="R2824" s="8">
        <v>0</v>
      </c>
      <c r="S2824" s="8">
        <v>0</v>
      </c>
      <c r="T2824" s="8">
        <v>1</v>
      </c>
      <c r="U2824" s="8">
        <v>2</v>
      </c>
      <c r="AG2824" s="8" t="str">
        <f t="shared" si="177"/>
        <v/>
      </c>
      <c r="AI2824" s="8" t="str">
        <f t="shared" si="178"/>
        <v/>
      </c>
      <c r="AJ2824" s="8" t="str">
        <f t="shared" si="179"/>
        <v/>
      </c>
      <c r="AL2824" s="8" t="str">
        <f t="shared" si="180"/>
        <v/>
      </c>
    </row>
    <row r="2825" spans="1:38" x14ac:dyDescent="0.25">
      <c r="A2825" s="8" t="s">
        <v>594</v>
      </c>
      <c r="B2825" s="8" t="s">
        <v>595</v>
      </c>
      <c r="C2825" s="8">
        <v>30809744</v>
      </c>
      <c r="D2825" s="8">
        <v>5</v>
      </c>
      <c r="E2825" s="11">
        <v>43108</v>
      </c>
      <c r="F2825" s="8" t="s">
        <v>58</v>
      </c>
      <c r="G2825" s="11">
        <v>43108</v>
      </c>
      <c r="H2825" s="8" t="s">
        <v>25</v>
      </c>
      <c r="I2825" s="11">
        <v>43109</v>
      </c>
      <c r="J2825" s="8" t="s">
        <v>25</v>
      </c>
      <c r="N2825" s="8" t="s">
        <v>58</v>
      </c>
      <c r="O2825" s="8" t="s">
        <v>59</v>
      </c>
      <c r="P2825" s="8" t="s">
        <v>59</v>
      </c>
      <c r="R2825" s="8">
        <v>0</v>
      </c>
      <c r="S2825" s="8">
        <v>0</v>
      </c>
      <c r="T2825" s="8">
        <v>1</v>
      </c>
      <c r="U2825" s="8">
        <v>2</v>
      </c>
      <c r="X2825" s="8">
        <v>5</v>
      </c>
      <c r="AG2825" s="8" t="str">
        <f t="shared" si="177"/>
        <v/>
      </c>
      <c r="AI2825" s="8" t="str">
        <f t="shared" si="178"/>
        <v/>
      </c>
      <c r="AJ2825" s="8" t="str">
        <f t="shared" si="179"/>
        <v/>
      </c>
      <c r="AL2825" s="8" t="str">
        <f t="shared" si="180"/>
        <v/>
      </c>
    </row>
    <row r="2826" spans="1:38" x14ac:dyDescent="0.25">
      <c r="A2826" s="8" t="s">
        <v>2778</v>
      </c>
      <c r="B2826" s="8" t="s">
        <v>2779</v>
      </c>
      <c r="C2826" s="8">
        <v>30819040</v>
      </c>
      <c r="D2826" s="8">
        <v>5</v>
      </c>
      <c r="E2826" s="11">
        <v>43108</v>
      </c>
      <c r="F2826" s="8" t="s">
        <v>58</v>
      </c>
      <c r="G2826" s="11">
        <v>43110</v>
      </c>
      <c r="H2826" s="8" t="s">
        <v>25</v>
      </c>
      <c r="I2826" s="11">
        <v>43110</v>
      </c>
      <c r="J2826" s="8" t="s">
        <v>25</v>
      </c>
      <c r="N2826" s="8" t="s">
        <v>58</v>
      </c>
      <c r="O2826" s="8" t="s">
        <v>59</v>
      </c>
      <c r="P2826" s="8" t="s">
        <v>59</v>
      </c>
      <c r="R2826" s="8">
        <v>0</v>
      </c>
      <c r="S2826" s="8">
        <v>0</v>
      </c>
      <c r="T2826" s="8">
        <v>1</v>
      </c>
      <c r="U2826" s="8">
        <v>2</v>
      </c>
      <c r="X2826" s="8">
        <v>5</v>
      </c>
      <c r="AG2826" s="8" t="str">
        <f t="shared" si="177"/>
        <v/>
      </c>
      <c r="AI2826" s="8" t="str">
        <f t="shared" si="178"/>
        <v/>
      </c>
      <c r="AJ2826" s="8" t="str">
        <f t="shared" si="179"/>
        <v/>
      </c>
      <c r="AL2826" s="8" t="str">
        <f t="shared" si="180"/>
        <v/>
      </c>
    </row>
    <row r="2827" spans="1:38" x14ac:dyDescent="0.25">
      <c r="A2827" s="8" t="s">
        <v>4248</v>
      </c>
      <c r="B2827" s="8" t="s">
        <v>4249</v>
      </c>
      <c r="C2827" s="8">
        <v>30851198</v>
      </c>
      <c r="D2827" s="8">
        <v>4</v>
      </c>
      <c r="E2827" s="11">
        <v>43109</v>
      </c>
      <c r="F2827" s="8" t="s">
        <v>58</v>
      </c>
      <c r="G2827" s="11">
        <v>43111</v>
      </c>
      <c r="H2827" s="8" t="s">
        <v>25</v>
      </c>
      <c r="I2827" s="11">
        <v>43112</v>
      </c>
      <c r="J2827" s="8" t="s">
        <v>25</v>
      </c>
      <c r="N2827" s="8" t="s">
        <v>58</v>
      </c>
      <c r="O2827" s="8" t="s">
        <v>59</v>
      </c>
      <c r="P2827" s="8" t="s">
        <v>59</v>
      </c>
      <c r="R2827" s="8">
        <v>0</v>
      </c>
      <c r="S2827" s="8">
        <v>0</v>
      </c>
      <c r="T2827" s="8">
        <v>1</v>
      </c>
      <c r="U2827" s="8">
        <v>2</v>
      </c>
      <c r="X2827" s="8">
        <v>5</v>
      </c>
      <c r="AG2827" s="8" t="str">
        <f t="shared" si="177"/>
        <v/>
      </c>
      <c r="AI2827" s="8" t="str">
        <f t="shared" si="178"/>
        <v/>
      </c>
      <c r="AJ2827" s="8" t="str">
        <f t="shared" si="179"/>
        <v/>
      </c>
      <c r="AL2827" s="8" t="str">
        <f t="shared" si="180"/>
        <v/>
      </c>
    </row>
    <row r="2828" spans="1:38" x14ac:dyDescent="0.25">
      <c r="A2828" s="8" t="s">
        <v>7689</v>
      </c>
      <c r="B2828" s="8" t="s">
        <v>7690</v>
      </c>
      <c r="C2828" s="8">
        <v>30881510</v>
      </c>
      <c r="D2828" s="8">
        <v>5</v>
      </c>
      <c r="E2828" s="11">
        <v>43111</v>
      </c>
      <c r="F2828" s="8" t="s">
        <v>57</v>
      </c>
      <c r="G2828" s="11">
        <v>43115</v>
      </c>
      <c r="H2828" s="8" t="s">
        <v>25</v>
      </c>
      <c r="J2828" s="8" t="s">
        <v>25</v>
      </c>
      <c r="N2828" s="8" t="s">
        <v>58</v>
      </c>
      <c r="O2828" s="8" t="s">
        <v>59</v>
      </c>
      <c r="P2828" s="8" t="s">
        <v>59</v>
      </c>
      <c r="R2828" s="8">
        <v>0</v>
      </c>
      <c r="S2828" s="8">
        <v>0</v>
      </c>
      <c r="T2828" s="8">
        <v>1</v>
      </c>
      <c r="U2828" s="8">
        <v>2</v>
      </c>
      <c r="AG2828" s="8" t="str">
        <f t="shared" si="177"/>
        <v/>
      </c>
      <c r="AI2828" s="8" t="str">
        <f t="shared" si="178"/>
        <v/>
      </c>
      <c r="AJ2828" s="8" t="str">
        <f t="shared" si="179"/>
        <v/>
      </c>
      <c r="AL2828" s="8" t="str">
        <f t="shared" si="180"/>
        <v/>
      </c>
    </row>
    <row r="2829" spans="1:38" x14ac:dyDescent="0.25">
      <c r="A2829" s="8" t="s">
        <v>4250</v>
      </c>
      <c r="B2829" s="8" t="s">
        <v>4251</v>
      </c>
      <c r="C2829" s="8">
        <v>30895381</v>
      </c>
      <c r="D2829" s="8">
        <v>5</v>
      </c>
      <c r="E2829" s="11">
        <v>43111</v>
      </c>
      <c r="F2829" s="8" t="s">
        <v>58</v>
      </c>
      <c r="G2829" s="11">
        <v>43111</v>
      </c>
      <c r="H2829" s="8" t="s">
        <v>25</v>
      </c>
      <c r="I2829" s="11">
        <v>43111</v>
      </c>
      <c r="J2829" s="8" t="s">
        <v>25</v>
      </c>
      <c r="N2829" s="8" t="s">
        <v>58</v>
      </c>
      <c r="O2829" s="8" t="s">
        <v>59</v>
      </c>
      <c r="P2829" s="8" t="s">
        <v>59</v>
      </c>
      <c r="R2829" s="8">
        <v>0</v>
      </c>
      <c r="S2829" s="8">
        <v>0</v>
      </c>
      <c r="T2829" s="8">
        <v>1</v>
      </c>
      <c r="U2829" s="8">
        <v>2</v>
      </c>
      <c r="X2829" s="8">
        <v>5</v>
      </c>
      <c r="AG2829" s="8" t="str">
        <f t="shared" si="177"/>
        <v/>
      </c>
      <c r="AI2829" s="8" t="str">
        <f t="shared" si="178"/>
        <v/>
      </c>
      <c r="AJ2829" s="8" t="str">
        <f t="shared" si="179"/>
        <v/>
      </c>
      <c r="AL2829" s="8" t="str">
        <f t="shared" si="180"/>
        <v/>
      </c>
    </row>
    <row r="2830" spans="1:38" x14ac:dyDescent="0.25">
      <c r="A2830" s="8" t="s">
        <v>5885</v>
      </c>
      <c r="B2830" s="8" t="s">
        <v>5886</v>
      </c>
      <c r="C2830" s="8">
        <v>30882597</v>
      </c>
      <c r="D2830" s="8">
        <v>3</v>
      </c>
      <c r="E2830" s="11">
        <v>43111</v>
      </c>
      <c r="F2830" s="8" t="s">
        <v>57</v>
      </c>
      <c r="G2830" s="11">
        <v>43112</v>
      </c>
      <c r="H2830" s="8" t="s">
        <v>25</v>
      </c>
      <c r="J2830" s="8" t="s">
        <v>25</v>
      </c>
      <c r="N2830" s="8" t="s">
        <v>58</v>
      </c>
      <c r="O2830" s="8" t="s">
        <v>59</v>
      </c>
      <c r="P2830" s="8" t="s">
        <v>59</v>
      </c>
      <c r="R2830" s="8">
        <v>0</v>
      </c>
      <c r="S2830" s="8">
        <v>0</v>
      </c>
      <c r="T2830" s="8">
        <v>1</v>
      </c>
      <c r="U2830" s="8">
        <v>2</v>
      </c>
      <c r="AG2830" s="8" t="str">
        <f t="shared" si="177"/>
        <v/>
      </c>
      <c r="AI2830" s="8" t="str">
        <f t="shared" si="178"/>
        <v/>
      </c>
      <c r="AJ2830" s="8" t="str">
        <f t="shared" si="179"/>
        <v/>
      </c>
      <c r="AL2830" s="8" t="str">
        <f t="shared" si="180"/>
        <v/>
      </c>
    </row>
    <row r="2831" spans="1:38" x14ac:dyDescent="0.25">
      <c r="A2831" s="8" t="s">
        <v>7691</v>
      </c>
      <c r="B2831" s="8" t="s">
        <v>7692</v>
      </c>
      <c r="C2831" s="8">
        <v>30909730</v>
      </c>
      <c r="D2831" s="8">
        <v>4</v>
      </c>
      <c r="E2831" s="11">
        <v>43112</v>
      </c>
      <c r="F2831" s="8" t="s">
        <v>57</v>
      </c>
      <c r="G2831" s="11">
        <v>43115</v>
      </c>
      <c r="H2831" s="8" t="s">
        <v>25</v>
      </c>
      <c r="J2831" s="8" t="s">
        <v>25</v>
      </c>
      <c r="N2831" s="8" t="s">
        <v>58</v>
      </c>
      <c r="O2831" s="8" t="s">
        <v>59</v>
      </c>
      <c r="P2831" s="8" t="s">
        <v>59</v>
      </c>
      <c r="R2831" s="8">
        <v>0</v>
      </c>
      <c r="S2831" s="8">
        <v>0</v>
      </c>
      <c r="T2831" s="8">
        <v>1</v>
      </c>
      <c r="U2831" s="8">
        <v>2</v>
      </c>
      <c r="AG2831" s="8" t="str">
        <f t="shared" si="177"/>
        <v/>
      </c>
      <c r="AI2831" s="8" t="str">
        <f t="shared" si="178"/>
        <v/>
      </c>
      <c r="AJ2831" s="8" t="str">
        <f t="shared" si="179"/>
        <v/>
      </c>
      <c r="AL2831" s="8" t="str">
        <f t="shared" si="180"/>
        <v/>
      </c>
    </row>
    <row r="2832" spans="1:38" x14ac:dyDescent="0.25">
      <c r="A2832" s="8" t="s">
        <v>1424</v>
      </c>
      <c r="B2832" s="8" t="s">
        <v>1425</v>
      </c>
      <c r="C2832" s="8">
        <v>30847577</v>
      </c>
      <c r="D2832" s="8">
        <v>5</v>
      </c>
      <c r="E2832" s="11">
        <v>43109</v>
      </c>
      <c r="F2832" s="8" t="s">
        <v>58</v>
      </c>
      <c r="G2832" s="11">
        <v>43109</v>
      </c>
      <c r="H2832" s="8" t="s">
        <v>25</v>
      </c>
      <c r="I2832" s="11">
        <v>43110</v>
      </c>
      <c r="J2832" s="8" t="s">
        <v>25</v>
      </c>
      <c r="N2832" s="8" t="s">
        <v>58</v>
      </c>
      <c r="O2832" s="8" t="s">
        <v>59</v>
      </c>
      <c r="P2832" s="8" t="s">
        <v>59</v>
      </c>
      <c r="R2832" s="8">
        <v>0</v>
      </c>
      <c r="S2832" s="8">
        <v>0</v>
      </c>
      <c r="T2832" s="8">
        <v>1</v>
      </c>
      <c r="U2832" s="8">
        <v>2</v>
      </c>
      <c r="X2832" s="8">
        <v>5</v>
      </c>
      <c r="AG2832" s="8" t="str">
        <f t="shared" si="177"/>
        <v/>
      </c>
      <c r="AI2832" s="8" t="str">
        <f t="shared" si="178"/>
        <v/>
      </c>
      <c r="AJ2832" s="8" t="str">
        <f t="shared" si="179"/>
        <v/>
      </c>
      <c r="AL2832" s="8" t="str">
        <f t="shared" si="180"/>
        <v/>
      </c>
    </row>
    <row r="2833" spans="1:38" x14ac:dyDescent="0.25">
      <c r="A2833" s="8" t="s">
        <v>1426</v>
      </c>
      <c r="B2833" s="8" t="s">
        <v>1427</v>
      </c>
      <c r="C2833" s="8">
        <v>30836345</v>
      </c>
      <c r="D2833" s="8">
        <v>5</v>
      </c>
      <c r="E2833" s="11">
        <v>43109</v>
      </c>
      <c r="F2833" s="8" t="s">
        <v>57</v>
      </c>
      <c r="G2833" s="11">
        <v>43109</v>
      </c>
      <c r="H2833" s="8" t="s">
        <v>25</v>
      </c>
      <c r="J2833" s="8" t="s">
        <v>25</v>
      </c>
      <c r="N2833" s="8" t="s">
        <v>58</v>
      </c>
      <c r="O2833" s="8" t="s">
        <v>59</v>
      </c>
      <c r="P2833" s="8" t="s">
        <v>59</v>
      </c>
      <c r="R2833" s="8">
        <v>0</v>
      </c>
      <c r="S2833" s="8">
        <v>0</v>
      </c>
      <c r="T2833" s="8">
        <v>1</v>
      </c>
      <c r="U2833" s="8">
        <v>2</v>
      </c>
      <c r="AG2833" s="8" t="str">
        <f t="shared" si="177"/>
        <v/>
      </c>
      <c r="AI2833" s="8" t="str">
        <f t="shared" si="178"/>
        <v/>
      </c>
      <c r="AJ2833" s="8" t="str">
        <f t="shared" si="179"/>
        <v/>
      </c>
      <c r="AL2833" s="8" t="str">
        <f t="shared" si="180"/>
        <v/>
      </c>
    </row>
    <row r="2834" spans="1:38" x14ac:dyDescent="0.25">
      <c r="A2834" s="8" t="s">
        <v>4252</v>
      </c>
      <c r="B2834" s="8" t="s">
        <v>4253</v>
      </c>
      <c r="C2834" s="8">
        <v>30889001</v>
      </c>
      <c r="D2834" s="8">
        <v>5</v>
      </c>
      <c r="E2834" s="11">
        <v>43111</v>
      </c>
      <c r="F2834" s="8" t="s">
        <v>57</v>
      </c>
      <c r="G2834" s="11">
        <v>43111</v>
      </c>
      <c r="H2834" s="8" t="s">
        <v>25</v>
      </c>
      <c r="J2834" s="8" t="s">
        <v>25</v>
      </c>
      <c r="N2834" s="8" t="s">
        <v>58</v>
      </c>
      <c r="O2834" s="8" t="s">
        <v>59</v>
      </c>
      <c r="P2834" s="8" t="s">
        <v>59</v>
      </c>
      <c r="R2834" s="8">
        <v>0</v>
      </c>
      <c r="S2834" s="8">
        <v>0</v>
      </c>
      <c r="T2834" s="8">
        <v>1</v>
      </c>
      <c r="U2834" s="8">
        <v>2</v>
      </c>
      <c r="AG2834" s="8" t="str">
        <f t="shared" si="177"/>
        <v/>
      </c>
      <c r="AI2834" s="8" t="str">
        <f t="shared" si="178"/>
        <v/>
      </c>
      <c r="AJ2834" s="8" t="str">
        <f t="shared" si="179"/>
        <v/>
      </c>
      <c r="AL2834" s="8" t="str">
        <f t="shared" si="180"/>
        <v/>
      </c>
    </row>
    <row r="2835" spans="1:38" x14ac:dyDescent="0.25">
      <c r="A2835" s="8" t="s">
        <v>2780</v>
      </c>
      <c r="B2835" s="8" t="s">
        <v>2781</v>
      </c>
      <c r="C2835" s="8">
        <v>30809664</v>
      </c>
      <c r="D2835" s="8">
        <v>5</v>
      </c>
      <c r="E2835" s="11">
        <v>43108</v>
      </c>
      <c r="F2835" s="8" t="s">
        <v>58</v>
      </c>
      <c r="G2835" s="11">
        <v>43110</v>
      </c>
      <c r="H2835" s="8" t="s">
        <v>25</v>
      </c>
      <c r="I2835" s="11">
        <v>43110</v>
      </c>
      <c r="J2835" s="8" t="s">
        <v>25</v>
      </c>
      <c r="N2835" s="8" t="s">
        <v>58</v>
      </c>
      <c r="O2835" s="8" t="s">
        <v>59</v>
      </c>
      <c r="P2835" s="8" t="s">
        <v>59</v>
      </c>
      <c r="R2835" s="8">
        <v>0</v>
      </c>
      <c r="S2835" s="8">
        <v>0</v>
      </c>
      <c r="T2835" s="8">
        <v>1</v>
      </c>
      <c r="U2835" s="8">
        <v>2</v>
      </c>
      <c r="X2835" s="8">
        <v>5</v>
      </c>
      <c r="AG2835" s="8" t="str">
        <f t="shared" si="177"/>
        <v/>
      </c>
      <c r="AI2835" s="8" t="str">
        <f t="shared" si="178"/>
        <v/>
      </c>
      <c r="AJ2835" s="8" t="str">
        <f t="shared" si="179"/>
        <v/>
      </c>
      <c r="AL2835" s="8" t="str">
        <f t="shared" si="180"/>
        <v/>
      </c>
    </row>
    <row r="2836" spans="1:38" x14ac:dyDescent="0.25">
      <c r="A2836" s="8" t="s">
        <v>7693</v>
      </c>
      <c r="B2836" s="8" t="s">
        <v>7694</v>
      </c>
      <c r="C2836" s="8">
        <v>30942944</v>
      </c>
      <c r="D2836" s="8">
        <v>5</v>
      </c>
      <c r="E2836" s="11">
        <v>43115</v>
      </c>
      <c r="F2836" s="8" t="s">
        <v>57</v>
      </c>
      <c r="G2836" s="11">
        <v>43115</v>
      </c>
      <c r="H2836" s="8" t="s">
        <v>25</v>
      </c>
      <c r="J2836" s="8" t="s">
        <v>25</v>
      </c>
      <c r="N2836" s="8" t="s">
        <v>58</v>
      </c>
      <c r="O2836" s="8" t="s">
        <v>59</v>
      </c>
      <c r="P2836" s="8" t="s">
        <v>59</v>
      </c>
      <c r="R2836" s="8">
        <v>0</v>
      </c>
      <c r="S2836" s="8">
        <v>0</v>
      </c>
      <c r="T2836" s="8">
        <v>1</v>
      </c>
      <c r="U2836" s="8">
        <v>2</v>
      </c>
      <c r="AG2836" s="8" t="str">
        <f t="shared" si="177"/>
        <v/>
      </c>
      <c r="AI2836" s="8" t="str">
        <f t="shared" si="178"/>
        <v/>
      </c>
      <c r="AJ2836" s="8" t="str">
        <f t="shared" si="179"/>
        <v/>
      </c>
      <c r="AL2836" s="8" t="str">
        <f t="shared" si="180"/>
        <v/>
      </c>
    </row>
    <row r="2837" spans="1:38" x14ac:dyDescent="0.25">
      <c r="A2837" s="8" t="s">
        <v>4254</v>
      </c>
      <c r="B2837" s="8" t="s">
        <v>4255</v>
      </c>
      <c r="C2837" s="8">
        <v>30898082</v>
      </c>
      <c r="D2837" s="8">
        <v>5</v>
      </c>
      <c r="E2837" s="11">
        <v>43111</v>
      </c>
      <c r="F2837" s="8" t="s">
        <v>57</v>
      </c>
      <c r="G2837" s="11">
        <v>43111</v>
      </c>
      <c r="H2837" s="8" t="s">
        <v>25</v>
      </c>
      <c r="J2837" s="8" t="s">
        <v>25</v>
      </c>
      <c r="N2837" s="8" t="s">
        <v>58</v>
      </c>
      <c r="O2837" s="8" t="s">
        <v>59</v>
      </c>
      <c r="P2837" s="8" t="s">
        <v>59</v>
      </c>
      <c r="R2837" s="8">
        <v>0</v>
      </c>
      <c r="S2837" s="8">
        <v>0</v>
      </c>
      <c r="T2837" s="8">
        <v>1</v>
      </c>
      <c r="U2837" s="8">
        <v>2</v>
      </c>
      <c r="AG2837" s="8" t="str">
        <f t="shared" si="177"/>
        <v/>
      </c>
      <c r="AI2837" s="8" t="str">
        <f t="shared" si="178"/>
        <v/>
      </c>
      <c r="AJ2837" s="8" t="str">
        <f t="shared" si="179"/>
        <v/>
      </c>
      <c r="AL2837" s="8" t="str">
        <f t="shared" si="180"/>
        <v/>
      </c>
    </row>
    <row r="2838" spans="1:38" x14ac:dyDescent="0.25">
      <c r="A2838" s="8" t="s">
        <v>7695</v>
      </c>
      <c r="B2838" s="8" t="s">
        <v>7696</v>
      </c>
      <c r="C2838" s="8">
        <v>30944627</v>
      </c>
      <c r="D2838" s="8">
        <v>5</v>
      </c>
      <c r="E2838" s="11">
        <v>43115</v>
      </c>
      <c r="F2838" s="8" t="s">
        <v>57</v>
      </c>
      <c r="G2838" s="11">
        <v>43115</v>
      </c>
      <c r="H2838" s="8" t="s">
        <v>25</v>
      </c>
      <c r="J2838" s="8" t="s">
        <v>25</v>
      </c>
      <c r="N2838" s="8" t="s">
        <v>58</v>
      </c>
      <c r="O2838" s="8" t="s">
        <v>59</v>
      </c>
      <c r="P2838" s="8" t="s">
        <v>59</v>
      </c>
      <c r="R2838" s="8">
        <v>0</v>
      </c>
      <c r="S2838" s="8">
        <v>0</v>
      </c>
      <c r="T2838" s="8">
        <v>1</v>
      </c>
      <c r="U2838" s="8">
        <v>2</v>
      </c>
      <c r="AG2838" s="8" t="str">
        <f t="shared" si="177"/>
        <v/>
      </c>
      <c r="AI2838" s="8" t="str">
        <f t="shared" si="178"/>
        <v/>
      </c>
      <c r="AJ2838" s="8" t="str">
        <f t="shared" si="179"/>
        <v/>
      </c>
      <c r="AL2838" s="8" t="str">
        <f t="shared" si="180"/>
        <v/>
      </c>
    </row>
    <row r="2839" spans="1:38" x14ac:dyDescent="0.25">
      <c r="A2839" s="8" t="s">
        <v>2782</v>
      </c>
      <c r="B2839" s="8" t="s">
        <v>2783</v>
      </c>
      <c r="C2839" s="8">
        <v>30812123</v>
      </c>
      <c r="D2839" s="8">
        <v>5</v>
      </c>
      <c r="E2839" s="11">
        <v>43108</v>
      </c>
      <c r="F2839" s="8" t="s">
        <v>58</v>
      </c>
      <c r="G2839" s="11">
        <v>43110</v>
      </c>
      <c r="H2839" s="8" t="s">
        <v>25</v>
      </c>
      <c r="I2839" s="11">
        <v>43110</v>
      </c>
      <c r="J2839" s="8" t="s">
        <v>25</v>
      </c>
      <c r="N2839" s="8" t="s">
        <v>58</v>
      </c>
      <c r="O2839" s="8" t="s">
        <v>59</v>
      </c>
      <c r="P2839" s="8" t="s">
        <v>59</v>
      </c>
      <c r="R2839" s="8">
        <v>0</v>
      </c>
      <c r="S2839" s="8">
        <v>0</v>
      </c>
      <c r="T2839" s="8">
        <v>1</v>
      </c>
      <c r="U2839" s="8">
        <v>2</v>
      </c>
      <c r="X2839" s="8">
        <v>5</v>
      </c>
      <c r="AG2839" s="8" t="str">
        <f t="shared" si="177"/>
        <v/>
      </c>
      <c r="AI2839" s="8" t="str">
        <f t="shared" si="178"/>
        <v/>
      </c>
      <c r="AJ2839" s="8" t="str">
        <f t="shared" si="179"/>
        <v/>
      </c>
      <c r="AL2839" s="8" t="str">
        <f t="shared" si="180"/>
        <v/>
      </c>
    </row>
    <row r="2840" spans="1:38" x14ac:dyDescent="0.25">
      <c r="A2840" s="8" t="s">
        <v>596</v>
      </c>
      <c r="B2840" s="8" t="s">
        <v>597</v>
      </c>
      <c r="C2840" s="8">
        <v>30810965</v>
      </c>
      <c r="D2840" s="8">
        <v>5</v>
      </c>
      <c r="E2840" s="11">
        <v>43108</v>
      </c>
      <c r="F2840" s="8" t="s">
        <v>58</v>
      </c>
      <c r="G2840" s="11">
        <v>43108</v>
      </c>
      <c r="H2840" s="8" t="s">
        <v>25</v>
      </c>
      <c r="I2840" s="11">
        <v>43112</v>
      </c>
      <c r="J2840" s="8" t="s">
        <v>145</v>
      </c>
      <c r="N2840" s="8" t="s">
        <v>58</v>
      </c>
      <c r="O2840" s="8" t="s">
        <v>59</v>
      </c>
      <c r="P2840" s="8" t="s">
        <v>59</v>
      </c>
      <c r="R2840" s="8">
        <v>0</v>
      </c>
      <c r="S2840" s="8">
        <v>0</v>
      </c>
      <c r="T2840" s="8">
        <v>1</v>
      </c>
      <c r="U2840" s="8">
        <v>2</v>
      </c>
      <c r="X2840" s="8">
        <v>5</v>
      </c>
      <c r="AG2840" s="8" t="str">
        <f t="shared" si="177"/>
        <v/>
      </c>
      <c r="AI2840" s="8" t="str">
        <f t="shared" si="178"/>
        <v/>
      </c>
      <c r="AJ2840" s="8" t="str">
        <f t="shared" si="179"/>
        <v/>
      </c>
      <c r="AL2840" s="8" t="str">
        <f t="shared" si="180"/>
        <v/>
      </c>
    </row>
    <row r="2841" spans="1:38" x14ac:dyDescent="0.25">
      <c r="A2841" s="8" t="s">
        <v>4256</v>
      </c>
      <c r="B2841" s="8" t="s">
        <v>4257</v>
      </c>
      <c r="C2841" s="8">
        <v>30844056</v>
      </c>
      <c r="D2841" s="8">
        <v>5</v>
      </c>
      <c r="E2841" s="11">
        <v>43109</v>
      </c>
      <c r="F2841" s="8" t="s">
        <v>58</v>
      </c>
      <c r="G2841" s="11">
        <v>43111</v>
      </c>
      <c r="H2841" s="8" t="s">
        <v>25</v>
      </c>
      <c r="I2841" s="11">
        <v>43111</v>
      </c>
      <c r="J2841" s="8" t="s">
        <v>25</v>
      </c>
      <c r="N2841" s="8" t="s">
        <v>58</v>
      </c>
      <c r="O2841" s="8" t="s">
        <v>59</v>
      </c>
      <c r="P2841" s="8" t="s">
        <v>59</v>
      </c>
      <c r="R2841" s="8">
        <v>0</v>
      </c>
      <c r="S2841" s="8">
        <v>0</v>
      </c>
      <c r="T2841" s="8">
        <v>1</v>
      </c>
      <c r="U2841" s="8">
        <v>2</v>
      </c>
      <c r="X2841" s="8">
        <v>5</v>
      </c>
      <c r="AG2841" s="8" t="str">
        <f t="shared" si="177"/>
        <v/>
      </c>
      <c r="AI2841" s="8" t="str">
        <f t="shared" si="178"/>
        <v/>
      </c>
      <c r="AJ2841" s="8" t="str">
        <f t="shared" si="179"/>
        <v/>
      </c>
      <c r="AL2841" s="8" t="str">
        <f t="shared" si="180"/>
        <v/>
      </c>
    </row>
    <row r="2842" spans="1:38" x14ac:dyDescent="0.25">
      <c r="A2842" s="8" t="s">
        <v>4258</v>
      </c>
      <c r="B2842" s="8" t="s">
        <v>4259</v>
      </c>
      <c r="C2842" s="8">
        <v>30842378</v>
      </c>
      <c r="D2842" s="8">
        <v>5</v>
      </c>
      <c r="E2842" s="11">
        <v>43109</v>
      </c>
      <c r="F2842" s="8" t="s">
        <v>57</v>
      </c>
      <c r="G2842" s="11">
        <v>43111</v>
      </c>
      <c r="H2842" s="8" t="s">
        <v>25</v>
      </c>
      <c r="J2842" s="8" t="s">
        <v>25</v>
      </c>
      <c r="N2842" s="8" t="s">
        <v>58</v>
      </c>
      <c r="O2842" s="8" t="s">
        <v>59</v>
      </c>
      <c r="P2842" s="8" t="s">
        <v>59</v>
      </c>
      <c r="R2842" s="8">
        <v>0</v>
      </c>
      <c r="S2842" s="8">
        <v>0</v>
      </c>
      <c r="T2842" s="8">
        <v>1</v>
      </c>
      <c r="U2842" s="8">
        <v>2</v>
      </c>
      <c r="AG2842" s="8" t="str">
        <f t="shared" si="177"/>
        <v/>
      </c>
      <c r="AI2842" s="8" t="str">
        <f t="shared" si="178"/>
        <v/>
      </c>
      <c r="AJ2842" s="8" t="str">
        <f t="shared" si="179"/>
        <v/>
      </c>
      <c r="AL2842" s="8" t="str">
        <f t="shared" si="180"/>
        <v/>
      </c>
    </row>
    <row r="2843" spans="1:38" x14ac:dyDescent="0.25">
      <c r="A2843" s="8" t="s">
        <v>7697</v>
      </c>
      <c r="B2843" s="8" t="s">
        <v>7698</v>
      </c>
      <c r="C2843" s="8">
        <v>30886947</v>
      </c>
      <c r="D2843" s="8">
        <v>5</v>
      </c>
      <c r="E2843" s="11">
        <v>43111</v>
      </c>
      <c r="F2843" s="8" t="s">
        <v>57</v>
      </c>
      <c r="G2843" s="11">
        <v>43115</v>
      </c>
      <c r="H2843" s="8" t="s">
        <v>25</v>
      </c>
      <c r="J2843" s="8" t="s">
        <v>25</v>
      </c>
      <c r="N2843" s="8" t="s">
        <v>58</v>
      </c>
      <c r="O2843" s="8" t="s">
        <v>59</v>
      </c>
      <c r="P2843" s="8" t="s">
        <v>59</v>
      </c>
      <c r="R2843" s="8">
        <v>0</v>
      </c>
      <c r="S2843" s="8">
        <v>0</v>
      </c>
      <c r="T2843" s="8">
        <v>1</v>
      </c>
      <c r="U2843" s="8">
        <v>2</v>
      </c>
      <c r="AG2843" s="8" t="str">
        <f t="shared" si="177"/>
        <v/>
      </c>
      <c r="AI2843" s="8" t="str">
        <f t="shared" si="178"/>
        <v/>
      </c>
      <c r="AJ2843" s="8" t="str">
        <f t="shared" si="179"/>
        <v/>
      </c>
      <c r="AL2843" s="8" t="str">
        <f t="shared" si="180"/>
        <v/>
      </c>
    </row>
    <row r="2844" spans="1:38" x14ac:dyDescent="0.25">
      <c r="A2844" s="8" t="s">
        <v>7699</v>
      </c>
      <c r="B2844" s="8" t="s">
        <v>7700</v>
      </c>
      <c r="C2844" s="8">
        <v>30881792</v>
      </c>
      <c r="D2844" s="8">
        <v>5</v>
      </c>
      <c r="E2844" s="11">
        <v>43111</v>
      </c>
      <c r="F2844" s="8" t="s">
        <v>58</v>
      </c>
      <c r="G2844" s="11">
        <v>43115</v>
      </c>
      <c r="H2844" s="8" t="s">
        <v>25</v>
      </c>
      <c r="I2844" s="11">
        <v>43115</v>
      </c>
      <c r="J2844" s="8" t="s">
        <v>25</v>
      </c>
      <c r="N2844" s="8" t="s">
        <v>58</v>
      </c>
      <c r="O2844" s="8" t="s">
        <v>59</v>
      </c>
      <c r="P2844" s="8" t="s">
        <v>59</v>
      </c>
      <c r="R2844" s="8">
        <v>0</v>
      </c>
      <c r="S2844" s="8">
        <v>0</v>
      </c>
      <c r="T2844" s="8">
        <v>1</v>
      </c>
      <c r="U2844" s="8">
        <v>2</v>
      </c>
      <c r="X2844" s="8">
        <v>5</v>
      </c>
      <c r="AG2844" s="8" t="str">
        <f t="shared" si="177"/>
        <v/>
      </c>
      <c r="AI2844" s="8" t="str">
        <f t="shared" si="178"/>
        <v/>
      </c>
      <c r="AJ2844" s="8" t="str">
        <f t="shared" si="179"/>
        <v/>
      </c>
      <c r="AL2844" s="8" t="str">
        <f t="shared" si="180"/>
        <v/>
      </c>
    </row>
    <row r="2845" spans="1:38" x14ac:dyDescent="0.25">
      <c r="A2845" s="8" t="s">
        <v>1428</v>
      </c>
      <c r="B2845" s="8" t="s">
        <v>1429</v>
      </c>
      <c r="C2845" s="8">
        <v>30833207</v>
      </c>
      <c r="D2845" s="8">
        <v>5</v>
      </c>
      <c r="E2845" s="11">
        <v>43109</v>
      </c>
      <c r="F2845" s="8" t="s">
        <v>58</v>
      </c>
      <c r="G2845" s="11">
        <v>43109</v>
      </c>
      <c r="H2845" s="8" t="s">
        <v>25</v>
      </c>
      <c r="I2845" s="11">
        <v>43112</v>
      </c>
      <c r="J2845" s="8" t="s">
        <v>25</v>
      </c>
      <c r="N2845" s="8" t="s">
        <v>58</v>
      </c>
      <c r="O2845" s="8" t="s">
        <v>59</v>
      </c>
      <c r="P2845" s="8" t="s">
        <v>59</v>
      </c>
      <c r="R2845" s="8">
        <v>0</v>
      </c>
      <c r="S2845" s="8">
        <v>0</v>
      </c>
      <c r="T2845" s="8">
        <v>1</v>
      </c>
      <c r="U2845" s="8">
        <v>2</v>
      </c>
      <c r="X2845" s="8">
        <v>5</v>
      </c>
      <c r="AG2845" s="8" t="str">
        <f t="shared" si="177"/>
        <v/>
      </c>
      <c r="AI2845" s="8" t="str">
        <f t="shared" si="178"/>
        <v/>
      </c>
      <c r="AJ2845" s="8" t="str">
        <f t="shared" si="179"/>
        <v/>
      </c>
      <c r="AL2845" s="8" t="str">
        <f t="shared" si="180"/>
        <v/>
      </c>
    </row>
    <row r="2846" spans="1:38" x14ac:dyDescent="0.25">
      <c r="A2846" s="8" t="s">
        <v>2784</v>
      </c>
      <c r="B2846" s="8" t="s">
        <v>2785</v>
      </c>
      <c r="C2846" s="8">
        <v>30823407</v>
      </c>
      <c r="D2846" s="8">
        <v>5</v>
      </c>
      <c r="E2846" s="11">
        <v>43108</v>
      </c>
      <c r="F2846" s="8" t="s">
        <v>58</v>
      </c>
      <c r="G2846" s="11">
        <v>43110</v>
      </c>
      <c r="H2846" s="8" t="s">
        <v>25</v>
      </c>
      <c r="I2846" s="11">
        <v>43110</v>
      </c>
      <c r="J2846" s="8" t="s">
        <v>25</v>
      </c>
      <c r="N2846" s="8" t="s">
        <v>58</v>
      </c>
      <c r="O2846" s="8" t="s">
        <v>59</v>
      </c>
      <c r="P2846" s="8" t="s">
        <v>59</v>
      </c>
      <c r="R2846" s="8">
        <v>0</v>
      </c>
      <c r="S2846" s="8">
        <v>0</v>
      </c>
      <c r="T2846" s="8">
        <v>1</v>
      </c>
      <c r="U2846" s="8">
        <v>2</v>
      </c>
      <c r="X2846" s="8">
        <v>5</v>
      </c>
      <c r="AG2846" s="8" t="str">
        <f t="shared" si="177"/>
        <v/>
      </c>
      <c r="AI2846" s="8" t="str">
        <f t="shared" si="178"/>
        <v/>
      </c>
      <c r="AJ2846" s="8" t="str">
        <f t="shared" si="179"/>
        <v/>
      </c>
      <c r="AL2846" s="8" t="str">
        <f t="shared" si="180"/>
        <v/>
      </c>
    </row>
    <row r="2847" spans="1:38" x14ac:dyDescent="0.25">
      <c r="A2847" s="8" t="s">
        <v>7701</v>
      </c>
      <c r="B2847" s="8" t="s">
        <v>7702</v>
      </c>
      <c r="C2847" s="8">
        <v>30882091</v>
      </c>
      <c r="D2847" s="8">
        <v>5</v>
      </c>
      <c r="E2847" s="11">
        <v>43111</v>
      </c>
      <c r="F2847" s="8" t="s">
        <v>58</v>
      </c>
      <c r="G2847" s="11">
        <v>43115</v>
      </c>
      <c r="H2847" s="8" t="s">
        <v>25</v>
      </c>
      <c r="I2847" s="11">
        <v>43115</v>
      </c>
      <c r="J2847" s="8" t="s">
        <v>25</v>
      </c>
      <c r="N2847" s="8" t="s">
        <v>58</v>
      </c>
      <c r="O2847" s="8" t="s">
        <v>59</v>
      </c>
      <c r="P2847" s="8" t="s">
        <v>59</v>
      </c>
      <c r="R2847" s="8">
        <v>0</v>
      </c>
      <c r="S2847" s="8">
        <v>0</v>
      </c>
      <c r="T2847" s="8">
        <v>1</v>
      </c>
      <c r="U2847" s="8">
        <v>2</v>
      </c>
      <c r="X2847" s="8">
        <v>5</v>
      </c>
      <c r="AG2847" s="8" t="str">
        <f t="shared" si="177"/>
        <v/>
      </c>
      <c r="AI2847" s="8" t="str">
        <f t="shared" si="178"/>
        <v/>
      </c>
      <c r="AJ2847" s="8" t="str">
        <f t="shared" si="179"/>
        <v/>
      </c>
      <c r="AL2847" s="8" t="str">
        <f t="shared" si="180"/>
        <v/>
      </c>
    </row>
    <row r="2848" spans="1:38" x14ac:dyDescent="0.25">
      <c r="A2848" s="8" t="s">
        <v>7703</v>
      </c>
      <c r="B2848" s="8" t="s">
        <v>7704</v>
      </c>
      <c r="C2848" s="8">
        <v>30900818</v>
      </c>
      <c r="D2848" s="8">
        <v>5</v>
      </c>
      <c r="E2848" s="11">
        <v>43111</v>
      </c>
      <c r="F2848" s="8" t="s">
        <v>58</v>
      </c>
      <c r="G2848" s="11">
        <v>43115</v>
      </c>
      <c r="H2848" s="8" t="s">
        <v>25</v>
      </c>
      <c r="I2848" s="11">
        <v>43115</v>
      </c>
      <c r="J2848" s="8" t="s">
        <v>25</v>
      </c>
      <c r="N2848" s="8" t="s">
        <v>58</v>
      </c>
      <c r="O2848" s="8" t="s">
        <v>59</v>
      </c>
      <c r="P2848" s="8" t="s">
        <v>59</v>
      </c>
      <c r="R2848" s="8">
        <v>0</v>
      </c>
      <c r="S2848" s="8">
        <v>0</v>
      </c>
      <c r="T2848" s="8">
        <v>1</v>
      </c>
      <c r="U2848" s="8">
        <v>2</v>
      </c>
      <c r="X2848" s="8">
        <v>5</v>
      </c>
      <c r="AG2848" s="8" t="str">
        <f t="shared" si="177"/>
        <v/>
      </c>
      <c r="AI2848" s="8" t="str">
        <f t="shared" si="178"/>
        <v/>
      </c>
      <c r="AJ2848" s="8" t="str">
        <f t="shared" si="179"/>
        <v/>
      </c>
      <c r="AL2848" s="8" t="str">
        <f t="shared" si="180"/>
        <v/>
      </c>
    </row>
    <row r="2849" spans="1:38" x14ac:dyDescent="0.25">
      <c r="A2849" s="8" t="s">
        <v>598</v>
      </c>
      <c r="B2849" s="8" t="s">
        <v>599</v>
      </c>
      <c r="C2849" s="8">
        <v>30819928</v>
      </c>
      <c r="D2849" s="8">
        <v>5</v>
      </c>
      <c r="E2849" s="11">
        <v>43108</v>
      </c>
      <c r="F2849" s="8" t="s">
        <v>58</v>
      </c>
      <c r="G2849" s="11">
        <v>43108</v>
      </c>
      <c r="H2849" s="8" t="s">
        <v>25</v>
      </c>
      <c r="I2849" s="11">
        <v>43112</v>
      </c>
      <c r="J2849" s="8" t="s">
        <v>145</v>
      </c>
      <c r="N2849" s="8" t="s">
        <v>58</v>
      </c>
      <c r="O2849" s="8" t="s">
        <v>59</v>
      </c>
      <c r="P2849" s="8" t="s">
        <v>59</v>
      </c>
      <c r="R2849" s="8">
        <v>0</v>
      </c>
      <c r="S2849" s="8">
        <v>0</v>
      </c>
      <c r="T2849" s="8">
        <v>1</v>
      </c>
      <c r="U2849" s="8">
        <v>2</v>
      </c>
      <c r="X2849" s="8">
        <v>5</v>
      </c>
      <c r="AG2849" s="8" t="str">
        <f t="shared" si="177"/>
        <v/>
      </c>
      <c r="AI2849" s="8" t="str">
        <f t="shared" si="178"/>
        <v/>
      </c>
      <c r="AJ2849" s="8" t="str">
        <f t="shared" si="179"/>
        <v/>
      </c>
      <c r="AL2849" s="8" t="str">
        <f t="shared" si="180"/>
        <v/>
      </c>
    </row>
    <row r="2850" spans="1:38" x14ac:dyDescent="0.25">
      <c r="A2850" s="8" t="s">
        <v>4260</v>
      </c>
      <c r="B2850" s="8" t="s">
        <v>4261</v>
      </c>
      <c r="C2850" s="8">
        <v>30833581</v>
      </c>
      <c r="D2850" s="8">
        <v>5</v>
      </c>
      <c r="E2850" s="11">
        <v>43109</v>
      </c>
      <c r="F2850" s="8" t="s">
        <v>58</v>
      </c>
      <c r="G2850" s="11">
        <v>43111</v>
      </c>
      <c r="H2850" s="8" t="s">
        <v>25</v>
      </c>
      <c r="I2850" s="11">
        <v>43111</v>
      </c>
      <c r="J2850" s="8" t="s">
        <v>25</v>
      </c>
      <c r="N2850" s="8" t="s">
        <v>58</v>
      </c>
      <c r="O2850" s="8" t="s">
        <v>59</v>
      </c>
      <c r="P2850" s="8" t="s">
        <v>59</v>
      </c>
      <c r="R2850" s="8">
        <v>0</v>
      </c>
      <c r="S2850" s="8">
        <v>0</v>
      </c>
      <c r="T2850" s="8">
        <v>1</v>
      </c>
      <c r="U2850" s="8">
        <v>2</v>
      </c>
      <c r="X2850" s="8">
        <v>5</v>
      </c>
      <c r="AG2850" s="8" t="str">
        <f t="shared" si="177"/>
        <v/>
      </c>
      <c r="AI2850" s="8" t="str">
        <f t="shared" si="178"/>
        <v/>
      </c>
      <c r="AJ2850" s="8" t="str">
        <f t="shared" si="179"/>
        <v/>
      </c>
      <c r="AL2850" s="8" t="str">
        <f t="shared" si="180"/>
        <v/>
      </c>
    </row>
    <row r="2851" spans="1:38" x14ac:dyDescent="0.25">
      <c r="A2851" s="8" t="s">
        <v>5887</v>
      </c>
      <c r="B2851" s="8" t="s">
        <v>5888</v>
      </c>
      <c r="C2851" s="8">
        <v>30866058</v>
      </c>
      <c r="D2851" s="8">
        <v>5</v>
      </c>
      <c r="E2851" s="11">
        <v>43110</v>
      </c>
      <c r="F2851" s="8" t="s">
        <v>58</v>
      </c>
      <c r="G2851" s="11">
        <v>43112</v>
      </c>
      <c r="H2851" s="8" t="s">
        <v>25</v>
      </c>
      <c r="I2851" s="11">
        <v>43112</v>
      </c>
      <c r="J2851" s="8" t="s">
        <v>25</v>
      </c>
      <c r="N2851" s="8" t="s">
        <v>58</v>
      </c>
      <c r="O2851" s="8" t="s">
        <v>59</v>
      </c>
      <c r="P2851" s="8" t="s">
        <v>59</v>
      </c>
      <c r="R2851" s="8">
        <v>0</v>
      </c>
      <c r="S2851" s="8">
        <v>0</v>
      </c>
      <c r="T2851" s="8">
        <v>1</v>
      </c>
      <c r="U2851" s="8">
        <v>2</v>
      </c>
      <c r="X2851" s="8">
        <v>5</v>
      </c>
      <c r="AG2851" s="8" t="str">
        <f t="shared" si="177"/>
        <v/>
      </c>
      <c r="AI2851" s="8" t="str">
        <f t="shared" si="178"/>
        <v/>
      </c>
      <c r="AJ2851" s="8" t="str">
        <f t="shared" si="179"/>
        <v/>
      </c>
      <c r="AL2851" s="8" t="str">
        <f t="shared" si="180"/>
        <v/>
      </c>
    </row>
    <row r="2852" spans="1:38" x14ac:dyDescent="0.25">
      <c r="A2852" s="8" t="s">
        <v>5889</v>
      </c>
      <c r="B2852" s="8" t="s">
        <v>5890</v>
      </c>
      <c r="C2852" s="8">
        <v>30860726</v>
      </c>
      <c r="D2852" s="8">
        <v>5</v>
      </c>
      <c r="E2852" s="11">
        <v>43110</v>
      </c>
      <c r="F2852" s="8" t="s">
        <v>58</v>
      </c>
      <c r="G2852" s="11">
        <v>43112</v>
      </c>
      <c r="H2852" s="8" t="s">
        <v>25</v>
      </c>
      <c r="I2852" s="11">
        <v>43112</v>
      </c>
      <c r="J2852" s="8" t="s">
        <v>25</v>
      </c>
      <c r="N2852" s="8" t="s">
        <v>58</v>
      </c>
      <c r="O2852" s="8" t="s">
        <v>59</v>
      </c>
      <c r="P2852" s="8" t="s">
        <v>59</v>
      </c>
      <c r="R2852" s="8">
        <v>0</v>
      </c>
      <c r="S2852" s="8">
        <v>0</v>
      </c>
      <c r="T2852" s="8">
        <v>1</v>
      </c>
      <c r="U2852" s="8">
        <v>2</v>
      </c>
      <c r="X2852" s="8">
        <v>5</v>
      </c>
      <c r="AG2852" s="8" t="str">
        <f t="shared" si="177"/>
        <v/>
      </c>
      <c r="AI2852" s="8" t="str">
        <f t="shared" si="178"/>
        <v/>
      </c>
      <c r="AJ2852" s="8" t="str">
        <f t="shared" si="179"/>
        <v/>
      </c>
      <c r="AL2852" s="8" t="str">
        <f t="shared" si="180"/>
        <v/>
      </c>
    </row>
    <row r="2853" spans="1:38" x14ac:dyDescent="0.25">
      <c r="A2853" s="8" t="s">
        <v>5891</v>
      </c>
      <c r="B2853" s="8" t="s">
        <v>5892</v>
      </c>
      <c r="C2853" s="8">
        <v>30917868</v>
      </c>
      <c r="D2853" s="8">
        <v>5</v>
      </c>
      <c r="E2853" s="11">
        <v>43112</v>
      </c>
      <c r="F2853" s="8" t="s">
        <v>58</v>
      </c>
      <c r="G2853" s="11">
        <v>43112</v>
      </c>
      <c r="H2853" s="8" t="s">
        <v>25</v>
      </c>
      <c r="I2853" s="11">
        <v>43115</v>
      </c>
      <c r="J2853" s="8" t="s">
        <v>25</v>
      </c>
      <c r="N2853" s="8" t="s">
        <v>58</v>
      </c>
      <c r="O2853" s="8" t="s">
        <v>59</v>
      </c>
      <c r="P2853" s="8" t="s">
        <v>59</v>
      </c>
      <c r="R2853" s="8">
        <v>0</v>
      </c>
      <c r="S2853" s="8">
        <v>0</v>
      </c>
      <c r="T2853" s="8">
        <v>1</v>
      </c>
      <c r="U2853" s="8">
        <v>2</v>
      </c>
      <c r="X2853" s="8">
        <v>5</v>
      </c>
      <c r="AG2853" s="8" t="str">
        <f t="shared" si="177"/>
        <v/>
      </c>
      <c r="AI2853" s="8" t="str">
        <f t="shared" si="178"/>
        <v/>
      </c>
      <c r="AJ2853" s="8" t="str">
        <f t="shared" si="179"/>
        <v/>
      </c>
      <c r="AL2853" s="8" t="str">
        <f t="shared" si="180"/>
        <v/>
      </c>
    </row>
    <row r="2854" spans="1:38" x14ac:dyDescent="0.25">
      <c r="A2854" s="8" t="s">
        <v>2786</v>
      </c>
      <c r="B2854" s="8" t="s">
        <v>2787</v>
      </c>
      <c r="C2854" s="8">
        <v>30821091</v>
      </c>
      <c r="D2854" s="8">
        <v>5</v>
      </c>
      <c r="E2854" s="11">
        <v>43108</v>
      </c>
      <c r="F2854" s="8" t="s">
        <v>58</v>
      </c>
      <c r="G2854" s="11">
        <v>43110</v>
      </c>
      <c r="H2854" s="8" t="s">
        <v>25</v>
      </c>
      <c r="I2854" s="11">
        <v>43110</v>
      </c>
      <c r="J2854" s="8" t="s">
        <v>25</v>
      </c>
      <c r="N2854" s="8" t="s">
        <v>58</v>
      </c>
      <c r="O2854" s="8" t="s">
        <v>59</v>
      </c>
      <c r="P2854" s="8" t="s">
        <v>59</v>
      </c>
      <c r="R2854" s="8">
        <v>0</v>
      </c>
      <c r="S2854" s="8">
        <v>0</v>
      </c>
      <c r="T2854" s="8">
        <v>1</v>
      </c>
      <c r="U2854" s="8">
        <v>2</v>
      </c>
      <c r="X2854" s="8">
        <v>5</v>
      </c>
      <c r="AG2854" s="8" t="str">
        <f t="shared" si="177"/>
        <v/>
      </c>
      <c r="AI2854" s="8" t="str">
        <f t="shared" si="178"/>
        <v/>
      </c>
      <c r="AJ2854" s="8" t="str">
        <f t="shared" si="179"/>
        <v/>
      </c>
      <c r="AL2854" s="8" t="str">
        <f t="shared" si="180"/>
        <v/>
      </c>
    </row>
    <row r="2855" spans="1:38" x14ac:dyDescent="0.25">
      <c r="A2855" s="8" t="s">
        <v>5893</v>
      </c>
      <c r="B2855" s="8" t="s">
        <v>5894</v>
      </c>
      <c r="C2855" s="8">
        <v>30865219</v>
      </c>
      <c r="D2855" s="8">
        <v>5</v>
      </c>
      <c r="E2855" s="11">
        <v>43110</v>
      </c>
      <c r="F2855" s="8" t="s">
        <v>57</v>
      </c>
      <c r="G2855" s="11">
        <v>43112</v>
      </c>
      <c r="H2855" s="8" t="s">
        <v>25</v>
      </c>
      <c r="J2855" s="8" t="s">
        <v>25</v>
      </c>
      <c r="N2855" s="8" t="s">
        <v>58</v>
      </c>
      <c r="O2855" s="8" t="s">
        <v>59</v>
      </c>
      <c r="P2855" s="8" t="s">
        <v>59</v>
      </c>
      <c r="R2855" s="8">
        <v>0</v>
      </c>
      <c r="S2855" s="8">
        <v>0</v>
      </c>
      <c r="T2855" s="8">
        <v>1</v>
      </c>
      <c r="U2855" s="8">
        <v>2</v>
      </c>
      <c r="AG2855" s="8" t="str">
        <f t="shared" si="177"/>
        <v/>
      </c>
      <c r="AI2855" s="8" t="str">
        <f t="shared" si="178"/>
        <v/>
      </c>
      <c r="AJ2855" s="8" t="str">
        <f t="shared" si="179"/>
        <v/>
      </c>
      <c r="AL2855" s="8" t="str">
        <f t="shared" si="180"/>
        <v/>
      </c>
    </row>
    <row r="2856" spans="1:38" x14ac:dyDescent="0.25">
      <c r="A2856" s="8" t="s">
        <v>5895</v>
      </c>
      <c r="B2856" s="8" t="s">
        <v>5896</v>
      </c>
      <c r="C2856" s="8">
        <v>30867240</v>
      </c>
      <c r="D2856" s="8">
        <v>5</v>
      </c>
      <c r="E2856" s="11">
        <v>43110</v>
      </c>
      <c r="F2856" s="8" t="s">
        <v>58</v>
      </c>
      <c r="G2856" s="11">
        <v>43112</v>
      </c>
      <c r="H2856" s="8" t="s">
        <v>25</v>
      </c>
      <c r="I2856" s="11">
        <v>43115</v>
      </c>
      <c r="J2856" s="8" t="s">
        <v>25</v>
      </c>
      <c r="N2856" s="8" t="s">
        <v>58</v>
      </c>
      <c r="O2856" s="8" t="s">
        <v>59</v>
      </c>
      <c r="P2856" s="8" t="s">
        <v>59</v>
      </c>
      <c r="R2856" s="8">
        <v>0</v>
      </c>
      <c r="S2856" s="8">
        <v>0</v>
      </c>
      <c r="T2856" s="8">
        <v>1</v>
      </c>
      <c r="U2856" s="8">
        <v>2</v>
      </c>
      <c r="X2856" s="8">
        <v>5</v>
      </c>
      <c r="AG2856" s="8" t="str">
        <f t="shared" si="177"/>
        <v/>
      </c>
      <c r="AI2856" s="8" t="str">
        <f t="shared" si="178"/>
        <v/>
      </c>
      <c r="AJ2856" s="8" t="str">
        <f t="shared" si="179"/>
        <v/>
      </c>
      <c r="AL2856" s="8" t="str">
        <f t="shared" si="180"/>
        <v/>
      </c>
    </row>
    <row r="2857" spans="1:38" x14ac:dyDescent="0.25">
      <c r="A2857" s="8" t="s">
        <v>2788</v>
      </c>
      <c r="B2857" s="8" t="s">
        <v>2789</v>
      </c>
      <c r="C2857" s="8">
        <v>30809330</v>
      </c>
      <c r="D2857" s="8">
        <v>5</v>
      </c>
      <c r="E2857" s="11">
        <v>43108</v>
      </c>
      <c r="F2857" s="8" t="s">
        <v>57</v>
      </c>
      <c r="G2857" s="11">
        <v>43110</v>
      </c>
      <c r="H2857" s="8" t="s">
        <v>25</v>
      </c>
      <c r="J2857" s="8" t="s">
        <v>25</v>
      </c>
      <c r="N2857" s="8" t="s">
        <v>58</v>
      </c>
      <c r="O2857" s="8" t="s">
        <v>59</v>
      </c>
      <c r="P2857" s="8" t="s">
        <v>59</v>
      </c>
      <c r="R2857" s="8">
        <v>0</v>
      </c>
      <c r="S2857" s="8">
        <v>0</v>
      </c>
      <c r="T2857" s="8">
        <v>1</v>
      </c>
      <c r="U2857" s="8">
        <v>2</v>
      </c>
      <c r="AG2857" s="8" t="str">
        <f t="shared" si="177"/>
        <v/>
      </c>
      <c r="AI2857" s="8" t="str">
        <f t="shared" si="178"/>
        <v/>
      </c>
      <c r="AJ2857" s="8" t="str">
        <f t="shared" si="179"/>
        <v/>
      </c>
      <c r="AL2857" s="8" t="str">
        <f t="shared" si="180"/>
        <v/>
      </c>
    </row>
    <row r="2858" spans="1:38" x14ac:dyDescent="0.25">
      <c r="A2858" s="8" t="s">
        <v>7705</v>
      </c>
      <c r="B2858" s="8" t="s">
        <v>7706</v>
      </c>
      <c r="C2858" s="8">
        <v>30900538</v>
      </c>
      <c r="D2858" s="8">
        <v>5</v>
      </c>
      <c r="E2858" s="11">
        <v>43111</v>
      </c>
      <c r="F2858" s="8" t="s">
        <v>57</v>
      </c>
      <c r="G2858" s="11">
        <v>43115</v>
      </c>
      <c r="H2858" s="8" t="s">
        <v>25</v>
      </c>
      <c r="J2858" s="8" t="s">
        <v>25</v>
      </c>
      <c r="N2858" s="8" t="s">
        <v>58</v>
      </c>
      <c r="O2858" s="8" t="s">
        <v>59</v>
      </c>
      <c r="P2858" s="8" t="s">
        <v>59</v>
      </c>
      <c r="R2858" s="8">
        <v>0</v>
      </c>
      <c r="S2858" s="8">
        <v>0</v>
      </c>
      <c r="T2858" s="8">
        <v>1</v>
      </c>
      <c r="U2858" s="8">
        <v>2</v>
      </c>
      <c r="AG2858" s="8" t="str">
        <f t="shared" si="177"/>
        <v/>
      </c>
      <c r="AI2858" s="8" t="str">
        <f t="shared" si="178"/>
        <v/>
      </c>
      <c r="AJ2858" s="8" t="str">
        <f t="shared" si="179"/>
        <v/>
      </c>
      <c r="AL2858" s="8" t="str">
        <f t="shared" si="180"/>
        <v/>
      </c>
    </row>
    <row r="2859" spans="1:38" x14ac:dyDescent="0.25">
      <c r="A2859" s="8" t="s">
        <v>7707</v>
      </c>
      <c r="B2859" s="8" t="s">
        <v>7708</v>
      </c>
      <c r="C2859" s="8">
        <v>30885283</v>
      </c>
      <c r="D2859" s="8">
        <v>5</v>
      </c>
      <c r="E2859" s="11">
        <v>43111</v>
      </c>
      <c r="F2859" s="8" t="s">
        <v>57</v>
      </c>
      <c r="G2859" s="11">
        <v>43115</v>
      </c>
      <c r="H2859" s="8" t="s">
        <v>25</v>
      </c>
      <c r="J2859" s="8" t="s">
        <v>25</v>
      </c>
      <c r="N2859" s="8" t="s">
        <v>58</v>
      </c>
      <c r="O2859" s="8" t="s">
        <v>59</v>
      </c>
      <c r="P2859" s="8" t="s">
        <v>59</v>
      </c>
      <c r="R2859" s="8">
        <v>0</v>
      </c>
      <c r="S2859" s="8">
        <v>0</v>
      </c>
      <c r="T2859" s="8">
        <v>1</v>
      </c>
      <c r="U2859" s="8">
        <v>2</v>
      </c>
      <c r="AG2859" s="8" t="str">
        <f t="shared" si="177"/>
        <v/>
      </c>
      <c r="AI2859" s="8" t="str">
        <f t="shared" si="178"/>
        <v/>
      </c>
      <c r="AJ2859" s="8" t="str">
        <f t="shared" si="179"/>
        <v/>
      </c>
      <c r="AL2859" s="8" t="str">
        <f t="shared" si="180"/>
        <v/>
      </c>
    </row>
    <row r="2860" spans="1:38" x14ac:dyDescent="0.25">
      <c r="A2860" s="8" t="s">
        <v>7709</v>
      </c>
      <c r="B2860" s="8" t="s">
        <v>7710</v>
      </c>
      <c r="C2860" s="8">
        <v>30916765</v>
      </c>
      <c r="D2860" s="8">
        <v>5</v>
      </c>
      <c r="E2860" s="11">
        <v>43112</v>
      </c>
      <c r="F2860" s="8" t="s">
        <v>57</v>
      </c>
      <c r="G2860" s="11">
        <v>43115</v>
      </c>
      <c r="H2860" s="8" t="s">
        <v>25</v>
      </c>
      <c r="J2860" s="8" t="s">
        <v>25</v>
      </c>
      <c r="N2860" s="8" t="s">
        <v>58</v>
      </c>
      <c r="O2860" s="8" t="s">
        <v>59</v>
      </c>
      <c r="P2860" s="8" t="s">
        <v>59</v>
      </c>
      <c r="R2860" s="8">
        <v>0</v>
      </c>
      <c r="S2860" s="8">
        <v>0</v>
      </c>
      <c r="T2860" s="8">
        <v>1</v>
      </c>
      <c r="U2860" s="8">
        <v>2</v>
      </c>
      <c r="AG2860" s="8" t="str">
        <f t="shared" si="177"/>
        <v/>
      </c>
      <c r="AI2860" s="8" t="str">
        <f t="shared" si="178"/>
        <v/>
      </c>
      <c r="AJ2860" s="8" t="str">
        <f t="shared" si="179"/>
        <v/>
      </c>
      <c r="AL2860" s="8" t="str">
        <f t="shared" si="180"/>
        <v/>
      </c>
    </row>
    <row r="2861" spans="1:38" x14ac:dyDescent="0.25">
      <c r="A2861" s="8" t="s">
        <v>5897</v>
      </c>
      <c r="B2861" s="8" t="s">
        <v>5898</v>
      </c>
      <c r="C2861" s="8">
        <v>30870279</v>
      </c>
      <c r="D2861" s="8">
        <v>5</v>
      </c>
      <c r="E2861" s="11">
        <v>43110</v>
      </c>
      <c r="F2861" s="8" t="s">
        <v>57</v>
      </c>
      <c r="G2861" s="11">
        <v>43112</v>
      </c>
      <c r="H2861" s="8" t="s">
        <v>25</v>
      </c>
      <c r="J2861" s="8" t="s">
        <v>25</v>
      </c>
      <c r="N2861" s="8" t="s">
        <v>58</v>
      </c>
      <c r="O2861" s="8" t="s">
        <v>59</v>
      </c>
      <c r="P2861" s="8" t="s">
        <v>59</v>
      </c>
      <c r="R2861" s="8">
        <v>0</v>
      </c>
      <c r="S2861" s="8">
        <v>0</v>
      </c>
      <c r="T2861" s="8">
        <v>1</v>
      </c>
      <c r="U2861" s="8">
        <v>2</v>
      </c>
      <c r="AG2861" s="8" t="str">
        <f t="shared" si="177"/>
        <v/>
      </c>
      <c r="AI2861" s="8" t="str">
        <f t="shared" si="178"/>
        <v/>
      </c>
      <c r="AJ2861" s="8" t="str">
        <f t="shared" si="179"/>
        <v/>
      </c>
      <c r="AL2861" s="8" t="str">
        <f t="shared" si="180"/>
        <v/>
      </c>
    </row>
    <row r="2862" spans="1:38" x14ac:dyDescent="0.25">
      <c r="A2862" s="8" t="s">
        <v>5899</v>
      </c>
      <c r="B2862" s="8" t="s">
        <v>5900</v>
      </c>
      <c r="C2862" s="8">
        <v>30898810</v>
      </c>
      <c r="D2862" s="8">
        <v>4</v>
      </c>
      <c r="E2862" s="11">
        <v>43111</v>
      </c>
      <c r="F2862" s="8" t="s">
        <v>57</v>
      </c>
      <c r="G2862" s="11">
        <v>43112</v>
      </c>
      <c r="H2862" s="8" t="s">
        <v>25</v>
      </c>
      <c r="J2862" s="8" t="s">
        <v>25</v>
      </c>
      <c r="N2862" s="8" t="s">
        <v>58</v>
      </c>
      <c r="O2862" s="8" t="s">
        <v>59</v>
      </c>
      <c r="P2862" s="8" t="s">
        <v>59</v>
      </c>
      <c r="R2862" s="8">
        <v>0</v>
      </c>
      <c r="S2862" s="8">
        <v>0</v>
      </c>
      <c r="T2862" s="8">
        <v>1</v>
      </c>
      <c r="U2862" s="8">
        <v>2</v>
      </c>
      <c r="AG2862" s="8" t="str">
        <f t="shared" si="177"/>
        <v/>
      </c>
      <c r="AI2862" s="8" t="str">
        <f t="shared" si="178"/>
        <v/>
      </c>
      <c r="AJ2862" s="8" t="str">
        <f t="shared" si="179"/>
        <v/>
      </c>
      <c r="AL2862" s="8" t="str">
        <f t="shared" si="180"/>
        <v/>
      </c>
    </row>
    <row r="2863" spans="1:38" x14ac:dyDescent="0.25">
      <c r="A2863" s="8" t="s">
        <v>2790</v>
      </c>
      <c r="B2863" s="8" t="s">
        <v>113</v>
      </c>
      <c r="C2863" s="8">
        <v>30858801</v>
      </c>
      <c r="D2863" s="8">
        <v>5</v>
      </c>
      <c r="E2863" s="11">
        <v>43110</v>
      </c>
      <c r="F2863" s="8" t="s">
        <v>57</v>
      </c>
      <c r="G2863" s="11">
        <v>43110</v>
      </c>
      <c r="H2863" s="8" t="s">
        <v>25</v>
      </c>
      <c r="J2863" s="8" t="s">
        <v>25</v>
      </c>
      <c r="N2863" s="8" t="s">
        <v>58</v>
      </c>
      <c r="O2863" s="8" t="s">
        <v>59</v>
      </c>
      <c r="P2863" s="8" t="s">
        <v>59</v>
      </c>
      <c r="R2863" s="8">
        <v>0</v>
      </c>
      <c r="S2863" s="8">
        <v>0</v>
      </c>
      <c r="T2863" s="8">
        <v>1</v>
      </c>
      <c r="U2863" s="8">
        <v>2</v>
      </c>
      <c r="AG2863" s="8" t="str">
        <f t="shared" si="177"/>
        <v/>
      </c>
      <c r="AI2863" s="8" t="str">
        <f t="shared" si="178"/>
        <v/>
      </c>
      <c r="AJ2863" s="8" t="str">
        <f t="shared" si="179"/>
        <v/>
      </c>
      <c r="AL2863" s="8" t="str">
        <f t="shared" si="180"/>
        <v/>
      </c>
    </row>
    <row r="2864" spans="1:38" x14ac:dyDescent="0.25">
      <c r="A2864" s="8" t="s">
        <v>4262</v>
      </c>
      <c r="B2864" s="8" t="s">
        <v>4263</v>
      </c>
      <c r="C2864" s="8">
        <v>30850259</v>
      </c>
      <c r="D2864" s="8">
        <v>4</v>
      </c>
      <c r="E2864" s="11">
        <v>43109</v>
      </c>
      <c r="F2864" s="8" t="s">
        <v>57</v>
      </c>
      <c r="G2864" s="11">
        <v>43111</v>
      </c>
      <c r="H2864" s="8" t="s">
        <v>25</v>
      </c>
      <c r="J2864" s="8" t="s">
        <v>25</v>
      </c>
      <c r="N2864" s="8" t="s">
        <v>58</v>
      </c>
      <c r="O2864" s="8" t="s">
        <v>59</v>
      </c>
      <c r="P2864" s="8" t="s">
        <v>59</v>
      </c>
      <c r="R2864" s="8">
        <v>0</v>
      </c>
      <c r="S2864" s="8">
        <v>0</v>
      </c>
      <c r="T2864" s="8">
        <v>1</v>
      </c>
      <c r="U2864" s="8">
        <v>2</v>
      </c>
      <c r="AG2864" s="8" t="str">
        <f t="shared" si="177"/>
        <v/>
      </c>
      <c r="AI2864" s="8" t="str">
        <f t="shared" si="178"/>
        <v/>
      </c>
      <c r="AJ2864" s="8" t="str">
        <f t="shared" si="179"/>
        <v/>
      </c>
      <c r="AL2864" s="8" t="str">
        <f t="shared" si="180"/>
        <v/>
      </c>
    </row>
    <row r="2865" spans="1:38" x14ac:dyDescent="0.25">
      <c r="A2865" s="8" t="s">
        <v>7711</v>
      </c>
      <c r="B2865" s="8" t="s">
        <v>7712</v>
      </c>
      <c r="C2865" s="8">
        <v>30945127</v>
      </c>
      <c r="D2865" s="8">
        <v>5</v>
      </c>
      <c r="E2865" s="11">
        <v>43115</v>
      </c>
      <c r="F2865" s="8" t="s">
        <v>57</v>
      </c>
      <c r="G2865" s="11">
        <v>43115</v>
      </c>
      <c r="H2865" s="8" t="s">
        <v>25</v>
      </c>
      <c r="J2865" s="8" t="s">
        <v>25</v>
      </c>
      <c r="N2865" s="8" t="s">
        <v>58</v>
      </c>
      <c r="O2865" s="8" t="s">
        <v>59</v>
      </c>
      <c r="P2865" s="8" t="s">
        <v>59</v>
      </c>
      <c r="R2865" s="8">
        <v>0</v>
      </c>
      <c r="S2865" s="8">
        <v>0</v>
      </c>
      <c r="T2865" s="8">
        <v>1</v>
      </c>
      <c r="U2865" s="8">
        <v>2</v>
      </c>
      <c r="AG2865" s="8" t="str">
        <f t="shared" si="177"/>
        <v/>
      </c>
      <c r="AI2865" s="8" t="str">
        <f t="shared" si="178"/>
        <v/>
      </c>
      <c r="AJ2865" s="8" t="str">
        <f t="shared" si="179"/>
        <v/>
      </c>
      <c r="AL2865" s="8" t="str">
        <f t="shared" si="180"/>
        <v/>
      </c>
    </row>
    <row r="2866" spans="1:38" x14ac:dyDescent="0.25">
      <c r="A2866" s="8" t="s">
        <v>7713</v>
      </c>
      <c r="B2866" s="8" t="s">
        <v>7714</v>
      </c>
      <c r="C2866" s="8">
        <v>30920787</v>
      </c>
      <c r="D2866" s="8">
        <v>3</v>
      </c>
      <c r="E2866" s="11">
        <v>43112</v>
      </c>
      <c r="F2866" s="8" t="s">
        <v>57</v>
      </c>
      <c r="G2866" s="11">
        <v>43115</v>
      </c>
      <c r="H2866" s="8" t="s">
        <v>25</v>
      </c>
      <c r="J2866" s="8" t="s">
        <v>25</v>
      </c>
      <c r="N2866" s="8" t="s">
        <v>58</v>
      </c>
      <c r="O2866" s="8" t="s">
        <v>59</v>
      </c>
      <c r="P2866" s="8" t="s">
        <v>59</v>
      </c>
      <c r="R2866" s="8">
        <v>0</v>
      </c>
      <c r="S2866" s="8">
        <v>0</v>
      </c>
      <c r="T2866" s="8">
        <v>1</v>
      </c>
      <c r="U2866" s="8">
        <v>2</v>
      </c>
      <c r="AG2866" s="8" t="str">
        <f t="shared" si="177"/>
        <v/>
      </c>
      <c r="AI2866" s="8" t="str">
        <f t="shared" si="178"/>
        <v/>
      </c>
      <c r="AJ2866" s="8" t="str">
        <f t="shared" si="179"/>
        <v/>
      </c>
      <c r="AL2866" s="8" t="str">
        <f t="shared" si="180"/>
        <v/>
      </c>
    </row>
    <row r="2867" spans="1:38" x14ac:dyDescent="0.25">
      <c r="A2867" s="8" t="s">
        <v>5901</v>
      </c>
      <c r="B2867" s="8" t="s">
        <v>5902</v>
      </c>
      <c r="C2867" s="8">
        <v>30885682</v>
      </c>
      <c r="D2867" s="8">
        <v>5</v>
      </c>
      <c r="E2867" s="11">
        <v>43111</v>
      </c>
      <c r="F2867" s="8" t="s">
        <v>57</v>
      </c>
      <c r="G2867" s="11">
        <v>43112</v>
      </c>
      <c r="H2867" s="8" t="s">
        <v>25</v>
      </c>
      <c r="J2867" s="8" t="s">
        <v>25</v>
      </c>
      <c r="N2867" s="8" t="s">
        <v>58</v>
      </c>
      <c r="O2867" s="8" t="s">
        <v>59</v>
      </c>
      <c r="P2867" s="8" t="s">
        <v>59</v>
      </c>
      <c r="R2867" s="8">
        <v>0</v>
      </c>
      <c r="S2867" s="8">
        <v>0</v>
      </c>
      <c r="T2867" s="8">
        <v>1</v>
      </c>
      <c r="U2867" s="8">
        <v>2</v>
      </c>
      <c r="AG2867" s="8" t="str">
        <f t="shared" si="177"/>
        <v/>
      </c>
      <c r="AI2867" s="8" t="str">
        <f t="shared" si="178"/>
        <v/>
      </c>
      <c r="AJ2867" s="8" t="str">
        <f t="shared" si="179"/>
        <v/>
      </c>
      <c r="AL2867" s="8" t="str">
        <f t="shared" si="180"/>
        <v/>
      </c>
    </row>
    <row r="2868" spans="1:38" x14ac:dyDescent="0.25">
      <c r="A2868" s="8" t="s">
        <v>600</v>
      </c>
      <c r="B2868" s="8" t="s">
        <v>601</v>
      </c>
      <c r="C2868" s="8">
        <v>30812790</v>
      </c>
      <c r="D2868" s="8">
        <v>5</v>
      </c>
      <c r="E2868" s="11">
        <v>43108</v>
      </c>
      <c r="F2868" s="8" t="s">
        <v>58</v>
      </c>
      <c r="G2868" s="11">
        <v>43108</v>
      </c>
      <c r="H2868" s="8" t="s">
        <v>25</v>
      </c>
      <c r="I2868" s="11">
        <v>43112</v>
      </c>
      <c r="J2868" s="8" t="s">
        <v>145</v>
      </c>
      <c r="N2868" s="8" t="s">
        <v>58</v>
      </c>
      <c r="O2868" s="8" t="s">
        <v>59</v>
      </c>
      <c r="P2868" s="8" t="s">
        <v>59</v>
      </c>
      <c r="R2868" s="8">
        <v>0</v>
      </c>
      <c r="S2868" s="8">
        <v>0</v>
      </c>
      <c r="T2868" s="8">
        <v>1</v>
      </c>
      <c r="U2868" s="8">
        <v>2</v>
      </c>
      <c r="X2868" s="8">
        <v>5</v>
      </c>
      <c r="AG2868" s="8" t="str">
        <f t="shared" si="177"/>
        <v/>
      </c>
      <c r="AI2868" s="8" t="str">
        <f t="shared" si="178"/>
        <v/>
      </c>
      <c r="AJ2868" s="8" t="str">
        <f t="shared" si="179"/>
        <v/>
      </c>
      <c r="AL2868" s="8" t="str">
        <f t="shared" si="180"/>
        <v/>
      </c>
    </row>
    <row r="2869" spans="1:38" x14ac:dyDescent="0.25">
      <c r="A2869" s="8" t="s">
        <v>2791</v>
      </c>
      <c r="B2869" s="8" t="s">
        <v>2792</v>
      </c>
      <c r="C2869" s="8">
        <v>30822384</v>
      </c>
      <c r="D2869" s="8">
        <v>5</v>
      </c>
      <c r="E2869" s="11">
        <v>43108</v>
      </c>
      <c r="F2869" s="8" t="s">
        <v>58</v>
      </c>
      <c r="G2869" s="11">
        <v>43110</v>
      </c>
      <c r="H2869" s="8" t="s">
        <v>25</v>
      </c>
      <c r="I2869" s="11">
        <v>43110</v>
      </c>
      <c r="J2869" s="8" t="s">
        <v>25</v>
      </c>
      <c r="N2869" s="8" t="s">
        <v>58</v>
      </c>
      <c r="O2869" s="8" t="s">
        <v>59</v>
      </c>
      <c r="P2869" s="8" t="s">
        <v>59</v>
      </c>
      <c r="R2869" s="8">
        <v>0</v>
      </c>
      <c r="S2869" s="8">
        <v>0</v>
      </c>
      <c r="T2869" s="8">
        <v>1</v>
      </c>
      <c r="U2869" s="8">
        <v>2</v>
      </c>
      <c r="X2869" s="8">
        <v>5</v>
      </c>
      <c r="AG2869" s="8" t="str">
        <f t="shared" si="177"/>
        <v/>
      </c>
      <c r="AI2869" s="8" t="str">
        <f t="shared" si="178"/>
        <v/>
      </c>
      <c r="AJ2869" s="8" t="str">
        <f t="shared" si="179"/>
        <v/>
      </c>
      <c r="AL2869" s="8" t="str">
        <f t="shared" si="180"/>
        <v/>
      </c>
    </row>
    <row r="2870" spans="1:38" x14ac:dyDescent="0.25">
      <c r="A2870" s="8" t="s">
        <v>7715</v>
      </c>
      <c r="B2870" s="8" t="s">
        <v>7716</v>
      </c>
      <c r="C2870" s="8">
        <v>30890951</v>
      </c>
      <c r="D2870" s="8">
        <v>5</v>
      </c>
      <c r="E2870" s="11">
        <v>43111</v>
      </c>
      <c r="F2870" s="8" t="s">
        <v>57</v>
      </c>
      <c r="G2870" s="11">
        <v>43115</v>
      </c>
      <c r="H2870" s="8" t="s">
        <v>25</v>
      </c>
      <c r="J2870" s="8" t="s">
        <v>25</v>
      </c>
      <c r="N2870" s="8" t="s">
        <v>58</v>
      </c>
      <c r="O2870" s="8" t="s">
        <v>59</v>
      </c>
      <c r="P2870" s="8" t="s">
        <v>59</v>
      </c>
      <c r="R2870" s="8">
        <v>0</v>
      </c>
      <c r="S2870" s="8">
        <v>0</v>
      </c>
      <c r="T2870" s="8">
        <v>1</v>
      </c>
      <c r="U2870" s="8">
        <v>2</v>
      </c>
      <c r="AG2870" s="8" t="str">
        <f t="shared" si="177"/>
        <v/>
      </c>
      <c r="AI2870" s="8" t="str">
        <f t="shared" si="178"/>
        <v/>
      </c>
      <c r="AJ2870" s="8" t="str">
        <f t="shared" si="179"/>
        <v/>
      </c>
      <c r="AL2870" s="8" t="str">
        <f t="shared" si="180"/>
        <v/>
      </c>
    </row>
    <row r="2871" spans="1:38" x14ac:dyDescent="0.25">
      <c r="A2871" s="8" t="s">
        <v>602</v>
      </c>
      <c r="B2871" s="8" t="s">
        <v>603</v>
      </c>
      <c r="C2871" s="8">
        <v>30825818</v>
      </c>
      <c r="D2871" s="8">
        <v>5</v>
      </c>
      <c r="E2871" s="11">
        <v>43108</v>
      </c>
      <c r="F2871" s="8" t="s">
        <v>60</v>
      </c>
      <c r="G2871" s="11">
        <v>43108</v>
      </c>
      <c r="H2871" s="8" t="s">
        <v>25</v>
      </c>
      <c r="J2871" s="8" t="s">
        <v>856</v>
      </c>
      <c r="L2871" s="8" t="s">
        <v>6525</v>
      </c>
      <c r="N2871" s="8" t="s">
        <v>58</v>
      </c>
      <c r="O2871" s="8" t="s">
        <v>59</v>
      </c>
      <c r="P2871" s="8" t="s">
        <v>59</v>
      </c>
      <c r="R2871" s="8">
        <v>0</v>
      </c>
      <c r="S2871" s="8">
        <v>0</v>
      </c>
      <c r="T2871" s="8">
        <v>1</v>
      </c>
      <c r="U2871" s="8">
        <v>2</v>
      </c>
      <c r="W2871" s="8">
        <v>4</v>
      </c>
      <c r="AG2871" s="8" t="str">
        <f t="shared" si="177"/>
        <v/>
      </c>
      <c r="AI2871" s="8" t="str">
        <f t="shared" si="178"/>
        <v/>
      </c>
      <c r="AJ2871" s="8" t="str">
        <f t="shared" si="179"/>
        <v/>
      </c>
      <c r="AL2871" s="8" t="str">
        <f t="shared" si="180"/>
        <v/>
      </c>
    </row>
    <row r="2872" spans="1:38" x14ac:dyDescent="0.25">
      <c r="A2872" s="8" t="s">
        <v>604</v>
      </c>
      <c r="B2872" s="8" t="s">
        <v>605</v>
      </c>
      <c r="C2872" s="8">
        <v>30823278</v>
      </c>
      <c r="D2872" s="8">
        <v>5</v>
      </c>
      <c r="E2872" s="11">
        <v>43108</v>
      </c>
      <c r="F2872" s="8" t="s">
        <v>60</v>
      </c>
      <c r="G2872" s="11">
        <v>43108</v>
      </c>
      <c r="H2872" s="8" t="s">
        <v>25</v>
      </c>
      <c r="J2872" s="8" t="s">
        <v>856</v>
      </c>
      <c r="L2872" s="8" t="s">
        <v>6525</v>
      </c>
      <c r="N2872" s="8" t="s">
        <v>58</v>
      </c>
      <c r="O2872" s="8" t="s">
        <v>59</v>
      </c>
      <c r="P2872" s="8" t="s">
        <v>59</v>
      </c>
      <c r="R2872" s="8">
        <v>0</v>
      </c>
      <c r="S2872" s="8">
        <v>0</v>
      </c>
      <c r="T2872" s="8">
        <v>1</v>
      </c>
      <c r="U2872" s="8">
        <v>2</v>
      </c>
      <c r="W2872" s="8">
        <v>4</v>
      </c>
      <c r="AG2872" s="8" t="str">
        <f t="shared" si="177"/>
        <v/>
      </c>
      <c r="AI2872" s="8" t="str">
        <f t="shared" si="178"/>
        <v/>
      </c>
      <c r="AJ2872" s="8" t="str">
        <f t="shared" si="179"/>
        <v/>
      </c>
      <c r="AL2872" s="8" t="str">
        <f t="shared" si="180"/>
        <v/>
      </c>
    </row>
    <row r="2873" spans="1:38" x14ac:dyDescent="0.25">
      <c r="A2873" s="8" t="s">
        <v>2793</v>
      </c>
      <c r="B2873" s="8" t="s">
        <v>2794</v>
      </c>
      <c r="C2873" s="8">
        <v>30817314</v>
      </c>
      <c r="D2873" s="8">
        <v>4</v>
      </c>
      <c r="E2873" s="11">
        <v>43108</v>
      </c>
      <c r="F2873" s="8" t="s">
        <v>57</v>
      </c>
      <c r="G2873" s="11">
        <v>43110</v>
      </c>
      <c r="H2873" s="8" t="s">
        <v>25</v>
      </c>
      <c r="J2873" s="8" t="s">
        <v>25</v>
      </c>
      <c r="N2873" s="8" t="s">
        <v>58</v>
      </c>
      <c r="O2873" s="8" t="s">
        <v>59</v>
      </c>
      <c r="P2873" s="8" t="s">
        <v>59</v>
      </c>
      <c r="R2873" s="8">
        <v>0</v>
      </c>
      <c r="S2873" s="8">
        <v>0</v>
      </c>
      <c r="T2873" s="8">
        <v>1</v>
      </c>
      <c r="U2873" s="8">
        <v>2</v>
      </c>
      <c r="AG2873" s="8" t="str">
        <f t="shared" si="177"/>
        <v/>
      </c>
      <c r="AI2873" s="8" t="str">
        <f t="shared" si="178"/>
        <v/>
      </c>
      <c r="AJ2873" s="8" t="str">
        <f t="shared" si="179"/>
        <v/>
      </c>
      <c r="AL2873" s="8" t="str">
        <f t="shared" si="180"/>
        <v/>
      </c>
    </row>
    <row r="2874" spans="1:38" x14ac:dyDescent="0.25">
      <c r="A2874" s="8" t="s">
        <v>2795</v>
      </c>
      <c r="B2874" s="8" t="s">
        <v>2796</v>
      </c>
      <c r="C2874" s="8">
        <v>30816048</v>
      </c>
      <c r="D2874" s="8">
        <v>5</v>
      </c>
      <c r="E2874" s="11">
        <v>43108</v>
      </c>
      <c r="F2874" s="8" t="s">
        <v>58</v>
      </c>
      <c r="G2874" s="11">
        <v>43110</v>
      </c>
      <c r="H2874" s="8" t="s">
        <v>25</v>
      </c>
      <c r="I2874" s="11">
        <v>43115</v>
      </c>
      <c r="J2874" s="8" t="s">
        <v>145</v>
      </c>
      <c r="N2874" s="8" t="s">
        <v>58</v>
      </c>
      <c r="O2874" s="8" t="s">
        <v>59</v>
      </c>
      <c r="P2874" s="8" t="s">
        <v>59</v>
      </c>
      <c r="R2874" s="8">
        <v>0</v>
      </c>
      <c r="S2874" s="8">
        <v>0</v>
      </c>
      <c r="T2874" s="8">
        <v>1</v>
      </c>
      <c r="U2874" s="8">
        <v>2</v>
      </c>
      <c r="X2874" s="8">
        <v>5</v>
      </c>
      <c r="AG2874" s="8" t="str">
        <f t="shared" si="177"/>
        <v/>
      </c>
      <c r="AI2874" s="8" t="str">
        <f t="shared" si="178"/>
        <v/>
      </c>
      <c r="AJ2874" s="8" t="str">
        <f t="shared" si="179"/>
        <v/>
      </c>
      <c r="AL2874" s="8" t="str">
        <f t="shared" si="180"/>
        <v/>
      </c>
    </row>
    <row r="2875" spans="1:38" x14ac:dyDescent="0.25">
      <c r="A2875" s="8" t="s">
        <v>4264</v>
      </c>
      <c r="B2875" s="8" t="s">
        <v>4265</v>
      </c>
      <c r="C2875" s="8">
        <v>30881764</v>
      </c>
      <c r="D2875" s="8">
        <v>5</v>
      </c>
      <c r="E2875" s="11">
        <v>43111</v>
      </c>
      <c r="F2875" s="8" t="s">
        <v>57</v>
      </c>
      <c r="G2875" s="11">
        <v>43111</v>
      </c>
      <c r="H2875" s="8" t="s">
        <v>25</v>
      </c>
      <c r="J2875" s="8" t="s">
        <v>25</v>
      </c>
      <c r="N2875" s="8" t="s">
        <v>58</v>
      </c>
      <c r="O2875" s="8" t="s">
        <v>59</v>
      </c>
      <c r="P2875" s="8" t="s">
        <v>59</v>
      </c>
      <c r="R2875" s="8">
        <v>0</v>
      </c>
      <c r="S2875" s="8">
        <v>0</v>
      </c>
      <c r="T2875" s="8">
        <v>1</v>
      </c>
      <c r="U2875" s="8">
        <v>2</v>
      </c>
      <c r="AG2875" s="8" t="str">
        <f t="shared" si="177"/>
        <v/>
      </c>
      <c r="AI2875" s="8" t="str">
        <f t="shared" si="178"/>
        <v/>
      </c>
      <c r="AJ2875" s="8" t="str">
        <f t="shared" si="179"/>
        <v/>
      </c>
      <c r="AL2875" s="8" t="str">
        <f t="shared" si="180"/>
        <v/>
      </c>
    </row>
    <row r="2876" spans="1:38" x14ac:dyDescent="0.25">
      <c r="A2876" s="8" t="s">
        <v>4266</v>
      </c>
      <c r="B2876" s="8" t="s">
        <v>4267</v>
      </c>
      <c r="C2876" s="8">
        <v>30837116</v>
      </c>
      <c r="D2876" s="8">
        <v>5</v>
      </c>
      <c r="E2876" s="11">
        <v>43109</v>
      </c>
      <c r="F2876" s="8" t="s">
        <v>58</v>
      </c>
      <c r="G2876" s="11">
        <v>43111</v>
      </c>
      <c r="H2876" s="8" t="s">
        <v>25</v>
      </c>
      <c r="I2876" s="11">
        <v>43115</v>
      </c>
      <c r="J2876" s="8" t="s">
        <v>25</v>
      </c>
      <c r="N2876" s="8" t="s">
        <v>58</v>
      </c>
      <c r="O2876" s="8" t="s">
        <v>59</v>
      </c>
      <c r="P2876" s="8" t="s">
        <v>59</v>
      </c>
      <c r="R2876" s="8">
        <v>0</v>
      </c>
      <c r="S2876" s="8">
        <v>0</v>
      </c>
      <c r="T2876" s="8">
        <v>1</v>
      </c>
      <c r="U2876" s="8">
        <v>2</v>
      </c>
      <c r="X2876" s="8">
        <v>5</v>
      </c>
      <c r="AG2876" s="8" t="str">
        <f t="shared" si="177"/>
        <v/>
      </c>
      <c r="AI2876" s="8" t="str">
        <f t="shared" si="178"/>
        <v/>
      </c>
      <c r="AJ2876" s="8" t="str">
        <f t="shared" si="179"/>
        <v/>
      </c>
      <c r="AL2876" s="8" t="str">
        <f t="shared" si="180"/>
        <v/>
      </c>
    </row>
    <row r="2877" spans="1:38" x14ac:dyDescent="0.25">
      <c r="A2877" s="8" t="s">
        <v>5903</v>
      </c>
      <c r="B2877" s="8" t="s">
        <v>5904</v>
      </c>
      <c r="C2877" s="8">
        <v>30870179</v>
      </c>
      <c r="D2877" s="8">
        <v>5</v>
      </c>
      <c r="E2877" s="11">
        <v>43110</v>
      </c>
      <c r="F2877" s="8" t="s">
        <v>58</v>
      </c>
      <c r="G2877" s="11">
        <v>43112</v>
      </c>
      <c r="H2877" s="8" t="s">
        <v>25</v>
      </c>
      <c r="I2877" s="11">
        <v>43115</v>
      </c>
      <c r="J2877" s="8" t="s">
        <v>25</v>
      </c>
      <c r="N2877" s="8" t="s">
        <v>58</v>
      </c>
      <c r="O2877" s="8" t="s">
        <v>59</v>
      </c>
      <c r="P2877" s="8" t="s">
        <v>59</v>
      </c>
      <c r="R2877" s="8">
        <v>0</v>
      </c>
      <c r="S2877" s="8">
        <v>0</v>
      </c>
      <c r="T2877" s="8">
        <v>1</v>
      </c>
      <c r="U2877" s="8">
        <v>2</v>
      </c>
      <c r="X2877" s="8">
        <v>5</v>
      </c>
      <c r="AG2877" s="8" t="str">
        <f t="shared" si="177"/>
        <v/>
      </c>
      <c r="AI2877" s="8" t="str">
        <f t="shared" si="178"/>
        <v/>
      </c>
      <c r="AJ2877" s="8" t="str">
        <f t="shared" si="179"/>
        <v/>
      </c>
      <c r="AL2877" s="8" t="str">
        <f t="shared" si="180"/>
        <v/>
      </c>
    </row>
    <row r="2878" spans="1:38" x14ac:dyDescent="0.25">
      <c r="A2878" s="8" t="s">
        <v>2797</v>
      </c>
      <c r="B2878" s="8" t="s">
        <v>2798</v>
      </c>
      <c r="C2878" s="8">
        <v>30876624</v>
      </c>
      <c r="D2878" s="8">
        <v>5</v>
      </c>
      <c r="E2878" s="11">
        <v>43110</v>
      </c>
      <c r="F2878" s="8" t="s">
        <v>57</v>
      </c>
      <c r="G2878" s="11">
        <v>43110</v>
      </c>
      <c r="H2878" s="8" t="s">
        <v>25</v>
      </c>
      <c r="J2878" s="8" t="s">
        <v>25</v>
      </c>
      <c r="N2878" s="8" t="s">
        <v>58</v>
      </c>
      <c r="O2878" s="8" t="s">
        <v>59</v>
      </c>
      <c r="P2878" s="8" t="s">
        <v>59</v>
      </c>
      <c r="R2878" s="8">
        <v>0</v>
      </c>
      <c r="S2878" s="8">
        <v>0</v>
      </c>
      <c r="T2878" s="8">
        <v>1</v>
      </c>
      <c r="U2878" s="8">
        <v>2</v>
      </c>
      <c r="AG2878" s="8" t="str">
        <f t="shared" si="177"/>
        <v/>
      </c>
      <c r="AI2878" s="8" t="str">
        <f t="shared" si="178"/>
        <v/>
      </c>
      <c r="AJ2878" s="8" t="str">
        <f t="shared" si="179"/>
        <v/>
      </c>
      <c r="AL2878" s="8" t="str">
        <f t="shared" si="180"/>
        <v/>
      </c>
    </row>
    <row r="2879" spans="1:38" x14ac:dyDescent="0.25">
      <c r="A2879" s="8" t="s">
        <v>4268</v>
      </c>
      <c r="B2879" s="8" t="s">
        <v>4269</v>
      </c>
      <c r="C2879" s="8">
        <v>30853720</v>
      </c>
      <c r="D2879" s="8">
        <v>5</v>
      </c>
      <c r="E2879" s="11">
        <v>43109</v>
      </c>
      <c r="F2879" s="8" t="s">
        <v>57</v>
      </c>
      <c r="G2879" s="11">
        <v>43111</v>
      </c>
      <c r="H2879" s="8" t="s">
        <v>25</v>
      </c>
      <c r="J2879" s="8" t="s">
        <v>25</v>
      </c>
      <c r="N2879" s="8" t="s">
        <v>58</v>
      </c>
      <c r="O2879" s="8" t="s">
        <v>59</v>
      </c>
      <c r="P2879" s="8" t="s">
        <v>59</v>
      </c>
      <c r="R2879" s="8">
        <v>0</v>
      </c>
      <c r="S2879" s="8">
        <v>0</v>
      </c>
      <c r="T2879" s="8">
        <v>1</v>
      </c>
      <c r="U2879" s="8">
        <v>2</v>
      </c>
      <c r="AG2879" s="8" t="str">
        <f t="shared" si="177"/>
        <v/>
      </c>
      <c r="AI2879" s="8" t="str">
        <f t="shared" si="178"/>
        <v/>
      </c>
      <c r="AJ2879" s="8" t="str">
        <f t="shared" si="179"/>
        <v/>
      </c>
      <c r="AL2879" s="8" t="str">
        <f t="shared" si="180"/>
        <v/>
      </c>
    </row>
    <row r="2880" spans="1:38" x14ac:dyDescent="0.25">
      <c r="A2880" s="8" t="s">
        <v>4270</v>
      </c>
      <c r="B2880" s="8" t="s">
        <v>4271</v>
      </c>
      <c r="C2880" s="8">
        <v>30832744</v>
      </c>
      <c r="D2880" s="8">
        <v>5</v>
      </c>
      <c r="E2880" s="11">
        <v>43109</v>
      </c>
      <c r="F2880" s="8" t="s">
        <v>57</v>
      </c>
      <c r="G2880" s="11">
        <v>43111</v>
      </c>
      <c r="H2880" s="8" t="s">
        <v>25</v>
      </c>
      <c r="J2880" s="8" t="s">
        <v>25</v>
      </c>
      <c r="N2880" s="8" t="s">
        <v>58</v>
      </c>
      <c r="O2880" s="8" t="s">
        <v>59</v>
      </c>
      <c r="P2880" s="8" t="s">
        <v>59</v>
      </c>
      <c r="R2880" s="8">
        <v>0</v>
      </c>
      <c r="S2880" s="8">
        <v>0</v>
      </c>
      <c r="T2880" s="8">
        <v>1</v>
      </c>
      <c r="U2880" s="8">
        <v>2</v>
      </c>
      <c r="AG2880" s="8" t="str">
        <f t="shared" si="177"/>
        <v/>
      </c>
      <c r="AI2880" s="8" t="str">
        <f t="shared" si="178"/>
        <v/>
      </c>
      <c r="AJ2880" s="8" t="str">
        <f t="shared" si="179"/>
        <v/>
      </c>
      <c r="AL2880" s="8" t="str">
        <f t="shared" si="180"/>
        <v/>
      </c>
    </row>
    <row r="2881" spans="1:38" x14ac:dyDescent="0.25">
      <c r="A2881" s="8" t="s">
        <v>2799</v>
      </c>
      <c r="B2881" s="8" t="s">
        <v>2800</v>
      </c>
      <c r="C2881" s="8">
        <v>30828331</v>
      </c>
      <c r="D2881" s="8">
        <v>5</v>
      </c>
      <c r="E2881" s="11">
        <v>43108</v>
      </c>
      <c r="F2881" s="8" t="s">
        <v>60</v>
      </c>
      <c r="G2881" s="11">
        <v>43110</v>
      </c>
      <c r="H2881" s="8" t="s">
        <v>25</v>
      </c>
      <c r="J2881" s="8" t="s">
        <v>145</v>
      </c>
      <c r="L2881" s="8" t="s">
        <v>6525</v>
      </c>
      <c r="N2881" s="8" t="s">
        <v>58</v>
      </c>
      <c r="O2881" s="8" t="s">
        <v>59</v>
      </c>
      <c r="P2881" s="8" t="s">
        <v>59</v>
      </c>
      <c r="R2881" s="8">
        <v>0</v>
      </c>
      <c r="S2881" s="8">
        <v>0</v>
      </c>
      <c r="T2881" s="8">
        <v>1</v>
      </c>
      <c r="U2881" s="8">
        <v>2</v>
      </c>
      <c r="W2881" s="8">
        <v>4</v>
      </c>
      <c r="AG2881" s="8" t="str">
        <f t="shared" si="177"/>
        <v/>
      </c>
      <c r="AI2881" s="8" t="str">
        <f t="shared" si="178"/>
        <v/>
      </c>
      <c r="AJ2881" s="8" t="str">
        <f t="shared" si="179"/>
        <v/>
      </c>
      <c r="AL2881" s="8" t="str">
        <f t="shared" si="180"/>
        <v/>
      </c>
    </row>
    <row r="2882" spans="1:38" x14ac:dyDescent="0.25">
      <c r="A2882" s="8" t="s">
        <v>4272</v>
      </c>
      <c r="B2882" s="8" t="s">
        <v>4273</v>
      </c>
      <c r="C2882" s="8">
        <v>30836101</v>
      </c>
      <c r="D2882" s="8">
        <v>5</v>
      </c>
      <c r="E2882" s="11">
        <v>43109</v>
      </c>
      <c r="F2882" s="8" t="s">
        <v>57</v>
      </c>
      <c r="G2882" s="11">
        <v>43111</v>
      </c>
      <c r="H2882" s="8" t="s">
        <v>25</v>
      </c>
      <c r="J2882" s="8" t="s">
        <v>25</v>
      </c>
      <c r="N2882" s="8" t="s">
        <v>58</v>
      </c>
      <c r="O2882" s="8" t="s">
        <v>59</v>
      </c>
      <c r="P2882" s="8" t="s">
        <v>59</v>
      </c>
      <c r="R2882" s="8">
        <v>0</v>
      </c>
      <c r="S2882" s="8">
        <v>0</v>
      </c>
      <c r="T2882" s="8">
        <v>1</v>
      </c>
      <c r="U2882" s="8">
        <v>2</v>
      </c>
      <c r="AG2882" s="8" t="str">
        <f t="shared" si="177"/>
        <v/>
      </c>
      <c r="AI2882" s="8" t="str">
        <f t="shared" si="178"/>
        <v/>
      </c>
      <c r="AJ2882" s="8" t="str">
        <f t="shared" si="179"/>
        <v/>
      </c>
      <c r="AL2882" s="8" t="str">
        <f t="shared" si="180"/>
        <v/>
      </c>
    </row>
    <row r="2883" spans="1:38" x14ac:dyDescent="0.25">
      <c r="A2883" s="8" t="s">
        <v>2801</v>
      </c>
      <c r="B2883" s="8" t="s">
        <v>138</v>
      </c>
      <c r="C2883" s="8">
        <v>30862368</v>
      </c>
      <c r="D2883" s="8">
        <v>5</v>
      </c>
      <c r="E2883" s="11">
        <v>43110</v>
      </c>
      <c r="F2883" s="8" t="s">
        <v>58</v>
      </c>
      <c r="G2883" s="11">
        <v>43110</v>
      </c>
      <c r="H2883" s="8" t="s">
        <v>25</v>
      </c>
      <c r="I2883" s="11">
        <v>43115</v>
      </c>
      <c r="J2883" s="8" t="s">
        <v>145</v>
      </c>
      <c r="N2883" s="8" t="s">
        <v>58</v>
      </c>
      <c r="O2883" s="8" t="s">
        <v>59</v>
      </c>
      <c r="P2883" s="8" t="s">
        <v>59</v>
      </c>
      <c r="R2883" s="8">
        <v>0</v>
      </c>
      <c r="S2883" s="8">
        <v>0</v>
      </c>
      <c r="T2883" s="8">
        <v>1</v>
      </c>
      <c r="U2883" s="8">
        <v>2</v>
      </c>
      <c r="X2883" s="8">
        <v>5</v>
      </c>
      <c r="AG2883" s="8" t="str">
        <f t="shared" ref="AG2883:AG2946" si="181">IF(AND(U2883="",G2883&lt;&gt;"",NOT(OR(R2883,S2883))),IF(NETWORKDAYS.INTL(G2883,TODAY(),11)&lt;5,"En Plazo",IF(NETWORKDAYS.INTL(G2883,TODAY(),11)=5,"Riesgo Incumplimiento","FALTA_02")),"")</f>
        <v/>
      </c>
      <c r="AI2883" s="8" t="str">
        <f t="shared" ref="AI2883:AI2946" si="182">IF(AND(O2883&lt;&gt;"B1",F2883="Rejected"),IF(W2883="","FALTA_04",""),"")</f>
        <v/>
      </c>
      <c r="AJ2883" s="8" t="str">
        <f t="shared" ref="AJ2883:AJ2946" si="183">IF(AND(X2883="",I2883&lt;&gt;"",NOT(OR(R2883,S2883))),IF(NETWORKDAYS.INTL(G2883,TODAY(),11)&lt;=1,"En Plazo",IF(OR(AND(X2883="",O2883&lt;&gt;"M1"),AND(O2883="M1",(OR(Q2883="S - S",Q2883="S - T",)))),"FALTA_05","")),"")</f>
        <v/>
      </c>
      <c r="AL2883" s="8" t="str">
        <f t="shared" ref="AL2883:AL2946" si="184">IF(AND(O2883="B1",F2883="Rejected"),IF(Z2883="","FALTA_07",""),"")</f>
        <v/>
      </c>
    </row>
    <row r="2884" spans="1:38" x14ac:dyDescent="0.25">
      <c r="A2884" s="8" t="s">
        <v>5905</v>
      </c>
      <c r="B2884" s="8" t="s">
        <v>5906</v>
      </c>
      <c r="C2884" s="8">
        <v>30859730</v>
      </c>
      <c r="D2884" s="8">
        <v>5</v>
      </c>
      <c r="E2884" s="11">
        <v>43110</v>
      </c>
      <c r="F2884" s="8" t="s">
        <v>58</v>
      </c>
      <c r="G2884" s="11">
        <v>43112</v>
      </c>
      <c r="H2884" s="8" t="s">
        <v>25</v>
      </c>
      <c r="I2884" s="11">
        <v>43115</v>
      </c>
      <c r="J2884" s="8" t="s">
        <v>25</v>
      </c>
      <c r="N2884" s="8" t="s">
        <v>58</v>
      </c>
      <c r="O2884" s="8" t="s">
        <v>59</v>
      </c>
      <c r="P2884" s="8" t="s">
        <v>59</v>
      </c>
      <c r="R2884" s="8">
        <v>0</v>
      </c>
      <c r="S2884" s="8">
        <v>0</v>
      </c>
      <c r="T2884" s="8">
        <v>1</v>
      </c>
      <c r="U2884" s="8">
        <v>2</v>
      </c>
      <c r="X2884" s="8">
        <v>5</v>
      </c>
      <c r="AG2884" s="8" t="str">
        <f t="shared" si="181"/>
        <v/>
      </c>
      <c r="AI2884" s="8" t="str">
        <f t="shared" si="182"/>
        <v/>
      </c>
      <c r="AJ2884" s="8" t="str">
        <f t="shared" si="183"/>
        <v/>
      </c>
      <c r="AL2884" s="8" t="str">
        <f t="shared" si="184"/>
        <v/>
      </c>
    </row>
    <row r="2885" spans="1:38" x14ac:dyDescent="0.25">
      <c r="A2885" s="8" t="s">
        <v>4274</v>
      </c>
      <c r="B2885" s="8" t="s">
        <v>4275</v>
      </c>
      <c r="C2885" s="8">
        <v>30840260</v>
      </c>
      <c r="D2885" s="8">
        <v>5</v>
      </c>
      <c r="E2885" s="11">
        <v>43109</v>
      </c>
      <c r="F2885" s="8" t="s">
        <v>58</v>
      </c>
      <c r="G2885" s="11">
        <v>43111</v>
      </c>
      <c r="H2885" s="8" t="s">
        <v>25</v>
      </c>
      <c r="I2885" s="11">
        <v>43111</v>
      </c>
      <c r="J2885" s="8" t="s">
        <v>25</v>
      </c>
      <c r="N2885" s="8" t="s">
        <v>58</v>
      </c>
      <c r="O2885" s="8" t="s">
        <v>59</v>
      </c>
      <c r="P2885" s="8" t="s">
        <v>59</v>
      </c>
      <c r="R2885" s="8">
        <v>0</v>
      </c>
      <c r="S2885" s="8">
        <v>0</v>
      </c>
      <c r="T2885" s="8">
        <v>1</v>
      </c>
      <c r="U2885" s="8">
        <v>2</v>
      </c>
      <c r="X2885" s="8">
        <v>5</v>
      </c>
      <c r="AG2885" s="8" t="str">
        <f t="shared" si="181"/>
        <v/>
      </c>
      <c r="AI2885" s="8" t="str">
        <f t="shared" si="182"/>
        <v/>
      </c>
      <c r="AJ2885" s="8" t="str">
        <f t="shared" si="183"/>
        <v/>
      </c>
      <c r="AL2885" s="8" t="str">
        <f t="shared" si="184"/>
        <v/>
      </c>
    </row>
    <row r="2886" spans="1:38" x14ac:dyDescent="0.25">
      <c r="A2886" s="8" t="s">
        <v>4276</v>
      </c>
      <c r="B2886" s="8" t="s">
        <v>4277</v>
      </c>
      <c r="C2886" s="8">
        <v>30890268</v>
      </c>
      <c r="D2886" s="8">
        <v>5</v>
      </c>
      <c r="E2886" s="11">
        <v>43111</v>
      </c>
      <c r="F2886" s="8" t="s">
        <v>57</v>
      </c>
      <c r="G2886" s="11">
        <v>43111</v>
      </c>
      <c r="H2886" s="8" t="s">
        <v>25</v>
      </c>
      <c r="J2886" s="8" t="s">
        <v>25</v>
      </c>
      <c r="N2886" s="8" t="s">
        <v>58</v>
      </c>
      <c r="O2886" s="8" t="s">
        <v>59</v>
      </c>
      <c r="P2886" s="8" t="s">
        <v>59</v>
      </c>
      <c r="R2886" s="8">
        <v>0</v>
      </c>
      <c r="S2886" s="8">
        <v>0</v>
      </c>
      <c r="T2886" s="8">
        <v>1</v>
      </c>
      <c r="U2886" s="8">
        <v>2</v>
      </c>
      <c r="AG2886" s="8" t="str">
        <f t="shared" si="181"/>
        <v/>
      </c>
      <c r="AI2886" s="8" t="str">
        <f t="shared" si="182"/>
        <v/>
      </c>
      <c r="AJ2886" s="8" t="str">
        <f t="shared" si="183"/>
        <v/>
      </c>
      <c r="AL2886" s="8" t="str">
        <f t="shared" si="184"/>
        <v/>
      </c>
    </row>
    <row r="2887" spans="1:38" x14ac:dyDescent="0.25">
      <c r="A2887" s="8" t="s">
        <v>606</v>
      </c>
      <c r="B2887" s="8" t="s">
        <v>607</v>
      </c>
      <c r="C2887" s="8">
        <v>30818902</v>
      </c>
      <c r="D2887" s="8">
        <v>5</v>
      </c>
      <c r="E2887" s="11">
        <v>43108</v>
      </c>
      <c r="F2887" s="8" t="s">
        <v>58</v>
      </c>
      <c r="G2887" s="11">
        <v>43108</v>
      </c>
      <c r="H2887" s="8" t="s">
        <v>25</v>
      </c>
      <c r="I2887" s="11">
        <v>43112</v>
      </c>
      <c r="J2887" s="8" t="s">
        <v>145</v>
      </c>
      <c r="N2887" s="8" t="s">
        <v>58</v>
      </c>
      <c r="O2887" s="8" t="s">
        <v>59</v>
      </c>
      <c r="P2887" s="8" t="s">
        <v>59</v>
      </c>
      <c r="R2887" s="8">
        <v>0</v>
      </c>
      <c r="S2887" s="8">
        <v>0</v>
      </c>
      <c r="T2887" s="8">
        <v>1</v>
      </c>
      <c r="U2887" s="8">
        <v>2</v>
      </c>
      <c r="X2887" s="8">
        <v>5</v>
      </c>
      <c r="AG2887" s="8" t="str">
        <f t="shared" si="181"/>
        <v/>
      </c>
      <c r="AI2887" s="8" t="str">
        <f t="shared" si="182"/>
        <v/>
      </c>
      <c r="AJ2887" s="8" t="str">
        <f t="shared" si="183"/>
        <v/>
      </c>
      <c r="AL2887" s="8" t="str">
        <f t="shared" si="184"/>
        <v/>
      </c>
    </row>
    <row r="2888" spans="1:38" x14ac:dyDescent="0.25">
      <c r="A2888" s="8" t="s">
        <v>608</v>
      </c>
      <c r="B2888" s="8" t="s">
        <v>609</v>
      </c>
      <c r="C2888" s="8">
        <v>30814765</v>
      </c>
      <c r="D2888" s="8">
        <v>5</v>
      </c>
      <c r="E2888" s="11">
        <v>43108</v>
      </c>
      <c r="F2888" s="8" t="s">
        <v>58</v>
      </c>
      <c r="G2888" s="11">
        <v>43108</v>
      </c>
      <c r="H2888" s="8" t="s">
        <v>25</v>
      </c>
      <c r="I2888" s="11">
        <v>43111</v>
      </c>
      <c r="J2888" s="8" t="s">
        <v>25</v>
      </c>
      <c r="N2888" s="8" t="s">
        <v>58</v>
      </c>
      <c r="O2888" s="8" t="s">
        <v>59</v>
      </c>
      <c r="P2888" s="8" t="s">
        <v>59</v>
      </c>
      <c r="R2888" s="8">
        <v>0</v>
      </c>
      <c r="S2888" s="8">
        <v>0</v>
      </c>
      <c r="T2888" s="8">
        <v>1</v>
      </c>
      <c r="U2888" s="8">
        <v>2</v>
      </c>
      <c r="X2888" s="8">
        <v>5</v>
      </c>
      <c r="AG2888" s="8" t="str">
        <f t="shared" si="181"/>
        <v/>
      </c>
      <c r="AI2888" s="8" t="str">
        <f t="shared" si="182"/>
        <v/>
      </c>
      <c r="AJ2888" s="8" t="str">
        <f t="shared" si="183"/>
        <v/>
      </c>
      <c r="AL2888" s="8" t="str">
        <f t="shared" si="184"/>
        <v/>
      </c>
    </row>
    <row r="2889" spans="1:38" x14ac:dyDescent="0.25">
      <c r="A2889" s="8" t="s">
        <v>4278</v>
      </c>
      <c r="B2889" s="8" t="s">
        <v>4279</v>
      </c>
      <c r="C2889" s="8">
        <v>30848834</v>
      </c>
      <c r="D2889" s="8">
        <v>5</v>
      </c>
      <c r="E2889" s="11">
        <v>43109</v>
      </c>
      <c r="F2889" s="8" t="s">
        <v>57</v>
      </c>
      <c r="G2889" s="11">
        <v>43111</v>
      </c>
      <c r="H2889" s="8" t="s">
        <v>25</v>
      </c>
      <c r="J2889" s="8" t="s">
        <v>25</v>
      </c>
      <c r="N2889" s="8" t="s">
        <v>58</v>
      </c>
      <c r="O2889" s="8" t="s">
        <v>59</v>
      </c>
      <c r="P2889" s="8" t="s">
        <v>59</v>
      </c>
      <c r="R2889" s="8">
        <v>0</v>
      </c>
      <c r="S2889" s="8">
        <v>0</v>
      </c>
      <c r="T2889" s="8">
        <v>1</v>
      </c>
      <c r="U2889" s="8">
        <v>2</v>
      </c>
      <c r="AG2889" s="8" t="str">
        <f t="shared" si="181"/>
        <v/>
      </c>
      <c r="AI2889" s="8" t="str">
        <f t="shared" si="182"/>
        <v/>
      </c>
      <c r="AJ2889" s="8" t="str">
        <f t="shared" si="183"/>
        <v/>
      </c>
      <c r="AL2889" s="8" t="str">
        <f t="shared" si="184"/>
        <v/>
      </c>
    </row>
    <row r="2890" spans="1:38" x14ac:dyDescent="0.25">
      <c r="A2890" s="8" t="s">
        <v>2802</v>
      </c>
      <c r="B2890" s="8" t="s">
        <v>2803</v>
      </c>
      <c r="C2890" s="8">
        <v>30812701</v>
      </c>
      <c r="D2890" s="8">
        <v>5</v>
      </c>
      <c r="E2890" s="11">
        <v>43108</v>
      </c>
      <c r="F2890" s="8" t="s">
        <v>60</v>
      </c>
      <c r="G2890" s="11">
        <v>43110</v>
      </c>
      <c r="H2890" s="8" t="s">
        <v>25</v>
      </c>
      <c r="J2890" s="8" t="s">
        <v>145</v>
      </c>
      <c r="L2890" s="8" t="s">
        <v>6525</v>
      </c>
      <c r="N2890" s="8" t="s">
        <v>58</v>
      </c>
      <c r="O2890" s="8" t="s">
        <v>59</v>
      </c>
      <c r="P2890" s="8" t="s">
        <v>59</v>
      </c>
      <c r="R2890" s="8">
        <v>0</v>
      </c>
      <c r="S2890" s="8">
        <v>0</v>
      </c>
      <c r="T2890" s="8">
        <v>1</v>
      </c>
      <c r="U2890" s="8">
        <v>2</v>
      </c>
      <c r="W2890" s="8">
        <v>4</v>
      </c>
      <c r="AG2890" s="8" t="str">
        <f t="shared" si="181"/>
        <v/>
      </c>
      <c r="AI2890" s="8" t="str">
        <f t="shared" si="182"/>
        <v/>
      </c>
      <c r="AJ2890" s="8" t="str">
        <f t="shared" si="183"/>
        <v/>
      </c>
      <c r="AL2890" s="8" t="str">
        <f t="shared" si="184"/>
        <v/>
      </c>
    </row>
    <row r="2891" spans="1:38" x14ac:dyDescent="0.25">
      <c r="A2891" s="8" t="s">
        <v>2804</v>
      </c>
      <c r="B2891" s="8" t="s">
        <v>2805</v>
      </c>
      <c r="C2891" s="8">
        <v>30817251</v>
      </c>
      <c r="D2891" s="8">
        <v>5</v>
      </c>
      <c r="E2891" s="11">
        <v>43108</v>
      </c>
      <c r="F2891" s="8" t="s">
        <v>58</v>
      </c>
      <c r="G2891" s="11">
        <v>43110</v>
      </c>
      <c r="H2891" s="8" t="s">
        <v>25</v>
      </c>
      <c r="I2891" s="11">
        <v>43110</v>
      </c>
      <c r="J2891" s="8" t="s">
        <v>25</v>
      </c>
      <c r="N2891" s="8" t="s">
        <v>58</v>
      </c>
      <c r="O2891" s="8" t="s">
        <v>59</v>
      </c>
      <c r="P2891" s="8" t="s">
        <v>59</v>
      </c>
      <c r="R2891" s="8">
        <v>0</v>
      </c>
      <c r="S2891" s="8">
        <v>0</v>
      </c>
      <c r="T2891" s="8">
        <v>1</v>
      </c>
      <c r="U2891" s="8">
        <v>2</v>
      </c>
      <c r="X2891" s="8">
        <v>5</v>
      </c>
      <c r="AG2891" s="8" t="str">
        <f t="shared" si="181"/>
        <v/>
      </c>
      <c r="AI2891" s="8" t="str">
        <f t="shared" si="182"/>
        <v/>
      </c>
      <c r="AJ2891" s="8" t="str">
        <f t="shared" si="183"/>
        <v/>
      </c>
      <c r="AL2891" s="8" t="str">
        <f t="shared" si="184"/>
        <v/>
      </c>
    </row>
    <row r="2892" spans="1:38" x14ac:dyDescent="0.25">
      <c r="A2892" s="8" t="s">
        <v>2806</v>
      </c>
      <c r="B2892" s="8" t="s">
        <v>2807</v>
      </c>
      <c r="C2892" s="8">
        <v>30814458</v>
      </c>
      <c r="D2892" s="8">
        <v>5</v>
      </c>
      <c r="E2892" s="11">
        <v>43108</v>
      </c>
      <c r="F2892" s="8" t="s">
        <v>58</v>
      </c>
      <c r="G2892" s="11">
        <v>43110</v>
      </c>
      <c r="H2892" s="8" t="s">
        <v>25</v>
      </c>
      <c r="I2892" s="11">
        <v>43112</v>
      </c>
      <c r="J2892" s="8" t="s">
        <v>25</v>
      </c>
      <c r="N2892" s="8" t="s">
        <v>58</v>
      </c>
      <c r="O2892" s="8" t="s">
        <v>59</v>
      </c>
      <c r="P2892" s="8" t="s">
        <v>59</v>
      </c>
      <c r="R2892" s="8">
        <v>0</v>
      </c>
      <c r="S2892" s="8">
        <v>0</v>
      </c>
      <c r="T2892" s="8">
        <v>1</v>
      </c>
      <c r="U2892" s="8">
        <v>2</v>
      </c>
      <c r="X2892" s="8">
        <v>5</v>
      </c>
      <c r="AG2892" s="8" t="str">
        <f t="shared" si="181"/>
        <v/>
      </c>
      <c r="AI2892" s="8" t="str">
        <f t="shared" si="182"/>
        <v/>
      </c>
      <c r="AJ2892" s="8" t="str">
        <f t="shared" si="183"/>
        <v/>
      </c>
      <c r="AL2892" s="8" t="str">
        <f t="shared" si="184"/>
        <v/>
      </c>
    </row>
    <row r="2893" spans="1:38" x14ac:dyDescent="0.25">
      <c r="A2893" s="8" t="s">
        <v>610</v>
      </c>
      <c r="B2893" s="8" t="s">
        <v>611</v>
      </c>
      <c r="C2893" s="8">
        <v>30827814</v>
      </c>
      <c r="D2893" s="8">
        <v>5</v>
      </c>
      <c r="E2893" s="11">
        <v>43108</v>
      </c>
      <c r="F2893" s="8" t="s">
        <v>60</v>
      </c>
      <c r="G2893" s="11">
        <v>43108</v>
      </c>
      <c r="H2893" s="8" t="s">
        <v>25</v>
      </c>
      <c r="J2893" s="8" t="s">
        <v>856</v>
      </c>
      <c r="L2893" s="8" t="s">
        <v>6525</v>
      </c>
      <c r="N2893" s="8" t="s">
        <v>58</v>
      </c>
      <c r="O2893" s="8" t="s">
        <v>59</v>
      </c>
      <c r="P2893" s="8" t="s">
        <v>59</v>
      </c>
      <c r="R2893" s="8">
        <v>0</v>
      </c>
      <c r="S2893" s="8">
        <v>0</v>
      </c>
      <c r="T2893" s="8">
        <v>1</v>
      </c>
      <c r="U2893" s="8">
        <v>2</v>
      </c>
      <c r="W2893" s="8">
        <v>4</v>
      </c>
      <c r="AG2893" s="8" t="str">
        <f t="shared" si="181"/>
        <v/>
      </c>
      <c r="AI2893" s="8" t="str">
        <f t="shared" si="182"/>
        <v/>
      </c>
      <c r="AJ2893" s="8" t="str">
        <f t="shared" si="183"/>
        <v/>
      </c>
      <c r="AL2893" s="8" t="str">
        <f t="shared" si="184"/>
        <v/>
      </c>
    </row>
    <row r="2894" spans="1:38" x14ac:dyDescent="0.25">
      <c r="A2894" s="8" t="s">
        <v>5907</v>
      </c>
      <c r="B2894" s="8" t="s">
        <v>5908</v>
      </c>
      <c r="C2894" s="8">
        <v>30877052</v>
      </c>
      <c r="D2894" s="8">
        <v>5</v>
      </c>
      <c r="E2894" s="11">
        <v>43110</v>
      </c>
      <c r="F2894" s="8" t="s">
        <v>57</v>
      </c>
      <c r="G2894" s="11">
        <v>43112</v>
      </c>
      <c r="H2894" s="8" t="s">
        <v>25</v>
      </c>
      <c r="J2894" s="8" t="s">
        <v>25</v>
      </c>
      <c r="N2894" s="8" t="s">
        <v>58</v>
      </c>
      <c r="O2894" s="8" t="s">
        <v>59</v>
      </c>
      <c r="P2894" s="8" t="s">
        <v>59</v>
      </c>
      <c r="R2894" s="8">
        <v>0</v>
      </c>
      <c r="S2894" s="8">
        <v>0</v>
      </c>
      <c r="T2894" s="8">
        <v>1</v>
      </c>
      <c r="U2894" s="8">
        <v>2</v>
      </c>
      <c r="AG2894" s="8" t="str">
        <f t="shared" si="181"/>
        <v/>
      </c>
      <c r="AI2894" s="8" t="str">
        <f t="shared" si="182"/>
        <v/>
      </c>
      <c r="AJ2894" s="8" t="str">
        <f t="shared" si="183"/>
        <v/>
      </c>
      <c r="AL2894" s="8" t="str">
        <f t="shared" si="184"/>
        <v/>
      </c>
    </row>
    <row r="2895" spans="1:38" x14ac:dyDescent="0.25">
      <c r="A2895" s="8" t="s">
        <v>612</v>
      </c>
      <c r="B2895" s="8" t="s">
        <v>613</v>
      </c>
      <c r="C2895" s="8">
        <v>30811390</v>
      </c>
      <c r="D2895" s="8">
        <v>5</v>
      </c>
      <c r="E2895" s="11">
        <v>43108</v>
      </c>
      <c r="F2895" s="8" t="s">
        <v>58</v>
      </c>
      <c r="G2895" s="11">
        <v>43108</v>
      </c>
      <c r="H2895" s="8" t="s">
        <v>25</v>
      </c>
      <c r="I2895" s="11">
        <v>43108</v>
      </c>
      <c r="J2895" s="8" t="s">
        <v>25</v>
      </c>
      <c r="N2895" s="8" t="s">
        <v>58</v>
      </c>
      <c r="O2895" s="8" t="s">
        <v>59</v>
      </c>
      <c r="P2895" s="8" t="s">
        <v>59</v>
      </c>
      <c r="R2895" s="8">
        <v>0</v>
      </c>
      <c r="S2895" s="8">
        <v>0</v>
      </c>
      <c r="T2895" s="8">
        <v>1</v>
      </c>
      <c r="U2895" s="8">
        <v>2</v>
      </c>
      <c r="X2895" s="8">
        <v>5</v>
      </c>
      <c r="AG2895" s="8" t="str">
        <f t="shared" si="181"/>
        <v/>
      </c>
      <c r="AI2895" s="8" t="str">
        <f t="shared" si="182"/>
        <v/>
      </c>
      <c r="AJ2895" s="8" t="str">
        <f t="shared" si="183"/>
        <v/>
      </c>
      <c r="AL2895" s="8" t="str">
        <f t="shared" si="184"/>
        <v/>
      </c>
    </row>
    <row r="2896" spans="1:38" x14ac:dyDescent="0.25">
      <c r="A2896" s="8" t="s">
        <v>5909</v>
      </c>
      <c r="B2896" s="8" t="s">
        <v>69</v>
      </c>
      <c r="C2896" s="8">
        <v>30913940</v>
      </c>
      <c r="D2896" s="8">
        <v>5</v>
      </c>
      <c r="E2896" s="11">
        <v>43112</v>
      </c>
      <c r="F2896" s="8" t="s">
        <v>57</v>
      </c>
      <c r="G2896" s="11">
        <v>43112</v>
      </c>
      <c r="H2896" s="8" t="s">
        <v>25</v>
      </c>
      <c r="J2896" s="8" t="s">
        <v>25</v>
      </c>
      <c r="N2896" s="8" t="s">
        <v>58</v>
      </c>
      <c r="O2896" s="8" t="s">
        <v>59</v>
      </c>
      <c r="P2896" s="8" t="s">
        <v>59</v>
      </c>
      <c r="R2896" s="8">
        <v>0</v>
      </c>
      <c r="S2896" s="8">
        <v>0</v>
      </c>
      <c r="T2896" s="8">
        <v>1</v>
      </c>
      <c r="U2896" s="8">
        <v>2</v>
      </c>
      <c r="AG2896" s="8" t="str">
        <f t="shared" si="181"/>
        <v/>
      </c>
      <c r="AI2896" s="8" t="str">
        <f t="shared" si="182"/>
        <v/>
      </c>
      <c r="AJ2896" s="8" t="str">
        <f t="shared" si="183"/>
        <v/>
      </c>
      <c r="AL2896" s="8" t="str">
        <f t="shared" si="184"/>
        <v/>
      </c>
    </row>
    <row r="2897" spans="1:38" x14ac:dyDescent="0.25">
      <c r="A2897" s="8" t="s">
        <v>2808</v>
      </c>
      <c r="B2897" s="8" t="s">
        <v>2809</v>
      </c>
      <c r="C2897" s="8">
        <v>30828494</v>
      </c>
      <c r="D2897" s="8">
        <v>5</v>
      </c>
      <c r="E2897" s="11">
        <v>43108</v>
      </c>
      <c r="F2897" s="8" t="s">
        <v>57</v>
      </c>
      <c r="G2897" s="11">
        <v>43110</v>
      </c>
      <c r="H2897" s="8" t="s">
        <v>25</v>
      </c>
      <c r="J2897" s="8" t="s">
        <v>25</v>
      </c>
      <c r="N2897" s="8" t="s">
        <v>58</v>
      </c>
      <c r="O2897" s="8" t="s">
        <v>59</v>
      </c>
      <c r="P2897" s="8" t="s">
        <v>59</v>
      </c>
      <c r="R2897" s="8">
        <v>0</v>
      </c>
      <c r="S2897" s="8">
        <v>0</v>
      </c>
      <c r="T2897" s="8">
        <v>1</v>
      </c>
      <c r="U2897" s="8">
        <v>2</v>
      </c>
      <c r="AG2897" s="8" t="str">
        <f t="shared" si="181"/>
        <v/>
      </c>
      <c r="AI2897" s="8" t="str">
        <f t="shared" si="182"/>
        <v/>
      </c>
      <c r="AJ2897" s="8" t="str">
        <f t="shared" si="183"/>
        <v/>
      </c>
      <c r="AL2897" s="8" t="str">
        <f t="shared" si="184"/>
        <v/>
      </c>
    </row>
    <row r="2898" spans="1:38" x14ac:dyDescent="0.25">
      <c r="A2898" s="8" t="s">
        <v>1430</v>
      </c>
      <c r="B2898" s="8" t="s">
        <v>1431</v>
      </c>
      <c r="C2898" s="8">
        <v>30829709</v>
      </c>
      <c r="D2898" s="8">
        <v>5</v>
      </c>
      <c r="E2898" s="11">
        <v>43108</v>
      </c>
      <c r="F2898" s="8" t="s">
        <v>58</v>
      </c>
      <c r="G2898" s="11">
        <v>43109</v>
      </c>
      <c r="H2898" s="8" t="s">
        <v>25</v>
      </c>
      <c r="I2898" s="11">
        <v>43109</v>
      </c>
      <c r="J2898" s="8" t="s">
        <v>25</v>
      </c>
      <c r="N2898" s="8" t="s">
        <v>58</v>
      </c>
      <c r="O2898" s="8" t="s">
        <v>59</v>
      </c>
      <c r="P2898" s="8" t="s">
        <v>59</v>
      </c>
      <c r="R2898" s="8">
        <v>0</v>
      </c>
      <c r="S2898" s="8">
        <v>0</v>
      </c>
      <c r="T2898" s="8">
        <v>1</v>
      </c>
      <c r="U2898" s="8">
        <v>2</v>
      </c>
      <c r="X2898" s="8">
        <v>5</v>
      </c>
      <c r="AG2898" s="8" t="str">
        <f t="shared" si="181"/>
        <v/>
      </c>
      <c r="AI2898" s="8" t="str">
        <f t="shared" si="182"/>
        <v/>
      </c>
      <c r="AJ2898" s="8" t="str">
        <f t="shared" si="183"/>
        <v/>
      </c>
      <c r="AL2898" s="8" t="str">
        <f t="shared" si="184"/>
        <v/>
      </c>
    </row>
    <row r="2899" spans="1:38" x14ac:dyDescent="0.25">
      <c r="A2899" s="8" t="s">
        <v>2810</v>
      </c>
      <c r="B2899" s="8" t="s">
        <v>2811</v>
      </c>
      <c r="C2899" s="8">
        <v>30863767</v>
      </c>
      <c r="D2899" s="8">
        <v>5</v>
      </c>
      <c r="E2899" s="11">
        <v>43110</v>
      </c>
      <c r="F2899" s="8" t="s">
        <v>57</v>
      </c>
      <c r="G2899" s="11">
        <v>43110</v>
      </c>
      <c r="H2899" s="8" t="s">
        <v>25</v>
      </c>
      <c r="J2899" s="8" t="s">
        <v>25</v>
      </c>
      <c r="N2899" s="8" t="s">
        <v>58</v>
      </c>
      <c r="O2899" s="8" t="s">
        <v>59</v>
      </c>
      <c r="P2899" s="8" t="s">
        <v>59</v>
      </c>
      <c r="R2899" s="8">
        <v>0</v>
      </c>
      <c r="S2899" s="8">
        <v>0</v>
      </c>
      <c r="T2899" s="8">
        <v>1</v>
      </c>
      <c r="U2899" s="8">
        <v>2</v>
      </c>
      <c r="AG2899" s="8" t="str">
        <f t="shared" si="181"/>
        <v/>
      </c>
      <c r="AI2899" s="8" t="str">
        <f t="shared" si="182"/>
        <v/>
      </c>
      <c r="AJ2899" s="8" t="str">
        <f t="shared" si="183"/>
        <v/>
      </c>
      <c r="AL2899" s="8" t="str">
        <f t="shared" si="184"/>
        <v/>
      </c>
    </row>
    <row r="2900" spans="1:38" x14ac:dyDescent="0.25">
      <c r="A2900" s="8" t="s">
        <v>7717</v>
      </c>
      <c r="B2900" s="8" t="s">
        <v>7718</v>
      </c>
      <c r="C2900" s="8">
        <v>30938945</v>
      </c>
      <c r="D2900" s="8">
        <v>5</v>
      </c>
      <c r="E2900" s="11">
        <v>43115</v>
      </c>
      <c r="F2900" s="8" t="s">
        <v>57</v>
      </c>
      <c r="G2900" s="11">
        <v>43115</v>
      </c>
      <c r="H2900" s="8" t="s">
        <v>25</v>
      </c>
      <c r="J2900" s="8" t="s">
        <v>25</v>
      </c>
      <c r="N2900" s="8" t="s">
        <v>58</v>
      </c>
      <c r="O2900" s="8" t="s">
        <v>59</v>
      </c>
      <c r="P2900" s="8" t="s">
        <v>59</v>
      </c>
      <c r="R2900" s="8">
        <v>0</v>
      </c>
      <c r="S2900" s="8">
        <v>0</v>
      </c>
      <c r="T2900" s="8">
        <v>1</v>
      </c>
      <c r="U2900" s="8">
        <v>2</v>
      </c>
      <c r="AG2900" s="8" t="str">
        <f t="shared" si="181"/>
        <v/>
      </c>
      <c r="AI2900" s="8" t="str">
        <f t="shared" si="182"/>
        <v/>
      </c>
      <c r="AJ2900" s="8" t="str">
        <f t="shared" si="183"/>
        <v/>
      </c>
      <c r="AL2900" s="8" t="str">
        <f t="shared" si="184"/>
        <v/>
      </c>
    </row>
    <row r="2901" spans="1:38" x14ac:dyDescent="0.25">
      <c r="A2901" s="8" t="s">
        <v>7719</v>
      </c>
      <c r="B2901" s="8" t="s">
        <v>7720</v>
      </c>
      <c r="C2901" s="8">
        <v>30922224</v>
      </c>
      <c r="D2901" s="8">
        <v>5</v>
      </c>
      <c r="E2901" s="11">
        <v>43112</v>
      </c>
      <c r="F2901" s="8" t="s">
        <v>57</v>
      </c>
      <c r="G2901" s="11">
        <v>43115</v>
      </c>
      <c r="H2901" s="8" t="s">
        <v>25</v>
      </c>
      <c r="J2901" s="8" t="s">
        <v>25</v>
      </c>
      <c r="N2901" s="8" t="s">
        <v>58</v>
      </c>
      <c r="O2901" s="8" t="s">
        <v>59</v>
      </c>
      <c r="P2901" s="8" t="s">
        <v>59</v>
      </c>
      <c r="R2901" s="8">
        <v>0</v>
      </c>
      <c r="S2901" s="8">
        <v>0</v>
      </c>
      <c r="T2901" s="8">
        <v>1</v>
      </c>
      <c r="U2901" s="8">
        <v>2</v>
      </c>
      <c r="AG2901" s="8" t="str">
        <f t="shared" si="181"/>
        <v/>
      </c>
      <c r="AI2901" s="8" t="str">
        <f t="shared" si="182"/>
        <v/>
      </c>
      <c r="AJ2901" s="8" t="str">
        <f t="shared" si="183"/>
        <v/>
      </c>
      <c r="AL2901" s="8" t="str">
        <f t="shared" si="184"/>
        <v/>
      </c>
    </row>
    <row r="2902" spans="1:38" x14ac:dyDescent="0.25">
      <c r="A2902" s="8" t="s">
        <v>614</v>
      </c>
      <c r="B2902" s="8" t="s">
        <v>615</v>
      </c>
      <c r="C2902" s="8">
        <v>30818410</v>
      </c>
      <c r="D2902" s="8">
        <v>5</v>
      </c>
      <c r="E2902" s="11">
        <v>43108</v>
      </c>
      <c r="F2902" s="8" t="s">
        <v>58</v>
      </c>
      <c r="G2902" s="11">
        <v>43108</v>
      </c>
      <c r="H2902" s="8" t="s">
        <v>25</v>
      </c>
      <c r="I2902" s="11">
        <v>43111</v>
      </c>
      <c r="J2902" s="8" t="s">
        <v>25</v>
      </c>
      <c r="N2902" s="8" t="s">
        <v>58</v>
      </c>
      <c r="O2902" s="8" t="s">
        <v>59</v>
      </c>
      <c r="P2902" s="8" t="s">
        <v>59</v>
      </c>
      <c r="R2902" s="8">
        <v>0</v>
      </c>
      <c r="S2902" s="8">
        <v>0</v>
      </c>
      <c r="T2902" s="8">
        <v>1</v>
      </c>
      <c r="U2902" s="8">
        <v>2</v>
      </c>
      <c r="X2902" s="8">
        <v>5</v>
      </c>
      <c r="AG2902" s="8" t="str">
        <f t="shared" si="181"/>
        <v/>
      </c>
      <c r="AI2902" s="8" t="str">
        <f t="shared" si="182"/>
        <v/>
      </c>
      <c r="AJ2902" s="8" t="str">
        <f t="shared" si="183"/>
        <v/>
      </c>
      <c r="AL2902" s="8" t="str">
        <f t="shared" si="184"/>
        <v/>
      </c>
    </row>
    <row r="2903" spans="1:38" x14ac:dyDescent="0.25">
      <c r="A2903" s="8" t="s">
        <v>5910</v>
      </c>
      <c r="B2903" s="8" t="s">
        <v>5911</v>
      </c>
      <c r="C2903" s="8">
        <v>30910533</v>
      </c>
      <c r="D2903" s="8">
        <v>5</v>
      </c>
      <c r="E2903" s="11">
        <v>43112</v>
      </c>
      <c r="F2903" s="8" t="s">
        <v>58</v>
      </c>
      <c r="G2903" s="11">
        <v>43112</v>
      </c>
      <c r="H2903" s="8" t="s">
        <v>25</v>
      </c>
      <c r="I2903" s="11">
        <v>43112</v>
      </c>
      <c r="J2903" s="8" t="s">
        <v>25</v>
      </c>
      <c r="N2903" s="8" t="s">
        <v>58</v>
      </c>
      <c r="O2903" s="8" t="s">
        <v>59</v>
      </c>
      <c r="P2903" s="8" t="s">
        <v>59</v>
      </c>
      <c r="R2903" s="8">
        <v>0</v>
      </c>
      <c r="S2903" s="8">
        <v>0</v>
      </c>
      <c r="T2903" s="8">
        <v>1</v>
      </c>
      <c r="U2903" s="8">
        <v>2</v>
      </c>
      <c r="X2903" s="8">
        <v>5</v>
      </c>
      <c r="AG2903" s="8" t="str">
        <f t="shared" si="181"/>
        <v/>
      </c>
      <c r="AI2903" s="8" t="str">
        <f t="shared" si="182"/>
        <v/>
      </c>
      <c r="AJ2903" s="8" t="str">
        <f t="shared" si="183"/>
        <v/>
      </c>
      <c r="AL2903" s="8" t="str">
        <f t="shared" si="184"/>
        <v/>
      </c>
    </row>
    <row r="2904" spans="1:38" x14ac:dyDescent="0.25">
      <c r="A2904" s="8" t="s">
        <v>1432</v>
      </c>
      <c r="B2904" s="8" t="s">
        <v>1433</v>
      </c>
      <c r="C2904" s="8">
        <v>30835756</v>
      </c>
      <c r="D2904" s="8">
        <v>5</v>
      </c>
      <c r="E2904" s="11">
        <v>43109</v>
      </c>
      <c r="F2904" s="8" t="s">
        <v>58</v>
      </c>
      <c r="G2904" s="11">
        <v>43109</v>
      </c>
      <c r="H2904" s="8" t="s">
        <v>25</v>
      </c>
      <c r="I2904" s="11">
        <v>43109</v>
      </c>
      <c r="J2904" s="8" t="s">
        <v>25</v>
      </c>
      <c r="N2904" s="8" t="s">
        <v>58</v>
      </c>
      <c r="O2904" s="8" t="s">
        <v>59</v>
      </c>
      <c r="P2904" s="8" t="s">
        <v>59</v>
      </c>
      <c r="R2904" s="8">
        <v>0</v>
      </c>
      <c r="S2904" s="8">
        <v>0</v>
      </c>
      <c r="T2904" s="8">
        <v>1</v>
      </c>
      <c r="U2904" s="8">
        <v>2</v>
      </c>
      <c r="X2904" s="8">
        <v>5</v>
      </c>
      <c r="AG2904" s="8" t="str">
        <f t="shared" si="181"/>
        <v/>
      </c>
      <c r="AI2904" s="8" t="str">
        <f t="shared" si="182"/>
        <v/>
      </c>
      <c r="AJ2904" s="8" t="str">
        <f t="shared" si="183"/>
        <v/>
      </c>
      <c r="AL2904" s="8" t="str">
        <f t="shared" si="184"/>
        <v/>
      </c>
    </row>
    <row r="2905" spans="1:38" x14ac:dyDescent="0.25">
      <c r="A2905" s="8" t="s">
        <v>4280</v>
      </c>
      <c r="B2905" s="8" t="s">
        <v>4281</v>
      </c>
      <c r="C2905" s="8">
        <v>30837725</v>
      </c>
      <c r="D2905" s="8">
        <v>5</v>
      </c>
      <c r="E2905" s="11">
        <v>43109</v>
      </c>
      <c r="F2905" s="8" t="s">
        <v>57</v>
      </c>
      <c r="G2905" s="11">
        <v>43111</v>
      </c>
      <c r="H2905" s="8" t="s">
        <v>25</v>
      </c>
      <c r="J2905" s="8" t="s">
        <v>25</v>
      </c>
      <c r="N2905" s="8" t="s">
        <v>58</v>
      </c>
      <c r="O2905" s="8" t="s">
        <v>59</v>
      </c>
      <c r="P2905" s="8" t="s">
        <v>59</v>
      </c>
      <c r="R2905" s="8">
        <v>0</v>
      </c>
      <c r="S2905" s="8">
        <v>0</v>
      </c>
      <c r="T2905" s="8">
        <v>1</v>
      </c>
      <c r="U2905" s="8">
        <v>2</v>
      </c>
      <c r="AG2905" s="8" t="str">
        <f t="shared" si="181"/>
        <v/>
      </c>
      <c r="AI2905" s="8" t="str">
        <f t="shared" si="182"/>
        <v/>
      </c>
      <c r="AJ2905" s="8" t="str">
        <f t="shared" si="183"/>
        <v/>
      </c>
      <c r="AL2905" s="8" t="str">
        <f t="shared" si="184"/>
        <v/>
      </c>
    </row>
    <row r="2906" spans="1:38" x14ac:dyDescent="0.25">
      <c r="A2906" s="8" t="s">
        <v>7721</v>
      </c>
      <c r="B2906" s="8" t="s">
        <v>7722</v>
      </c>
      <c r="C2906" s="8">
        <v>30900199</v>
      </c>
      <c r="D2906" s="8">
        <v>5</v>
      </c>
      <c r="E2906" s="11">
        <v>43111</v>
      </c>
      <c r="F2906" s="8" t="s">
        <v>57</v>
      </c>
      <c r="G2906" s="11">
        <v>43115</v>
      </c>
      <c r="H2906" s="8" t="s">
        <v>25</v>
      </c>
      <c r="J2906" s="8" t="s">
        <v>25</v>
      </c>
      <c r="N2906" s="8" t="s">
        <v>58</v>
      </c>
      <c r="O2906" s="8" t="s">
        <v>59</v>
      </c>
      <c r="P2906" s="8" t="s">
        <v>59</v>
      </c>
      <c r="R2906" s="8">
        <v>0</v>
      </c>
      <c r="S2906" s="8">
        <v>0</v>
      </c>
      <c r="T2906" s="8">
        <v>1</v>
      </c>
      <c r="U2906" s="8">
        <v>2</v>
      </c>
      <c r="AG2906" s="8" t="str">
        <f t="shared" si="181"/>
        <v/>
      </c>
      <c r="AI2906" s="8" t="str">
        <f t="shared" si="182"/>
        <v/>
      </c>
      <c r="AJ2906" s="8" t="str">
        <f t="shared" si="183"/>
        <v/>
      </c>
      <c r="AL2906" s="8" t="str">
        <f t="shared" si="184"/>
        <v/>
      </c>
    </row>
    <row r="2907" spans="1:38" x14ac:dyDescent="0.25">
      <c r="A2907" s="8" t="s">
        <v>5912</v>
      </c>
      <c r="B2907" s="8" t="s">
        <v>5913</v>
      </c>
      <c r="C2907" s="8">
        <v>30875958</v>
      </c>
      <c r="D2907" s="8">
        <v>5</v>
      </c>
      <c r="E2907" s="11">
        <v>43110</v>
      </c>
      <c r="F2907" s="8" t="s">
        <v>58</v>
      </c>
      <c r="G2907" s="11">
        <v>43112</v>
      </c>
      <c r="H2907" s="8" t="s">
        <v>25</v>
      </c>
      <c r="I2907" s="11">
        <v>43112</v>
      </c>
      <c r="J2907" s="8" t="s">
        <v>25</v>
      </c>
      <c r="N2907" s="8" t="s">
        <v>58</v>
      </c>
      <c r="O2907" s="8" t="s">
        <v>59</v>
      </c>
      <c r="P2907" s="8" t="s">
        <v>59</v>
      </c>
      <c r="R2907" s="8">
        <v>0</v>
      </c>
      <c r="S2907" s="8">
        <v>0</v>
      </c>
      <c r="T2907" s="8">
        <v>1</v>
      </c>
      <c r="U2907" s="8">
        <v>2</v>
      </c>
      <c r="X2907" s="8">
        <v>5</v>
      </c>
      <c r="AG2907" s="8" t="str">
        <f t="shared" si="181"/>
        <v/>
      </c>
      <c r="AI2907" s="8" t="str">
        <f t="shared" si="182"/>
        <v/>
      </c>
      <c r="AJ2907" s="8" t="str">
        <f t="shared" si="183"/>
        <v/>
      </c>
      <c r="AL2907" s="8" t="str">
        <f t="shared" si="184"/>
        <v/>
      </c>
    </row>
    <row r="2908" spans="1:38" x14ac:dyDescent="0.25">
      <c r="A2908" s="8" t="s">
        <v>4282</v>
      </c>
      <c r="B2908" s="8" t="s">
        <v>4283</v>
      </c>
      <c r="C2908" s="8">
        <v>30850773</v>
      </c>
      <c r="D2908" s="8">
        <v>5</v>
      </c>
      <c r="E2908" s="11">
        <v>43109</v>
      </c>
      <c r="F2908" s="8" t="s">
        <v>58</v>
      </c>
      <c r="G2908" s="11">
        <v>43111</v>
      </c>
      <c r="H2908" s="8" t="s">
        <v>25</v>
      </c>
      <c r="I2908" s="11">
        <v>43115</v>
      </c>
      <c r="J2908" s="8" t="s">
        <v>25</v>
      </c>
      <c r="N2908" s="8" t="s">
        <v>58</v>
      </c>
      <c r="O2908" s="8" t="s">
        <v>59</v>
      </c>
      <c r="P2908" s="8" t="s">
        <v>59</v>
      </c>
      <c r="R2908" s="8">
        <v>0</v>
      </c>
      <c r="S2908" s="8">
        <v>0</v>
      </c>
      <c r="T2908" s="8">
        <v>1</v>
      </c>
      <c r="U2908" s="8">
        <v>2</v>
      </c>
      <c r="X2908" s="8">
        <v>5</v>
      </c>
      <c r="AG2908" s="8" t="str">
        <f t="shared" si="181"/>
        <v/>
      </c>
      <c r="AI2908" s="8" t="str">
        <f t="shared" si="182"/>
        <v/>
      </c>
      <c r="AJ2908" s="8" t="str">
        <f t="shared" si="183"/>
        <v/>
      </c>
      <c r="AL2908" s="8" t="str">
        <f t="shared" si="184"/>
        <v/>
      </c>
    </row>
    <row r="2909" spans="1:38" x14ac:dyDescent="0.25">
      <c r="A2909" s="8" t="s">
        <v>7723</v>
      </c>
      <c r="B2909" s="8" t="s">
        <v>7724</v>
      </c>
      <c r="C2909" s="8">
        <v>30929548</v>
      </c>
      <c r="D2909" s="8">
        <v>5</v>
      </c>
      <c r="E2909" s="11">
        <v>43115</v>
      </c>
      <c r="F2909" s="8" t="s">
        <v>57</v>
      </c>
      <c r="G2909" s="11">
        <v>43115</v>
      </c>
      <c r="H2909" s="8" t="s">
        <v>25</v>
      </c>
      <c r="J2909" s="8" t="s">
        <v>25</v>
      </c>
      <c r="N2909" s="8" t="s">
        <v>58</v>
      </c>
      <c r="O2909" s="8" t="s">
        <v>59</v>
      </c>
      <c r="P2909" s="8" t="s">
        <v>59</v>
      </c>
      <c r="R2909" s="8">
        <v>0</v>
      </c>
      <c r="S2909" s="8">
        <v>0</v>
      </c>
      <c r="T2909" s="8">
        <v>1</v>
      </c>
      <c r="U2909" s="8">
        <v>2</v>
      </c>
      <c r="AG2909" s="8" t="str">
        <f t="shared" si="181"/>
        <v/>
      </c>
      <c r="AI2909" s="8" t="str">
        <f t="shared" si="182"/>
        <v/>
      </c>
      <c r="AJ2909" s="8" t="str">
        <f t="shared" si="183"/>
        <v/>
      </c>
      <c r="AL2909" s="8" t="str">
        <f t="shared" si="184"/>
        <v/>
      </c>
    </row>
    <row r="2910" spans="1:38" x14ac:dyDescent="0.25">
      <c r="A2910" s="8" t="s">
        <v>7725</v>
      </c>
      <c r="B2910" s="8" t="s">
        <v>7726</v>
      </c>
      <c r="C2910" s="8">
        <v>30932225</v>
      </c>
      <c r="D2910" s="8">
        <v>5</v>
      </c>
      <c r="E2910" s="11">
        <v>43115</v>
      </c>
      <c r="F2910" s="8" t="s">
        <v>57</v>
      </c>
      <c r="G2910" s="11">
        <v>43115</v>
      </c>
      <c r="H2910" s="8" t="s">
        <v>25</v>
      </c>
      <c r="J2910" s="8" t="s">
        <v>25</v>
      </c>
      <c r="N2910" s="8" t="s">
        <v>58</v>
      </c>
      <c r="O2910" s="8" t="s">
        <v>59</v>
      </c>
      <c r="P2910" s="8" t="s">
        <v>59</v>
      </c>
      <c r="R2910" s="8">
        <v>0</v>
      </c>
      <c r="S2910" s="8">
        <v>0</v>
      </c>
      <c r="T2910" s="8">
        <v>1</v>
      </c>
      <c r="U2910" s="8">
        <v>2</v>
      </c>
      <c r="AG2910" s="8" t="str">
        <f t="shared" si="181"/>
        <v/>
      </c>
      <c r="AI2910" s="8" t="str">
        <f t="shared" si="182"/>
        <v/>
      </c>
      <c r="AJ2910" s="8" t="str">
        <f t="shared" si="183"/>
        <v/>
      </c>
      <c r="AL2910" s="8" t="str">
        <f t="shared" si="184"/>
        <v/>
      </c>
    </row>
    <row r="2911" spans="1:38" x14ac:dyDescent="0.25">
      <c r="A2911" s="8" t="s">
        <v>7727</v>
      </c>
      <c r="B2911" s="8" t="s">
        <v>7728</v>
      </c>
      <c r="C2911" s="8">
        <v>30938323</v>
      </c>
      <c r="D2911" s="8">
        <v>5</v>
      </c>
      <c r="E2911" s="11">
        <v>43115</v>
      </c>
      <c r="F2911" s="8" t="s">
        <v>57</v>
      </c>
      <c r="G2911" s="11">
        <v>43115</v>
      </c>
      <c r="H2911" s="8" t="s">
        <v>25</v>
      </c>
      <c r="J2911" s="8" t="s">
        <v>25</v>
      </c>
      <c r="N2911" s="8" t="s">
        <v>58</v>
      </c>
      <c r="O2911" s="8" t="s">
        <v>59</v>
      </c>
      <c r="P2911" s="8" t="s">
        <v>59</v>
      </c>
      <c r="R2911" s="8">
        <v>0</v>
      </c>
      <c r="S2911" s="8">
        <v>0</v>
      </c>
      <c r="T2911" s="8">
        <v>1</v>
      </c>
      <c r="U2911" s="8">
        <v>2</v>
      </c>
      <c r="AG2911" s="8" t="str">
        <f t="shared" si="181"/>
        <v/>
      </c>
      <c r="AI2911" s="8" t="str">
        <f t="shared" si="182"/>
        <v/>
      </c>
      <c r="AJ2911" s="8" t="str">
        <f t="shared" si="183"/>
        <v/>
      </c>
      <c r="AL2911" s="8" t="str">
        <f t="shared" si="184"/>
        <v/>
      </c>
    </row>
    <row r="2912" spans="1:38" x14ac:dyDescent="0.25">
      <c r="A2912" s="8" t="s">
        <v>5914</v>
      </c>
      <c r="B2912" s="8" t="s">
        <v>5915</v>
      </c>
      <c r="C2912" s="8">
        <v>30867731</v>
      </c>
      <c r="D2912" s="8">
        <v>5</v>
      </c>
      <c r="E2912" s="11">
        <v>43110</v>
      </c>
      <c r="F2912" s="8" t="s">
        <v>58</v>
      </c>
      <c r="G2912" s="11">
        <v>43112</v>
      </c>
      <c r="H2912" s="8" t="s">
        <v>25</v>
      </c>
      <c r="I2912" s="11">
        <v>43112</v>
      </c>
      <c r="J2912" s="8" t="s">
        <v>25</v>
      </c>
      <c r="N2912" s="8" t="s">
        <v>58</v>
      </c>
      <c r="O2912" s="8" t="s">
        <v>59</v>
      </c>
      <c r="P2912" s="8" t="s">
        <v>59</v>
      </c>
      <c r="R2912" s="8">
        <v>0</v>
      </c>
      <c r="S2912" s="8">
        <v>0</v>
      </c>
      <c r="T2912" s="8">
        <v>1</v>
      </c>
      <c r="U2912" s="8">
        <v>2</v>
      </c>
      <c r="X2912" s="8">
        <v>5</v>
      </c>
      <c r="AG2912" s="8" t="str">
        <f t="shared" si="181"/>
        <v/>
      </c>
      <c r="AI2912" s="8" t="str">
        <f t="shared" si="182"/>
        <v/>
      </c>
      <c r="AJ2912" s="8" t="str">
        <f t="shared" si="183"/>
        <v/>
      </c>
      <c r="AL2912" s="8" t="str">
        <f t="shared" si="184"/>
        <v/>
      </c>
    </row>
    <row r="2913" spans="1:38" x14ac:dyDescent="0.25">
      <c r="A2913" s="8" t="s">
        <v>1434</v>
      </c>
      <c r="B2913" s="8" t="s">
        <v>1435</v>
      </c>
      <c r="C2913" s="8">
        <v>30852113</v>
      </c>
      <c r="D2913" s="8">
        <v>5</v>
      </c>
      <c r="E2913" s="11">
        <v>43109</v>
      </c>
      <c r="F2913" s="8" t="s">
        <v>57</v>
      </c>
      <c r="G2913" s="11">
        <v>43109</v>
      </c>
      <c r="H2913" s="8" t="s">
        <v>25</v>
      </c>
      <c r="J2913" s="8" t="s">
        <v>25</v>
      </c>
      <c r="N2913" s="8" t="s">
        <v>58</v>
      </c>
      <c r="O2913" s="8" t="s">
        <v>59</v>
      </c>
      <c r="P2913" s="8" t="s">
        <v>59</v>
      </c>
      <c r="R2913" s="8">
        <v>0</v>
      </c>
      <c r="S2913" s="8">
        <v>0</v>
      </c>
      <c r="T2913" s="8">
        <v>1</v>
      </c>
      <c r="U2913" s="8">
        <v>2</v>
      </c>
      <c r="AG2913" s="8" t="str">
        <f t="shared" si="181"/>
        <v/>
      </c>
      <c r="AI2913" s="8" t="str">
        <f t="shared" si="182"/>
        <v/>
      </c>
      <c r="AJ2913" s="8" t="str">
        <f t="shared" si="183"/>
        <v/>
      </c>
      <c r="AL2913" s="8" t="str">
        <f t="shared" si="184"/>
        <v/>
      </c>
    </row>
    <row r="2914" spans="1:38" x14ac:dyDescent="0.25">
      <c r="A2914" s="8" t="s">
        <v>1436</v>
      </c>
      <c r="B2914" s="8" t="s">
        <v>1437</v>
      </c>
      <c r="C2914" s="8">
        <v>30832082</v>
      </c>
      <c r="D2914" s="8">
        <v>5</v>
      </c>
      <c r="E2914" s="11">
        <v>43109</v>
      </c>
      <c r="F2914" s="8" t="s">
        <v>60</v>
      </c>
      <c r="G2914" s="11">
        <v>43109</v>
      </c>
      <c r="H2914" s="8" t="s">
        <v>25</v>
      </c>
      <c r="J2914" s="8" t="s">
        <v>145</v>
      </c>
      <c r="L2914" s="8" t="s">
        <v>6525</v>
      </c>
      <c r="N2914" s="8" t="s">
        <v>58</v>
      </c>
      <c r="O2914" s="8" t="s">
        <v>59</v>
      </c>
      <c r="P2914" s="8" t="s">
        <v>59</v>
      </c>
      <c r="R2914" s="8">
        <v>0</v>
      </c>
      <c r="S2914" s="8">
        <v>0</v>
      </c>
      <c r="T2914" s="8">
        <v>1</v>
      </c>
      <c r="U2914" s="8">
        <v>2</v>
      </c>
      <c r="W2914" s="8">
        <v>4</v>
      </c>
      <c r="AG2914" s="8" t="str">
        <f t="shared" si="181"/>
        <v/>
      </c>
      <c r="AI2914" s="8" t="str">
        <f t="shared" si="182"/>
        <v/>
      </c>
      <c r="AJ2914" s="8" t="str">
        <f t="shared" si="183"/>
        <v/>
      </c>
      <c r="AL2914" s="8" t="str">
        <f t="shared" si="184"/>
        <v/>
      </c>
    </row>
    <row r="2915" spans="1:38" x14ac:dyDescent="0.25">
      <c r="A2915" s="8" t="s">
        <v>2812</v>
      </c>
      <c r="B2915" s="8" t="s">
        <v>2813</v>
      </c>
      <c r="C2915" s="8">
        <v>30825934</v>
      </c>
      <c r="D2915" s="8">
        <v>5</v>
      </c>
      <c r="E2915" s="11">
        <v>43108</v>
      </c>
      <c r="F2915" s="8" t="s">
        <v>58</v>
      </c>
      <c r="G2915" s="11">
        <v>43110</v>
      </c>
      <c r="H2915" s="8" t="s">
        <v>25</v>
      </c>
      <c r="I2915" s="11">
        <v>43112</v>
      </c>
      <c r="J2915" s="8" t="s">
        <v>25</v>
      </c>
      <c r="N2915" s="8" t="s">
        <v>58</v>
      </c>
      <c r="O2915" s="8" t="s">
        <v>59</v>
      </c>
      <c r="P2915" s="8" t="s">
        <v>59</v>
      </c>
      <c r="R2915" s="8">
        <v>0</v>
      </c>
      <c r="S2915" s="8">
        <v>0</v>
      </c>
      <c r="T2915" s="8">
        <v>1</v>
      </c>
      <c r="U2915" s="8">
        <v>2</v>
      </c>
      <c r="X2915" s="8">
        <v>5</v>
      </c>
      <c r="AG2915" s="8" t="str">
        <f t="shared" si="181"/>
        <v/>
      </c>
      <c r="AI2915" s="8" t="str">
        <f t="shared" si="182"/>
        <v/>
      </c>
      <c r="AJ2915" s="8" t="str">
        <f t="shared" si="183"/>
        <v/>
      </c>
      <c r="AL2915" s="8" t="str">
        <f t="shared" si="184"/>
        <v/>
      </c>
    </row>
    <row r="2916" spans="1:38" x14ac:dyDescent="0.25">
      <c r="A2916" s="8" t="s">
        <v>5916</v>
      </c>
      <c r="B2916" s="8" t="s">
        <v>5917</v>
      </c>
      <c r="C2916" s="8">
        <v>30912640</v>
      </c>
      <c r="D2916" s="8">
        <v>5</v>
      </c>
      <c r="E2916" s="11">
        <v>43112</v>
      </c>
      <c r="F2916" s="8" t="s">
        <v>57</v>
      </c>
      <c r="G2916" s="11">
        <v>43112</v>
      </c>
      <c r="H2916" s="8" t="s">
        <v>25</v>
      </c>
      <c r="J2916" s="8" t="s">
        <v>25</v>
      </c>
      <c r="N2916" s="8" t="s">
        <v>58</v>
      </c>
      <c r="O2916" s="8" t="s">
        <v>59</v>
      </c>
      <c r="P2916" s="8" t="s">
        <v>59</v>
      </c>
      <c r="R2916" s="8">
        <v>0</v>
      </c>
      <c r="S2916" s="8">
        <v>0</v>
      </c>
      <c r="T2916" s="8">
        <v>1</v>
      </c>
      <c r="U2916" s="8">
        <v>2</v>
      </c>
      <c r="AG2916" s="8" t="str">
        <f t="shared" si="181"/>
        <v/>
      </c>
      <c r="AI2916" s="8" t="str">
        <f t="shared" si="182"/>
        <v/>
      </c>
      <c r="AJ2916" s="8" t="str">
        <f t="shared" si="183"/>
        <v/>
      </c>
      <c r="AL2916" s="8" t="str">
        <f t="shared" si="184"/>
        <v/>
      </c>
    </row>
    <row r="2917" spans="1:38" x14ac:dyDescent="0.25">
      <c r="A2917" s="8" t="s">
        <v>5918</v>
      </c>
      <c r="B2917" s="8" t="s">
        <v>5919</v>
      </c>
      <c r="C2917" s="8">
        <v>30867008</v>
      </c>
      <c r="D2917" s="8">
        <v>5</v>
      </c>
      <c r="E2917" s="11">
        <v>43110</v>
      </c>
      <c r="F2917" s="8" t="s">
        <v>57</v>
      </c>
      <c r="G2917" s="11">
        <v>43112</v>
      </c>
      <c r="H2917" s="8" t="s">
        <v>25</v>
      </c>
      <c r="J2917" s="8" t="s">
        <v>25</v>
      </c>
      <c r="N2917" s="8" t="s">
        <v>58</v>
      </c>
      <c r="O2917" s="8" t="s">
        <v>59</v>
      </c>
      <c r="P2917" s="8" t="s">
        <v>59</v>
      </c>
      <c r="R2917" s="8">
        <v>0</v>
      </c>
      <c r="S2917" s="8">
        <v>0</v>
      </c>
      <c r="T2917" s="8">
        <v>1</v>
      </c>
      <c r="U2917" s="8">
        <v>2</v>
      </c>
      <c r="AG2917" s="8" t="str">
        <f t="shared" si="181"/>
        <v/>
      </c>
      <c r="AI2917" s="8" t="str">
        <f t="shared" si="182"/>
        <v/>
      </c>
      <c r="AJ2917" s="8" t="str">
        <f t="shared" si="183"/>
        <v/>
      </c>
      <c r="AL2917" s="8" t="str">
        <f t="shared" si="184"/>
        <v/>
      </c>
    </row>
    <row r="2918" spans="1:38" x14ac:dyDescent="0.25">
      <c r="A2918" s="8" t="s">
        <v>5920</v>
      </c>
      <c r="B2918" s="8" t="s">
        <v>5921</v>
      </c>
      <c r="C2918" s="8">
        <v>30866603</v>
      </c>
      <c r="D2918" s="8">
        <v>5</v>
      </c>
      <c r="E2918" s="11">
        <v>43110</v>
      </c>
      <c r="F2918" s="8" t="s">
        <v>57</v>
      </c>
      <c r="G2918" s="11">
        <v>43112</v>
      </c>
      <c r="H2918" s="8" t="s">
        <v>25</v>
      </c>
      <c r="J2918" s="8" t="s">
        <v>25</v>
      </c>
      <c r="N2918" s="8" t="s">
        <v>58</v>
      </c>
      <c r="O2918" s="8" t="s">
        <v>59</v>
      </c>
      <c r="P2918" s="8" t="s">
        <v>59</v>
      </c>
      <c r="R2918" s="8">
        <v>0</v>
      </c>
      <c r="S2918" s="8">
        <v>0</v>
      </c>
      <c r="T2918" s="8">
        <v>1</v>
      </c>
      <c r="U2918" s="8">
        <v>2</v>
      </c>
      <c r="AG2918" s="8" t="str">
        <f t="shared" si="181"/>
        <v/>
      </c>
      <c r="AI2918" s="8" t="str">
        <f t="shared" si="182"/>
        <v/>
      </c>
      <c r="AJ2918" s="8" t="str">
        <f t="shared" si="183"/>
        <v/>
      </c>
      <c r="AL2918" s="8" t="str">
        <f t="shared" si="184"/>
        <v/>
      </c>
    </row>
    <row r="2919" spans="1:38" x14ac:dyDescent="0.25">
      <c r="A2919" s="8" t="s">
        <v>616</v>
      </c>
      <c r="B2919" s="8" t="s">
        <v>617</v>
      </c>
      <c r="C2919" s="8">
        <v>30809725</v>
      </c>
      <c r="D2919" s="8">
        <v>5</v>
      </c>
      <c r="E2919" s="11">
        <v>43108</v>
      </c>
      <c r="F2919" s="8" t="s">
        <v>57</v>
      </c>
      <c r="G2919" s="11">
        <v>43108</v>
      </c>
      <c r="H2919" s="8" t="s">
        <v>25</v>
      </c>
      <c r="J2919" s="8" t="s">
        <v>25</v>
      </c>
      <c r="N2919" s="8" t="s">
        <v>58</v>
      </c>
      <c r="O2919" s="8" t="s">
        <v>59</v>
      </c>
      <c r="P2919" s="8" t="s">
        <v>59</v>
      </c>
      <c r="R2919" s="8">
        <v>0</v>
      </c>
      <c r="S2919" s="8">
        <v>0</v>
      </c>
      <c r="T2919" s="8">
        <v>1</v>
      </c>
      <c r="U2919" s="8">
        <v>2</v>
      </c>
      <c r="AG2919" s="8" t="str">
        <f t="shared" si="181"/>
        <v/>
      </c>
      <c r="AI2919" s="8" t="str">
        <f t="shared" si="182"/>
        <v/>
      </c>
      <c r="AJ2919" s="8" t="str">
        <f t="shared" si="183"/>
        <v/>
      </c>
      <c r="AL2919" s="8" t="str">
        <f t="shared" si="184"/>
        <v/>
      </c>
    </row>
    <row r="2920" spans="1:38" x14ac:dyDescent="0.25">
      <c r="A2920" s="8" t="s">
        <v>618</v>
      </c>
      <c r="B2920" s="8" t="s">
        <v>619</v>
      </c>
      <c r="C2920" s="8">
        <v>30822012</v>
      </c>
      <c r="D2920" s="8">
        <v>5</v>
      </c>
      <c r="E2920" s="11">
        <v>43108</v>
      </c>
      <c r="F2920" s="8" t="s">
        <v>60</v>
      </c>
      <c r="G2920" s="11">
        <v>43108</v>
      </c>
      <c r="H2920" s="8" t="s">
        <v>25</v>
      </c>
      <c r="J2920" s="8" t="s">
        <v>856</v>
      </c>
      <c r="L2920" s="8" t="s">
        <v>6525</v>
      </c>
      <c r="N2920" s="8" t="s">
        <v>58</v>
      </c>
      <c r="O2920" s="8" t="s">
        <v>59</v>
      </c>
      <c r="P2920" s="8" t="s">
        <v>59</v>
      </c>
      <c r="R2920" s="8">
        <v>0</v>
      </c>
      <c r="S2920" s="8">
        <v>0</v>
      </c>
      <c r="T2920" s="8">
        <v>1</v>
      </c>
      <c r="U2920" s="8">
        <v>2</v>
      </c>
      <c r="W2920" s="8">
        <v>4</v>
      </c>
      <c r="AG2920" s="8" t="str">
        <f t="shared" si="181"/>
        <v/>
      </c>
      <c r="AI2920" s="8" t="str">
        <f t="shared" si="182"/>
        <v/>
      </c>
      <c r="AJ2920" s="8" t="str">
        <f t="shared" si="183"/>
        <v/>
      </c>
      <c r="AL2920" s="8" t="str">
        <f t="shared" si="184"/>
        <v/>
      </c>
    </row>
    <row r="2921" spans="1:38" x14ac:dyDescent="0.25">
      <c r="A2921" s="8" t="s">
        <v>7729</v>
      </c>
      <c r="B2921" s="8" t="s">
        <v>7730</v>
      </c>
      <c r="C2921" s="8">
        <v>30889457</v>
      </c>
      <c r="D2921" s="8">
        <v>5</v>
      </c>
      <c r="E2921" s="11">
        <v>43111</v>
      </c>
      <c r="F2921" s="8" t="s">
        <v>57</v>
      </c>
      <c r="G2921" s="11">
        <v>43115</v>
      </c>
      <c r="H2921" s="8" t="s">
        <v>25</v>
      </c>
      <c r="J2921" s="8" t="s">
        <v>25</v>
      </c>
      <c r="N2921" s="8" t="s">
        <v>58</v>
      </c>
      <c r="O2921" s="8" t="s">
        <v>59</v>
      </c>
      <c r="P2921" s="8" t="s">
        <v>59</v>
      </c>
      <c r="R2921" s="8">
        <v>0</v>
      </c>
      <c r="S2921" s="8">
        <v>0</v>
      </c>
      <c r="T2921" s="8">
        <v>1</v>
      </c>
      <c r="U2921" s="8">
        <v>2</v>
      </c>
      <c r="AG2921" s="8" t="str">
        <f t="shared" si="181"/>
        <v/>
      </c>
      <c r="AI2921" s="8" t="str">
        <f t="shared" si="182"/>
        <v/>
      </c>
      <c r="AJ2921" s="8" t="str">
        <f t="shared" si="183"/>
        <v/>
      </c>
      <c r="AL2921" s="8" t="str">
        <f t="shared" si="184"/>
        <v/>
      </c>
    </row>
    <row r="2922" spans="1:38" x14ac:dyDescent="0.25">
      <c r="A2922" s="8" t="s">
        <v>7731</v>
      </c>
      <c r="B2922" s="8" t="s">
        <v>7732</v>
      </c>
      <c r="C2922" s="8">
        <v>30897980</v>
      </c>
      <c r="D2922" s="8">
        <v>5</v>
      </c>
      <c r="E2922" s="11">
        <v>43111</v>
      </c>
      <c r="F2922" s="8" t="s">
        <v>58</v>
      </c>
      <c r="G2922" s="11">
        <v>43115</v>
      </c>
      <c r="H2922" s="8" t="s">
        <v>25</v>
      </c>
      <c r="I2922" s="11">
        <v>43115</v>
      </c>
      <c r="J2922" s="8" t="s">
        <v>25</v>
      </c>
      <c r="N2922" s="8" t="s">
        <v>58</v>
      </c>
      <c r="O2922" s="8" t="s">
        <v>59</v>
      </c>
      <c r="P2922" s="8" t="s">
        <v>59</v>
      </c>
      <c r="R2922" s="8">
        <v>0</v>
      </c>
      <c r="S2922" s="8">
        <v>0</v>
      </c>
      <c r="T2922" s="8">
        <v>1</v>
      </c>
      <c r="U2922" s="8">
        <v>2</v>
      </c>
      <c r="X2922" s="8">
        <v>5</v>
      </c>
      <c r="AG2922" s="8" t="str">
        <f t="shared" si="181"/>
        <v/>
      </c>
      <c r="AI2922" s="8" t="str">
        <f t="shared" si="182"/>
        <v/>
      </c>
      <c r="AJ2922" s="8" t="str">
        <f t="shared" si="183"/>
        <v/>
      </c>
      <c r="AL2922" s="8" t="str">
        <f t="shared" si="184"/>
        <v/>
      </c>
    </row>
    <row r="2923" spans="1:38" x14ac:dyDescent="0.25">
      <c r="A2923" s="8" t="s">
        <v>5922</v>
      </c>
      <c r="B2923" s="8" t="s">
        <v>5923</v>
      </c>
      <c r="C2923" s="8">
        <v>30903847</v>
      </c>
      <c r="D2923" s="8">
        <v>5</v>
      </c>
      <c r="E2923" s="11">
        <v>43111</v>
      </c>
      <c r="F2923" s="8" t="s">
        <v>57</v>
      </c>
      <c r="G2923" s="11">
        <v>43112</v>
      </c>
      <c r="H2923" s="8" t="s">
        <v>25</v>
      </c>
      <c r="J2923" s="8" t="s">
        <v>25</v>
      </c>
      <c r="N2923" s="8" t="s">
        <v>58</v>
      </c>
      <c r="O2923" s="8" t="s">
        <v>59</v>
      </c>
      <c r="P2923" s="8" t="s">
        <v>59</v>
      </c>
      <c r="R2923" s="8">
        <v>0</v>
      </c>
      <c r="S2923" s="8">
        <v>0</v>
      </c>
      <c r="T2923" s="8">
        <v>1</v>
      </c>
      <c r="U2923" s="8">
        <v>2</v>
      </c>
      <c r="AG2923" s="8" t="str">
        <f t="shared" si="181"/>
        <v/>
      </c>
      <c r="AI2923" s="8" t="str">
        <f t="shared" si="182"/>
        <v/>
      </c>
      <c r="AJ2923" s="8" t="str">
        <f t="shared" si="183"/>
        <v/>
      </c>
      <c r="AL2923" s="8" t="str">
        <f t="shared" si="184"/>
        <v/>
      </c>
    </row>
    <row r="2924" spans="1:38" x14ac:dyDescent="0.25">
      <c r="A2924" s="8" t="s">
        <v>4284</v>
      </c>
      <c r="B2924" s="8" t="s">
        <v>4285</v>
      </c>
      <c r="C2924" s="8">
        <v>30852404</v>
      </c>
      <c r="D2924" s="8">
        <v>5</v>
      </c>
      <c r="E2924" s="11">
        <v>43109</v>
      </c>
      <c r="F2924" s="8" t="s">
        <v>58</v>
      </c>
      <c r="G2924" s="11">
        <v>43111</v>
      </c>
      <c r="H2924" s="8" t="s">
        <v>25</v>
      </c>
      <c r="I2924" s="11">
        <v>43111</v>
      </c>
      <c r="J2924" s="8" t="s">
        <v>25</v>
      </c>
      <c r="N2924" s="8" t="s">
        <v>58</v>
      </c>
      <c r="O2924" s="8" t="s">
        <v>59</v>
      </c>
      <c r="P2924" s="8" t="s">
        <v>59</v>
      </c>
      <c r="R2924" s="8">
        <v>0</v>
      </c>
      <c r="S2924" s="8">
        <v>0</v>
      </c>
      <c r="T2924" s="8">
        <v>1</v>
      </c>
      <c r="U2924" s="8">
        <v>2</v>
      </c>
      <c r="X2924" s="8">
        <v>5</v>
      </c>
      <c r="AG2924" s="8" t="str">
        <f t="shared" si="181"/>
        <v/>
      </c>
      <c r="AI2924" s="8" t="str">
        <f t="shared" si="182"/>
        <v/>
      </c>
      <c r="AJ2924" s="8" t="str">
        <f t="shared" si="183"/>
        <v/>
      </c>
      <c r="AL2924" s="8" t="str">
        <f t="shared" si="184"/>
        <v/>
      </c>
    </row>
    <row r="2925" spans="1:38" x14ac:dyDescent="0.25">
      <c r="A2925" s="8" t="s">
        <v>2814</v>
      </c>
      <c r="B2925" s="8" t="s">
        <v>2815</v>
      </c>
      <c r="C2925" s="8">
        <v>30810142</v>
      </c>
      <c r="D2925" s="8">
        <v>5</v>
      </c>
      <c r="E2925" s="11">
        <v>43108</v>
      </c>
      <c r="F2925" s="8" t="s">
        <v>57</v>
      </c>
      <c r="G2925" s="11">
        <v>43110</v>
      </c>
      <c r="H2925" s="8" t="s">
        <v>25</v>
      </c>
      <c r="J2925" s="8" t="s">
        <v>25</v>
      </c>
      <c r="N2925" s="8" t="s">
        <v>58</v>
      </c>
      <c r="O2925" s="8" t="s">
        <v>59</v>
      </c>
      <c r="P2925" s="8" t="s">
        <v>59</v>
      </c>
      <c r="R2925" s="8">
        <v>0</v>
      </c>
      <c r="S2925" s="8">
        <v>0</v>
      </c>
      <c r="T2925" s="8">
        <v>1</v>
      </c>
      <c r="U2925" s="8">
        <v>2</v>
      </c>
      <c r="AG2925" s="8" t="str">
        <f t="shared" si="181"/>
        <v/>
      </c>
      <c r="AI2925" s="8" t="str">
        <f t="shared" si="182"/>
        <v/>
      </c>
      <c r="AJ2925" s="8" t="str">
        <f t="shared" si="183"/>
        <v/>
      </c>
      <c r="AL2925" s="8" t="str">
        <f t="shared" si="184"/>
        <v/>
      </c>
    </row>
    <row r="2926" spans="1:38" x14ac:dyDescent="0.25">
      <c r="A2926" s="8" t="s">
        <v>5924</v>
      </c>
      <c r="B2926" s="8" t="s">
        <v>5925</v>
      </c>
      <c r="C2926" s="8">
        <v>30921406</v>
      </c>
      <c r="D2926" s="8">
        <v>5</v>
      </c>
      <c r="E2926" s="11">
        <v>43112</v>
      </c>
      <c r="F2926" s="8" t="s">
        <v>57</v>
      </c>
      <c r="G2926" s="11">
        <v>43112</v>
      </c>
      <c r="H2926" s="8" t="s">
        <v>25</v>
      </c>
      <c r="J2926" s="8" t="s">
        <v>25</v>
      </c>
      <c r="N2926" s="8" t="s">
        <v>58</v>
      </c>
      <c r="O2926" s="8" t="s">
        <v>59</v>
      </c>
      <c r="P2926" s="8" t="s">
        <v>59</v>
      </c>
      <c r="R2926" s="8">
        <v>0</v>
      </c>
      <c r="S2926" s="8">
        <v>0</v>
      </c>
      <c r="T2926" s="8">
        <v>1</v>
      </c>
      <c r="U2926" s="8">
        <v>2</v>
      </c>
      <c r="AG2926" s="8" t="str">
        <f t="shared" si="181"/>
        <v/>
      </c>
      <c r="AI2926" s="8" t="str">
        <f t="shared" si="182"/>
        <v/>
      </c>
      <c r="AJ2926" s="8" t="str">
        <f t="shared" si="183"/>
        <v/>
      </c>
      <c r="AL2926" s="8" t="str">
        <f t="shared" si="184"/>
        <v/>
      </c>
    </row>
    <row r="2927" spans="1:38" x14ac:dyDescent="0.25">
      <c r="A2927" s="8" t="s">
        <v>5926</v>
      </c>
      <c r="B2927" s="8" t="s">
        <v>5927</v>
      </c>
      <c r="C2927" s="8">
        <v>30874268</v>
      </c>
      <c r="D2927" s="8">
        <v>5</v>
      </c>
      <c r="E2927" s="11">
        <v>43110</v>
      </c>
      <c r="F2927" s="8" t="s">
        <v>57</v>
      </c>
      <c r="G2927" s="11">
        <v>43112</v>
      </c>
      <c r="H2927" s="8" t="s">
        <v>25</v>
      </c>
      <c r="J2927" s="8" t="s">
        <v>25</v>
      </c>
      <c r="N2927" s="8" t="s">
        <v>58</v>
      </c>
      <c r="O2927" s="8" t="s">
        <v>59</v>
      </c>
      <c r="P2927" s="8" t="s">
        <v>59</v>
      </c>
      <c r="R2927" s="8">
        <v>0</v>
      </c>
      <c r="S2927" s="8">
        <v>0</v>
      </c>
      <c r="T2927" s="8">
        <v>1</v>
      </c>
      <c r="U2927" s="8">
        <v>2</v>
      </c>
      <c r="AG2927" s="8" t="str">
        <f t="shared" si="181"/>
        <v/>
      </c>
      <c r="AI2927" s="8" t="str">
        <f t="shared" si="182"/>
        <v/>
      </c>
      <c r="AJ2927" s="8" t="str">
        <f t="shared" si="183"/>
        <v/>
      </c>
      <c r="AL2927" s="8" t="str">
        <f t="shared" si="184"/>
        <v/>
      </c>
    </row>
    <row r="2928" spans="1:38" x14ac:dyDescent="0.25">
      <c r="A2928" s="8" t="s">
        <v>4286</v>
      </c>
      <c r="B2928" s="8" t="s">
        <v>4287</v>
      </c>
      <c r="C2928" s="8">
        <v>30852812</v>
      </c>
      <c r="D2928" s="8">
        <v>5</v>
      </c>
      <c r="E2928" s="11">
        <v>43109</v>
      </c>
      <c r="F2928" s="8" t="s">
        <v>57</v>
      </c>
      <c r="G2928" s="11">
        <v>43111</v>
      </c>
      <c r="H2928" s="8" t="s">
        <v>25</v>
      </c>
      <c r="J2928" s="8" t="s">
        <v>25</v>
      </c>
      <c r="N2928" s="8" t="s">
        <v>58</v>
      </c>
      <c r="O2928" s="8" t="s">
        <v>59</v>
      </c>
      <c r="P2928" s="8" t="s">
        <v>59</v>
      </c>
      <c r="R2928" s="8">
        <v>0</v>
      </c>
      <c r="S2928" s="8">
        <v>0</v>
      </c>
      <c r="T2928" s="8">
        <v>1</v>
      </c>
      <c r="U2928" s="8">
        <v>2</v>
      </c>
      <c r="AG2928" s="8" t="str">
        <f t="shared" si="181"/>
        <v/>
      </c>
      <c r="AI2928" s="8" t="str">
        <f t="shared" si="182"/>
        <v/>
      </c>
      <c r="AJ2928" s="8" t="str">
        <f t="shared" si="183"/>
        <v/>
      </c>
      <c r="AL2928" s="8" t="str">
        <f t="shared" si="184"/>
        <v/>
      </c>
    </row>
    <row r="2929" spans="1:38" x14ac:dyDescent="0.25">
      <c r="A2929" s="8" t="s">
        <v>2816</v>
      </c>
      <c r="B2929" s="8" t="s">
        <v>2817</v>
      </c>
      <c r="C2929" s="8">
        <v>30875125</v>
      </c>
      <c r="D2929" s="8">
        <v>5</v>
      </c>
      <c r="E2929" s="11">
        <v>43110</v>
      </c>
      <c r="F2929" s="8" t="s">
        <v>57</v>
      </c>
      <c r="G2929" s="11">
        <v>43110</v>
      </c>
      <c r="H2929" s="8" t="s">
        <v>25</v>
      </c>
      <c r="J2929" s="8" t="s">
        <v>25</v>
      </c>
      <c r="N2929" s="8" t="s">
        <v>58</v>
      </c>
      <c r="O2929" s="8" t="s">
        <v>59</v>
      </c>
      <c r="P2929" s="8" t="s">
        <v>59</v>
      </c>
      <c r="R2929" s="8">
        <v>0</v>
      </c>
      <c r="S2929" s="8">
        <v>0</v>
      </c>
      <c r="T2929" s="8">
        <v>1</v>
      </c>
      <c r="U2929" s="8">
        <v>2</v>
      </c>
      <c r="AG2929" s="8" t="str">
        <f t="shared" si="181"/>
        <v/>
      </c>
      <c r="AI2929" s="8" t="str">
        <f t="shared" si="182"/>
        <v/>
      </c>
      <c r="AJ2929" s="8" t="str">
        <f t="shared" si="183"/>
        <v/>
      </c>
      <c r="AL2929" s="8" t="str">
        <f t="shared" si="184"/>
        <v/>
      </c>
    </row>
    <row r="2930" spans="1:38" x14ac:dyDescent="0.25">
      <c r="A2930" s="8" t="s">
        <v>7733</v>
      </c>
      <c r="B2930" s="8" t="s">
        <v>7734</v>
      </c>
      <c r="C2930" s="8">
        <v>30897446</v>
      </c>
      <c r="D2930" s="8">
        <v>5</v>
      </c>
      <c r="E2930" s="11">
        <v>43111</v>
      </c>
      <c r="F2930" s="8" t="s">
        <v>58</v>
      </c>
      <c r="G2930" s="11">
        <v>43115</v>
      </c>
      <c r="H2930" s="8" t="s">
        <v>25</v>
      </c>
      <c r="I2930" s="11">
        <v>43115</v>
      </c>
      <c r="J2930" s="8" t="s">
        <v>25</v>
      </c>
      <c r="N2930" s="8" t="s">
        <v>58</v>
      </c>
      <c r="O2930" s="8" t="s">
        <v>59</v>
      </c>
      <c r="P2930" s="8" t="s">
        <v>59</v>
      </c>
      <c r="R2930" s="8">
        <v>0</v>
      </c>
      <c r="S2930" s="8">
        <v>0</v>
      </c>
      <c r="T2930" s="8">
        <v>1</v>
      </c>
      <c r="U2930" s="8">
        <v>2</v>
      </c>
      <c r="X2930" s="8">
        <v>5</v>
      </c>
      <c r="AG2930" s="8" t="str">
        <f t="shared" si="181"/>
        <v/>
      </c>
      <c r="AI2930" s="8" t="str">
        <f t="shared" si="182"/>
        <v/>
      </c>
      <c r="AJ2930" s="8" t="str">
        <f t="shared" si="183"/>
        <v/>
      </c>
      <c r="AL2930" s="8" t="str">
        <f t="shared" si="184"/>
        <v/>
      </c>
    </row>
    <row r="2931" spans="1:38" x14ac:dyDescent="0.25">
      <c r="A2931" s="8" t="s">
        <v>7735</v>
      </c>
      <c r="B2931" s="8" t="s">
        <v>7736</v>
      </c>
      <c r="C2931" s="8">
        <v>30890049</v>
      </c>
      <c r="D2931" s="8">
        <v>5</v>
      </c>
      <c r="E2931" s="11">
        <v>43111</v>
      </c>
      <c r="F2931" s="8" t="s">
        <v>57</v>
      </c>
      <c r="G2931" s="11">
        <v>43115</v>
      </c>
      <c r="H2931" s="8" t="s">
        <v>25</v>
      </c>
      <c r="J2931" s="8" t="s">
        <v>25</v>
      </c>
      <c r="N2931" s="8" t="s">
        <v>58</v>
      </c>
      <c r="O2931" s="8" t="s">
        <v>59</v>
      </c>
      <c r="P2931" s="8" t="s">
        <v>59</v>
      </c>
      <c r="R2931" s="8">
        <v>0</v>
      </c>
      <c r="S2931" s="8">
        <v>0</v>
      </c>
      <c r="T2931" s="8">
        <v>1</v>
      </c>
      <c r="U2931" s="8">
        <v>2</v>
      </c>
      <c r="AG2931" s="8" t="str">
        <f t="shared" si="181"/>
        <v/>
      </c>
      <c r="AI2931" s="8" t="str">
        <f t="shared" si="182"/>
        <v/>
      </c>
      <c r="AJ2931" s="8" t="str">
        <f t="shared" si="183"/>
        <v/>
      </c>
      <c r="AL2931" s="8" t="str">
        <f t="shared" si="184"/>
        <v/>
      </c>
    </row>
    <row r="2932" spans="1:38" x14ac:dyDescent="0.25">
      <c r="A2932" s="8" t="s">
        <v>5928</v>
      </c>
      <c r="B2932" s="8" t="s">
        <v>5929</v>
      </c>
      <c r="C2932" s="8">
        <v>30914390</v>
      </c>
      <c r="D2932" s="8">
        <v>5</v>
      </c>
      <c r="E2932" s="11">
        <v>43112</v>
      </c>
      <c r="F2932" s="8" t="s">
        <v>57</v>
      </c>
      <c r="G2932" s="11">
        <v>43112</v>
      </c>
      <c r="H2932" s="8" t="s">
        <v>25</v>
      </c>
      <c r="J2932" s="8" t="s">
        <v>25</v>
      </c>
      <c r="N2932" s="8" t="s">
        <v>58</v>
      </c>
      <c r="O2932" s="8" t="s">
        <v>59</v>
      </c>
      <c r="P2932" s="8" t="s">
        <v>59</v>
      </c>
      <c r="R2932" s="8">
        <v>0</v>
      </c>
      <c r="S2932" s="8">
        <v>0</v>
      </c>
      <c r="T2932" s="8">
        <v>1</v>
      </c>
      <c r="U2932" s="8">
        <v>2</v>
      </c>
      <c r="AG2932" s="8" t="str">
        <f t="shared" si="181"/>
        <v/>
      </c>
      <c r="AI2932" s="8" t="str">
        <f t="shared" si="182"/>
        <v/>
      </c>
      <c r="AJ2932" s="8" t="str">
        <f t="shared" si="183"/>
        <v/>
      </c>
      <c r="AL2932" s="8" t="str">
        <f t="shared" si="184"/>
        <v/>
      </c>
    </row>
    <row r="2933" spans="1:38" x14ac:dyDescent="0.25">
      <c r="A2933" s="8" t="s">
        <v>1438</v>
      </c>
      <c r="B2933" s="8" t="s">
        <v>1439</v>
      </c>
      <c r="C2933" s="8">
        <v>30831816</v>
      </c>
      <c r="D2933" s="8">
        <v>5</v>
      </c>
      <c r="E2933" s="11">
        <v>43109</v>
      </c>
      <c r="F2933" s="8" t="s">
        <v>60</v>
      </c>
      <c r="G2933" s="11">
        <v>43109</v>
      </c>
      <c r="H2933" s="8" t="s">
        <v>25</v>
      </c>
      <c r="J2933" s="8" t="s">
        <v>25</v>
      </c>
      <c r="L2933" s="8" t="s">
        <v>4797</v>
      </c>
      <c r="N2933" s="8" t="s">
        <v>58</v>
      </c>
      <c r="O2933" s="8" t="s">
        <v>59</v>
      </c>
      <c r="P2933" s="8" t="s">
        <v>59</v>
      </c>
      <c r="R2933" s="8">
        <v>0</v>
      </c>
      <c r="S2933" s="8">
        <v>0</v>
      </c>
      <c r="T2933" s="8">
        <v>1</v>
      </c>
      <c r="U2933" s="8">
        <v>2</v>
      </c>
      <c r="W2933" s="8">
        <v>4</v>
      </c>
      <c r="AG2933" s="8" t="str">
        <f t="shared" si="181"/>
        <v/>
      </c>
      <c r="AI2933" s="8" t="str">
        <f t="shared" si="182"/>
        <v/>
      </c>
      <c r="AJ2933" s="8" t="str">
        <f t="shared" si="183"/>
        <v/>
      </c>
      <c r="AL2933" s="8" t="str">
        <f t="shared" si="184"/>
        <v/>
      </c>
    </row>
    <row r="2934" spans="1:38" x14ac:dyDescent="0.25">
      <c r="A2934" s="8" t="s">
        <v>7737</v>
      </c>
      <c r="B2934" s="8" t="s">
        <v>1439</v>
      </c>
      <c r="C2934" s="8">
        <v>30933709</v>
      </c>
      <c r="D2934" s="8">
        <v>5</v>
      </c>
      <c r="E2934" s="11">
        <v>43115</v>
      </c>
      <c r="F2934" s="8" t="s">
        <v>57</v>
      </c>
      <c r="G2934" s="11">
        <v>43115</v>
      </c>
      <c r="H2934" s="8" t="s">
        <v>25</v>
      </c>
      <c r="J2934" s="8" t="s">
        <v>25</v>
      </c>
      <c r="N2934" s="8" t="s">
        <v>58</v>
      </c>
      <c r="O2934" s="8" t="s">
        <v>59</v>
      </c>
      <c r="P2934" s="8" t="s">
        <v>59</v>
      </c>
      <c r="R2934" s="8">
        <v>0</v>
      </c>
      <c r="S2934" s="8">
        <v>0</v>
      </c>
      <c r="T2934" s="8">
        <v>1</v>
      </c>
      <c r="U2934" s="8">
        <v>2</v>
      </c>
      <c r="AG2934" s="8" t="str">
        <f t="shared" si="181"/>
        <v/>
      </c>
      <c r="AI2934" s="8" t="str">
        <f t="shared" si="182"/>
        <v/>
      </c>
      <c r="AJ2934" s="8" t="str">
        <f t="shared" si="183"/>
        <v/>
      </c>
      <c r="AL2934" s="8" t="str">
        <f t="shared" si="184"/>
        <v/>
      </c>
    </row>
    <row r="2935" spans="1:38" x14ac:dyDescent="0.25">
      <c r="A2935" s="8" t="s">
        <v>7738</v>
      </c>
      <c r="B2935" s="8" t="s">
        <v>7739</v>
      </c>
      <c r="C2935" s="8">
        <v>30891282</v>
      </c>
      <c r="D2935" s="8">
        <v>5</v>
      </c>
      <c r="E2935" s="11">
        <v>43111</v>
      </c>
      <c r="F2935" s="8" t="s">
        <v>57</v>
      </c>
      <c r="G2935" s="11">
        <v>43115</v>
      </c>
      <c r="H2935" s="8" t="s">
        <v>25</v>
      </c>
      <c r="J2935" s="8" t="s">
        <v>25</v>
      </c>
      <c r="N2935" s="8" t="s">
        <v>58</v>
      </c>
      <c r="O2935" s="8" t="s">
        <v>59</v>
      </c>
      <c r="P2935" s="8" t="s">
        <v>59</v>
      </c>
      <c r="R2935" s="8">
        <v>0</v>
      </c>
      <c r="S2935" s="8">
        <v>0</v>
      </c>
      <c r="T2935" s="8">
        <v>1</v>
      </c>
      <c r="U2935" s="8">
        <v>2</v>
      </c>
      <c r="AG2935" s="8" t="str">
        <f t="shared" si="181"/>
        <v/>
      </c>
      <c r="AI2935" s="8" t="str">
        <f t="shared" si="182"/>
        <v/>
      </c>
      <c r="AJ2935" s="8" t="str">
        <f t="shared" si="183"/>
        <v/>
      </c>
      <c r="AL2935" s="8" t="str">
        <f t="shared" si="184"/>
        <v/>
      </c>
    </row>
    <row r="2936" spans="1:38" x14ac:dyDescent="0.25">
      <c r="A2936" s="8" t="s">
        <v>1440</v>
      </c>
      <c r="B2936" s="8" t="s">
        <v>1441</v>
      </c>
      <c r="C2936" s="8">
        <v>30836104</v>
      </c>
      <c r="D2936" s="8">
        <v>4</v>
      </c>
      <c r="E2936" s="11">
        <v>43109</v>
      </c>
      <c r="F2936" s="8" t="s">
        <v>58</v>
      </c>
      <c r="G2936" s="11">
        <v>43109</v>
      </c>
      <c r="H2936" s="8" t="s">
        <v>25</v>
      </c>
      <c r="I2936" s="11">
        <v>43111</v>
      </c>
      <c r="J2936" s="8" t="s">
        <v>25</v>
      </c>
      <c r="N2936" s="8" t="s">
        <v>58</v>
      </c>
      <c r="O2936" s="8" t="s">
        <v>59</v>
      </c>
      <c r="P2936" s="8" t="s">
        <v>59</v>
      </c>
      <c r="R2936" s="8">
        <v>0</v>
      </c>
      <c r="S2936" s="8">
        <v>0</v>
      </c>
      <c r="T2936" s="8">
        <v>1</v>
      </c>
      <c r="U2936" s="8">
        <v>2</v>
      </c>
      <c r="X2936" s="8">
        <v>5</v>
      </c>
      <c r="AG2936" s="8" t="str">
        <f t="shared" si="181"/>
        <v/>
      </c>
      <c r="AI2936" s="8" t="str">
        <f t="shared" si="182"/>
        <v/>
      </c>
      <c r="AJ2936" s="8" t="str">
        <f t="shared" si="183"/>
        <v/>
      </c>
      <c r="AL2936" s="8" t="str">
        <f t="shared" si="184"/>
        <v/>
      </c>
    </row>
    <row r="2937" spans="1:38" x14ac:dyDescent="0.25">
      <c r="A2937" s="8" t="s">
        <v>7740</v>
      </c>
      <c r="B2937" s="8" t="s">
        <v>7741</v>
      </c>
      <c r="C2937" s="8">
        <v>30892308</v>
      </c>
      <c r="D2937" s="8">
        <v>5</v>
      </c>
      <c r="E2937" s="11">
        <v>43111</v>
      </c>
      <c r="F2937" s="8" t="s">
        <v>57</v>
      </c>
      <c r="G2937" s="11">
        <v>43115</v>
      </c>
      <c r="H2937" s="8" t="s">
        <v>25</v>
      </c>
      <c r="J2937" s="8" t="s">
        <v>25</v>
      </c>
      <c r="N2937" s="8" t="s">
        <v>58</v>
      </c>
      <c r="O2937" s="8" t="s">
        <v>59</v>
      </c>
      <c r="P2937" s="8" t="s">
        <v>59</v>
      </c>
      <c r="R2937" s="8">
        <v>0</v>
      </c>
      <c r="S2937" s="8">
        <v>0</v>
      </c>
      <c r="T2937" s="8">
        <v>1</v>
      </c>
      <c r="U2937" s="8">
        <v>2</v>
      </c>
      <c r="AG2937" s="8" t="str">
        <f t="shared" si="181"/>
        <v/>
      </c>
      <c r="AI2937" s="8" t="str">
        <f t="shared" si="182"/>
        <v/>
      </c>
      <c r="AJ2937" s="8" t="str">
        <f t="shared" si="183"/>
        <v/>
      </c>
      <c r="AL2937" s="8" t="str">
        <f t="shared" si="184"/>
        <v/>
      </c>
    </row>
    <row r="2938" spans="1:38" x14ac:dyDescent="0.25">
      <c r="A2938" s="8" t="s">
        <v>2818</v>
      </c>
      <c r="B2938" s="8" t="s">
        <v>2819</v>
      </c>
      <c r="C2938" s="8">
        <v>30829808</v>
      </c>
      <c r="D2938" s="8">
        <v>5</v>
      </c>
      <c r="E2938" s="11">
        <v>43108</v>
      </c>
      <c r="F2938" s="8" t="s">
        <v>57</v>
      </c>
      <c r="G2938" s="11">
        <v>43110</v>
      </c>
      <c r="H2938" s="8" t="s">
        <v>25</v>
      </c>
      <c r="J2938" s="8" t="s">
        <v>25</v>
      </c>
      <c r="N2938" s="8" t="s">
        <v>58</v>
      </c>
      <c r="O2938" s="8" t="s">
        <v>59</v>
      </c>
      <c r="P2938" s="8" t="s">
        <v>59</v>
      </c>
      <c r="R2938" s="8">
        <v>0</v>
      </c>
      <c r="S2938" s="8">
        <v>0</v>
      </c>
      <c r="T2938" s="8">
        <v>1</v>
      </c>
      <c r="U2938" s="8">
        <v>2</v>
      </c>
      <c r="AG2938" s="8" t="str">
        <f t="shared" si="181"/>
        <v/>
      </c>
      <c r="AI2938" s="8" t="str">
        <f t="shared" si="182"/>
        <v/>
      </c>
      <c r="AJ2938" s="8" t="str">
        <f t="shared" si="183"/>
        <v/>
      </c>
      <c r="AL2938" s="8" t="str">
        <f t="shared" si="184"/>
        <v/>
      </c>
    </row>
    <row r="2939" spans="1:38" x14ac:dyDescent="0.25">
      <c r="A2939" s="8" t="s">
        <v>2820</v>
      </c>
      <c r="B2939" s="8" t="s">
        <v>2821</v>
      </c>
      <c r="C2939" s="8">
        <v>30823160</v>
      </c>
      <c r="D2939" s="8">
        <v>5</v>
      </c>
      <c r="E2939" s="11">
        <v>43108</v>
      </c>
      <c r="F2939" s="8" t="s">
        <v>58</v>
      </c>
      <c r="G2939" s="11">
        <v>43110</v>
      </c>
      <c r="H2939" s="8" t="s">
        <v>25</v>
      </c>
      <c r="I2939" s="11">
        <v>43110</v>
      </c>
      <c r="J2939" s="8" t="s">
        <v>25</v>
      </c>
      <c r="N2939" s="8" t="s">
        <v>58</v>
      </c>
      <c r="O2939" s="8" t="s">
        <v>59</v>
      </c>
      <c r="P2939" s="8" t="s">
        <v>59</v>
      </c>
      <c r="R2939" s="8">
        <v>0</v>
      </c>
      <c r="S2939" s="8">
        <v>0</v>
      </c>
      <c r="T2939" s="8">
        <v>1</v>
      </c>
      <c r="U2939" s="8">
        <v>2</v>
      </c>
      <c r="X2939" s="8">
        <v>5</v>
      </c>
      <c r="AG2939" s="8" t="str">
        <f t="shared" si="181"/>
        <v/>
      </c>
      <c r="AI2939" s="8" t="str">
        <f t="shared" si="182"/>
        <v/>
      </c>
      <c r="AJ2939" s="8" t="str">
        <f t="shared" si="183"/>
        <v/>
      </c>
      <c r="AL2939" s="8" t="str">
        <f t="shared" si="184"/>
        <v/>
      </c>
    </row>
    <row r="2940" spans="1:38" x14ac:dyDescent="0.25">
      <c r="A2940" s="8" t="s">
        <v>7742</v>
      </c>
      <c r="B2940" s="8" t="s">
        <v>7743</v>
      </c>
      <c r="C2940" s="8">
        <v>30894094</v>
      </c>
      <c r="D2940" s="8">
        <v>5</v>
      </c>
      <c r="E2940" s="11">
        <v>43111</v>
      </c>
      <c r="F2940" s="8" t="s">
        <v>58</v>
      </c>
      <c r="G2940" s="11">
        <v>43115</v>
      </c>
      <c r="H2940" s="8" t="s">
        <v>25</v>
      </c>
      <c r="I2940" s="11">
        <v>43115</v>
      </c>
      <c r="J2940" s="8" t="s">
        <v>25</v>
      </c>
      <c r="N2940" s="8" t="s">
        <v>58</v>
      </c>
      <c r="O2940" s="8" t="s">
        <v>59</v>
      </c>
      <c r="P2940" s="8" t="s">
        <v>59</v>
      </c>
      <c r="R2940" s="8">
        <v>0</v>
      </c>
      <c r="S2940" s="8">
        <v>0</v>
      </c>
      <c r="T2940" s="8">
        <v>1</v>
      </c>
      <c r="U2940" s="8">
        <v>2</v>
      </c>
      <c r="X2940" s="8">
        <v>5</v>
      </c>
      <c r="AG2940" s="8" t="str">
        <f t="shared" si="181"/>
        <v/>
      </c>
      <c r="AI2940" s="8" t="str">
        <f t="shared" si="182"/>
        <v/>
      </c>
      <c r="AJ2940" s="8" t="str">
        <f t="shared" si="183"/>
        <v/>
      </c>
      <c r="AL2940" s="8" t="str">
        <f t="shared" si="184"/>
        <v/>
      </c>
    </row>
    <row r="2941" spans="1:38" x14ac:dyDescent="0.25">
      <c r="A2941" s="8" t="s">
        <v>7744</v>
      </c>
      <c r="B2941" s="8" t="s">
        <v>7745</v>
      </c>
      <c r="C2941" s="8">
        <v>30881325</v>
      </c>
      <c r="D2941" s="8">
        <v>5</v>
      </c>
      <c r="E2941" s="11">
        <v>43111</v>
      </c>
      <c r="F2941" s="8" t="s">
        <v>58</v>
      </c>
      <c r="G2941" s="11">
        <v>43115</v>
      </c>
      <c r="H2941" s="8" t="s">
        <v>25</v>
      </c>
      <c r="I2941" s="11">
        <v>43115</v>
      </c>
      <c r="J2941" s="8" t="s">
        <v>25</v>
      </c>
      <c r="N2941" s="8" t="s">
        <v>58</v>
      </c>
      <c r="O2941" s="8" t="s">
        <v>59</v>
      </c>
      <c r="P2941" s="8" t="s">
        <v>59</v>
      </c>
      <c r="R2941" s="8">
        <v>0</v>
      </c>
      <c r="S2941" s="8">
        <v>0</v>
      </c>
      <c r="T2941" s="8">
        <v>1</v>
      </c>
      <c r="U2941" s="8">
        <v>2</v>
      </c>
      <c r="X2941" s="8">
        <v>5</v>
      </c>
      <c r="AG2941" s="8" t="str">
        <f t="shared" si="181"/>
        <v/>
      </c>
      <c r="AI2941" s="8" t="str">
        <f t="shared" si="182"/>
        <v/>
      </c>
      <c r="AJ2941" s="8" t="str">
        <f t="shared" si="183"/>
        <v/>
      </c>
      <c r="AL2941" s="8" t="str">
        <f t="shared" si="184"/>
        <v/>
      </c>
    </row>
    <row r="2942" spans="1:38" x14ac:dyDescent="0.25">
      <c r="A2942" s="8" t="s">
        <v>7746</v>
      </c>
      <c r="B2942" s="8" t="s">
        <v>7747</v>
      </c>
      <c r="C2942" s="8">
        <v>30887982</v>
      </c>
      <c r="D2942" s="8">
        <v>5</v>
      </c>
      <c r="E2942" s="11">
        <v>43111</v>
      </c>
      <c r="F2942" s="8" t="s">
        <v>57</v>
      </c>
      <c r="G2942" s="11">
        <v>43115</v>
      </c>
      <c r="H2942" s="8" t="s">
        <v>25</v>
      </c>
      <c r="J2942" s="8" t="s">
        <v>25</v>
      </c>
      <c r="N2942" s="8" t="s">
        <v>58</v>
      </c>
      <c r="O2942" s="8" t="s">
        <v>59</v>
      </c>
      <c r="P2942" s="8" t="s">
        <v>59</v>
      </c>
      <c r="R2942" s="8">
        <v>0</v>
      </c>
      <c r="S2942" s="8">
        <v>0</v>
      </c>
      <c r="T2942" s="8">
        <v>1</v>
      </c>
      <c r="U2942" s="8">
        <v>2</v>
      </c>
      <c r="AG2942" s="8" t="str">
        <f t="shared" si="181"/>
        <v/>
      </c>
      <c r="AI2942" s="8" t="str">
        <f t="shared" si="182"/>
        <v/>
      </c>
      <c r="AJ2942" s="8" t="str">
        <f t="shared" si="183"/>
        <v/>
      </c>
      <c r="AL2942" s="8" t="str">
        <f t="shared" si="184"/>
        <v/>
      </c>
    </row>
    <row r="2943" spans="1:38" x14ac:dyDescent="0.25">
      <c r="A2943" s="8" t="s">
        <v>4288</v>
      </c>
      <c r="B2943" s="8" t="s">
        <v>4289</v>
      </c>
      <c r="C2943" s="8">
        <v>30853487</v>
      </c>
      <c r="D2943" s="8">
        <v>5</v>
      </c>
      <c r="E2943" s="11">
        <v>43109</v>
      </c>
      <c r="F2943" s="8" t="s">
        <v>58</v>
      </c>
      <c r="G2943" s="11">
        <v>43111</v>
      </c>
      <c r="H2943" s="8" t="s">
        <v>25</v>
      </c>
      <c r="I2943" s="11">
        <v>43111</v>
      </c>
      <c r="J2943" s="8" t="s">
        <v>25</v>
      </c>
      <c r="N2943" s="8" t="s">
        <v>58</v>
      </c>
      <c r="O2943" s="8" t="s">
        <v>59</v>
      </c>
      <c r="P2943" s="8" t="s">
        <v>59</v>
      </c>
      <c r="R2943" s="8">
        <v>0</v>
      </c>
      <c r="S2943" s="8">
        <v>0</v>
      </c>
      <c r="T2943" s="8">
        <v>1</v>
      </c>
      <c r="U2943" s="8">
        <v>2</v>
      </c>
      <c r="X2943" s="8">
        <v>5</v>
      </c>
      <c r="AG2943" s="8" t="str">
        <f t="shared" si="181"/>
        <v/>
      </c>
      <c r="AI2943" s="8" t="str">
        <f t="shared" si="182"/>
        <v/>
      </c>
      <c r="AJ2943" s="8" t="str">
        <f t="shared" si="183"/>
        <v/>
      </c>
      <c r="AL2943" s="8" t="str">
        <f t="shared" si="184"/>
        <v/>
      </c>
    </row>
    <row r="2944" spans="1:38" x14ac:dyDescent="0.25">
      <c r="A2944" s="8" t="s">
        <v>5930</v>
      </c>
      <c r="B2944" s="8" t="s">
        <v>5931</v>
      </c>
      <c r="C2944" s="8">
        <v>30861358</v>
      </c>
      <c r="D2944" s="8">
        <v>5</v>
      </c>
      <c r="E2944" s="11">
        <v>43110</v>
      </c>
      <c r="F2944" s="8" t="s">
        <v>57</v>
      </c>
      <c r="G2944" s="11">
        <v>43112</v>
      </c>
      <c r="H2944" s="8" t="s">
        <v>25</v>
      </c>
      <c r="J2944" s="8" t="s">
        <v>25</v>
      </c>
      <c r="N2944" s="8" t="s">
        <v>58</v>
      </c>
      <c r="O2944" s="8" t="s">
        <v>59</v>
      </c>
      <c r="P2944" s="8" t="s">
        <v>59</v>
      </c>
      <c r="R2944" s="8">
        <v>0</v>
      </c>
      <c r="S2944" s="8">
        <v>0</v>
      </c>
      <c r="T2944" s="8">
        <v>1</v>
      </c>
      <c r="U2944" s="8">
        <v>2</v>
      </c>
      <c r="AG2944" s="8" t="str">
        <f t="shared" si="181"/>
        <v/>
      </c>
      <c r="AI2944" s="8" t="str">
        <f t="shared" si="182"/>
        <v/>
      </c>
      <c r="AJ2944" s="8" t="str">
        <f t="shared" si="183"/>
        <v/>
      </c>
      <c r="AL2944" s="8" t="str">
        <f t="shared" si="184"/>
        <v/>
      </c>
    </row>
    <row r="2945" spans="1:38" x14ac:dyDescent="0.25">
      <c r="A2945" s="8" t="s">
        <v>4290</v>
      </c>
      <c r="B2945" s="8" t="s">
        <v>4291</v>
      </c>
      <c r="C2945" s="8">
        <v>30831828</v>
      </c>
      <c r="D2945" s="8">
        <v>5</v>
      </c>
      <c r="E2945" s="11">
        <v>43109</v>
      </c>
      <c r="F2945" s="8" t="s">
        <v>57</v>
      </c>
      <c r="G2945" s="11">
        <v>43111</v>
      </c>
      <c r="H2945" s="8" t="s">
        <v>25</v>
      </c>
      <c r="J2945" s="8" t="s">
        <v>25</v>
      </c>
      <c r="N2945" s="8" t="s">
        <v>58</v>
      </c>
      <c r="O2945" s="8" t="s">
        <v>59</v>
      </c>
      <c r="P2945" s="8" t="s">
        <v>59</v>
      </c>
      <c r="R2945" s="8">
        <v>0</v>
      </c>
      <c r="S2945" s="8">
        <v>0</v>
      </c>
      <c r="T2945" s="8">
        <v>1</v>
      </c>
      <c r="U2945" s="8">
        <v>2</v>
      </c>
      <c r="AG2945" s="8" t="str">
        <f t="shared" si="181"/>
        <v/>
      </c>
      <c r="AI2945" s="8" t="str">
        <f t="shared" si="182"/>
        <v/>
      </c>
      <c r="AJ2945" s="8" t="str">
        <f t="shared" si="183"/>
        <v/>
      </c>
      <c r="AL2945" s="8" t="str">
        <f t="shared" si="184"/>
        <v/>
      </c>
    </row>
    <row r="2946" spans="1:38" x14ac:dyDescent="0.25">
      <c r="A2946" s="8" t="s">
        <v>7748</v>
      </c>
      <c r="B2946" s="8" t="s">
        <v>7749</v>
      </c>
      <c r="C2946" s="8">
        <v>30881341</v>
      </c>
      <c r="D2946" s="8">
        <v>5</v>
      </c>
      <c r="E2946" s="11">
        <v>43111</v>
      </c>
      <c r="F2946" s="8" t="s">
        <v>58</v>
      </c>
      <c r="G2946" s="11">
        <v>43115</v>
      </c>
      <c r="H2946" s="8" t="s">
        <v>25</v>
      </c>
      <c r="I2946" s="11">
        <v>43115</v>
      </c>
      <c r="J2946" s="8" t="s">
        <v>25</v>
      </c>
      <c r="N2946" s="8" t="s">
        <v>58</v>
      </c>
      <c r="O2946" s="8" t="s">
        <v>59</v>
      </c>
      <c r="P2946" s="8" t="s">
        <v>59</v>
      </c>
      <c r="R2946" s="8">
        <v>0</v>
      </c>
      <c r="S2946" s="8">
        <v>0</v>
      </c>
      <c r="T2946" s="8">
        <v>1</v>
      </c>
      <c r="U2946" s="8">
        <v>2</v>
      </c>
      <c r="X2946" s="8">
        <v>5</v>
      </c>
      <c r="AG2946" s="8" t="str">
        <f t="shared" si="181"/>
        <v/>
      </c>
      <c r="AI2946" s="8" t="str">
        <f t="shared" si="182"/>
        <v/>
      </c>
      <c r="AJ2946" s="8" t="str">
        <f t="shared" si="183"/>
        <v/>
      </c>
      <c r="AL2946" s="8" t="str">
        <f t="shared" si="184"/>
        <v/>
      </c>
    </row>
    <row r="2947" spans="1:38" x14ac:dyDescent="0.25">
      <c r="A2947" s="8" t="s">
        <v>5932</v>
      </c>
      <c r="B2947" s="8" t="s">
        <v>5933</v>
      </c>
      <c r="C2947" s="8">
        <v>30877683</v>
      </c>
      <c r="D2947" s="8">
        <v>5</v>
      </c>
      <c r="E2947" s="11">
        <v>43110</v>
      </c>
      <c r="F2947" s="8" t="s">
        <v>57</v>
      </c>
      <c r="G2947" s="11">
        <v>43112</v>
      </c>
      <c r="H2947" s="8" t="s">
        <v>25</v>
      </c>
      <c r="J2947" s="8" t="s">
        <v>25</v>
      </c>
      <c r="N2947" s="8" t="s">
        <v>58</v>
      </c>
      <c r="O2947" s="8" t="s">
        <v>59</v>
      </c>
      <c r="P2947" s="8" t="s">
        <v>59</v>
      </c>
      <c r="R2947" s="8">
        <v>0</v>
      </c>
      <c r="S2947" s="8">
        <v>0</v>
      </c>
      <c r="T2947" s="8">
        <v>1</v>
      </c>
      <c r="U2947" s="8">
        <v>2</v>
      </c>
      <c r="AG2947" s="8" t="str">
        <f t="shared" ref="AG2947:AG3010" si="185">IF(AND(U2947="",G2947&lt;&gt;"",NOT(OR(R2947,S2947))),IF(NETWORKDAYS.INTL(G2947,TODAY(),11)&lt;5,"En Plazo",IF(NETWORKDAYS.INTL(G2947,TODAY(),11)=5,"Riesgo Incumplimiento","FALTA_02")),"")</f>
        <v/>
      </c>
      <c r="AI2947" s="8" t="str">
        <f t="shared" ref="AI2947:AI3010" si="186">IF(AND(O2947&lt;&gt;"B1",F2947="Rejected"),IF(W2947="","FALTA_04",""),"")</f>
        <v/>
      </c>
      <c r="AJ2947" s="8" t="str">
        <f t="shared" ref="AJ2947:AJ3010" si="187">IF(AND(X2947="",I2947&lt;&gt;"",NOT(OR(R2947,S2947))),IF(NETWORKDAYS.INTL(G2947,TODAY(),11)&lt;=1,"En Plazo",IF(OR(AND(X2947="",O2947&lt;&gt;"M1"),AND(O2947="M1",(OR(Q2947="S - S",Q2947="S - T",)))),"FALTA_05","")),"")</f>
        <v/>
      </c>
      <c r="AL2947" s="8" t="str">
        <f t="shared" ref="AL2947:AL3010" si="188">IF(AND(O2947="B1",F2947="Rejected"),IF(Z2947="","FALTA_07",""),"")</f>
        <v/>
      </c>
    </row>
    <row r="2948" spans="1:38" x14ac:dyDescent="0.25">
      <c r="A2948" s="8" t="s">
        <v>5934</v>
      </c>
      <c r="B2948" s="8" t="s">
        <v>5935</v>
      </c>
      <c r="C2948" s="8">
        <v>30863764</v>
      </c>
      <c r="D2948" s="8">
        <v>5</v>
      </c>
      <c r="E2948" s="11">
        <v>43110</v>
      </c>
      <c r="F2948" s="8" t="s">
        <v>58</v>
      </c>
      <c r="G2948" s="11">
        <v>43112</v>
      </c>
      <c r="H2948" s="8" t="s">
        <v>25</v>
      </c>
      <c r="I2948" s="11">
        <v>43112</v>
      </c>
      <c r="J2948" s="8" t="s">
        <v>25</v>
      </c>
      <c r="N2948" s="8" t="s">
        <v>58</v>
      </c>
      <c r="O2948" s="8" t="s">
        <v>59</v>
      </c>
      <c r="P2948" s="8" t="s">
        <v>59</v>
      </c>
      <c r="R2948" s="8">
        <v>0</v>
      </c>
      <c r="S2948" s="8">
        <v>0</v>
      </c>
      <c r="T2948" s="8">
        <v>1</v>
      </c>
      <c r="U2948" s="8">
        <v>2</v>
      </c>
      <c r="X2948" s="8">
        <v>5</v>
      </c>
      <c r="AG2948" s="8" t="str">
        <f t="shared" si="185"/>
        <v/>
      </c>
      <c r="AI2948" s="8" t="str">
        <f t="shared" si="186"/>
        <v/>
      </c>
      <c r="AJ2948" s="8" t="str">
        <f t="shared" si="187"/>
        <v/>
      </c>
      <c r="AL2948" s="8" t="str">
        <f t="shared" si="188"/>
        <v/>
      </c>
    </row>
    <row r="2949" spans="1:38" x14ac:dyDescent="0.25">
      <c r="A2949" s="8" t="s">
        <v>7750</v>
      </c>
      <c r="B2949" s="8" t="s">
        <v>7751</v>
      </c>
      <c r="C2949" s="8">
        <v>30897546</v>
      </c>
      <c r="D2949" s="8">
        <v>5</v>
      </c>
      <c r="E2949" s="11">
        <v>43111</v>
      </c>
      <c r="F2949" s="8" t="s">
        <v>57</v>
      </c>
      <c r="G2949" s="11">
        <v>43115</v>
      </c>
      <c r="H2949" s="8" t="s">
        <v>25</v>
      </c>
      <c r="J2949" s="8" t="s">
        <v>25</v>
      </c>
      <c r="N2949" s="8" t="s">
        <v>58</v>
      </c>
      <c r="O2949" s="8" t="s">
        <v>59</v>
      </c>
      <c r="P2949" s="8" t="s">
        <v>59</v>
      </c>
      <c r="R2949" s="8">
        <v>0</v>
      </c>
      <c r="S2949" s="8">
        <v>0</v>
      </c>
      <c r="T2949" s="8">
        <v>1</v>
      </c>
      <c r="U2949" s="8">
        <v>2</v>
      </c>
      <c r="AG2949" s="8" t="str">
        <f t="shared" si="185"/>
        <v/>
      </c>
      <c r="AI2949" s="8" t="str">
        <f t="shared" si="186"/>
        <v/>
      </c>
      <c r="AJ2949" s="8" t="str">
        <f t="shared" si="187"/>
        <v/>
      </c>
      <c r="AL2949" s="8" t="str">
        <f t="shared" si="188"/>
        <v/>
      </c>
    </row>
    <row r="2950" spans="1:38" x14ac:dyDescent="0.25">
      <c r="A2950" s="8" t="s">
        <v>2822</v>
      </c>
      <c r="B2950" s="8" t="s">
        <v>2823</v>
      </c>
      <c r="C2950" s="8">
        <v>30868557</v>
      </c>
      <c r="D2950" s="8">
        <v>5</v>
      </c>
      <c r="E2950" s="11">
        <v>43110</v>
      </c>
      <c r="F2950" s="8" t="s">
        <v>57</v>
      </c>
      <c r="G2950" s="11">
        <v>43110</v>
      </c>
      <c r="H2950" s="8" t="s">
        <v>25</v>
      </c>
      <c r="J2950" s="8" t="s">
        <v>25</v>
      </c>
      <c r="N2950" s="8" t="s">
        <v>58</v>
      </c>
      <c r="O2950" s="8" t="s">
        <v>59</v>
      </c>
      <c r="P2950" s="8" t="s">
        <v>59</v>
      </c>
      <c r="R2950" s="8">
        <v>0</v>
      </c>
      <c r="S2950" s="8">
        <v>0</v>
      </c>
      <c r="T2950" s="8">
        <v>1</v>
      </c>
      <c r="U2950" s="8">
        <v>2</v>
      </c>
      <c r="AG2950" s="8" t="str">
        <f t="shared" si="185"/>
        <v/>
      </c>
      <c r="AI2950" s="8" t="str">
        <f t="shared" si="186"/>
        <v/>
      </c>
      <c r="AJ2950" s="8" t="str">
        <f t="shared" si="187"/>
        <v/>
      </c>
      <c r="AL2950" s="8" t="str">
        <f t="shared" si="188"/>
        <v/>
      </c>
    </row>
    <row r="2951" spans="1:38" x14ac:dyDescent="0.25">
      <c r="A2951" s="8" t="s">
        <v>2824</v>
      </c>
      <c r="B2951" s="8" t="s">
        <v>2825</v>
      </c>
      <c r="C2951" s="8">
        <v>30825801</v>
      </c>
      <c r="D2951" s="8">
        <v>5</v>
      </c>
      <c r="E2951" s="11">
        <v>43108</v>
      </c>
      <c r="F2951" s="8" t="s">
        <v>58</v>
      </c>
      <c r="G2951" s="11">
        <v>43110</v>
      </c>
      <c r="H2951" s="8" t="s">
        <v>25</v>
      </c>
      <c r="I2951" s="11">
        <v>43110</v>
      </c>
      <c r="J2951" s="8" t="s">
        <v>25</v>
      </c>
      <c r="N2951" s="8" t="s">
        <v>58</v>
      </c>
      <c r="O2951" s="8" t="s">
        <v>59</v>
      </c>
      <c r="P2951" s="8" t="s">
        <v>59</v>
      </c>
      <c r="R2951" s="8">
        <v>0</v>
      </c>
      <c r="S2951" s="8">
        <v>0</v>
      </c>
      <c r="T2951" s="8">
        <v>1</v>
      </c>
      <c r="U2951" s="8">
        <v>2</v>
      </c>
      <c r="X2951" s="8">
        <v>5</v>
      </c>
      <c r="AG2951" s="8" t="str">
        <f t="shared" si="185"/>
        <v/>
      </c>
      <c r="AI2951" s="8" t="str">
        <f t="shared" si="186"/>
        <v/>
      </c>
      <c r="AJ2951" s="8" t="str">
        <f t="shared" si="187"/>
        <v/>
      </c>
      <c r="AL2951" s="8" t="str">
        <f t="shared" si="188"/>
        <v/>
      </c>
    </row>
    <row r="2952" spans="1:38" x14ac:dyDescent="0.25">
      <c r="A2952" s="8" t="s">
        <v>7752</v>
      </c>
      <c r="B2952" s="8" t="s">
        <v>7753</v>
      </c>
      <c r="C2952" s="8">
        <v>30881410</v>
      </c>
      <c r="D2952" s="8">
        <v>5</v>
      </c>
      <c r="E2952" s="11">
        <v>43111</v>
      </c>
      <c r="F2952" s="8" t="s">
        <v>58</v>
      </c>
      <c r="G2952" s="11">
        <v>43115</v>
      </c>
      <c r="H2952" s="8" t="s">
        <v>25</v>
      </c>
      <c r="I2952" s="11">
        <v>43115</v>
      </c>
      <c r="J2952" s="8" t="s">
        <v>25</v>
      </c>
      <c r="N2952" s="8" t="s">
        <v>58</v>
      </c>
      <c r="O2952" s="8" t="s">
        <v>59</v>
      </c>
      <c r="P2952" s="8" t="s">
        <v>59</v>
      </c>
      <c r="R2952" s="8">
        <v>0</v>
      </c>
      <c r="S2952" s="8">
        <v>0</v>
      </c>
      <c r="T2952" s="8">
        <v>1</v>
      </c>
      <c r="U2952" s="8">
        <v>2</v>
      </c>
      <c r="X2952" s="8">
        <v>5</v>
      </c>
      <c r="AG2952" s="8" t="str">
        <f t="shared" si="185"/>
        <v/>
      </c>
      <c r="AI2952" s="8" t="str">
        <f t="shared" si="186"/>
        <v/>
      </c>
      <c r="AJ2952" s="8" t="str">
        <f t="shared" si="187"/>
        <v/>
      </c>
      <c r="AL2952" s="8" t="str">
        <f t="shared" si="188"/>
        <v/>
      </c>
    </row>
    <row r="2953" spans="1:38" x14ac:dyDescent="0.25">
      <c r="A2953" s="8" t="s">
        <v>7754</v>
      </c>
      <c r="B2953" s="8" t="s">
        <v>7755</v>
      </c>
      <c r="C2953" s="8">
        <v>30901911</v>
      </c>
      <c r="D2953" s="8">
        <v>5</v>
      </c>
      <c r="E2953" s="11">
        <v>43111</v>
      </c>
      <c r="F2953" s="8" t="s">
        <v>57</v>
      </c>
      <c r="G2953" s="11">
        <v>43115</v>
      </c>
      <c r="H2953" s="8" t="s">
        <v>25</v>
      </c>
      <c r="J2953" s="8" t="s">
        <v>25</v>
      </c>
      <c r="N2953" s="8" t="s">
        <v>58</v>
      </c>
      <c r="O2953" s="8" t="s">
        <v>59</v>
      </c>
      <c r="P2953" s="8" t="s">
        <v>59</v>
      </c>
      <c r="R2953" s="8">
        <v>0</v>
      </c>
      <c r="S2953" s="8">
        <v>0</v>
      </c>
      <c r="T2953" s="8">
        <v>1</v>
      </c>
      <c r="U2953" s="8">
        <v>2</v>
      </c>
      <c r="AG2953" s="8" t="str">
        <f t="shared" si="185"/>
        <v/>
      </c>
      <c r="AI2953" s="8" t="str">
        <f t="shared" si="186"/>
        <v/>
      </c>
      <c r="AJ2953" s="8" t="str">
        <f t="shared" si="187"/>
        <v/>
      </c>
      <c r="AL2953" s="8" t="str">
        <f t="shared" si="188"/>
        <v/>
      </c>
    </row>
    <row r="2954" spans="1:38" x14ac:dyDescent="0.25">
      <c r="A2954" s="8" t="s">
        <v>5936</v>
      </c>
      <c r="B2954" s="8" t="s">
        <v>5937</v>
      </c>
      <c r="C2954" s="8">
        <v>30858211</v>
      </c>
      <c r="D2954" s="8">
        <v>5</v>
      </c>
      <c r="E2954" s="11">
        <v>43110</v>
      </c>
      <c r="F2954" s="8" t="s">
        <v>57</v>
      </c>
      <c r="G2954" s="11">
        <v>43112</v>
      </c>
      <c r="H2954" s="8" t="s">
        <v>25</v>
      </c>
      <c r="J2954" s="8" t="s">
        <v>25</v>
      </c>
      <c r="N2954" s="8" t="s">
        <v>58</v>
      </c>
      <c r="O2954" s="8" t="s">
        <v>59</v>
      </c>
      <c r="P2954" s="8" t="s">
        <v>59</v>
      </c>
      <c r="R2954" s="8">
        <v>0</v>
      </c>
      <c r="S2954" s="8">
        <v>0</v>
      </c>
      <c r="T2954" s="8">
        <v>1</v>
      </c>
      <c r="U2954" s="8">
        <v>2</v>
      </c>
      <c r="AG2954" s="8" t="str">
        <f t="shared" si="185"/>
        <v/>
      </c>
      <c r="AI2954" s="8" t="str">
        <f t="shared" si="186"/>
        <v/>
      </c>
      <c r="AJ2954" s="8" t="str">
        <f t="shared" si="187"/>
        <v/>
      </c>
      <c r="AL2954" s="8" t="str">
        <f t="shared" si="188"/>
        <v/>
      </c>
    </row>
    <row r="2955" spans="1:38" x14ac:dyDescent="0.25">
      <c r="A2955" s="8" t="s">
        <v>4292</v>
      </c>
      <c r="B2955" s="8" t="s">
        <v>4293</v>
      </c>
      <c r="C2955" s="8">
        <v>30831506</v>
      </c>
      <c r="D2955" s="8">
        <v>5</v>
      </c>
      <c r="E2955" s="11">
        <v>43109</v>
      </c>
      <c r="F2955" s="8" t="s">
        <v>57</v>
      </c>
      <c r="G2955" s="11">
        <v>43111</v>
      </c>
      <c r="H2955" s="8" t="s">
        <v>25</v>
      </c>
      <c r="J2955" s="8" t="s">
        <v>25</v>
      </c>
      <c r="N2955" s="8" t="s">
        <v>58</v>
      </c>
      <c r="O2955" s="8" t="s">
        <v>59</v>
      </c>
      <c r="P2955" s="8" t="s">
        <v>59</v>
      </c>
      <c r="R2955" s="8">
        <v>0</v>
      </c>
      <c r="S2955" s="8">
        <v>0</v>
      </c>
      <c r="T2955" s="8">
        <v>1</v>
      </c>
      <c r="U2955" s="8">
        <v>2</v>
      </c>
      <c r="AG2955" s="8" t="str">
        <f t="shared" si="185"/>
        <v/>
      </c>
      <c r="AI2955" s="8" t="str">
        <f t="shared" si="186"/>
        <v/>
      </c>
      <c r="AJ2955" s="8" t="str">
        <f t="shared" si="187"/>
        <v/>
      </c>
      <c r="AL2955" s="8" t="str">
        <f t="shared" si="188"/>
        <v/>
      </c>
    </row>
    <row r="2956" spans="1:38" x14ac:dyDescent="0.25">
      <c r="A2956" s="8" t="s">
        <v>5938</v>
      </c>
      <c r="B2956" s="8" t="s">
        <v>5939</v>
      </c>
      <c r="C2956" s="8">
        <v>30870674</v>
      </c>
      <c r="D2956" s="8">
        <v>5</v>
      </c>
      <c r="E2956" s="11">
        <v>43110</v>
      </c>
      <c r="F2956" s="8" t="s">
        <v>58</v>
      </c>
      <c r="G2956" s="11">
        <v>43112</v>
      </c>
      <c r="H2956" s="8" t="s">
        <v>25</v>
      </c>
      <c r="I2956" s="11">
        <v>43112</v>
      </c>
      <c r="J2956" s="8" t="s">
        <v>25</v>
      </c>
      <c r="N2956" s="8" t="s">
        <v>58</v>
      </c>
      <c r="O2956" s="8" t="s">
        <v>59</v>
      </c>
      <c r="P2956" s="8" t="s">
        <v>59</v>
      </c>
      <c r="R2956" s="8">
        <v>0</v>
      </c>
      <c r="S2956" s="8">
        <v>0</v>
      </c>
      <c r="T2956" s="8">
        <v>1</v>
      </c>
      <c r="U2956" s="8">
        <v>2</v>
      </c>
      <c r="X2956" s="8">
        <v>5</v>
      </c>
      <c r="AG2956" s="8" t="str">
        <f t="shared" si="185"/>
        <v/>
      </c>
      <c r="AI2956" s="8" t="str">
        <f t="shared" si="186"/>
        <v/>
      </c>
      <c r="AJ2956" s="8" t="str">
        <f t="shared" si="187"/>
        <v/>
      </c>
      <c r="AL2956" s="8" t="str">
        <f t="shared" si="188"/>
        <v/>
      </c>
    </row>
    <row r="2957" spans="1:38" x14ac:dyDescent="0.25">
      <c r="A2957" s="8" t="s">
        <v>7756</v>
      </c>
      <c r="B2957" s="8" t="s">
        <v>7757</v>
      </c>
      <c r="C2957" s="8">
        <v>30899456</v>
      </c>
      <c r="D2957" s="8">
        <v>5</v>
      </c>
      <c r="E2957" s="11">
        <v>43111</v>
      </c>
      <c r="F2957" s="8" t="s">
        <v>57</v>
      </c>
      <c r="G2957" s="11">
        <v>43115</v>
      </c>
      <c r="H2957" s="8" t="s">
        <v>25</v>
      </c>
      <c r="J2957" s="8" t="s">
        <v>25</v>
      </c>
      <c r="N2957" s="8" t="s">
        <v>58</v>
      </c>
      <c r="O2957" s="8" t="s">
        <v>59</v>
      </c>
      <c r="P2957" s="8" t="s">
        <v>59</v>
      </c>
      <c r="R2957" s="8">
        <v>0</v>
      </c>
      <c r="S2957" s="8">
        <v>0</v>
      </c>
      <c r="T2957" s="8">
        <v>1</v>
      </c>
      <c r="U2957" s="8">
        <v>2</v>
      </c>
      <c r="AG2957" s="8" t="str">
        <f t="shared" si="185"/>
        <v/>
      </c>
      <c r="AI2957" s="8" t="str">
        <f t="shared" si="186"/>
        <v/>
      </c>
      <c r="AJ2957" s="8" t="str">
        <f t="shared" si="187"/>
        <v/>
      </c>
      <c r="AL2957" s="8" t="str">
        <f t="shared" si="188"/>
        <v/>
      </c>
    </row>
    <row r="2958" spans="1:38" x14ac:dyDescent="0.25">
      <c r="A2958" s="8" t="s">
        <v>4294</v>
      </c>
      <c r="B2958" s="8" t="s">
        <v>4295</v>
      </c>
      <c r="C2958" s="8">
        <v>30882228</v>
      </c>
      <c r="D2958" s="8">
        <v>5</v>
      </c>
      <c r="E2958" s="11">
        <v>43111</v>
      </c>
      <c r="F2958" s="8" t="s">
        <v>58</v>
      </c>
      <c r="G2958" s="11">
        <v>43111</v>
      </c>
      <c r="H2958" s="8" t="s">
        <v>25</v>
      </c>
      <c r="I2958" s="11">
        <v>43112</v>
      </c>
      <c r="J2958" s="8" t="s">
        <v>25</v>
      </c>
      <c r="N2958" s="8" t="s">
        <v>58</v>
      </c>
      <c r="O2958" s="8" t="s">
        <v>59</v>
      </c>
      <c r="P2958" s="8" t="s">
        <v>59</v>
      </c>
      <c r="R2958" s="8">
        <v>0</v>
      </c>
      <c r="S2958" s="8">
        <v>0</v>
      </c>
      <c r="T2958" s="8">
        <v>1</v>
      </c>
      <c r="U2958" s="8">
        <v>2</v>
      </c>
      <c r="X2958" s="8">
        <v>5</v>
      </c>
      <c r="AG2958" s="8" t="str">
        <f t="shared" si="185"/>
        <v/>
      </c>
      <c r="AI2958" s="8" t="str">
        <f t="shared" si="186"/>
        <v/>
      </c>
      <c r="AJ2958" s="8" t="str">
        <f t="shared" si="187"/>
        <v/>
      </c>
      <c r="AL2958" s="8" t="str">
        <f t="shared" si="188"/>
        <v/>
      </c>
    </row>
    <row r="2959" spans="1:38" x14ac:dyDescent="0.25">
      <c r="A2959" s="8" t="s">
        <v>5940</v>
      </c>
      <c r="B2959" s="8" t="s">
        <v>5941</v>
      </c>
      <c r="C2959" s="8">
        <v>30882435</v>
      </c>
      <c r="D2959" s="8">
        <v>5</v>
      </c>
      <c r="E2959" s="11">
        <v>43111</v>
      </c>
      <c r="F2959" s="8" t="s">
        <v>58</v>
      </c>
      <c r="G2959" s="11">
        <v>43112</v>
      </c>
      <c r="H2959" s="8" t="s">
        <v>25</v>
      </c>
      <c r="I2959" s="11">
        <v>43112</v>
      </c>
      <c r="J2959" s="8" t="s">
        <v>25</v>
      </c>
      <c r="N2959" s="8" t="s">
        <v>58</v>
      </c>
      <c r="O2959" s="8" t="s">
        <v>59</v>
      </c>
      <c r="P2959" s="8" t="s">
        <v>59</v>
      </c>
      <c r="R2959" s="8">
        <v>0</v>
      </c>
      <c r="S2959" s="8">
        <v>0</v>
      </c>
      <c r="T2959" s="8">
        <v>1</v>
      </c>
      <c r="U2959" s="8">
        <v>2</v>
      </c>
      <c r="X2959" s="8">
        <v>5</v>
      </c>
      <c r="AG2959" s="8" t="str">
        <f t="shared" si="185"/>
        <v/>
      </c>
      <c r="AI2959" s="8" t="str">
        <f t="shared" si="186"/>
        <v/>
      </c>
      <c r="AJ2959" s="8" t="str">
        <f t="shared" si="187"/>
        <v/>
      </c>
      <c r="AL2959" s="8" t="str">
        <f t="shared" si="188"/>
        <v/>
      </c>
    </row>
    <row r="2960" spans="1:38" x14ac:dyDescent="0.25">
      <c r="A2960" s="8" t="s">
        <v>7758</v>
      </c>
      <c r="B2960" s="8" t="s">
        <v>7759</v>
      </c>
      <c r="C2960" s="8">
        <v>30887133</v>
      </c>
      <c r="D2960" s="8">
        <v>5</v>
      </c>
      <c r="E2960" s="11">
        <v>43111</v>
      </c>
      <c r="F2960" s="8" t="s">
        <v>62</v>
      </c>
      <c r="G2960" s="11">
        <v>43115</v>
      </c>
      <c r="H2960" s="8" t="s">
        <v>25</v>
      </c>
      <c r="J2960" s="8" t="s">
        <v>25</v>
      </c>
      <c r="M2960" s="8" t="s">
        <v>7760</v>
      </c>
      <c r="N2960" s="8" t="s">
        <v>63</v>
      </c>
      <c r="O2960" s="8" t="s">
        <v>59</v>
      </c>
      <c r="P2960" s="8" t="s">
        <v>59</v>
      </c>
      <c r="R2960" s="8">
        <v>0</v>
      </c>
      <c r="S2960" s="8">
        <v>0</v>
      </c>
      <c r="T2960" s="8">
        <v>1</v>
      </c>
      <c r="U2960" s="8">
        <v>2</v>
      </c>
      <c r="AG2960" s="8" t="str">
        <f t="shared" si="185"/>
        <v/>
      </c>
      <c r="AI2960" s="8" t="str">
        <f t="shared" si="186"/>
        <v/>
      </c>
      <c r="AJ2960" s="8" t="str">
        <f t="shared" si="187"/>
        <v/>
      </c>
      <c r="AL2960" s="8" t="str">
        <f t="shared" si="188"/>
        <v/>
      </c>
    </row>
    <row r="2961" spans="1:38" x14ac:dyDescent="0.25">
      <c r="A2961" s="8" t="s">
        <v>4296</v>
      </c>
      <c r="B2961" s="8" t="s">
        <v>4297</v>
      </c>
      <c r="C2961" s="8">
        <v>30898807</v>
      </c>
      <c r="D2961" s="8">
        <v>5</v>
      </c>
      <c r="E2961" s="11">
        <v>43111</v>
      </c>
      <c r="F2961" s="8" t="s">
        <v>58</v>
      </c>
      <c r="G2961" s="11">
        <v>43111</v>
      </c>
      <c r="H2961" s="8" t="s">
        <v>25</v>
      </c>
      <c r="I2961" s="11">
        <v>43112</v>
      </c>
      <c r="J2961" s="8" t="s">
        <v>25</v>
      </c>
      <c r="N2961" s="8" t="s">
        <v>58</v>
      </c>
      <c r="O2961" s="8" t="s">
        <v>59</v>
      </c>
      <c r="P2961" s="8" t="s">
        <v>59</v>
      </c>
      <c r="R2961" s="8">
        <v>0</v>
      </c>
      <c r="S2961" s="8">
        <v>0</v>
      </c>
      <c r="T2961" s="8">
        <v>1</v>
      </c>
      <c r="U2961" s="8">
        <v>2</v>
      </c>
      <c r="X2961" s="8">
        <v>5</v>
      </c>
      <c r="AG2961" s="8" t="str">
        <f t="shared" si="185"/>
        <v/>
      </c>
      <c r="AI2961" s="8" t="str">
        <f t="shared" si="186"/>
        <v/>
      </c>
      <c r="AJ2961" s="8" t="str">
        <f t="shared" si="187"/>
        <v/>
      </c>
      <c r="AL2961" s="8" t="str">
        <f t="shared" si="188"/>
        <v/>
      </c>
    </row>
    <row r="2962" spans="1:38" x14ac:dyDescent="0.25">
      <c r="A2962" s="8" t="s">
        <v>2826</v>
      </c>
      <c r="B2962" s="8" t="s">
        <v>2827</v>
      </c>
      <c r="C2962" s="8">
        <v>30819428</v>
      </c>
      <c r="D2962" s="8">
        <v>5</v>
      </c>
      <c r="E2962" s="11">
        <v>43108</v>
      </c>
      <c r="F2962" s="8" t="s">
        <v>57</v>
      </c>
      <c r="G2962" s="11">
        <v>43110</v>
      </c>
      <c r="H2962" s="8" t="s">
        <v>25</v>
      </c>
      <c r="J2962" s="8" t="s">
        <v>25</v>
      </c>
      <c r="N2962" s="8" t="s">
        <v>58</v>
      </c>
      <c r="O2962" s="8" t="s">
        <v>59</v>
      </c>
      <c r="P2962" s="8" t="s">
        <v>59</v>
      </c>
      <c r="R2962" s="8">
        <v>0</v>
      </c>
      <c r="S2962" s="8">
        <v>0</v>
      </c>
      <c r="T2962" s="8">
        <v>1</v>
      </c>
      <c r="U2962" s="8">
        <v>2</v>
      </c>
      <c r="AG2962" s="8" t="str">
        <f t="shared" si="185"/>
        <v/>
      </c>
      <c r="AI2962" s="8" t="str">
        <f t="shared" si="186"/>
        <v/>
      </c>
      <c r="AJ2962" s="8" t="str">
        <f t="shared" si="187"/>
        <v/>
      </c>
      <c r="AL2962" s="8" t="str">
        <f t="shared" si="188"/>
        <v/>
      </c>
    </row>
    <row r="2963" spans="1:38" x14ac:dyDescent="0.25">
      <c r="A2963" s="8" t="s">
        <v>5942</v>
      </c>
      <c r="B2963" s="8" t="s">
        <v>5943</v>
      </c>
      <c r="C2963" s="8">
        <v>30865220</v>
      </c>
      <c r="D2963" s="8">
        <v>5</v>
      </c>
      <c r="E2963" s="11">
        <v>43110</v>
      </c>
      <c r="F2963" s="8" t="s">
        <v>57</v>
      </c>
      <c r="G2963" s="11">
        <v>43112</v>
      </c>
      <c r="H2963" s="8" t="s">
        <v>25</v>
      </c>
      <c r="J2963" s="8" t="s">
        <v>25</v>
      </c>
      <c r="N2963" s="8" t="s">
        <v>58</v>
      </c>
      <c r="O2963" s="8" t="s">
        <v>59</v>
      </c>
      <c r="P2963" s="8" t="s">
        <v>59</v>
      </c>
      <c r="R2963" s="8">
        <v>0</v>
      </c>
      <c r="S2963" s="8">
        <v>0</v>
      </c>
      <c r="T2963" s="8">
        <v>1</v>
      </c>
      <c r="U2963" s="8">
        <v>2</v>
      </c>
      <c r="AG2963" s="8" t="str">
        <f t="shared" si="185"/>
        <v/>
      </c>
      <c r="AI2963" s="8" t="str">
        <f t="shared" si="186"/>
        <v/>
      </c>
      <c r="AJ2963" s="8" t="str">
        <f t="shared" si="187"/>
        <v/>
      </c>
      <c r="AL2963" s="8" t="str">
        <f t="shared" si="188"/>
        <v/>
      </c>
    </row>
    <row r="2964" spans="1:38" x14ac:dyDescent="0.25">
      <c r="A2964" s="8" t="s">
        <v>1442</v>
      </c>
      <c r="B2964" s="8" t="s">
        <v>1443</v>
      </c>
      <c r="C2964" s="8">
        <v>30848970</v>
      </c>
      <c r="D2964" s="8">
        <v>5</v>
      </c>
      <c r="E2964" s="11">
        <v>43109</v>
      </c>
      <c r="F2964" s="8" t="s">
        <v>57</v>
      </c>
      <c r="G2964" s="11">
        <v>43109</v>
      </c>
      <c r="H2964" s="8" t="s">
        <v>25</v>
      </c>
      <c r="J2964" s="8" t="s">
        <v>25</v>
      </c>
      <c r="N2964" s="8" t="s">
        <v>58</v>
      </c>
      <c r="O2964" s="8" t="s">
        <v>59</v>
      </c>
      <c r="P2964" s="8" t="s">
        <v>59</v>
      </c>
      <c r="R2964" s="8">
        <v>0</v>
      </c>
      <c r="S2964" s="8">
        <v>0</v>
      </c>
      <c r="T2964" s="8">
        <v>1</v>
      </c>
      <c r="U2964" s="8">
        <v>2</v>
      </c>
      <c r="AG2964" s="8" t="str">
        <f t="shared" si="185"/>
        <v/>
      </c>
      <c r="AI2964" s="8" t="str">
        <f t="shared" si="186"/>
        <v/>
      </c>
      <c r="AJ2964" s="8" t="str">
        <f t="shared" si="187"/>
        <v/>
      </c>
      <c r="AL2964" s="8" t="str">
        <f t="shared" si="188"/>
        <v/>
      </c>
    </row>
    <row r="2965" spans="1:38" x14ac:dyDescent="0.25">
      <c r="A2965" s="8" t="s">
        <v>1444</v>
      </c>
      <c r="B2965" s="8" t="s">
        <v>1445</v>
      </c>
      <c r="C2965" s="8">
        <v>30838075</v>
      </c>
      <c r="D2965" s="8">
        <v>5</v>
      </c>
      <c r="E2965" s="11">
        <v>43109</v>
      </c>
      <c r="F2965" s="8" t="s">
        <v>57</v>
      </c>
      <c r="G2965" s="11">
        <v>43109</v>
      </c>
      <c r="H2965" s="8" t="s">
        <v>25</v>
      </c>
      <c r="J2965" s="8" t="s">
        <v>25</v>
      </c>
      <c r="N2965" s="8" t="s">
        <v>58</v>
      </c>
      <c r="O2965" s="8" t="s">
        <v>59</v>
      </c>
      <c r="P2965" s="8" t="s">
        <v>59</v>
      </c>
      <c r="R2965" s="8">
        <v>0</v>
      </c>
      <c r="S2965" s="8">
        <v>0</v>
      </c>
      <c r="T2965" s="8">
        <v>1</v>
      </c>
      <c r="U2965" s="8">
        <v>2</v>
      </c>
      <c r="AG2965" s="8" t="str">
        <f t="shared" si="185"/>
        <v/>
      </c>
      <c r="AI2965" s="8" t="str">
        <f t="shared" si="186"/>
        <v/>
      </c>
      <c r="AJ2965" s="8" t="str">
        <f t="shared" si="187"/>
        <v/>
      </c>
      <c r="AL2965" s="8" t="str">
        <f t="shared" si="188"/>
        <v/>
      </c>
    </row>
    <row r="2966" spans="1:38" x14ac:dyDescent="0.25">
      <c r="A2966" s="8" t="s">
        <v>2828</v>
      </c>
      <c r="B2966" s="8" t="s">
        <v>2829</v>
      </c>
      <c r="C2966" s="8">
        <v>30863970</v>
      </c>
      <c r="D2966" s="8">
        <v>5</v>
      </c>
      <c r="E2966" s="11">
        <v>43110</v>
      </c>
      <c r="F2966" s="8" t="s">
        <v>57</v>
      </c>
      <c r="G2966" s="11">
        <v>43110</v>
      </c>
      <c r="H2966" s="8" t="s">
        <v>25</v>
      </c>
      <c r="J2966" s="8" t="s">
        <v>25</v>
      </c>
      <c r="N2966" s="8" t="s">
        <v>58</v>
      </c>
      <c r="O2966" s="8" t="s">
        <v>59</v>
      </c>
      <c r="P2966" s="8" t="s">
        <v>59</v>
      </c>
      <c r="R2966" s="8">
        <v>0</v>
      </c>
      <c r="S2966" s="8">
        <v>0</v>
      </c>
      <c r="T2966" s="8">
        <v>1</v>
      </c>
      <c r="U2966" s="8">
        <v>2</v>
      </c>
      <c r="AG2966" s="8" t="str">
        <f t="shared" si="185"/>
        <v/>
      </c>
      <c r="AI2966" s="8" t="str">
        <f t="shared" si="186"/>
        <v/>
      </c>
      <c r="AJ2966" s="8" t="str">
        <f t="shared" si="187"/>
        <v/>
      </c>
      <c r="AL2966" s="8" t="str">
        <f t="shared" si="188"/>
        <v/>
      </c>
    </row>
    <row r="2967" spans="1:38" x14ac:dyDescent="0.25">
      <c r="A2967" s="8" t="s">
        <v>4298</v>
      </c>
      <c r="B2967" s="8" t="s">
        <v>4299</v>
      </c>
      <c r="C2967" s="8">
        <v>30889660</v>
      </c>
      <c r="D2967" s="8">
        <v>5</v>
      </c>
      <c r="E2967" s="11">
        <v>43111</v>
      </c>
      <c r="F2967" s="8" t="s">
        <v>57</v>
      </c>
      <c r="G2967" s="11">
        <v>43111</v>
      </c>
      <c r="H2967" s="8" t="s">
        <v>25</v>
      </c>
      <c r="J2967" s="8" t="s">
        <v>25</v>
      </c>
      <c r="N2967" s="8" t="s">
        <v>58</v>
      </c>
      <c r="O2967" s="8" t="s">
        <v>59</v>
      </c>
      <c r="P2967" s="8" t="s">
        <v>59</v>
      </c>
      <c r="R2967" s="8">
        <v>0</v>
      </c>
      <c r="S2967" s="8">
        <v>0</v>
      </c>
      <c r="T2967" s="8">
        <v>1</v>
      </c>
      <c r="U2967" s="8">
        <v>2</v>
      </c>
      <c r="AG2967" s="8" t="str">
        <f t="shared" si="185"/>
        <v/>
      </c>
      <c r="AI2967" s="8" t="str">
        <f t="shared" si="186"/>
        <v/>
      </c>
      <c r="AJ2967" s="8" t="str">
        <f t="shared" si="187"/>
        <v/>
      </c>
      <c r="AL2967" s="8" t="str">
        <f t="shared" si="188"/>
        <v/>
      </c>
    </row>
    <row r="2968" spans="1:38" x14ac:dyDescent="0.25">
      <c r="A2968" s="8" t="s">
        <v>1446</v>
      </c>
      <c r="B2968" s="8" t="s">
        <v>1447</v>
      </c>
      <c r="C2968" s="8">
        <v>30842775</v>
      </c>
      <c r="D2968" s="8">
        <v>5</v>
      </c>
      <c r="E2968" s="11">
        <v>43109</v>
      </c>
      <c r="F2968" s="8" t="s">
        <v>57</v>
      </c>
      <c r="G2968" s="11">
        <v>43109</v>
      </c>
      <c r="H2968" s="8" t="s">
        <v>25</v>
      </c>
      <c r="J2968" s="8" t="s">
        <v>25</v>
      </c>
      <c r="N2968" s="8" t="s">
        <v>58</v>
      </c>
      <c r="O2968" s="8" t="s">
        <v>59</v>
      </c>
      <c r="P2968" s="8" t="s">
        <v>59</v>
      </c>
      <c r="R2968" s="8">
        <v>0</v>
      </c>
      <c r="S2968" s="8">
        <v>0</v>
      </c>
      <c r="T2968" s="8">
        <v>1</v>
      </c>
      <c r="U2968" s="8">
        <v>2</v>
      </c>
      <c r="AG2968" s="8" t="str">
        <f t="shared" si="185"/>
        <v/>
      </c>
      <c r="AI2968" s="8" t="str">
        <f t="shared" si="186"/>
        <v/>
      </c>
      <c r="AJ2968" s="8" t="str">
        <f t="shared" si="187"/>
        <v/>
      </c>
      <c r="AL2968" s="8" t="str">
        <f t="shared" si="188"/>
        <v/>
      </c>
    </row>
    <row r="2969" spans="1:38" x14ac:dyDescent="0.25">
      <c r="A2969" s="8" t="s">
        <v>5944</v>
      </c>
      <c r="B2969" s="8" t="s">
        <v>5945</v>
      </c>
      <c r="C2969" s="8">
        <v>30856594</v>
      </c>
      <c r="D2969" s="8">
        <v>5</v>
      </c>
      <c r="E2969" s="11">
        <v>43110</v>
      </c>
      <c r="F2969" s="8" t="s">
        <v>57</v>
      </c>
      <c r="G2969" s="11">
        <v>43112</v>
      </c>
      <c r="H2969" s="8" t="s">
        <v>25</v>
      </c>
      <c r="J2969" s="8" t="s">
        <v>25</v>
      </c>
      <c r="N2969" s="8" t="s">
        <v>58</v>
      </c>
      <c r="O2969" s="8" t="s">
        <v>59</v>
      </c>
      <c r="P2969" s="8" t="s">
        <v>59</v>
      </c>
      <c r="R2969" s="8">
        <v>0</v>
      </c>
      <c r="S2969" s="8">
        <v>0</v>
      </c>
      <c r="T2969" s="8">
        <v>1</v>
      </c>
      <c r="U2969" s="8">
        <v>2</v>
      </c>
      <c r="AG2969" s="8" t="str">
        <f t="shared" si="185"/>
        <v/>
      </c>
      <c r="AI2969" s="8" t="str">
        <f t="shared" si="186"/>
        <v/>
      </c>
      <c r="AJ2969" s="8" t="str">
        <f t="shared" si="187"/>
        <v/>
      </c>
      <c r="AL2969" s="8" t="str">
        <f t="shared" si="188"/>
        <v/>
      </c>
    </row>
    <row r="2970" spans="1:38" x14ac:dyDescent="0.25">
      <c r="A2970" s="8" t="s">
        <v>5946</v>
      </c>
      <c r="B2970" s="8" t="s">
        <v>5947</v>
      </c>
      <c r="C2970" s="8">
        <v>30909680</v>
      </c>
      <c r="D2970" s="8">
        <v>4</v>
      </c>
      <c r="E2970" s="11">
        <v>43112</v>
      </c>
      <c r="F2970" s="8" t="s">
        <v>57</v>
      </c>
      <c r="G2970" s="11">
        <v>43112</v>
      </c>
      <c r="H2970" s="8" t="s">
        <v>25</v>
      </c>
      <c r="J2970" s="8" t="s">
        <v>25</v>
      </c>
      <c r="N2970" s="8" t="s">
        <v>58</v>
      </c>
      <c r="O2970" s="8" t="s">
        <v>59</v>
      </c>
      <c r="P2970" s="8" t="s">
        <v>59</v>
      </c>
      <c r="R2970" s="8">
        <v>0</v>
      </c>
      <c r="S2970" s="8">
        <v>0</v>
      </c>
      <c r="T2970" s="8">
        <v>1</v>
      </c>
      <c r="U2970" s="8">
        <v>2</v>
      </c>
      <c r="AG2970" s="8" t="str">
        <f t="shared" si="185"/>
        <v/>
      </c>
      <c r="AI2970" s="8" t="str">
        <f t="shared" si="186"/>
        <v/>
      </c>
      <c r="AJ2970" s="8" t="str">
        <f t="shared" si="187"/>
        <v/>
      </c>
      <c r="AL2970" s="8" t="str">
        <f t="shared" si="188"/>
        <v/>
      </c>
    </row>
    <row r="2971" spans="1:38" x14ac:dyDescent="0.25">
      <c r="A2971" s="8" t="s">
        <v>2830</v>
      </c>
      <c r="B2971" s="8" t="s">
        <v>2831</v>
      </c>
      <c r="C2971" s="8">
        <v>30871624</v>
      </c>
      <c r="D2971" s="8">
        <v>4</v>
      </c>
      <c r="E2971" s="11">
        <v>43110</v>
      </c>
      <c r="F2971" s="8" t="s">
        <v>58</v>
      </c>
      <c r="G2971" s="11">
        <v>43110</v>
      </c>
      <c r="H2971" s="8" t="s">
        <v>25</v>
      </c>
      <c r="I2971" s="11">
        <v>43112</v>
      </c>
      <c r="J2971" s="8" t="s">
        <v>25</v>
      </c>
      <c r="N2971" s="8" t="s">
        <v>58</v>
      </c>
      <c r="O2971" s="8" t="s">
        <v>59</v>
      </c>
      <c r="P2971" s="8" t="s">
        <v>59</v>
      </c>
      <c r="R2971" s="8">
        <v>0</v>
      </c>
      <c r="S2971" s="8">
        <v>0</v>
      </c>
      <c r="T2971" s="8">
        <v>1</v>
      </c>
      <c r="U2971" s="8">
        <v>2</v>
      </c>
      <c r="X2971" s="8">
        <v>5</v>
      </c>
      <c r="AG2971" s="8" t="str">
        <f t="shared" si="185"/>
        <v/>
      </c>
      <c r="AI2971" s="8" t="str">
        <f t="shared" si="186"/>
        <v/>
      </c>
      <c r="AJ2971" s="8" t="str">
        <f t="shared" si="187"/>
        <v/>
      </c>
      <c r="AL2971" s="8" t="str">
        <f t="shared" si="188"/>
        <v/>
      </c>
    </row>
    <row r="2972" spans="1:38" x14ac:dyDescent="0.25">
      <c r="A2972" s="8" t="s">
        <v>5948</v>
      </c>
      <c r="B2972" s="8" t="s">
        <v>5949</v>
      </c>
      <c r="C2972" s="8">
        <v>30900483</v>
      </c>
      <c r="D2972" s="8">
        <v>4</v>
      </c>
      <c r="E2972" s="11">
        <v>43111</v>
      </c>
      <c r="F2972" s="8" t="s">
        <v>58</v>
      </c>
      <c r="G2972" s="11">
        <v>43112</v>
      </c>
      <c r="H2972" s="8" t="s">
        <v>25</v>
      </c>
      <c r="I2972" s="11">
        <v>43106</v>
      </c>
      <c r="J2972" s="8" t="s">
        <v>25</v>
      </c>
      <c r="N2972" s="8" t="s">
        <v>58</v>
      </c>
      <c r="O2972" s="8" t="s">
        <v>59</v>
      </c>
      <c r="P2972" s="8" t="s">
        <v>59</v>
      </c>
      <c r="R2972" s="8">
        <v>0</v>
      </c>
      <c r="S2972" s="8">
        <v>0</v>
      </c>
      <c r="T2972" s="8">
        <v>1</v>
      </c>
      <c r="U2972" s="8">
        <v>2</v>
      </c>
      <c r="X2972" s="8">
        <v>5</v>
      </c>
      <c r="AG2972" s="8" t="str">
        <f t="shared" si="185"/>
        <v/>
      </c>
      <c r="AI2972" s="8" t="str">
        <f t="shared" si="186"/>
        <v/>
      </c>
      <c r="AJ2972" s="8" t="str">
        <f t="shared" si="187"/>
        <v/>
      </c>
      <c r="AL2972" s="8" t="str">
        <f t="shared" si="188"/>
        <v/>
      </c>
    </row>
    <row r="2973" spans="1:38" x14ac:dyDescent="0.25">
      <c r="A2973" s="8" t="s">
        <v>5950</v>
      </c>
      <c r="B2973" s="8" t="s">
        <v>5951</v>
      </c>
      <c r="C2973" s="8">
        <v>30909228</v>
      </c>
      <c r="D2973" s="8">
        <v>5</v>
      </c>
      <c r="E2973" s="11">
        <v>43112</v>
      </c>
      <c r="F2973" s="8" t="s">
        <v>57</v>
      </c>
      <c r="G2973" s="11">
        <v>43112</v>
      </c>
      <c r="H2973" s="8" t="s">
        <v>25</v>
      </c>
      <c r="J2973" s="8" t="s">
        <v>25</v>
      </c>
      <c r="N2973" s="8" t="s">
        <v>58</v>
      </c>
      <c r="O2973" s="8" t="s">
        <v>59</v>
      </c>
      <c r="P2973" s="8" t="s">
        <v>59</v>
      </c>
      <c r="R2973" s="8">
        <v>0</v>
      </c>
      <c r="S2973" s="8">
        <v>0</v>
      </c>
      <c r="T2973" s="8">
        <v>1</v>
      </c>
      <c r="U2973" s="8">
        <v>2</v>
      </c>
      <c r="AG2973" s="8" t="str">
        <f t="shared" si="185"/>
        <v/>
      </c>
      <c r="AI2973" s="8" t="str">
        <f t="shared" si="186"/>
        <v/>
      </c>
      <c r="AJ2973" s="8" t="str">
        <f t="shared" si="187"/>
        <v/>
      </c>
      <c r="AL2973" s="8" t="str">
        <f t="shared" si="188"/>
        <v/>
      </c>
    </row>
    <row r="2974" spans="1:38" x14ac:dyDescent="0.25">
      <c r="A2974" s="8" t="s">
        <v>2832</v>
      </c>
      <c r="B2974" s="8" t="s">
        <v>2833</v>
      </c>
      <c r="C2974" s="8">
        <v>30858465</v>
      </c>
      <c r="D2974" s="8">
        <v>4</v>
      </c>
      <c r="E2974" s="11">
        <v>43110</v>
      </c>
      <c r="F2974" s="8" t="s">
        <v>57</v>
      </c>
      <c r="G2974" s="11">
        <v>43110</v>
      </c>
      <c r="H2974" s="8" t="s">
        <v>25</v>
      </c>
      <c r="J2974" s="8" t="s">
        <v>25</v>
      </c>
      <c r="N2974" s="8" t="s">
        <v>58</v>
      </c>
      <c r="O2974" s="8" t="s">
        <v>59</v>
      </c>
      <c r="P2974" s="8" t="s">
        <v>59</v>
      </c>
      <c r="R2974" s="8">
        <v>0</v>
      </c>
      <c r="S2974" s="8">
        <v>0</v>
      </c>
      <c r="T2974" s="8">
        <v>1</v>
      </c>
      <c r="U2974" s="8">
        <v>2</v>
      </c>
      <c r="AG2974" s="8" t="str">
        <f t="shared" si="185"/>
        <v/>
      </c>
      <c r="AI2974" s="8" t="str">
        <f t="shared" si="186"/>
        <v/>
      </c>
      <c r="AJ2974" s="8" t="str">
        <f t="shared" si="187"/>
        <v/>
      </c>
      <c r="AL2974" s="8" t="str">
        <f t="shared" si="188"/>
        <v/>
      </c>
    </row>
    <row r="2975" spans="1:38" x14ac:dyDescent="0.25">
      <c r="A2975" s="8" t="s">
        <v>5952</v>
      </c>
      <c r="B2975" s="8" t="s">
        <v>5953</v>
      </c>
      <c r="C2975" s="8">
        <v>30914668</v>
      </c>
      <c r="D2975" s="8">
        <v>5</v>
      </c>
      <c r="E2975" s="11">
        <v>43112</v>
      </c>
      <c r="F2975" s="8" t="s">
        <v>57</v>
      </c>
      <c r="G2975" s="11">
        <v>43112</v>
      </c>
      <c r="H2975" s="8" t="s">
        <v>25</v>
      </c>
      <c r="J2975" s="8" t="s">
        <v>25</v>
      </c>
      <c r="N2975" s="8" t="s">
        <v>58</v>
      </c>
      <c r="O2975" s="8" t="s">
        <v>59</v>
      </c>
      <c r="P2975" s="8" t="s">
        <v>59</v>
      </c>
      <c r="R2975" s="8">
        <v>0</v>
      </c>
      <c r="S2975" s="8">
        <v>0</v>
      </c>
      <c r="T2975" s="8">
        <v>1</v>
      </c>
      <c r="U2975" s="8">
        <v>2</v>
      </c>
      <c r="AG2975" s="8" t="str">
        <f t="shared" si="185"/>
        <v/>
      </c>
      <c r="AI2975" s="8" t="str">
        <f t="shared" si="186"/>
        <v/>
      </c>
      <c r="AJ2975" s="8" t="str">
        <f t="shared" si="187"/>
        <v/>
      </c>
      <c r="AL2975" s="8" t="str">
        <f t="shared" si="188"/>
        <v/>
      </c>
    </row>
    <row r="2976" spans="1:38" x14ac:dyDescent="0.25">
      <c r="A2976" s="8" t="s">
        <v>5954</v>
      </c>
      <c r="B2976" s="8" t="s">
        <v>5955</v>
      </c>
      <c r="C2976" s="8">
        <v>30910399</v>
      </c>
      <c r="D2976" s="8">
        <v>5</v>
      </c>
      <c r="E2976" s="11">
        <v>43112</v>
      </c>
      <c r="F2976" s="8" t="s">
        <v>57</v>
      </c>
      <c r="G2976" s="11">
        <v>43112</v>
      </c>
      <c r="H2976" s="8" t="s">
        <v>25</v>
      </c>
      <c r="J2976" s="8" t="s">
        <v>25</v>
      </c>
      <c r="N2976" s="8" t="s">
        <v>58</v>
      </c>
      <c r="O2976" s="8" t="s">
        <v>59</v>
      </c>
      <c r="P2976" s="8" t="s">
        <v>59</v>
      </c>
      <c r="R2976" s="8">
        <v>0</v>
      </c>
      <c r="S2976" s="8">
        <v>0</v>
      </c>
      <c r="T2976" s="8">
        <v>1</v>
      </c>
      <c r="U2976" s="8">
        <v>2</v>
      </c>
      <c r="AG2976" s="8" t="str">
        <f t="shared" si="185"/>
        <v/>
      </c>
      <c r="AI2976" s="8" t="str">
        <f t="shared" si="186"/>
        <v/>
      </c>
      <c r="AJ2976" s="8" t="str">
        <f t="shared" si="187"/>
        <v/>
      </c>
      <c r="AL2976" s="8" t="str">
        <f t="shared" si="188"/>
        <v/>
      </c>
    </row>
    <row r="2977" spans="1:38" x14ac:dyDescent="0.25">
      <c r="A2977" s="8" t="s">
        <v>5956</v>
      </c>
      <c r="B2977" s="8" t="s">
        <v>5957</v>
      </c>
      <c r="C2977" s="8">
        <v>30911660</v>
      </c>
      <c r="D2977" s="8">
        <v>5</v>
      </c>
      <c r="E2977" s="11">
        <v>43112</v>
      </c>
      <c r="F2977" s="8" t="s">
        <v>57</v>
      </c>
      <c r="G2977" s="11">
        <v>43114</v>
      </c>
      <c r="H2977" s="8" t="s">
        <v>25</v>
      </c>
      <c r="J2977" s="8" t="s">
        <v>25</v>
      </c>
      <c r="N2977" s="8" t="s">
        <v>58</v>
      </c>
      <c r="O2977" s="8" t="s">
        <v>59</v>
      </c>
      <c r="P2977" s="8" t="s">
        <v>59</v>
      </c>
      <c r="R2977" s="8">
        <v>0</v>
      </c>
      <c r="S2977" s="8">
        <v>0</v>
      </c>
      <c r="T2977" s="8">
        <v>1</v>
      </c>
      <c r="U2977" s="8">
        <v>2</v>
      </c>
      <c r="AG2977" s="8" t="str">
        <f t="shared" si="185"/>
        <v/>
      </c>
      <c r="AI2977" s="8" t="str">
        <f t="shared" si="186"/>
        <v/>
      </c>
      <c r="AJ2977" s="8" t="str">
        <f t="shared" si="187"/>
        <v/>
      </c>
      <c r="AL2977" s="8" t="str">
        <f t="shared" si="188"/>
        <v/>
      </c>
    </row>
    <row r="2978" spans="1:38" x14ac:dyDescent="0.25">
      <c r="A2978" s="8" t="s">
        <v>5958</v>
      </c>
      <c r="B2978" s="8" t="s">
        <v>5959</v>
      </c>
      <c r="C2978" s="8">
        <v>30873158</v>
      </c>
      <c r="D2978" s="8">
        <v>4</v>
      </c>
      <c r="E2978" s="11">
        <v>43110</v>
      </c>
      <c r="F2978" s="8" t="s">
        <v>57</v>
      </c>
      <c r="G2978" s="11">
        <v>43112</v>
      </c>
      <c r="H2978" s="8" t="s">
        <v>25</v>
      </c>
      <c r="J2978" s="8" t="s">
        <v>25</v>
      </c>
      <c r="N2978" s="8" t="s">
        <v>58</v>
      </c>
      <c r="O2978" s="8" t="s">
        <v>59</v>
      </c>
      <c r="P2978" s="8" t="s">
        <v>59</v>
      </c>
      <c r="R2978" s="8">
        <v>0</v>
      </c>
      <c r="S2978" s="8">
        <v>0</v>
      </c>
      <c r="T2978" s="8">
        <v>1</v>
      </c>
      <c r="U2978" s="8">
        <v>2</v>
      </c>
      <c r="AG2978" s="8" t="str">
        <f t="shared" si="185"/>
        <v/>
      </c>
      <c r="AI2978" s="8" t="str">
        <f t="shared" si="186"/>
        <v/>
      </c>
      <c r="AJ2978" s="8" t="str">
        <f t="shared" si="187"/>
        <v/>
      </c>
      <c r="AL2978" s="8" t="str">
        <f t="shared" si="188"/>
        <v/>
      </c>
    </row>
    <row r="2979" spans="1:38" x14ac:dyDescent="0.25">
      <c r="A2979" s="8" t="s">
        <v>7761</v>
      </c>
      <c r="B2979" s="8" t="s">
        <v>7762</v>
      </c>
      <c r="C2979" s="8">
        <v>30904287</v>
      </c>
      <c r="D2979" s="8">
        <v>5</v>
      </c>
      <c r="E2979" s="11">
        <v>43111</v>
      </c>
      <c r="F2979" s="8" t="s">
        <v>58</v>
      </c>
      <c r="G2979" s="11">
        <v>43115</v>
      </c>
      <c r="H2979" s="8" t="s">
        <v>25</v>
      </c>
      <c r="I2979" s="11">
        <v>43115</v>
      </c>
      <c r="J2979" s="8" t="s">
        <v>25</v>
      </c>
      <c r="N2979" s="8" t="s">
        <v>58</v>
      </c>
      <c r="O2979" s="8" t="s">
        <v>59</v>
      </c>
      <c r="P2979" s="8" t="s">
        <v>59</v>
      </c>
      <c r="R2979" s="8">
        <v>0</v>
      </c>
      <c r="S2979" s="8">
        <v>0</v>
      </c>
      <c r="T2979" s="8">
        <v>1</v>
      </c>
      <c r="U2979" s="8">
        <v>2</v>
      </c>
      <c r="X2979" s="8">
        <v>5</v>
      </c>
      <c r="AG2979" s="8" t="str">
        <f t="shared" si="185"/>
        <v/>
      </c>
      <c r="AI2979" s="8" t="str">
        <f t="shared" si="186"/>
        <v/>
      </c>
      <c r="AJ2979" s="8" t="str">
        <f t="shared" si="187"/>
        <v/>
      </c>
      <c r="AL2979" s="8" t="str">
        <f t="shared" si="188"/>
        <v/>
      </c>
    </row>
    <row r="2980" spans="1:38" x14ac:dyDescent="0.25">
      <c r="A2980" s="8" t="s">
        <v>5960</v>
      </c>
      <c r="B2980" s="8" t="s">
        <v>5961</v>
      </c>
      <c r="C2980" s="8">
        <v>30915469</v>
      </c>
      <c r="D2980" s="8">
        <v>5</v>
      </c>
      <c r="E2980" s="11">
        <v>43112</v>
      </c>
      <c r="F2980" s="8" t="s">
        <v>57</v>
      </c>
      <c r="G2980" s="11">
        <v>43112</v>
      </c>
      <c r="H2980" s="8" t="s">
        <v>25</v>
      </c>
      <c r="J2980" s="8" t="s">
        <v>25</v>
      </c>
      <c r="N2980" s="8" t="s">
        <v>58</v>
      </c>
      <c r="O2980" s="8" t="s">
        <v>59</v>
      </c>
      <c r="P2980" s="8" t="s">
        <v>59</v>
      </c>
      <c r="R2980" s="8">
        <v>0</v>
      </c>
      <c r="S2980" s="8">
        <v>0</v>
      </c>
      <c r="T2980" s="8">
        <v>1</v>
      </c>
      <c r="U2980" s="8">
        <v>2</v>
      </c>
      <c r="AG2980" s="8" t="str">
        <f t="shared" si="185"/>
        <v/>
      </c>
      <c r="AI2980" s="8" t="str">
        <f t="shared" si="186"/>
        <v/>
      </c>
      <c r="AJ2980" s="8" t="str">
        <f t="shared" si="187"/>
        <v/>
      </c>
      <c r="AL2980" s="8" t="str">
        <f t="shared" si="188"/>
        <v/>
      </c>
    </row>
    <row r="2981" spans="1:38" x14ac:dyDescent="0.25">
      <c r="A2981" s="8" t="s">
        <v>7763</v>
      </c>
      <c r="B2981" s="8" t="s">
        <v>7764</v>
      </c>
      <c r="C2981" s="8">
        <v>30942855</v>
      </c>
      <c r="D2981" s="8">
        <v>5</v>
      </c>
      <c r="E2981" s="11">
        <v>43115</v>
      </c>
      <c r="F2981" s="8" t="s">
        <v>57</v>
      </c>
      <c r="G2981" s="11">
        <v>43115</v>
      </c>
      <c r="H2981" s="8" t="s">
        <v>25</v>
      </c>
      <c r="J2981" s="8" t="s">
        <v>25</v>
      </c>
      <c r="N2981" s="8" t="s">
        <v>58</v>
      </c>
      <c r="O2981" s="8" t="s">
        <v>59</v>
      </c>
      <c r="P2981" s="8" t="s">
        <v>59</v>
      </c>
      <c r="R2981" s="8">
        <v>0</v>
      </c>
      <c r="S2981" s="8">
        <v>0</v>
      </c>
      <c r="T2981" s="8">
        <v>1</v>
      </c>
      <c r="U2981" s="8">
        <v>2</v>
      </c>
      <c r="AG2981" s="8" t="str">
        <f t="shared" si="185"/>
        <v/>
      </c>
      <c r="AI2981" s="8" t="str">
        <f t="shared" si="186"/>
        <v/>
      </c>
      <c r="AJ2981" s="8" t="str">
        <f t="shared" si="187"/>
        <v/>
      </c>
      <c r="AL2981" s="8" t="str">
        <f t="shared" si="188"/>
        <v/>
      </c>
    </row>
    <row r="2982" spans="1:38" x14ac:dyDescent="0.25">
      <c r="A2982" s="8" t="s">
        <v>2834</v>
      </c>
      <c r="B2982" s="8" t="s">
        <v>2835</v>
      </c>
      <c r="C2982" s="8">
        <v>30865581</v>
      </c>
      <c r="D2982" s="8">
        <v>5</v>
      </c>
      <c r="E2982" s="11">
        <v>43110</v>
      </c>
      <c r="F2982" s="8" t="s">
        <v>57</v>
      </c>
      <c r="G2982" s="11">
        <v>43110</v>
      </c>
      <c r="H2982" s="8" t="s">
        <v>25</v>
      </c>
      <c r="J2982" s="8" t="s">
        <v>25</v>
      </c>
      <c r="N2982" s="8" t="s">
        <v>58</v>
      </c>
      <c r="O2982" s="8" t="s">
        <v>59</v>
      </c>
      <c r="P2982" s="8" t="s">
        <v>59</v>
      </c>
      <c r="R2982" s="8">
        <v>0</v>
      </c>
      <c r="S2982" s="8">
        <v>0</v>
      </c>
      <c r="T2982" s="8">
        <v>1</v>
      </c>
      <c r="U2982" s="8">
        <v>2</v>
      </c>
      <c r="AG2982" s="8" t="str">
        <f t="shared" si="185"/>
        <v/>
      </c>
      <c r="AI2982" s="8" t="str">
        <f t="shared" si="186"/>
        <v/>
      </c>
      <c r="AJ2982" s="8" t="str">
        <f t="shared" si="187"/>
        <v/>
      </c>
      <c r="AL2982" s="8" t="str">
        <f t="shared" si="188"/>
        <v/>
      </c>
    </row>
    <row r="2983" spans="1:38" x14ac:dyDescent="0.25">
      <c r="A2983" s="8" t="s">
        <v>7765</v>
      </c>
      <c r="B2983" s="8" t="s">
        <v>7766</v>
      </c>
      <c r="C2983" s="8">
        <v>30914403</v>
      </c>
      <c r="D2983" s="8">
        <v>5</v>
      </c>
      <c r="E2983" s="11">
        <v>43112</v>
      </c>
      <c r="F2983" s="8" t="s">
        <v>57</v>
      </c>
      <c r="G2983" s="11">
        <v>43115</v>
      </c>
      <c r="H2983" s="8" t="s">
        <v>25</v>
      </c>
      <c r="J2983" s="8" t="s">
        <v>25</v>
      </c>
      <c r="N2983" s="8" t="s">
        <v>58</v>
      </c>
      <c r="O2983" s="8" t="s">
        <v>59</v>
      </c>
      <c r="P2983" s="8" t="s">
        <v>59</v>
      </c>
      <c r="R2983" s="8">
        <v>0</v>
      </c>
      <c r="S2983" s="8">
        <v>0</v>
      </c>
      <c r="T2983" s="8">
        <v>1</v>
      </c>
      <c r="U2983" s="8">
        <v>2</v>
      </c>
      <c r="AG2983" s="8" t="str">
        <f t="shared" si="185"/>
        <v/>
      </c>
      <c r="AI2983" s="8" t="str">
        <f t="shared" si="186"/>
        <v/>
      </c>
      <c r="AJ2983" s="8" t="str">
        <f t="shared" si="187"/>
        <v/>
      </c>
      <c r="AL2983" s="8" t="str">
        <f t="shared" si="188"/>
        <v/>
      </c>
    </row>
    <row r="2984" spans="1:38" x14ac:dyDescent="0.25">
      <c r="A2984" s="8" t="s">
        <v>7767</v>
      </c>
      <c r="B2984" s="8" t="s">
        <v>7768</v>
      </c>
      <c r="C2984" s="8">
        <v>30941433</v>
      </c>
      <c r="D2984" s="8">
        <v>4</v>
      </c>
      <c r="E2984" s="11">
        <v>43115</v>
      </c>
      <c r="F2984" s="8" t="s">
        <v>57</v>
      </c>
      <c r="G2984" s="11">
        <v>43115</v>
      </c>
      <c r="H2984" s="8" t="s">
        <v>25</v>
      </c>
      <c r="J2984" s="8" t="s">
        <v>25</v>
      </c>
      <c r="N2984" s="8" t="s">
        <v>58</v>
      </c>
      <c r="O2984" s="8" t="s">
        <v>59</v>
      </c>
      <c r="P2984" s="8" t="s">
        <v>59</v>
      </c>
      <c r="R2984" s="8">
        <v>0</v>
      </c>
      <c r="S2984" s="8">
        <v>0</v>
      </c>
      <c r="T2984" s="8">
        <v>1</v>
      </c>
      <c r="U2984" s="8">
        <v>2</v>
      </c>
      <c r="AG2984" s="8" t="str">
        <f t="shared" si="185"/>
        <v/>
      </c>
      <c r="AI2984" s="8" t="str">
        <f t="shared" si="186"/>
        <v/>
      </c>
      <c r="AJ2984" s="8" t="str">
        <f t="shared" si="187"/>
        <v/>
      </c>
      <c r="AL2984" s="8" t="str">
        <f t="shared" si="188"/>
        <v/>
      </c>
    </row>
    <row r="2985" spans="1:38" x14ac:dyDescent="0.25">
      <c r="A2985" s="8" t="s">
        <v>7769</v>
      </c>
      <c r="B2985" s="8" t="s">
        <v>7770</v>
      </c>
      <c r="C2985" s="8">
        <v>30932670</v>
      </c>
      <c r="D2985" s="8">
        <v>5</v>
      </c>
      <c r="E2985" s="11">
        <v>43115</v>
      </c>
      <c r="F2985" s="8" t="s">
        <v>57</v>
      </c>
      <c r="G2985" s="11">
        <v>43115</v>
      </c>
      <c r="H2985" s="8" t="s">
        <v>25</v>
      </c>
      <c r="J2985" s="8" t="s">
        <v>25</v>
      </c>
      <c r="N2985" s="8" t="s">
        <v>58</v>
      </c>
      <c r="O2985" s="8" t="s">
        <v>59</v>
      </c>
      <c r="P2985" s="8" t="s">
        <v>59</v>
      </c>
      <c r="R2985" s="8">
        <v>0</v>
      </c>
      <c r="S2985" s="8">
        <v>0</v>
      </c>
      <c r="T2985" s="8">
        <v>1</v>
      </c>
      <c r="U2985" s="8">
        <v>2</v>
      </c>
      <c r="AG2985" s="8" t="str">
        <f t="shared" si="185"/>
        <v/>
      </c>
      <c r="AI2985" s="8" t="str">
        <f t="shared" si="186"/>
        <v/>
      </c>
      <c r="AJ2985" s="8" t="str">
        <f t="shared" si="187"/>
        <v/>
      </c>
      <c r="AL2985" s="8" t="str">
        <f t="shared" si="188"/>
        <v/>
      </c>
    </row>
    <row r="2986" spans="1:38" x14ac:dyDescent="0.25">
      <c r="A2986" s="8" t="s">
        <v>5962</v>
      </c>
      <c r="B2986" s="8" t="s">
        <v>5963</v>
      </c>
      <c r="C2986" s="8">
        <v>30917443</v>
      </c>
      <c r="D2986" s="8">
        <v>4</v>
      </c>
      <c r="E2986" s="11">
        <v>43112</v>
      </c>
      <c r="F2986" s="8" t="s">
        <v>57</v>
      </c>
      <c r="G2986" s="11">
        <v>43112</v>
      </c>
      <c r="H2986" s="8" t="s">
        <v>25</v>
      </c>
      <c r="J2986" s="8" t="s">
        <v>25</v>
      </c>
      <c r="N2986" s="8" t="s">
        <v>58</v>
      </c>
      <c r="O2986" s="8" t="s">
        <v>59</v>
      </c>
      <c r="P2986" s="8" t="s">
        <v>59</v>
      </c>
      <c r="R2986" s="8">
        <v>0</v>
      </c>
      <c r="S2986" s="8">
        <v>0</v>
      </c>
      <c r="T2986" s="8">
        <v>1</v>
      </c>
      <c r="U2986" s="8">
        <v>2</v>
      </c>
      <c r="AG2986" s="8" t="str">
        <f t="shared" si="185"/>
        <v/>
      </c>
      <c r="AI2986" s="8" t="str">
        <f t="shared" si="186"/>
        <v/>
      </c>
      <c r="AJ2986" s="8" t="str">
        <f t="shared" si="187"/>
        <v/>
      </c>
      <c r="AL2986" s="8" t="str">
        <f t="shared" si="188"/>
        <v/>
      </c>
    </row>
    <row r="2987" spans="1:38" x14ac:dyDescent="0.25">
      <c r="A2987" s="8" t="s">
        <v>7771</v>
      </c>
      <c r="B2987" s="8" t="s">
        <v>7772</v>
      </c>
      <c r="C2987" s="8">
        <v>30936551</v>
      </c>
      <c r="D2987" s="8">
        <v>5</v>
      </c>
      <c r="E2987" s="11">
        <v>43115</v>
      </c>
      <c r="F2987" s="8" t="s">
        <v>57</v>
      </c>
      <c r="G2987" s="11">
        <v>43115</v>
      </c>
      <c r="H2987" s="8" t="s">
        <v>25</v>
      </c>
      <c r="J2987" s="8" t="s">
        <v>25</v>
      </c>
      <c r="N2987" s="8" t="s">
        <v>58</v>
      </c>
      <c r="O2987" s="8" t="s">
        <v>59</v>
      </c>
      <c r="P2987" s="8" t="s">
        <v>59</v>
      </c>
      <c r="R2987" s="8">
        <v>0</v>
      </c>
      <c r="S2987" s="8">
        <v>0</v>
      </c>
      <c r="T2987" s="8">
        <v>1</v>
      </c>
      <c r="U2987" s="8">
        <v>2</v>
      </c>
      <c r="AG2987" s="8" t="str">
        <f t="shared" si="185"/>
        <v/>
      </c>
      <c r="AI2987" s="8" t="str">
        <f t="shared" si="186"/>
        <v/>
      </c>
      <c r="AJ2987" s="8" t="str">
        <f t="shared" si="187"/>
        <v/>
      </c>
      <c r="AL2987" s="8" t="str">
        <f t="shared" si="188"/>
        <v/>
      </c>
    </row>
    <row r="2988" spans="1:38" x14ac:dyDescent="0.25">
      <c r="A2988" s="8" t="s">
        <v>4300</v>
      </c>
      <c r="B2988" s="8" t="s">
        <v>4301</v>
      </c>
      <c r="C2988" s="8">
        <v>30892439</v>
      </c>
      <c r="D2988" s="8">
        <v>4</v>
      </c>
      <c r="E2988" s="11">
        <v>43111</v>
      </c>
      <c r="F2988" s="8" t="s">
        <v>57</v>
      </c>
      <c r="G2988" s="11">
        <v>43111</v>
      </c>
      <c r="H2988" s="8" t="s">
        <v>25</v>
      </c>
      <c r="J2988" s="8" t="s">
        <v>25</v>
      </c>
      <c r="N2988" s="8" t="s">
        <v>58</v>
      </c>
      <c r="O2988" s="8" t="s">
        <v>59</v>
      </c>
      <c r="P2988" s="8" t="s">
        <v>59</v>
      </c>
      <c r="R2988" s="8">
        <v>0</v>
      </c>
      <c r="S2988" s="8">
        <v>0</v>
      </c>
      <c r="T2988" s="8">
        <v>1</v>
      </c>
      <c r="U2988" s="8">
        <v>2</v>
      </c>
      <c r="AG2988" s="8" t="str">
        <f t="shared" si="185"/>
        <v/>
      </c>
      <c r="AI2988" s="8" t="str">
        <f t="shared" si="186"/>
        <v/>
      </c>
      <c r="AJ2988" s="8" t="str">
        <f t="shared" si="187"/>
        <v/>
      </c>
      <c r="AL2988" s="8" t="str">
        <f t="shared" si="188"/>
        <v/>
      </c>
    </row>
    <row r="2989" spans="1:38" x14ac:dyDescent="0.25">
      <c r="A2989" s="8" t="s">
        <v>7773</v>
      </c>
      <c r="B2989" s="8" t="s">
        <v>7774</v>
      </c>
      <c r="C2989" s="8">
        <v>30936527</v>
      </c>
      <c r="D2989" s="8">
        <v>4</v>
      </c>
      <c r="E2989" s="11">
        <v>43115</v>
      </c>
      <c r="F2989" s="8" t="s">
        <v>57</v>
      </c>
      <c r="G2989" s="11">
        <v>43115</v>
      </c>
      <c r="H2989" s="8" t="s">
        <v>25</v>
      </c>
      <c r="J2989" s="8" t="s">
        <v>25</v>
      </c>
      <c r="N2989" s="8" t="s">
        <v>58</v>
      </c>
      <c r="O2989" s="8" t="s">
        <v>59</v>
      </c>
      <c r="P2989" s="8" t="s">
        <v>59</v>
      </c>
      <c r="R2989" s="8">
        <v>0</v>
      </c>
      <c r="S2989" s="8">
        <v>0</v>
      </c>
      <c r="T2989" s="8">
        <v>1</v>
      </c>
      <c r="U2989" s="8">
        <v>2</v>
      </c>
      <c r="AG2989" s="8" t="str">
        <f t="shared" si="185"/>
        <v/>
      </c>
      <c r="AI2989" s="8" t="str">
        <f t="shared" si="186"/>
        <v/>
      </c>
      <c r="AJ2989" s="8" t="str">
        <f t="shared" si="187"/>
        <v/>
      </c>
      <c r="AL2989" s="8" t="str">
        <f t="shared" si="188"/>
        <v/>
      </c>
    </row>
    <row r="2990" spans="1:38" x14ac:dyDescent="0.25">
      <c r="A2990" s="8" t="s">
        <v>2836</v>
      </c>
      <c r="B2990" s="8" t="s">
        <v>2837</v>
      </c>
      <c r="C2990" s="8">
        <v>30806724</v>
      </c>
      <c r="D2990" s="8">
        <v>5</v>
      </c>
      <c r="E2990" s="11">
        <v>43108</v>
      </c>
      <c r="F2990" s="8" t="s">
        <v>58</v>
      </c>
      <c r="G2990" s="11">
        <v>43110</v>
      </c>
      <c r="H2990" s="8" t="s">
        <v>25</v>
      </c>
      <c r="I2990" s="11">
        <v>43110</v>
      </c>
      <c r="J2990" s="8" t="s">
        <v>25</v>
      </c>
      <c r="N2990" s="8" t="s">
        <v>58</v>
      </c>
      <c r="O2990" s="8" t="s">
        <v>59</v>
      </c>
      <c r="P2990" s="8" t="s">
        <v>59</v>
      </c>
      <c r="R2990" s="8">
        <v>0</v>
      </c>
      <c r="S2990" s="8">
        <v>0</v>
      </c>
      <c r="T2990" s="8">
        <v>1</v>
      </c>
      <c r="U2990" s="8">
        <v>2</v>
      </c>
      <c r="X2990" s="8">
        <v>5</v>
      </c>
      <c r="AG2990" s="8" t="str">
        <f t="shared" si="185"/>
        <v/>
      </c>
      <c r="AI2990" s="8" t="str">
        <f t="shared" si="186"/>
        <v/>
      </c>
      <c r="AJ2990" s="8" t="str">
        <f t="shared" si="187"/>
        <v/>
      </c>
      <c r="AL2990" s="8" t="str">
        <f t="shared" si="188"/>
        <v/>
      </c>
    </row>
    <row r="2991" spans="1:38" x14ac:dyDescent="0.25">
      <c r="A2991" s="8" t="s">
        <v>5964</v>
      </c>
      <c r="B2991" s="8" t="s">
        <v>5965</v>
      </c>
      <c r="C2991" s="8">
        <v>30911212</v>
      </c>
      <c r="D2991" s="8">
        <v>5</v>
      </c>
      <c r="E2991" s="11">
        <v>43112</v>
      </c>
      <c r="F2991" s="8" t="s">
        <v>60</v>
      </c>
      <c r="G2991" s="11">
        <v>43112</v>
      </c>
      <c r="H2991" s="8" t="s">
        <v>25</v>
      </c>
      <c r="J2991" s="8" t="s">
        <v>25</v>
      </c>
      <c r="L2991" s="8" t="s">
        <v>6525</v>
      </c>
      <c r="N2991" s="8" t="s">
        <v>58</v>
      </c>
      <c r="O2991" s="8" t="s">
        <v>59</v>
      </c>
      <c r="P2991" s="8" t="s">
        <v>59</v>
      </c>
      <c r="R2991" s="8">
        <v>0</v>
      </c>
      <c r="S2991" s="8">
        <v>0</v>
      </c>
      <c r="T2991" s="8">
        <v>1</v>
      </c>
      <c r="U2991" s="8">
        <v>2</v>
      </c>
      <c r="W2991" s="8">
        <v>4</v>
      </c>
      <c r="AG2991" s="8" t="str">
        <f t="shared" si="185"/>
        <v/>
      </c>
      <c r="AI2991" s="8" t="str">
        <f t="shared" si="186"/>
        <v/>
      </c>
      <c r="AJ2991" s="8" t="str">
        <f t="shared" si="187"/>
        <v/>
      </c>
      <c r="AL2991" s="8" t="str">
        <f t="shared" si="188"/>
        <v/>
      </c>
    </row>
    <row r="2992" spans="1:38" x14ac:dyDescent="0.25">
      <c r="A2992" s="8" t="s">
        <v>1448</v>
      </c>
      <c r="B2992" s="8" t="s">
        <v>1449</v>
      </c>
      <c r="C2992" s="8">
        <v>30832954</v>
      </c>
      <c r="D2992" s="8">
        <v>5</v>
      </c>
      <c r="E2992" s="11">
        <v>43109</v>
      </c>
      <c r="F2992" s="8" t="s">
        <v>57</v>
      </c>
      <c r="G2992" s="11">
        <v>43109</v>
      </c>
      <c r="H2992" s="8" t="s">
        <v>25</v>
      </c>
      <c r="J2992" s="8" t="s">
        <v>25</v>
      </c>
      <c r="N2992" s="8" t="s">
        <v>58</v>
      </c>
      <c r="O2992" s="8" t="s">
        <v>59</v>
      </c>
      <c r="P2992" s="8" t="s">
        <v>59</v>
      </c>
      <c r="R2992" s="8">
        <v>0</v>
      </c>
      <c r="S2992" s="8">
        <v>0</v>
      </c>
      <c r="T2992" s="8">
        <v>1</v>
      </c>
      <c r="U2992" s="8">
        <v>2</v>
      </c>
      <c r="AG2992" s="8" t="str">
        <f t="shared" si="185"/>
        <v/>
      </c>
      <c r="AI2992" s="8" t="str">
        <f t="shared" si="186"/>
        <v/>
      </c>
      <c r="AJ2992" s="8" t="str">
        <f t="shared" si="187"/>
        <v/>
      </c>
      <c r="AL2992" s="8" t="str">
        <f t="shared" si="188"/>
        <v/>
      </c>
    </row>
    <row r="2993" spans="1:38" x14ac:dyDescent="0.25">
      <c r="A2993" s="8" t="s">
        <v>2838</v>
      </c>
      <c r="B2993" s="8" t="s">
        <v>2839</v>
      </c>
      <c r="C2993" s="8">
        <v>30818725</v>
      </c>
      <c r="D2993" s="8">
        <v>5</v>
      </c>
      <c r="E2993" s="11">
        <v>43108</v>
      </c>
      <c r="F2993" s="8" t="s">
        <v>57</v>
      </c>
      <c r="G2993" s="11">
        <v>43110</v>
      </c>
      <c r="H2993" s="8" t="s">
        <v>25</v>
      </c>
      <c r="J2993" s="8" t="s">
        <v>25</v>
      </c>
      <c r="N2993" s="8" t="s">
        <v>58</v>
      </c>
      <c r="O2993" s="8" t="s">
        <v>59</v>
      </c>
      <c r="P2993" s="8" t="s">
        <v>59</v>
      </c>
      <c r="R2993" s="8">
        <v>0</v>
      </c>
      <c r="S2993" s="8">
        <v>0</v>
      </c>
      <c r="T2993" s="8">
        <v>1</v>
      </c>
      <c r="U2993" s="8">
        <v>2</v>
      </c>
      <c r="AG2993" s="8" t="str">
        <f t="shared" si="185"/>
        <v/>
      </c>
      <c r="AI2993" s="8" t="str">
        <f t="shared" si="186"/>
        <v/>
      </c>
      <c r="AJ2993" s="8" t="str">
        <f t="shared" si="187"/>
        <v/>
      </c>
      <c r="AL2993" s="8" t="str">
        <f t="shared" si="188"/>
        <v/>
      </c>
    </row>
    <row r="2994" spans="1:38" x14ac:dyDescent="0.25">
      <c r="A2994" s="8" t="s">
        <v>7775</v>
      </c>
      <c r="B2994" s="8" t="s">
        <v>7776</v>
      </c>
      <c r="C2994" s="8">
        <v>30890401</v>
      </c>
      <c r="D2994" s="8">
        <v>5</v>
      </c>
      <c r="E2994" s="11">
        <v>43111</v>
      </c>
      <c r="F2994" s="8" t="s">
        <v>57</v>
      </c>
      <c r="G2994" s="11">
        <v>43115</v>
      </c>
      <c r="H2994" s="8" t="s">
        <v>25</v>
      </c>
      <c r="J2994" s="8" t="s">
        <v>25</v>
      </c>
      <c r="N2994" s="8" t="s">
        <v>58</v>
      </c>
      <c r="O2994" s="8" t="s">
        <v>59</v>
      </c>
      <c r="P2994" s="8" t="s">
        <v>59</v>
      </c>
      <c r="R2994" s="8">
        <v>0</v>
      </c>
      <c r="S2994" s="8">
        <v>0</v>
      </c>
      <c r="T2994" s="8">
        <v>1</v>
      </c>
      <c r="U2994" s="8">
        <v>2</v>
      </c>
      <c r="AG2994" s="8" t="str">
        <f t="shared" si="185"/>
        <v/>
      </c>
      <c r="AI2994" s="8" t="str">
        <f t="shared" si="186"/>
        <v/>
      </c>
      <c r="AJ2994" s="8" t="str">
        <f t="shared" si="187"/>
        <v/>
      </c>
      <c r="AL2994" s="8" t="str">
        <f t="shared" si="188"/>
        <v/>
      </c>
    </row>
    <row r="2995" spans="1:38" x14ac:dyDescent="0.25">
      <c r="A2995" s="8" t="s">
        <v>2840</v>
      </c>
      <c r="B2995" s="8" t="s">
        <v>2841</v>
      </c>
      <c r="C2995" s="8">
        <v>30876614</v>
      </c>
      <c r="D2995" s="8">
        <v>5</v>
      </c>
      <c r="E2995" s="11">
        <v>43110</v>
      </c>
      <c r="F2995" s="8" t="s">
        <v>57</v>
      </c>
      <c r="G2995" s="11">
        <v>43110</v>
      </c>
      <c r="H2995" s="8" t="s">
        <v>25</v>
      </c>
      <c r="J2995" s="8" t="s">
        <v>25</v>
      </c>
      <c r="N2995" s="8" t="s">
        <v>58</v>
      </c>
      <c r="O2995" s="8" t="s">
        <v>59</v>
      </c>
      <c r="P2995" s="8" t="s">
        <v>59</v>
      </c>
      <c r="R2995" s="8">
        <v>0</v>
      </c>
      <c r="S2995" s="8">
        <v>0</v>
      </c>
      <c r="T2995" s="8">
        <v>1</v>
      </c>
      <c r="U2995" s="8">
        <v>2</v>
      </c>
      <c r="AG2995" s="8" t="str">
        <f t="shared" si="185"/>
        <v/>
      </c>
      <c r="AI2995" s="8" t="str">
        <f t="shared" si="186"/>
        <v/>
      </c>
      <c r="AJ2995" s="8" t="str">
        <f t="shared" si="187"/>
        <v/>
      </c>
      <c r="AL2995" s="8" t="str">
        <f t="shared" si="188"/>
        <v/>
      </c>
    </row>
    <row r="2996" spans="1:38" x14ac:dyDescent="0.25">
      <c r="A2996" s="8" t="s">
        <v>2842</v>
      </c>
      <c r="B2996" s="8" t="s">
        <v>2843</v>
      </c>
      <c r="C2996" s="8">
        <v>30871437</v>
      </c>
      <c r="D2996" s="8">
        <v>5</v>
      </c>
      <c r="E2996" s="11">
        <v>43110</v>
      </c>
      <c r="F2996" s="8" t="s">
        <v>58</v>
      </c>
      <c r="G2996" s="11">
        <v>43110</v>
      </c>
      <c r="H2996" s="8" t="s">
        <v>25</v>
      </c>
      <c r="I2996" s="11">
        <v>43112</v>
      </c>
      <c r="J2996" s="8" t="s">
        <v>25</v>
      </c>
      <c r="N2996" s="8" t="s">
        <v>58</v>
      </c>
      <c r="O2996" s="8" t="s">
        <v>59</v>
      </c>
      <c r="P2996" s="8" t="s">
        <v>59</v>
      </c>
      <c r="R2996" s="8">
        <v>0</v>
      </c>
      <c r="S2996" s="8">
        <v>0</v>
      </c>
      <c r="T2996" s="8">
        <v>1</v>
      </c>
      <c r="U2996" s="8">
        <v>2</v>
      </c>
      <c r="X2996" s="8">
        <v>5</v>
      </c>
      <c r="AG2996" s="8" t="str">
        <f t="shared" si="185"/>
        <v/>
      </c>
      <c r="AI2996" s="8" t="str">
        <f t="shared" si="186"/>
        <v/>
      </c>
      <c r="AJ2996" s="8" t="str">
        <f t="shared" si="187"/>
        <v/>
      </c>
      <c r="AL2996" s="8" t="str">
        <f t="shared" si="188"/>
        <v/>
      </c>
    </row>
    <row r="2997" spans="1:38" x14ac:dyDescent="0.25">
      <c r="A2997" s="8" t="s">
        <v>5966</v>
      </c>
      <c r="B2997" s="8" t="s">
        <v>5967</v>
      </c>
      <c r="C2997" s="8">
        <v>30875831</v>
      </c>
      <c r="D2997" s="8">
        <v>5</v>
      </c>
      <c r="E2997" s="11">
        <v>43110</v>
      </c>
      <c r="F2997" s="8" t="s">
        <v>57</v>
      </c>
      <c r="G2997" s="11">
        <v>43112</v>
      </c>
      <c r="H2997" s="8" t="s">
        <v>25</v>
      </c>
      <c r="J2997" s="8" t="s">
        <v>25</v>
      </c>
      <c r="N2997" s="8" t="s">
        <v>58</v>
      </c>
      <c r="O2997" s="8" t="s">
        <v>59</v>
      </c>
      <c r="P2997" s="8" t="s">
        <v>59</v>
      </c>
      <c r="R2997" s="8">
        <v>0</v>
      </c>
      <c r="S2997" s="8">
        <v>0</v>
      </c>
      <c r="T2997" s="8">
        <v>1</v>
      </c>
      <c r="U2997" s="8">
        <v>2</v>
      </c>
      <c r="AG2997" s="8" t="str">
        <f t="shared" si="185"/>
        <v/>
      </c>
      <c r="AI2997" s="8" t="str">
        <f t="shared" si="186"/>
        <v/>
      </c>
      <c r="AJ2997" s="8" t="str">
        <f t="shared" si="187"/>
        <v/>
      </c>
      <c r="AL2997" s="8" t="str">
        <f t="shared" si="188"/>
        <v/>
      </c>
    </row>
    <row r="2998" spans="1:38" x14ac:dyDescent="0.25">
      <c r="A2998" s="8" t="s">
        <v>620</v>
      </c>
      <c r="B2998" s="8" t="s">
        <v>621</v>
      </c>
      <c r="C2998" s="8">
        <v>30824884</v>
      </c>
      <c r="D2998" s="8">
        <v>5</v>
      </c>
      <c r="E2998" s="11">
        <v>43108</v>
      </c>
      <c r="F2998" s="8" t="s">
        <v>58</v>
      </c>
      <c r="G2998" s="11">
        <v>43108</v>
      </c>
      <c r="H2998" s="8" t="s">
        <v>25</v>
      </c>
      <c r="I2998" s="11">
        <v>43110</v>
      </c>
      <c r="J2998" s="8" t="s">
        <v>25</v>
      </c>
      <c r="N2998" s="8" t="s">
        <v>58</v>
      </c>
      <c r="O2998" s="8" t="s">
        <v>59</v>
      </c>
      <c r="P2998" s="8" t="s">
        <v>59</v>
      </c>
      <c r="R2998" s="8">
        <v>0</v>
      </c>
      <c r="S2998" s="8">
        <v>0</v>
      </c>
      <c r="T2998" s="8">
        <v>1</v>
      </c>
      <c r="U2998" s="8">
        <v>2</v>
      </c>
      <c r="X2998" s="8">
        <v>5</v>
      </c>
      <c r="AG2998" s="8" t="str">
        <f t="shared" si="185"/>
        <v/>
      </c>
      <c r="AI2998" s="8" t="str">
        <f t="shared" si="186"/>
        <v/>
      </c>
      <c r="AJ2998" s="8" t="str">
        <f t="shared" si="187"/>
        <v/>
      </c>
      <c r="AL2998" s="8" t="str">
        <f t="shared" si="188"/>
        <v/>
      </c>
    </row>
    <row r="2999" spans="1:38" x14ac:dyDescent="0.25">
      <c r="A2999" s="8" t="s">
        <v>622</v>
      </c>
      <c r="B2999" s="8" t="s">
        <v>623</v>
      </c>
      <c r="C2999" s="8">
        <v>30821534</v>
      </c>
      <c r="D2999" s="8">
        <v>5</v>
      </c>
      <c r="E2999" s="11">
        <v>43108</v>
      </c>
      <c r="F2999" s="8" t="s">
        <v>58</v>
      </c>
      <c r="G2999" s="11">
        <v>43108</v>
      </c>
      <c r="H2999" s="8" t="s">
        <v>25</v>
      </c>
      <c r="I2999" s="11">
        <v>43110</v>
      </c>
      <c r="J2999" s="8" t="s">
        <v>25</v>
      </c>
      <c r="N2999" s="8" t="s">
        <v>58</v>
      </c>
      <c r="O2999" s="8" t="s">
        <v>59</v>
      </c>
      <c r="P2999" s="8" t="s">
        <v>59</v>
      </c>
      <c r="R2999" s="8">
        <v>0</v>
      </c>
      <c r="S2999" s="8">
        <v>0</v>
      </c>
      <c r="T2999" s="8">
        <v>1</v>
      </c>
      <c r="U2999" s="8">
        <v>2</v>
      </c>
      <c r="X2999" s="8">
        <v>5</v>
      </c>
      <c r="AG2999" s="8" t="str">
        <f t="shared" si="185"/>
        <v/>
      </c>
      <c r="AI2999" s="8" t="str">
        <f t="shared" si="186"/>
        <v/>
      </c>
      <c r="AJ2999" s="8" t="str">
        <f t="shared" si="187"/>
        <v/>
      </c>
      <c r="AL2999" s="8" t="str">
        <f t="shared" si="188"/>
        <v/>
      </c>
    </row>
    <row r="3000" spans="1:38" x14ac:dyDescent="0.25">
      <c r="A3000" s="8" t="s">
        <v>624</v>
      </c>
      <c r="B3000" s="8" t="s">
        <v>625</v>
      </c>
      <c r="C3000" s="8">
        <v>30814786</v>
      </c>
      <c r="D3000" s="8">
        <v>5</v>
      </c>
      <c r="E3000" s="11">
        <v>43108</v>
      </c>
      <c r="F3000" s="8" t="s">
        <v>58</v>
      </c>
      <c r="G3000" s="11">
        <v>43108</v>
      </c>
      <c r="H3000" s="8" t="s">
        <v>25</v>
      </c>
      <c r="I3000" s="11">
        <v>43115</v>
      </c>
      <c r="J3000" s="8" t="s">
        <v>856</v>
      </c>
      <c r="N3000" s="8" t="s">
        <v>58</v>
      </c>
      <c r="O3000" s="8" t="s">
        <v>59</v>
      </c>
      <c r="P3000" s="8" t="s">
        <v>59</v>
      </c>
      <c r="R3000" s="8">
        <v>0</v>
      </c>
      <c r="S3000" s="8">
        <v>0</v>
      </c>
      <c r="T3000" s="8">
        <v>1</v>
      </c>
      <c r="U3000" s="8">
        <v>2</v>
      </c>
      <c r="X3000" s="8">
        <v>5</v>
      </c>
      <c r="AG3000" s="8" t="str">
        <f t="shared" si="185"/>
        <v/>
      </c>
      <c r="AI3000" s="8" t="str">
        <f t="shared" si="186"/>
        <v/>
      </c>
      <c r="AJ3000" s="8" t="str">
        <f t="shared" si="187"/>
        <v/>
      </c>
      <c r="AL3000" s="8" t="str">
        <f t="shared" si="188"/>
        <v/>
      </c>
    </row>
    <row r="3001" spans="1:38" x14ac:dyDescent="0.25">
      <c r="A3001" s="8" t="s">
        <v>7777</v>
      </c>
      <c r="B3001" s="8" t="s">
        <v>7778</v>
      </c>
      <c r="C3001" s="8">
        <v>30890219</v>
      </c>
      <c r="D3001" s="8">
        <v>5</v>
      </c>
      <c r="E3001" s="11">
        <v>43111</v>
      </c>
      <c r="F3001" s="8" t="s">
        <v>58</v>
      </c>
      <c r="G3001" s="11">
        <v>43115</v>
      </c>
      <c r="H3001" s="8" t="s">
        <v>25</v>
      </c>
      <c r="I3001" s="11">
        <v>43115</v>
      </c>
      <c r="J3001" s="8" t="s">
        <v>25</v>
      </c>
      <c r="N3001" s="8" t="s">
        <v>58</v>
      </c>
      <c r="O3001" s="8" t="s">
        <v>59</v>
      </c>
      <c r="P3001" s="8" t="s">
        <v>59</v>
      </c>
      <c r="R3001" s="8">
        <v>0</v>
      </c>
      <c r="S3001" s="8">
        <v>0</v>
      </c>
      <c r="T3001" s="8">
        <v>1</v>
      </c>
      <c r="U3001" s="8">
        <v>2</v>
      </c>
      <c r="X3001" s="8">
        <v>5</v>
      </c>
      <c r="AG3001" s="8" t="str">
        <f t="shared" si="185"/>
        <v/>
      </c>
      <c r="AI3001" s="8" t="str">
        <f t="shared" si="186"/>
        <v/>
      </c>
      <c r="AJ3001" s="8" t="str">
        <f t="shared" si="187"/>
        <v/>
      </c>
      <c r="AL3001" s="8" t="str">
        <f t="shared" si="188"/>
        <v/>
      </c>
    </row>
    <row r="3002" spans="1:38" x14ac:dyDescent="0.25">
      <c r="A3002" s="8" t="s">
        <v>4302</v>
      </c>
      <c r="B3002" s="8" t="s">
        <v>4303</v>
      </c>
      <c r="C3002" s="8">
        <v>30848173</v>
      </c>
      <c r="D3002" s="8">
        <v>4</v>
      </c>
      <c r="E3002" s="11">
        <v>43109</v>
      </c>
      <c r="F3002" s="8" t="s">
        <v>57</v>
      </c>
      <c r="G3002" s="11">
        <v>43111</v>
      </c>
      <c r="H3002" s="8" t="s">
        <v>25</v>
      </c>
      <c r="J3002" s="8" t="s">
        <v>25</v>
      </c>
      <c r="N3002" s="8" t="s">
        <v>58</v>
      </c>
      <c r="O3002" s="8" t="s">
        <v>59</v>
      </c>
      <c r="P3002" s="8" t="s">
        <v>59</v>
      </c>
      <c r="R3002" s="8">
        <v>0</v>
      </c>
      <c r="S3002" s="8">
        <v>0</v>
      </c>
      <c r="T3002" s="8">
        <v>1</v>
      </c>
      <c r="U3002" s="8">
        <v>2</v>
      </c>
      <c r="AG3002" s="8" t="str">
        <f t="shared" si="185"/>
        <v/>
      </c>
      <c r="AI3002" s="8" t="str">
        <f t="shared" si="186"/>
        <v/>
      </c>
      <c r="AJ3002" s="8" t="str">
        <f t="shared" si="187"/>
        <v/>
      </c>
      <c r="AL3002" s="8" t="str">
        <f t="shared" si="188"/>
        <v/>
      </c>
    </row>
    <row r="3003" spans="1:38" x14ac:dyDescent="0.25">
      <c r="A3003" s="8" t="s">
        <v>2844</v>
      </c>
      <c r="B3003" s="8" t="s">
        <v>2845</v>
      </c>
      <c r="C3003" s="8">
        <v>30827931</v>
      </c>
      <c r="D3003" s="8">
        <v>5</v>
      </c>
      <c r="E3003" s="11">
        <v>43108</v>
      </c>
      <c r="F3003" s="8" t="s">
        <v>58</v>
      </c>
      <c r="G3003" s="11">
        <v>43110</v>
      </c>
      <c r="H3003" s="8" t="s">
        <v>25</v>
      </c>
      <c r="I3003" s="11">
        <v>43115</v>
      </c>
      <c r="J3003" s="8" t="s">
        <v>145</v>
      </c>
      <c r="N3003" s="8" t="s">
        <v>58</v>
      </c>
      <c r="O3003" s="8" t="s">
        <v>59</v>
      </c>
      <c r="P3003" s="8" t="s">
        <v>59</v>
      </c>
      <c r="R3003" s="8">
        <v>0</v>
      </c>
      <c r="S3003" s="8">
        <v>0</v>
      </c>
      <c r="T3003" s="8">
        <v>1</v>
      </c>
      <c r="U3003" s="8">
        <v>2</v>
      </c>
      <c r="X3003" s="8">
        <v>5</v>
      </c>
      <c r="AG3003" s="8" t="str">
        <f t="shared" si="185"/>
        <v/>
      </c>
      <c r="AI3003" s="8" t="str">
        <f t="shared" si="186"/>
        <v/>
      </c>
      <c r="AJ3003" s="8" t="str">
        <f t="shared" si="187"/>
        <v/>
      </c>
      <c r="AL3003" s="8" t="str">
        <f t="shared" si="188"/>
        <v/>
      </c>
    </row>
    <row r="3004" spans="1:38" x14ac:dyDescent="0.25">
      <c r="A3004" s="8" t="s">
        <v>5968</v>
      </c>
      <c r="B3004" s="8" t="s">
        <v>5969</v>
      </c>
      <c r="C3004" s="8">
        <v>30888454</v>
      </c>
      <c r="D3004" s="8">
        <v>5</v>
      </c>
      <c r="E3004" s="11">
        <v>43111</v>
      </c>
      <c r="F3004" s="8" t="s">
        <v>57</v>
      </c>
      <c r="G3004" s="11">
        <v>43112</v>
      </c>
      <c r="H3004" s="8" t="s">
        <v>25</v>
      </c>
      <c r="J3004" s="8" t="s">
        <v>25</v>
      </c>
      <c r="N3004" s="8" t="s">
        <v>58</v>
      </c>
      <c r="O3004" s="8" t="s">
        <v>59</v>
      </c>
      <c r="P3004" s="8" t="s">
        <v>59</v>
      </c>
      <c r="R3004" s="8">
        <v>0</v>
      </c>
      <c r="S3004" s="8">
        <v>0</v>
      </c>
      <c r="T3004" s="8">
        <v>1</v>
      </c>
      <c r="U3004" s="8">
        <v>2</v>
      </c>
      <c r="AG3004" s="8" t="str">
        <f t="shared" si="185"/>
        <v/>
      </c>
      <c r="AI3004" s="8" t="str">
        <f t="shared" si="186"/>
        <v/>
      </c>
      <c r="AJ3004" s="8" t="str">
        <f t="shared" si="187"/>
        <v/>
      </c>
      <c r="AL3004" s="8" t="str">
        <f t="shared" si="188"/>
        <v/>
      </c>
    </row>
    <row r="3005" spans="1:38" x14ac:dyDescent="0.25">
      <c r="A3005" s="8" t="s">
        <v>7779</v>
      </c>
      <c r="B3005" s="8" t="s">
        <v>7780</v>
      </c>
      <c r="C3005" s="8">
        <v>30894682</v>
      </c>
      <c r="D3005" s="8">
        <v>5</v>
      </c>
      <c r="E3005" s="11">
        <v>43111</v>
      </c>
      <c r="F3005" s="8" t="s">
        <v>57</v>
      </c>
      <c r="G3005" s="11">
        <v>43115</v>
      </c>
      <c r="H3005" s="8" t="s">
        <v>25</v>
      </c>
      <c r="J3005" s="8" t="s">
        <v>25</v>
      </c>
      <c r="N3005" s="8" t="s">
        <v>58</v>
      </c>
      <c r="O3005" s="8" t="s">
        <v>59</v>
      </c>
      <c r="P3005" s="8" t="s">
        <v>59</v>
      </c>
      <c r="R3005" s="8">
        <v>0</v>
      </c>
      <c r="S3005" s="8">
        <v>0</v>
      </c>
      <c r="T3005" s="8">
        <v>1</v>
      </c>
      <c r="U3005" s="8">
        <v>2</v>
      </c>
      <c r="AG3005" s="8" t="str">
        <f t="shared" si="185"/>
        <v/>
      </c>
      <c r="AI3005" s="8" t="str">
        <f t="shared" si="186"/>
        <v/>
      </c>
      <c r="AJ3005" s="8" t="str">
        <f t="shared" si="187"/>
        <v/>
      </c>
      <c r="AL3005" s="8" t="str">
        <f t="shared" si="188"/>
        <v/>
      </c>
    </row>
    <row r="3006" spans="1:38" x14ac:dyDescent="0.25">
      <c r="A3006" s="8" t="s">
        <v>5970</v>
      </c>
      <c r="B3006" s="8" t="s">
        <v>5971</v>
      </c>
      <c r="C3006" s="8">
        <v>30862082</v>
      </c>
      <c r="D3006" s="8">
        <v>5</v>
      </c>
      <c r="E3006" s="11">
        <v>43110</v>
      </c>
      <c r="F3006" s="8" t="s">
        <v>58</v>
      </c>
      <c r="G3006" s="11">
        <v>43112</v>
      </c>
      <c r="H3006" s="8" t="s">
        <v>25</v>
      </c>
      <c r="I3006" s="11">
        <v>43112</v>
      </c>
      <c r="J3006" s="8" t="s">
        <v>25</v>
      </c>
      <c r="N3006" s="8" t="s">
        <v>58</v>
      </c>
      <c r="O3006" s="8" t="s">
        <v>59</v>
      </c>
      <c r="P3006" s="8" t="s">
        <v>59</v>
      </c>
      <c r="R3006" s="8">
        <v>0</v>
      </c>
      <c r="S3006" s="8">
        <v>0</v>
      </c>
      <c r="T3006" s="8">
        <v>1</v>
      </c>
      <c r="U3006" s="8">
        <v>2</v>
      </c>
      <c r="X3006" s="8">
        <v>5</v>
      </c>
      <c r="AG3006" s="8" t="str">
        <f t="shared" si="185"/>
        <v/>
      </c>
      <c r="AI3006" s="8" t="str">
        <f t="shared" si="186"/>
        <v/>
      </c>
      <c r="AJ3006" s="8" t="str">
        <f t="shared" si="187"/>
        <v/>
      </c>
      <c r="AL3006" s="8" t="str">
        <f t="shared" si="188"/>
        <v/>
      </c>
    </row>
    <row r="3007" spans="1:38" x14ac:dyDescent="0.25">
      <c r="A3007" s="8" t="s">
        <v>2846</v>
      </c>
      <c r="B3007" s="8" t="s">
        <v>2847</v>
      </c>
      <c r="C3007" s="8">
        <v>30814343</v>
      </c>
      <c r="D3007" s="8">
        <v>5</v>
      </c>
      <c r="E3007" s="11">
        <v>43108</v>
      </c>
      <c r="F3007" s="8" t="s">
        <v>58</v>
      </c>
      <c r="G3007" s="11">
        <v>43110</v>
      </c>
      <c r="H3007" s="8" t="s">
        <v>25</v>
      </c>
      <c r="I3007" s="11">
        <v>43110</v>
      </c>
      <c r="J3007" s="8" t="s">
        <v>25</v>
      </c>
      <c r="N3007" s="8" t="s">
        <v>58</v>
      </c>
      <c r="O3007" s="8" t="s">
        <v>59</v>
      </c>
      <c r="P3007" s="8" t="s">
        <v>59</v>
      </c>
      <c r="R3007" s="8">
        <v>0</v>
      </c>
      <c r="S3007" s="8">
        <v>0</v>
      </c>
      <c r="T3007" s="8">
        <v>1</v>
      </c>
      <c r="U3007" s="8">
        <v>2</v>
      </c>
      <c r="X3007" s="8">
        <v>5</v>
      </c>
      <c r="AG3007" s="8" t="str">
        <f t="shared" si="185"/>
        <v/>
      </c>
      <c r="AI3007" s="8" t="str">
        <f t="shared" si="186"/>
        <v/>
      </c>
      <c r="AJ3007" s="8" t="str">
        <f t="shared" si="187"/>
        <v/>
      </c>
      <c r="AL3007" s="8" t="str">
        <f t="shared" si="188"/>
        <v/>
      </c>
    </row>
    <row r="3008" spans="1:38" x14ac:dyDescent="0.25">
      <c r="A3008" s="8" t="s">
        <v>5972</v>
      </c>
      <c r="B3008" s="8" t="s">
        <v>5973</v>
      </c>
      <c r="C3008" s="8">
        <v>30867480</v>
      </c>
      <c r="D3008" s="8">
        <v>5</v>
      </c>
      <c r="E3008" s="11">
        <v>43110</v>
      </c>
      <c r="F3008" s="8" t="s">
        <v>58</v>
      </c>
      <c r="G3008" s="11">
        <v>43112</v>
      </c>
      <c r="H3008" s="8" t="s">
        <v>25</v>
      </c>
      <c r="I3008" s="11">
        <v>43115</v>
      </c>
      <c r="J3008" s="8" t="s">
        <v>25</v>
      </c>
      <c r="N3008" s="8" t="s">
        <v>58</v>
      </c>
      <c r="O3008" s="8" t="s">
        <v>59</v>
      </c>
      <c r="P3008" s="8" t="s">
        <v>59</v>
      </c>
      <c r="R3008" s="8">
        <v>0</v>
      </c>
      <c r="S3008" s="8">
        <v>0</v>
      </c>
      <c r="T3008" s="8">
        <v>1</v>
      </c>
      <c r="U3008" s="8">
        <v>2</v>
      </c>
      <c r="X3008" s="8">
        <v>5</v>
      </c>
      <c r="AG3008" s="8" t="str">
        <f t="shared" si="185"/>
        <v/>
      </c>
      <c r="AI3008" s="8" t="str">
        <f t="shared" si="186"/>
        <v/>
      </c>
      <c r="AJ3008" s="8" t="str">
        <f t="shared" si="187"/>
        <v/>
      </c>
      <c r="AL3008" s="8" t="str">
        <f t="shared" si="188"/>
        <v/>
      </c>
    </row>
    <row r="3009" spans="1:38" x14ac:dyDescent="0.25">
      <c r="A3009" s="8" t="s">
        <v>2848</v>
      </c>
      <c r="B3009" s="8" t="s">
        <v>2849</v>
      </c>
      <c r="C3009" s="8">
        <v>30815474</v>
      </c>
      <c r="D3009" s="8">
        <v>5</v>
      </c>
      <c r="E3009" s="11">
        <v>43108</v>
      </c>
      <c r="F3009" s="8" t="s">
        <v>58</v>
      </c>
      <c r="G3009" s="11">
        <v>43110</v>
      </c>
      <c r="H3009" s="8" t="s">
        <v>25</v>
      </c>
      <c r="I3009" s="11">
        <v>43110</v>
      </c>
      <c r="J3009" s="8" t="s">
        <v>25</v>
      </c>
      <c r="N3009" s="8" t="s">
        <v>58</v>
      </c>
      <c r="O3009" s="8" t="s">
        <v>59</v>
      </c>
      <c r="P3009" s="8" t="s">
        <v>59</v>
      </c>
      <c r="R3009" s="8">
        <v>0</v>
      </c>
      <c r="S3009" s="8">
        <v>0</v>
      </c>
      <c r="T3009" s="8">
        <v>1</v>
      </c>
      <c r="U3009" s="8">
        <v>2</v>
      </c>
      <c r="X3009" s="8">
        <v>5</v>
      </c>
      <c r="AG3009" s="8" t="str">
        <f t="shared" si="185"/>
        <v/>
      </c>
      <c r="AI3009" s="8" t="str">
        <f t="shared" si="186"/>
        <v/>
      </c>
      <c r="AJ3009" s="8" t="str">
        <f t="shared" si="187"/>
        <v/>
      </c>
      <c r="AL3009" s="8" t="str">
        <f t="shared" si="188"/>
        <v/>
      </c>
    </row>
    <row r="3010" spans="1:38" x14ac:dyDescent="0.25">
      <c r="A3010" s="8" t="s">
        <v>1450</v>
      </c>
      <c r="B3010" s="8" t="s">
        <v>1451</v>
      </c>
      <c r="C3010" s="8">
        <v>30837776</v>
      </c>
      <c r="D3010" s="8">
        <v>5</v>
      </c>
      <c r="E3010" s="11">
        <v>43109</v>
      </c>
      <c r="F3010" s="8" t="s">
        <v>58</v>
      </c>
      <c r="G3010" s="11">
        <v>43109</v>
      </c>
      <c r="H3010" s="8" t="s">
        <v>25</v>
      </c>
      <c r="I3010" s="11">
        <v>43110</v>
      </c>
      <c r="J3010" s="8" t="s">
        <v>25</v>
      </c>
      <c r="N3010" s="8" t="s">
        <v>58</v>
      </c>
      <c r="O3010" s="8" t="s">
        <v>59</v>
      </c>
      <c r="P3010" s="8" t="s">
        <v>59</v>
      </c>
      <c r="R3010" s="8">
        <v>0</v>
      </c>
      <c r="S3010" s="8">
        <v>0</v>
      </c>
      <c r="T3010" s="8">
        <v>1</v>
      </c>
      <c r="U3010" s="8">
        <v>2</v>
      </c>
      <c r="X3010" s="8">
        <v>5</v>
      </c>
      <c r="AG3010" s="8" t="str">
        <f t="shared" si="185"/>
        <v/>
      </c>
      <c r="AI3010" s="8" t="str">
        <f t="shared" si="186"/>
        <v/>
      </c>
      <c r="AJ3010" s="8" t="str">
        <f t="shared" si="187"/>
        <v/>
      </c>
      <c r="AL3010" s="8" t="str">
        <f t="shared" si="188"/>
        <v/>
      </c>
    </row>
    <row r="3011" spans="1:38" x14ac:dyDescent="0.25">
      <c r="A3011" s="8" t="s">
        <v>7781</v>
      </c>
      <c r="B3011" s="8" t="s">
        <v>7782</v>
      </c>
      <c r="C3011" s="8">
        <v>30891691</v>
      </c>
      <c r="D3011" s="8">
        <v>5</v>
      </c>
      <c r="E3011" s="11">
        <v>43111</v>
      </c>
      <c r="F3011" s="8" t="s">
        <v>58</v>
      </c>
      <c r="G3011" s="11">
        <v>43115</v>
      </c>
      <c r="H3011" s="8" t="s">
        <v>25</v>
      </c>
      <c r="I3011" s="11">
        <v>43115</v>
      </c>
      <c r="J3011" s="8" t="s">
        <v>25</v>
      </c>
      <c r="N3011" s="8" t="s">
        <v>58</v>
      </c>
      <c r="O3011" s="8" t="s">
        <v>59</v>
      </c>
      <c r="P3011" s="8" t="s">
        <v>59</v>
      </c>
      <c r="R3011" s="8">
        <v>0</v>
      </c>
      <c r="S3011" s="8">
        <v>0</v>
      </c>
      <c r="T3011" s="8">
        <v>1</v>
      </c>
      <c r="U3011" s="8">
        <v>2</v>
      </c>
      <c r="X3011" s="8">
        <v>5</v>
      </c>
      <c r="AG3011" s="8" t="str">
        <f t="shared" ref="AG3011:AG3074" si="189">IF(AND(U3011="",G3011&lt;&gt;"",NOT(OR(R3011,S3011))),IF(NETWORKDAYS.INTL(G3011,TODAY(),11)&lt;5,"En Plazo",IF(NETWORKDAYS.INTL(G3011,TODAY(),11)=5,"Riesgo Incumplimiento","FALTA_02")),"")</f>
        <v/>
      </c>
      <c r="AI3011" s="8" t="str">
        <f t="shared" ref="AI3011:AI3074" si="190">IF(AND(O3011&lt;&gt;"B1",F3011="Rejected"),IF(W3011="","FALTA_04",""),"")</f>
        <v/>
      </c>
      <c r="AJ3011" s="8" t="str">
        <f t="shared" ref="AJ3011:AJ3074" si="191">IF(AND(X3011="",I3011&lt;&gt;"",NOT(OR(R3011,S3011))),IF(NETWORKDAYS.INTL(G3011,TODAY(),11)&lt;=1,"En Plazo",IF(OR(AND(X3011="",O3011&lt;&gt;"M1"),AND(O3011="M1",(OR(Q3011="S - S",Q3011="S - T",)))),"FALTA_05","")),"")</f>
        <v/>
      </c>
      <c r="AL3011" s="8" t="str">
        <f t="shared" ref="AL3011:AL3074" si="192">IF(AND(O3011="B1",F3011="Rejected"),IF(Z3011="","FALTA_07",""),"")</f>
        <v/>
      </c>
    </row>
    <row r="3012" spans="1:38" x14ac:dyDescent="0.25">
      <c r="A3012" s="8" t="s">
        <v>7783</v>
      </c>
      <c r="B3012" s="8" t="s">
        <v>7784</v>
      </c>
      <c r="C3012" s="8">
        <v>30898477</v>
      </c>
      <c r="D3012" s="8">
        <v>5</v>
      </c>
      <c r="E3012" s="11">
        <v>43111</v>
      </c>
      <c r="F3012" s="8" t="s">
        <v>58</v>
      </c>
      <c r="G3012" s="11">
        <v>43115</v>
      </c>
      <c r="H3012" s="8" t="s">
        <v>25</v>
      </c>
      <c r="I3012" s="11">
        <v>43115</v>
      </c>
      <c r="J3012" s="8" t="s">
        <v>25</v>
      </c>
      <c r="N3012" s="8" t="s">
        <v>58</v>
      </c>
      <c r="O3012" s="8" t="s">
        <v>59</v>
      </c>
      <c r="P3012" s="8" t="s">
        <v>59</v>
      </c>
      <c r="R3012" s="8">
        <v>0</v>
      </c>
      <c r="S3012" s="8">
        <v>0</v>
      </c>
      <c r="T3012" s="8">
        <v>1</v>
      </c>
      <c r="U3012" s="8">
        <v>2</v>
      </c>
      <c r="X3012" s="8">
        <v>5</v>
      </c>
      <c r="AG3012" s="8" t="str">
        <f t="shared" si="189"/>
        <v/>
      </c>
      <c r="AI3012" s="8" t="str">
        <f t="shared" si="190"/>
        <v/>
      </c>
      <c r="AJ3012" s="8" t="str">
        <f t="shared" si="191"/>
        <v/>
      </c>
      <c r="AL3012" s="8" t="str">
        <f t="shared" si="192"/>
        <v/>
      </c>
    </row>
    <row r="3013" spans="1:38" x14ac:dyDescent="0.25">
      <c r="A3013" s="8" t="s">
        <v>7785</v>
      </c>
      <c r="B3013" s="8" t="s">
        <v>7786</v>
      </c>
      <c r="C3013" s="8">
        <v>30890919</v>
      </c>
      <c r="D3013" s="8">
        <v>5</v>
      </c>
      <c r="E3013" s="11">
        <v>43111</v>
      </c>
      <c r="F3013" s="8" t="s">
        <v>57</v>
      </c>
      <c r="G3013" s="11">
        <v>43115</v>
      </c>
      <c r="H3013" s="8" t="s">
        <v>25</v>
      </c>
      <c r="J3013" s="8" t="s">
        <v>25</v>
      </c>
      <c r="N3013" s="8" t="s">
        <v>58</v>
      </c>
      <c r="O3013" s="8" t="s">
        <v>59</v>
      </c>
      <c r="P3013" s="8" t="s">
        <v>59</v>
      </c>
      <c r="R3013" s="8">
        <v>0</v>
      </c>
      <c r="S3013" s="8">
        <v>0</v>
      </c>
      <c r="T3013" s="8">
        <v>1</v>
      </c>
      <c r="U3013" s="8">
        <v>2</v>
      </c>
      <c r="AG3013" s="8" t="str">
        <f t="shared" si="189"/>
        <v/>
      </c>
      <c r="AI3013" s="8" t="str">
        <f t="shared" si="190"/>
        <v/>
      </c>
      <c r="AJ3013" s="8" t="str">
        <f t="shared" si="191"/>
        <v/>
      </c>
      <c r="AL3013" s="8" t="str">
        <f t="shared" si="192"/>
        <v/>
      </c>
    </row>
    <row r="3014" spans="1:38" x14ac:dyDescent="0.25">
      <c r="A3014" s="8" t="s">
        <v>7787</v>
      </c>
      <c r="B3014" s="8" t="s">
        <v>7788</v>
      </c>
      <c r="C3014" s="8">
        <v>30887921</v>
      </c>
      <c r="D3014" s="8">
        <v>5</v>
      </c>
      <c r="E3014" s="11">
        <v>43111</v>
      </c>
      <c r="F3014" s="8" t="s">
        <v>58</v>
      </c>
      <c r="G3014" s="11">
        <v>43115</v>
      </c>
      <c r="H3014" s="8" t="s">
        <v>25</v>
      </c>
      <c r="I3014" s="11">
        <v>43115</v>
      </c>
      <c r="J3014" s="8" t="s">
        <v>25</v>
      </c>
      <c r="N3014" s="8" t="s">
        <v>58</v>
      </c>
      <c r="O3014" s="8" t="s">
        <v>59</v>
      </c>
      <c r="P3014" s="8" t="s">
        <v>59</v>
      </c>
      <c r="R3014" s="8">
        <v>0</v>
      </c>
      <c r="S3014" s="8">
        <v>0</v>
      </c>
      <c r="T3014" s="8">
        <v>1</v>
      </c>
      <c r="U3014" s="8">
        <v>2</v>
      </c>
      <c r="X3014" s="8">
        <v>5</v>
      </c>
      <c r="AG3014" s="8" t="str">
        <f t="shared" si="189"/>
        <v/>
      </c>
      <c r="AI3014" s="8" t="str">
        <f t="shared" si="190"/>
        <v/>
      </c>
      <c r="AJ3014" s="8" t="str">
        <f t="shared" si="191"/>
        <v/>
      </c>
      <c r="AL3014" s="8" t="str">
        <f t="shared" si="192"/>
        <v/>
      </c>
    </row>
    <row r="3015" spans="1:38" x14ac:dyDescent="0.25">
      <c r="A3015" s="8" t="s">
        <v>4304</v>
      </c>
      <c r="B3015" s="8" t="s">
        <v>4305</v>
      </c>
      <c r="C3015" s="8">
        <v>30834058</v>
      </c>
      <c r="D3015" s="8">
        <v>4</v>
      </c>
      <c r="E3015" s="11">
        <v>43109</v>
      </c>
      <c r="F3015" s="8" t="s">
        <v>58</v>
      </c>
      <c r="G3015" s="11">
        <v>43111</v>
      </c>
      <c r="H3015" s="8" t="s">
        <v>25</v>
      </c>
      <c r="I3015" s="11">
        <v>43115</v>
      </c>
      <c r="J3015" s="8" t="s">
        <v>25</v>
      </c>
      <c r="N3015" s="8" t="s">
        <v>58</v>
      </c>
      <c r="O3015" s="8" t="s">
        <v>59</v>
      </c>
      <c r="P3015" s="8" t="s">
        <v>59</v>
      </c>
      <c r="R3015" s="8">
        <v>0</v>
      </c>
      <c r="S3015" s="8">
        <v>0</v>
      </c>
      <c r="T3015" s="8">
        <v>1</v>
      </c>
      <c r="U3015" s="8">
        <v>2</v>
      </c>
      <c r="X3015" s="8">
        <v>5</v>
      </c>
      <c r="AG3015" s="8" t="str">
        <f t="shared" si="189"/>
        <v/>
      </c>
      <c r="AI3015" s="8" t="str">
        <f t="shared" si="190"/>
        <v/>
      </c>
      <c r="AJ3015" s="8" t="str">
        <f t="shared" si="191"/>
        <v/>
      </c>
      <c r="AL3015" s="8" t="str">
        <f t="shared" si="192"/>
        <v/>
      </c>
    </row>
    <row r="3016" spans="1:38" x14ac:dyDescent="0.25">
      <c r="A3016" s="8" t="s">
        <v>2850</v>
      </c>
      <c r="B3016" s="8" t="s">
        <v>2851</v>
      </c>
      <c r="C3016" s="8">
        <v>30842332</v>
      </c>
      <c r="D3016" s="8">
        <v>4</v>
      </c>
      <c r="E3016" s="11">
        <v>43109</v>
      </c>
      <c r="F3016" s="8" t="s">
        <v>57</v>
      </c>
      <c r="G3016" s="11">
        <v>43110</v>
      </c>
      <c r="H3016" s="8" t="s">
        <v>25</v>
      </c>
      <c r="J3016" s="8" t="s">
        <v>25</v>
      </c>
      <c r="N3016" s="8" t="s">
        <v>58</v>
      </c>
      <c r="O3016" s="8" t="s">
        <v>59</v>
      </c>
      <c r="P3016" s="8" t="s">
        <v>59</v>
      </c>
      <c r="R3016" s="8">
        <v>0</v>
      </c>
      <c r="S3016" s="8">
        <v>0</v>
      </c>
      <c r="T3016" s="8">
        <v>1</v>
      </c>
      <c r="U3016" s="8">
        <v>2</v>
      </c>
      <c r="AG3016" s="8" t="str">
        <f t="shared" si="189"/>
        <v/>
      </c>
      <c r="AI3016" s="8" t="str">
        <f t="shared" si="190"/>
        <v/>
      </c>
      <c r="AJ3016" s="8" t="str">
        <f t="shared" si="191"/>
        <v/>
      </c>
      <c r="AL3016" s="8" t="str">
        <f t="shared" si="192"/>
        <v/>
      </c>
    </row>
    <row r="3017" spans="1:38" x14ac:dyDescent="0.25">
      <c r="A3017" s="8" t="s">
        <v>7789</v>
      </c>
      <c r="B3017" s="8" t="s">
        <v>7790</v>
      </c>
      <c r="C3017" s="8">
        <v>30942675</v>
      </c>
      <c r="D3017" s="8">
        <v>5</v>
      </c>
      <c r="E3017" s="11">
        <v>43115</v>
      </c>
      <c r="F3017" s="8" t="s">
        <v>57</v>
      </c>
      <c r="G3017" s="11">
        <v>43115</v>
      </c>
      <c r="H3017" s="8" t="s">
        <v>25</v>
      </c>
      <c r="J3017" s="8" t="s">
        <v>25</v>
      </c>
      <c r="N3017" s="8" t="s">
        <v>58</v>
      </c>
      <c r="O3017" s="8" t="s">
        <v>59</v>
      </c>
      <c r="P3017" s="8" t="s">
        <v>59</v>
      </c>
      <c r="R3017" s="8">
        <v>0</v>
      </c>
      <c r="S3017" s="8">
        <v>0</v>
      </c>
      <c r="T3017" s="8">
        <v>1</v>
      </c>
      <c r="U3017" s="8">
        <v>2</v>
      </c>
      <c r="AG3017" s="8" t="str">
        <f t="shared" si="189"/>
        <v/>
      </c>
      <c r="AI3017" s="8" t="str">
        <f t="shared" si="190"/>
        <v/>
      </c>
      <c r="AJ3017" s="8" t="str">
        <f t="shared" si="191"/>
        <v/>
      </c>
      <c r="AL3017" s="8" t="str">
        <f t="shared" si="192"/>
        <v/>
      </c>
    </row>
    <row r="3018" spans="1:38" x14ac:dyDescent="0.25">
      <c r="A3018" s="8" t="s">
        <v>5974</v>
      </c>
      <c r="B3018" s="8" t="s">
        <v>5975</v>
      </c>
      <c r="C3018" s="8">
        <v>30858339</v>
      </c>
      <c r="D3018" s="8">
        <v>5</v>
      </c>
      <c r="E3018" s="11">
        <v>43110</v>
      </c>
      <c r="F3018" s="8" t="s">
        <v>58</v>
      </c>
      <c r="G3018" s="11">
        <v>43112</v>
      </c>
      <c r="H3018" s="8" t="s">
        <v>25</v>
      </c>
      <c r="I3018" s="11">
        <v>43112</v>
      </c>
      <c r="J3018" s="8" t="s">
        <v>25</v>
      </c>
      <c r="N3018" s="8" t="s">
        <v>58</v>
      </c>
      <c r="O3018" s="8" t="s">
        <v>59</v>
      </c>
      <c r="P3018" s="8" t="s">
        <v>59</v>
      </c>
      <c r="R3018" s="8">
        <v>0</v>
      </c>
      <c r="S3018" s="8">
        <v>0</v>
      </c>
      <c r="T3018" s="8">
        <v>1</v>
      </c>
      <c r="U3018" s="8">
        <v>2</v>
      </c>
      <c r="X3018" s="8">
        <v>5</v>
      </c>
      <c r="AG3018" s="8" t="str">
        <f t="shared" si="189"/>
        <v/>
      </c>
      <c r="AI3018" s="8" t="str">
        <f t="shared" si="190"/>
        <v/>
      </c>
      <c r="AJ3018" s="8" t="str">
        <f t="shared" si="191"/>
        <v/>
      </c>
      <c r="AL3018" s="8" t="str">
        <f t="shared" si="192"/>
        <v/>
      </c>
    </row>
    <row r="3019" spans="1:38" x14ac:dyDescent="0.25">
      <c r="A3019" s="8" t="s">
        <v>5976</v>
      </c>
      <c r="B3019" s="8" t="s">
        <v>5977</v>
      </c>
      <c r="C3019" s="8">
        <v>30900519</v>
      </c>
      <c r="D3019" s="8">
        <v>5</v>
      </c>
      <c r="E3019" s="11">
        <v>43111</v>
      </c>
      <c r="F3019" s="8" t="s">
        <v>58</v>
      </c>
      <c r="G3019" s="11">
        <v>43112</v>
      </c>
      <c r="H3019" s="8" t="s">
        <v>25</v>
      </c>
      <c r="I3019" s="11">
        <v>43112</v>
      </c>
      <c r="J3019" s="8" t="s">
        <v>25</v>
      </c>
      <c r="N3019" s="8" t="s">
        <v>58</v>
      </c>
      <c r="O3019" s="8" t="s">
        <v>59</v>
      </c>
      <c r="P3019" s="8" t="s">
        <v>59</v>
      </c>
      <c r="R3019" s="8">
        <v>0</v>
      </c>
      <c r="S3019" s="8">
        <v>0</v>
      </c>
      <c r="T3019" s="8">
        <v>1</v>
      </c>
      <c r="U3019" s="8">
        <v>2</v>
      </c>
      <c r="X3019" s="8">
        <v>5</v>
      </c>
      <c r="AG3019" s="8" t="str">
        <f t="shared" si="189"/>
        <v/>
      </c>
      <c r="AI3019" s="8" t="str">
        <f t="shared" si="190"/>
        <v/>
      </c>
      <c r="AJ3019" s="8" t="str">
        <f t="shared" si="191"/>
        <v/>
      </c>
      <c r="AL3019" s="8" t="str">
        <f t="shared" si="192"/>
        <v/>
      </c>
    </row>
    <row r="3020" spans="1:38" x14ac:dyDescent="0.25">
      <c r="A3020" s="8" t="s">
        <v>4306</v>
      </c>
      <c r="B3020" s="8" t="s">
        <v>4307</v>
      </c>
      <c r="C3020" s="8">
        <v>30831745</v>
      </c>
      <c r="D3020" s="8">
        <v>5</v>
      </c>
      <c r="E3020" s="11">
        <v>43109</v>
      </c>
      <c r="F3020" s="8" t="s">
        <v>58</v>
      </c>
      <c r="G3020" s="11">
        <v>43111</v>
      </c>
      <c r="H3020" s="8" t="s">
        <v>25</v>
      </c>
      <c r="I3020" s="11">
        <v>43111</v>
      </c>
      <c r="J3020" s="8" t="s">
        <v>25</v>
      </c>
      <c r="N3020" s="8" t="s">
        <v>58</v>
      </c>
      <c r="O3020" s="8" t="s">
        <v>59</v>
      </c>
      <c r="P3020" s="8" t="s">
        <v>59</v>
      </c>
      <c r="R3020" s="8">
        <v>0</v>
      </c>
      <c r="S3020" s="8">
        <v>0</v>
      </c>
      <c r="T3020" s="8">
        <v>1</v>
      </c>
      <c r="U3020" s="8">
        <v>2</v>
      </c>
      <c r="X3020" s="8">
        <v>5</v>
      </c>
      <c r="AG3020" s="8" t="str">
        <f t="shared" si="189"/>
        <v/>
      </c>
      <c r="AI3020" s="8" t="str">
        <f t="shared" si="190"/>
        <v/>
      </c>
      <c r="AJ3020" s="8" t="str">
        <f t="shared" si="191"/>
        <v/>
      </c>
      <c r="AL3020" s="8" t="str">
        <f t="shared" si="192"/>
        <v/>
      </c>
    </row>
    <row r="3021" spans="1:38" x14ac:dyDescent="0.25">
      <c r="A3021" s="8" t="s">
        <v>5978</v>
      </c>
      <c r="B3021" s="8" t="s">
        <v>5979</v>
      </c>
      <c r="C3021" s="8">
        <v>30869616</v>
      </c>
      <c r="D3021" s="8">
        <v>5</v>
      </c>
      <c r="E3021" s="11">
        <v>43110</v>
      </c>
      <c r="F3021" s="8" t="s">
        <v>58</v>
      </c>
      <c r="G3021" s="11">
        <v>43112</v>
      </c>
      <c r="H3021" s="8" t="s">
        <v>25</v>
      </c>
      <c r="I3021" s="11">
        <v>43112</v>
      </c>
      <c r="J3021" s="8" t="s">
        <v>25</v>
      </c>
      <c r="N3021" s="8" t="s">
        <v>58</v>
      </c>
      <c r="O3021" s="8" t="s">
        <v>59</v>
      </c>
      <c r="P3021" s="8" t="s">
        <v>59</v>
      </c>
      <c r="R3021" s="8">
        <v>0</v>
      </c>
      <c r="S3021" s="8">
        <v>0</v>
      </c>
      <c r="T3021" s="8">
        <v>1</v>
      </c>
      <c r="U3021" s="8">
        <v>2</v>
      </c>
      <c r="X3021" s="8">
        <v>5</v>
      </c>
      <c r="AG3021" s="8" t="str">
        <f t="shared" si="189"/>
        <v/>
      </c>
      <c r="AI3021" s="8" t="str">
        <f t="shared" si="190"/>
        <v/>
      </c>
      <c r="AJ3021" s="8" t="str">
        <f t="shared" si="191"/>
        <v/>
      </c>
      <c r="AL3021" s="8" t="str">
        <f t="shared" si="192"/>
        <v/>
      </c>
    </row>
    <row r="3022" spans="1:38" x14ac:dyDescent="0.25">
      <c r="A3022" s="8" t="s">
        <v>7791</v>
      </c>
      <c r="B3022" s="8" t="s">
        <v>7792</v>
      </c>
      <c r="C3022" s="8">
        <v>30903785</v>
      </c>
      <c r="D3022" s="8">
        <v>5</v>
      </c>
      <c r="E3022" s="11">
        <v>43111</v>
      </c>
      <c r="F3022" s="8" t="s">
        <v>58</v>
      </c>
      <c r="G3022" s="11">
        <v>43115</v>
      </c>
      <c r="H3022" s="8" t="s">
        <v>25</v>
      </c>
      <c r="I3022" s="11">
        <v>43115</v>
      </c>
      <c r="J3022" s="8" t="s">
        <v>25</v>
      </c>
      <c r="N3022" s="8" t="s">
        <v>58</v>
      </c>
      <c r="O3022" s="8" t="s">
        <v>59</v>
      </c>
      <c r="P3022" s="8" t="s">
        <v>59</v>
      </c>
      <c r="R3022" s="8">
        <v>0</v>
      </c>
      <c r="S3022" s="8">
        <v>0</v>
      </c>
      <c r="T3022" s="8">
        <v>1</v>
      </c>
      <c r="U3022" s="8">
        <v>2</v>
      </c>
      <c r="X3022" s="8">
        <v>5</v>
      </c>
      <c r="AG3022" s="8" t="str">
        <f t="shared" si="189"/>
        <v/>
      </c>
      <c r="AI3022" s="8" t="str">
        <f t="shared" si="190"/>
        <v/>
      </c>
      <c r="AJ3022" s="8" t="str">
        <f t="shared" si="191"/>
        <v/>
      </c>
      <c r="AL3022" s="8" t="str">
        <f t="shared" si="192"/>
        <v/>
      </c>
    </row>
    <row r="3023" spans="1:38" x14ac:dyDescent="0.25">
      <c r="A3023" s="8" t="s">
        <v>4308</v>
      </c>
      <c r="B3023" s="8" t="s">
        <v>4309</v>
      </c>
      <c r="C3023" s="8">
        <v>30848359</v>
      </c>
      <c r="D3023" s="8">
        <v>5</v>
      </c>
      <c r="E3023" s="11">
        <v>43109</v>
      </c>
      <c r="F3023" s="8" t="s">
        <v>57</v>
      </c>
      <c r="G3023" s="11">
        <v>43111</v>
      </c>
      <c r="H3023" s="8" t="s">
        <v>25</v>
      </c>
      <c r="J3023" s="8" t="s">
        <v>25</v>
      </c>
      <c r="N3023" s="8" t="s">
        <v>58</v>
      </c>
      <c r="O3023" s="8" t="s">
        <v>59</v>
      </c>
      <c r="P3023" s="8" t="s">
        <v>59</v>
      </c>
      <c r="R3023" s="8">
        <v>0</v>
      </c>
      <c r="S3023" s="8">
        <v>0</v>
      </c>
      <c r="T3023" s="8">
        <v>1</v>
      </c>
      <c r="U3023" s="8">
        <v>2</v>
      </c>
      <c r="AG3023" s="8" t="str">
        <f t="shared" si="189"/>
        <v/>
      </c>
      <c r="AI3023" s="8" t="str">
        <f t="shared" si="190"/>
        <v/>
      </c>
      <c r="AJ3023" s="8" t="str">
        <f t="shared" si="191"/>
        <v/>
      </c>
      <c r="AL3023" s="8" t="str">
        <f t="shared" si="192"/>
        <v/>
      </c>
    </row>
    <row r="3024" spans="1:38" x14ac:dyDescent="0.25">
      <c r="A3024" s="8" t="s">
        <v>2852</v>
      </c>
      <c r="B3024" s="8" t="s">
        <v>2853</v>
      </c>
      <c r="C3024" s="8">
        <v>30817813</v>
      </c>
      <c r="D3024" s="8">
        <v>5</v>
      </c>
      <c r="E3024" s="11">
        <v>43108</v>
      </c>
      <c r="F3024" s="8" t="s">
        <v>57</v>
      </c>
      <c r="G3024" s="11">
        <v>43110</v>
      </c>
      <c r="H3024" s="8" t="s">
        <v>25</v>
      </c>
      <c r="J3024" s="8" t="s">
        <v>25</v>
      </c>
      <c r="N3024" s="8" t="s">
        <v>58</v>
      </c>
      <c r="O3024" s="8" t="s">
        <v>59</v>
      </c>
      <c r="P3024" s="8" t="s">
        <v>59</v>
      </c>
      <c r="R3024" s="8">
        <v>0</v>
      </c>
      <c r="S3024" s="8">
        <v>0</v>
      </c>
      <c r="T3024" s="8">
        <v>1</v>
      </c>
      <c r="U3024" s="8">
        <v>2</v>
      </c>
      <c r="AG3024" s="8" t="str">
        <f t="shared" si="189"/>
        <v/>
      </c>
      <c r="AI3024" s="8" t="str">
        <f t="shared" si="190"/>
        <v/>
      </c>
      <c r="AJ3024" s="8" t="str">
        <f t="shared" si="191"/>
        <v/>
      </c>
      <c r="AL3024" s="8" t="str">
        <f t="shared" si="192"/>
        <v/>
      </c>
    </row>
    <row r="3025" spans="1:38" x14ac:dyDescent="0.25">
      <c r="A3025" s="8" t="s">
        <v>4310</v>
      </c>
      <c r="B3025" s="8" t="s">
        <v>4311</v>
      </c>
      <c r="C3025" s="8">
        <v>30847888</v>
      </c>
      <c r="D3025" s="8">
        <v>4</v>
      </c>
      <c r="E3025" s="11">
        <v>43109</v>
      </c>
      <c r="F3025" s="8" t="s">
        <v>57</v>
      </c>
      <c r="G3025" s="11">
        <v>43111</v>
      </c>
      <c r="H3025" s="8" t="s">
        <v>25</v>
      </c>
      <c r="J3025" s="8" t="s">
        <v>25</v>
      </c>
      <c r="N3025" s="8" t="s">
        <v>58</v>
      </c>
      <c r="O3025" s="8" t="s">
        <v>59</v>
      </c>
      <c r="P3025" s="8" t="s">
        <v>59</v>
      </c>
      <c r="R3025" s="8">
        <v>0</v>
      </c>
      <c r="S3025" s="8">
        <v>0</v>
      </c>
      <c r="T3025" s="8">
        <v>1</v>
      </c>
      <c r="U3025" s="8">
        <v>2</v>
      </c>
      <c r="AG3025" s="8" t="str">
        <f t="shared" si="189"/>
        <v/>
      </c>
      <c r="AI3025" s="8" t="str">
        <f t="shared" si="190"/>
        <v/>
      </c>
      <c r="AJ3025" s="8" t="str">
        <f t="shared" si="191"/>
        <v/>
      </c>
      <c r="AL3025" s="8" t="str">
        <f t="shared" si="192"/>
        <v/>
      </c>
    </row>
    <row r="3026" spans="1:38" x14ac:dyDescent="0.25">
      <c r="A3026" s="8" t="s">
        <v>4312</v>
      </c>
      <c r="B3026" s="8" t="s">
        <v>4313</v>
      </c>
      <c r="C3026" s="8">
        <v>30843704</v>
      </c>
      <c r="D3026" s="8">
        <v>5</v>
      </c>
      <c r="E3026" s="11">
        <v>43109</v>
      </c>
      <c r="F3026" s="8" t="s">
        <v>57</v>
      </c>
      <c r="G3026" s="11">
        <v>43111</v>
      </c>
      <c r="H3026" s="8" t="s">
        <v>25</v>
      </c>
      <c r="J3026" s="8" t="s">
        <v>25</v>
      </c>
      <c r="N3026" s="8" t="s">
        <v>58</v>
      </c>
      <c r="O3026" s="8" t="s">
        <v>59</v>
      </c>
      <c r="P3026" s="8" t="s">
        <v>59</v>
      </c>
      <c r="R3026" s="8">
        <v>0</v>
      </c>
      <c r="S3026" s="8">
        <v>0</v>
      </c>
      <c r="T3026" s="8">
        <v>1</v>
      </c>
      <c r="U3026" s="8">
        <v>2</v>
      </c>
      <c r="AG3026" s="8" t="str">
        <f t="shared" si="189"/>
        <v/>
      </c>
      <c r="AI3026" s="8" t="str">
        <f t="shared" si="190"/>
        <v/>
      </c>
      <c r="AJ3026" s="8" t="str">
        <f t="shared" si="191"/>
        <v/>
      </c>
      <c r="AL3026" s="8" t="str">
        <f t="shared" si="192"/>
        <v/>
      </c>
    </row>
    <row r="3027" spans="1:38" x14ac:dyDescent="0.25">
      <c r="A3027" s="8" t="s">
        <v>5980</v>
      </c>
      <c r="B3027" s="8" t="s">
        <v>5981</v>
      </c>
      <c r="C3027" s="8">
        <v>30874777</v>
      </c>
      <c r="D3027" s="8">
        <v>5</v>
      </c>
      <c r="E3027" s="11">
        <v>43110</v>
      </c>
      <c r="F3027" s="8" t="s">
        <v>58</v>
      </c>
      <c r="G3027" s="11">
        <v>43112</v>
      </c>
      <c r="H3027" s="8" t="s">
        <v>25</v>
      </c>
      <c r="I3027" s="11">
        <v>43112</v>
      </c>
      <c r="J3027" s="8" t="s">
        <v>25</v>
      </c>
      <c r="N3027" s="8" t="s">
        <v>58</v>
      </c>
      <c r="O3027" s="8" t="s">
        <v>59</v>
      </c>
      <c r="P3027" s="8" t="s">
        <v>59</v>
      </c>
      <c r="R3027" s="8">
        <v>0</v>
      </c>
      <c r="S3027" s="8">
        <v>0</v>
      </c>
      <c r="T3027" s="8">
        <v>1</v>
      </c>
      <c r="U3027" s="8">
        <v>2</v>
      </c>
      <c r="X3027" s="8">
        <v>5</v>
      </c>
      <c r="AG3027" s="8" t="str">
        <f t="shared" si="189"/>
        <v/>
      </c>
      <c r="AI3027" s="8" t="str">
        <f t="shared" si="190"/>
        <v/>
      </c>
      <c r="AJ3027" s="8" t="str">
        <f t="shared" si="191"/>
        <v/>
      </c>
      <c r="AL3027" s="8" t="str">
        <f t="shared" si="192"/>
        <v/>
      </c>
    </row>
    <row r="3028" spans="1:38" x14ac:dyDescent="0.25">
      <c r="A3028" s="8" t="s">
        <v>5982</v>
      </c>
      <c r="B3028" s="8" t="s">
        <v>5983</v>
      </c>
      <c r="C3028" s="8">
        <v>30871436</v>
      </c>
      <c r="D3028" s="8">
        <v>5</v>
      </c>
      <c r="E3028" s="11">
        <v>43110</v>
      </c>
      <c r="F3028" s="8" t="s">
        <v>58</v>
      </c>
      <c r="G3028" s="11">
        <v>43112</v>
      </c>
      <c r="H3028" s="8" t="s">
        <v>25</v>
      </c>
      <c r="I3028" s="11">
        <v>43112</v>
      </c>
      <c r="J3028" s="8" t="s">
        <v>25</v>
      </c>
      <c r="N3028" s="8" t="s">
        <v>58</v>
      </c>
      <c r="O3028" s="8" t="s">
        <v>59</v>
      </c>
      <c r="P3028" s="8" t="s">
        <v>59</v>
      </c>
      <c r="R3028" s="8">
        <v>0</v>
      </c>
      <c r="S3028" s="8">
        <v>0</v>
      </c>
      <c r="T3028" s="8">
        <v>1</v>
      </c>
      <c r="U3028" s="8">
        <v>2</v>
      </c>
      <c r="X3028" s="8">
        <v>5</v>
      </c>
      <c r="AG3028" s="8" t="str">
        <f t="shared" si="189"/>
        <v/>
      </c>
      <c r="AI3028" s="8" t="str">
        <f t="shared" si="190"/>
        <v/>
      </c>
      <c r="AJ3028" s="8" t="str">
        <f t="shared" si="191"/>
        <v/>
      </c>
      <c r="AL3028" s="8" t="str">
        <f t="shared" si="192"/>
        <v/>
      </c>
    </row>
    <row r="3029" spans="1:38" x14ac:dyDescent="0.25">
      <c r="A3029" s="8" t="s">
        <v>2854</v>
      </c>
      <c r="B3029" s="8" t="s">
        <v>2855</v>
      </c>
      <c r="C3029" s="8">
        <v>30820186</v>
      </c>
      <c r="D3029" s="8">
        <v>5</v>
      </c>
      <c r="E3029" s="11">
        <v>43108</v>
      </c>
      <c r="F3029" s="8" t="s">
        <v>58</v>
      </c>
      <c r="G3029" s="11">
        <v>43110</v>
      </c>
      <c r="H3029" s="8" t="s">
        <v>25</v>
      </c>
      <c r="I3029" s="11">
        <v>43115</v>
      </c>
      <c r="J3029" s="8" t="s">
        <v>145</v>
      </c>
      <c r="N3029" s="8" t="s">
        <v>58</v>
      </c>
      <c r="O3029" s="8" t="s">
        <v>59</v>
      </c>
      <c r="P3029" s="8" t="s">
        <v>59</v>
      </c>
      <c r="R3029" s="8">
        <v>0</v>
      </c>
      <c r="S3029" s="8">
        <v>0</v>
      </c>
      <c r="T3029" s="8">
        <v>1</v>
      </c>
      <c r="U3029" s="8">
        <v>2</v>
      </c>
      <c r="X3029" s="8">
        <v>5</v>
      </c>
      <c r="AG3029" s="8" t="str">
        <f t="shared" si="189"/>
        <v/>
      </c>
      <c r="AI3029" s="8" t="str">
        <f t="shared" si="190"/>
        <v/>
      </c>
      <c r="AJ3029" s="8" t="str">
        <f t="shared" si="191"/>
        <v/>
      </c>
      <c r="AL3029" s="8" t="str">
        <f t="shared" si="192"/>
        <v/>
      </c>
    </row>
    <row r="3030" spans="1:38" x14ac:dyDescent="0.25">
      <c r="A3030" s="8" t="s">
        <v>2856</v>
      </c>
      <c r="B3030" s="8" t="s">
        <v>2857</v>
      </c>
      <c r="C3030" s="8">
        <v>30822072</v>
      </c>
      <c r="D3030" s="8">
        <v>5</v>
      </c>
      <c r="E3030" s="11">
        <v>43108</v>
      </c>
      <c r="F3030" s="8" t="s">
        <v>57</v>
      </c>
      <c r="G3030" s="11">
        <v>43110</v>
      </c>
      <c r="H3030" s="8" t="s">
        <v>25</v>
      </c>
      <c r="J3030" s="8" t="s">
        <v>25</v>
      </c>
      <c r="N3030" s="8" t="s">
        <v>58</v>
      </c>
      <c r="O3030" s="8" t="s">
        <v>59</v>
      </c>
      <c r="P3030" s="8" t="s">
        <v>59</v>
      </c>
      <c r="R3030" s="8">
        <v>0</v>
      </c>
      <c r="S3030" s="8">
        <v>0</v>
      </c>
      <c r="T3030" s="8">
        <v>1</v>
      </c>
      <c r="U3030" s="8">
        <v>2</v>
      </c>
      <c r="AG3030" s="8" t="str">
        <f t="shared" si="189"/>
        <v/>
      </c>
      <c r="AI3030" s="8" t="str">
        <f t="shared" si="190"/>
        <v/>
      </c>
      <c r="AJ3030" s="8" t="str">
        <f t="shared" si="191"/>
        <v/>
      </c>
      <c r="AL3030" s="8" t="str">
        <f t="shared" si="192"/>
        <v/>
      </c>
    </row>
    <row r="3031" spans="1:38" x14ac:dyDescent="0.25">
      <c r="A3031" s="8" t="s">
        <v>5984</v>
      </c>
      <c r="B3031" s="8" t="s">
        <v>5985</v>
      </c>
      <c r="C3031" s="8">
        <v>30876033</v>
      </c>
      <c r="D3031" s="8">
        <v>5</v>
      </c>
      <c r="E3031" s="11">
        <v>43110</v>
      </c>
      <c r="F3031" s="8" t="s">
        <v>58</v>
      </c>
      <c r="G3031" s="11">
        <v>43112</v>
      </c>
      <c r="H3031" s="8" t="s">
        <v>25</v>
      </c>
      <c r="I3031" s="11">
        <v>43112</v>
      </c>
      <c r="J3031" s="8" t="s">
        <v>25</v>
      </c>
      <c r="N3031" s="8" t="s">
        <v>58</v>
      </c>
      <c r="O3031" s="8" t="s">
        <v>59</v>
      </c>
      <c r="P3031" s="8" t="s">
        <v>59</v>
      </c>
      <c r="R3031" s="8">
        <v>0</v>
      </c>
      <c r="S3031" s="8">
        <v>0</v>
      </c>
      <c r="T3031" s="8">
        <v>1</v>
      </c>
      <c r="U3031" s="8">
        <v>2</v>
      </c>
      <c r="X3031" s="8">
        <v>5</v>
      </c>
      <c r="AG3031" s="8" t="str">
        <f t="shared" si="189"/>
        <v/>
      </c>
      <c r="AI3031" s="8" t="str">
        <f t="shared" si="190"/>
        <v/>
      </c>
      <c r="AJ3031" s="8" t="str">
        <f t="shared" si="191"/>
        <v/>
      </c>
      <c r="AL3031" s="8" t="str">
        <f t="shared" si="192"/>
        <v/>
      </c>
    </row>
    <row r="3032" spans="1:38" x14ac:dyDescent="0.25">
      <c r="A3032" s="8" t="s">
        <v>4314</v>
      </c>
      <c r="B3032" s="8" t="s">
        <v>4315</v>
      </c>
      <c r="C3032" s="8">
        <v>30841770</v>
      </c>
      <c r="D3032" s="8">
        <v>5</v>
      </c>
      <c r="E3032" s="11">
        <v>43109</v>
      </c>
      <c r="F3032" s="8" t="s">
        <v>58</v>
      </c>
      <c r="G3032" s="11">
        <v>43112</v>
      </c>
      <c r="H3032" s="8" t="s">
        <v>25</v>
      </c>
      <c r="I3032" s="11">
        <v>43112</v>
      </c>
      <c r="J3032" s="8" t="s">
        <v>25</v>
      </c>
      <c r="N3032" s="8" t="s">
        <v>58</v>
      </c>
      <c r="O3032" s="8" t="s">
        <v>59</v>
      </c>
      <c r="P3032" s="8" t="s">
        <v>59</v>
      </c>
      <c r="R3032" s="8">
        <v>0</v>
      </c>
      <c r="S3032" s="8">
        <v>0</v>
      </c>
      <c r="T3032" s="8">
        <v>1</v>
      </c>
      <c r="U3032" s="8">
        <v>2</v>
      </c>
      <c r="X3032" s="8">
        <v>5</v>
      </c>
      <c r="AG3032" s="8" t="str">
        <f t="shared" si="189"/>
        <v/>
      </c>
      <c r="AI3032" s="8" t="str">
        <f t="shared" si="190"/>
        <v/>
      </c>
      <c r="AJ3032" s="8" t="str">
        <f t="shared" si="191"/>
        <v/>
      </c>
      <c r="AL3032" s="8" t="str">
        <f t="shared" si="192"/>
        <v/>
      </c>
    </row>
    <row r="3033" spans="1:38" x14ac:dyDescent="0.25">
      <c r="A3033" s="8" t="s">
        <v>5986</v>
      </c>
      <c r="B3033" s="8" t="s">
        <v>5987</v>
      </c>
      <c r="C3033" s="8">
        <v>30862251</v>
      </c>
      <c r="D3033" s="8">
        <v>5</v>
      </c>
      <c r="E3033" s="11">
        <v>43110</v>
      </c>
      <c r="F3033" s="8" t="s">
        <v>58</v>
      </c>
      <c r="G3033" s="11">
        <v>43112</v>
      </c>
      <c r="H3033" s="8" t="s">
        <v>25</v>
      </c>
      <c r="I3033" s="11">
        <v>43112</v>
      </c>
      <c r="J3033" s="8" t="s">
        <v>25</v>
      </c>
      <c r="N3033" s="8" t="s">
        <v>58</v>
      </c>
      <c r="O3033" s="8" t="s">
        <v>59</v>
      </c>
      <c r="P3033" s="8" t="s">
        <v>59</v>
      </c>
      <c r="R3033" s="8">
        <v>0</v>
      </c>
      <c r="S3033" s="8">
        <v>0</v>
      </c>
      <c r="T3033" s="8">
        <v>1</v>
      </c>
      <c r="U3033" s="8">
        <v>2</v>
      </c>
      <c r="X3033" s="8">
        <v>5</v>
      </c>
      <c r="AG3033" s="8" t="str">
        <f t="shared" si="189"/>
        <v/>
      </c>
      <c r="AI3033" s="8" t="str">
        <f t="shared" si="190"/>
        <v/>
      </c>
      <c r="AJ3033" s="8" t="str">
        <f t="shared" si="191"/>
        <v/>
      </c>
      <c r="AL3033" s="8" t="str">
        <f t="shared" si="192"/>
        <v/>
      </c>
    </row>
    <row r="3034" spans="1:38" x14ac:dyDescent="0.25">
      <c r="A3034" s="8" t="s">
        <v>2858</v>
      </c>
      <c r="B3034" s="8" t="s">
        <v>2859</v>
      </c>
      <c r="C3034" s="8">
        <v>30808225</v>
      </c>
      <c r="D3034" s="8">
        <v>5</v>
      </c>
      <c r="E3034" s="11">
        <v>43108</v>
      </c>
      <c r="F3034" s="8" t="s">
        <v>58</v>
      </c>
      <c r="G3034" s="11">
        <v>43110</v>
      </c>
      <c r="H3034" s="8" t="s">
        <v>25</v>
      </c>
      <c r="I3034" s="11">
        <v>43110</v>
      </c>
      <c r="J3034" s="8" t="s">
        <v>25</v>
      </c>
      <c r="N3034" s="8" t="s">
        <v>58</v>
      </c>
      <c r="O3034" s="8" t="s">
        <v>59</v>
      </c>
      <c r="P3034" s="8" t="s">
        <v>59</v>
      </c>
      <c r="R3034" s="8">
        <v>0</v>
      </c>
      <c r="S3034" s="8">
        <v>0</v>
      </c>
      <c r="T3034" s="8">
        <v>1</v>
      </c>
      <c r="U3034" s="8">
        <v>2</v>
      </c>
      <c r="X3034" s="8">
        <v>5</v>
      </c>
      <c r="AG3034" s="8" t="str">
        <f t="shared" si="189"/>
        <v/>
      </c>
      <c r="AI3034" s="8" t="str">
        <f t="shared" si="190"/>
        <v/>
      </c>
      <c r="AJ3034" s="8" t="str">
        <f t="shared" si="191"/>
        <v/>
      </c>
      <c r="AL3034" s="8" t="str">
        <f t="shared" si="192"/>
        <v/>
      </c>
    </row>
    <row r="3035" spans="1:38" x14ac:dyDescent="0.25">
      <c r="A3035" s="8" t="s">
        <v>4316</v>
      </c>
      <c r="B3035" s="8" t="s">
        <v>4317</v>
      </c>
      <c r="C3035" s="8">
        <v>30900403</v>
      </c>
      <c r="D3035" s="8">
        <v>5</v>
      </c>
      <c r="E3035" s="11">
        <v>43111</v>
      </c>
      <c r="F3035" s="8" t="s">
        <v>57</v>
      </c>
      <c r="G3035" s="11">
        <v>43111</v>
      </c>
      <c r="H3035" s="8" t="s">
        <v>25</v>
      </c>
      <c r="J3035" s="8" t="s">
        <v>25</v>
      </c>
      <c r="N3035" s="8" t="s">
        <v>58</v>
      </c>
      <c r="O3035" s="8" t="s">
        <v>59</v>
      </c>
      <c r="P3035" s="8" t="s">
        <v>59</v>
      </c>
      <c r="R3035" s="8">
        <v>0</v>
      </c>
      <c r="S3035" s="8">
        <v>0</v>
      </c>
      <c r="T3035" s="8">
        <v>1</v>
      </c>
      <c r="U3035" s="8">
        <v>2</v>
      </c>
      <c r="AG3035" s="8" t="str">
        <f t="shared" si="189"/>
        <v/>
      </c>
      <c r="AI3035" s="8" t="str">
        <f t="shared" si="190"/>
        <v/>
      </c>
      <c r="AJ3035" s="8" t="str">
        <f t="shared" si="191"/>
        <v/>
      </c>
      <c r="AL3035" s="8" t="str">
        <f t="shared" si="192"/>
        <v/>
      </c>
    </row>
    <row r="3036" spans="1:38" x14ac:dyDescent="0.25">
      <c r="A3036" s="8" t="s">
        <v>626</v>
      </c>
      <c r="B3036" s="8" t="s">
        <v>627</v>
      </c>
      <c r="C3036" s="8">
        <v>30819485</v>
      </c>
      <c r="D3036" s="8">
        <v>5</v>
      </c>
      <c r="E3036" s="11">
        <v>43108</v>
      </c>
      <c r="F3036" s="8" t="s">
        <v>58</v>
      </c>
      <c r="G3036" s="11">
        <v>43108</v>
      </c>
      <c r="H3036" s="8" t="s">
        <v>25</v>
      </c>
      <c r="I3036" s="11">
        <v>43109</v>
      </c>
      <c r="J3036" s="8" t="s">
        <v>25</v>
      </c>
      <c r="N3036" s="8" t="s">
        <v>58</v>
      </c>
      <c r="O3036" s="8" t="s">
        <v>59</v>
      </c>
      <c r="P3036" s="8" t="s">
        <v>59</v>
      </c>
      <c r="R3036" s="8">
        <v>0</v>
      </c>
      <c r="S3036" s="8">
        <v>0</v>
      </c>
      <c r="T3036" s="8">
        <v>1</v>
      </c>
      <c r="U3036" s="8">
        <v>2</v>
      </c>
      <c r="X3036" s="8">
        <v>5</v>
      </c>
      <c r="AG3036" s="8" t="str">
        <f t="shared" si="189"/>
        <v/>
      </c>
      <c r="AI3036" s="8" t="str">
        <f t="shared" si="190"/>
        <v/>
      </c>
      <c r="AJ3036" s="8" t="str">
        <f t="shared" si="191"/>
        <v/>
      </c>
      <c r="AL3036" s="8" t="str">
        <f t="shared" si="192"/>
        <v/>
      </c>
    </row>
    <row r="3037" spans="1:38" x14ac:dyDescent="0.25">
      <c r="A3037" s="8" t="s">
        <v>4318</v>
      </c>
      <c r="B3037" s="8" t="s">
        <v>4319</v>
      </c>
      <c r="C3037" s="8">
        <v>30835464</v>
      </c>
      <c r="D3037" s="8">
        <v>5</v>
      </c>
      <c r="E3037" s="11">
        <v>43109</v>
      </c>
      <c r="F3037" s="8" t="s">
        <v>58</v>
      </c>
      <c r="G3037" s="11">
        <v>43111</v>
      </c>
      <c r="H3037" s="8" t="s">
        <v>25</v>
      </c>
      <c r="I3037" s="11">
        <v>43111</v>
      </c>
      <c r="J3037" s="8" t="s">
        <v>25</v>
      </c>
      <c r="N3037" s="8" t="s">
        <v>58</v>
      </c>
      <c r="O3037" s="8" t="s">
        <v>59</v>
      </c>
      <c r="P3037" s="8" t="s">
        <v>59</v>
      </c>
      <c r="R3037" s="8">
        <v>0</v>
      </c>
      <c r="S3037" s="8">
        <v>0</v>
      </c>
      <c r="T3037" s="8">
        <v>1</v>
      </c>
      <c r="U3037" s="8">
        <v>2</v>
      </c>
      <c r="X3037" s="8">
        <v>5</v>
      </c>
      <c r="AG3037" s="8" t="str">
        <f t="shared" si="189"/>
        <v/>
      </c>
      <c r="AI3037" s="8" t="str">
        <f t="shared" si="190"/>
        <v/>
      </c>
      <c r="AJ3037" s="8" t="str">
        <f t="shared" si="191"/>
        <v/>
      </c>
      <c r="AL3037" s="8" t="str">
        <f t="shared" si="192"/>
        <v/>
      </c>
    </row>
    <row r="3038" spans="1:38" x14ac:dyDescent="0.25">
      <c r="A3038" s="8" t="s">
        <v>2860</v>
      </c>
      <c r="B3038" s="8" t="s">
        <v>2861</v>
      </c>
      <c r="C3038" s="8">
        <v>30823277</v>
      </c>
      <c r="D3038" s="8">
        <v>5</v>
      </c>
      <c r="E3038" s="11">
        <v>43108</v>
      </c>
      <c r="F3038" s="8" t="s">
        <v>57</v>
      </c>
      <c r="G3038" s="11">
        <v>43110</v>
      </c>
      <c r="H3038" s="8" t="s">
        <v>25</v>
      </c>
      <c r="J3038" s="8" t="s">
        <v>25</v>
      </c>
      <c r="N3038" s="8" t="s">
        <v>58</v>
      </c>
      <c r="O3038" s="8" t="s">
        <v>59</v>
      </c>
      <c r="P3038" s="8" t="s">
        <v>59</v>
      </c>
      <c r="R3038" s="8">
        <v>0</v>
      </c>
      <c r="S3038" s="8">
        <v>0</v>
      </c>
      <c r="T3038" s="8">
        <v>1</v>
      </c>
      <c r="U3038" s="8">
        <v>2</v>
      </c>
      <c r="AG3038" s="8" t="str">
        <f t="shared" si="189"/>
        <v/>
      </c>
      <c r="AI3038" s="8" t="str">
        <f t="shared" si="190"/>
        <v/>
      </c>
      <c r="AJ3038" s="8" t="str">
        <f t="shared" si="191"/>
        <v/>
      </c>
      <c r="AL3038" s="8" t="str">
        <f t="shared" si="192"/>
        <v/>
      </c>
    </row>
    <row r="3039" spans="1:38" x14ac:dyDescent="0.25">
      <c r="A3039" s="8" t="s">
        <v>4320</v>
      </c>
      <c r="B3039" s="8" t="s">
        <v>4321</v>
      </c>
      <c r="C3039" s="8">
        <v>30831504</v>
      </c>
      <c r="D3039" s="8">
        <v>5</v>
      </c>
      <c r="E3039" s="11">
        <v>43109</v>
      </c>
      <c r="F3039" s="8" t="s">
        <v>58</v>
      </c>
      <c r="G3039" s="11">
        <v>43111</v>
      </c>
      <c r="H3039" s="8" t="s">
        <v>25</v>
      </c>
      <c r="I3039" s="11">
        <v>43112</v>
      </c>
      <c r="J3039" s="8" t="s">
        <v>25</v>
      </c>
      <c r="N3039" s="8" t="s">
        <v>58</v>
      </c>
      <c r="O3039" s="8" t="s">
        <v>59</v>
      </c>
      <c r="P3039" s="8" t="s">
        <v>59</v>
      </c>
      <c r="R3039" s="8">
        <v>0</v>
      </c>
      <c r="S3039" s="8">
        <v>0</v>
      </c>
      <c r="T3039" s="8">
        <v>1</v>
      </c>
      <c r="U3039" s="8">
        <v>2</v>
      </c>
      <c r="X3039" s="8">
        <v>5</v>
      </c>
      <c r="AG3039" s="8" t="str">
        <f t="shared" si="189"/>
        <v/>
      </c>
      <c r="AI3039" s="8" t="str">
        <f t="shared" si="190"/>
        <v/>
      </c>
      <c r="AJ3039" s="8" t="str">
        <f t="shared" si="191"/>
        <v/>
      </c>
      <c r="AL3039" s="8" t="str">
        <f t="shared" si="192"/>
        <v/>
      </c>
    </row>
    <row r="3040" spans="1:38" x14ac:dyDescent="0.25">
      <c r="A3040" s="8" t="s">
        <v>7793</v>
      </c>
      <c r="B3040" s="8" t="s">
        <v>7794</v>
      </c>
      <c r="C3040" s="8">
        <v>30896346</v>
      </c>
      <c r="D3040" s="8">
        <v>5</v>
      </c>
      <c r="E3040" s="11">
        <v>43111</v>
      </c>
      <c r="F3040" s="8" t="s">
        <v>57</v>
      </c>
      <c r="G3040" s="11">
        <v>43115</v>
      </c>
      <c r="H3040" s="8" t="s">
        <v>25</v>
      </c>
      <c r="J3040" s="8" t="s">
        <v>25</v>
      </c>
      <c r="N3040" s="8" t="s">
        <v>58</v>
      </c>
      <c r="O3040" s="8" t="s">
        <v>59</v>
      </c>
      <c r="P3040" s="8" t="s">
        <v>59</v>
      </c>
      <c r="R3040" s="8">
        <v>0</v>
      </c>
      <c r="S3040" s="8">
        <v>0</v>
      </c>
      <c r="T3040" s="8">
        <v>1</v>
      </c>
      <c r="U3040" s="8">
        <v>2</v>
      </c>
      <c r="AG3040" s="8" t="str">
        <f t="shared" si="189"/>
        <v/>
      </c>
      <c r="AI3040" s="8" t="str">
        <f t="shared" si="190"/>
        <v/>
      </c>
      <c r="AJ3040" s="8" t="str">
        <f t="shared" si="191"/>
        <v/>
      </c>
      <c r="AL3040" s="8" t="str">
        <f t="shared" si="192"/>
        <v/>
      </c>
    </row>
    <row r="3041" spans="1:38" x14ac:dyDescent="0.25">
      <c r="A3041" s="8" t="s">
        <v>4322</v>
      </c>
      <c r="B3041" s="8" t="s">
        <v>4323</v>
      </c>
      <c r="C3041" s="8">
        <v>30837198</v>
      </c>
      <c r="D3041" s="8">
        <v>4</v>
      </c>
      <c r="E3041" s="11">
        <v>43109</v>
      </c>
      <c r="F3041" s="8" t="s">
        <v>58</v>
      </c>
      <c r="G3041" s="11">
        <v>43111</v>
      </c>
      <c r="H3041" s="8" t="s">
        <v>25</v>
      </c>
      <c r="I3041" s="11">
        <v>43115</v>
      </c>
      <c r="J3041" s="8" t="s">
        <v>25</v>
      </c>
      <c r="N3041" s="8" t="s">
        <v>58</v>
      </c>
      <c r="O3041" s="8" t="s">
        <v>59</v>
      </c>
      <c r="P3041" s="8" t="s">
        <v>59</v>
      </c>
      <c r="R3041" s="8">
        <v>0</v>
      </c>
      <c r="S3041" s="8">
        <v>0</v>
      </c>
      <c r="T3041" s="8">
        <v>1</v>
      </c>
      <c r="U3041" s="8">
        <v>2</v>
      </c>
      <c r="X3041" s="8">
        <v>5</v>
      </c>
      <c r="AG3041" s="8" t="str">
        <f t="shared" si="189"/>
        <v/>
      </c>
      <c r="AI3041" s="8" t="str">
        <f t="shared" si="190"/>
        <v/>
      </c>
      <c r="AJ3041" s="8" t="str">
        <f t="shared" si="191"/>
        <v/>
      </c>
      <c r="AL3041" s="8" t="str">
        <f t="shared" si="192"/>
        <v/>
      </c>
    </row>
    <row r="3042" spans="1:38" x14ac:dyDescent="0.25">
      <c r="A3042" s="8" t="s">
        <v>5988</v>
      </c>
      <c r="B3042" s="8" t="s">
        <v>5989</v>
      </c>
      <c r="C3042" s="8">
        <v>30866715</v>
      </c>
      <c r="D3042" s="8">
        <v>5</v>
      </c>
      <c r="E3042" s="11">
        <v>43110</v>
      </c>
      <c r="F3042" s="8" t="s">
        <v>57</v>
      </c>
      <c r="G3042" s="11">
        <v>43112</v>
      </c>
      <c r="H3042" s="8" t="s">
        <v>25</v>
      </c>
      <c r="J3042" s="8" t="s">
        <v>25</v>
      </c>
      <c r="N3042" s="8" t="s">
        <v>58</v>
      </c>
      <c r="O3042" s="8" t="s">
        <v>59</v>
      </c>
      <c r="P3042" s="8" t="s">
        <v>59</v>
      </c>
      <c r="R3042" s="8">
        <v>0</v>
      </c>
      <c r="S3042" s="8">
        <v>0</v>
      </c>
      <c r="T3042" s="8">
        <v>1</v>
      </c>
      <c r="U3042" s="8">
        <v>2</v>
      </c>
      <c r="AG3042" s="8" t="str">
        <f t="shared" si="189"/>
        <v/>
      </c>
      <c r="AI3042" s="8" t="str">
        <f t="shared" si="190"/>
        <v/>
      </c>
      <c r="AJ3042" s="8" t="str">
        <f t="shared" si="191"/>
        <v/>
      </c>
      <c r="AL3042" s="8" t="str">
        <f t="shared" si="192"/>
        <v/>
      </c>
    </row>
    <row r="3043" spans="1:38" x14ac:dyDescent="0.25">
      <c r="A3043" s="8" t="s">
        <v>7795</v>
      </c>
      <c r="B3043" s="8" t="s">
        <v>7796</v>
      </c>
      <c r="C3043" s="8">
        <v>30892134</v>
      </c>
      <c r="D3043" s="8">
        <v>5</v>
      </c>
      <c r="E3043" s="11">
        <v>43111</v>
      </c>
      <c r="F3043" s="8" t="s">
        <v>57</v>
      </c>
      <c r="G3043" s="11">
        <v>43115</v>
      </c>
      <c r="H3043" s="8" t="s">
        <v>25</v>
      </c>
      <c r="J3043" s="8" t="s">
        <v>25</v>
      </c>
      <c r="N3043" s="8" t="s">
        <v>58</v>
      </c>
      <c r="O3043" s="8" t="s">
        <v>59</v>
      </c>
      <c r="P3043" s="8" t="s">
        <v>59</v>
      </c>
      <c r="R3043" s="8">
        <v>0</v>
      </c>
      <c r="S3043" s="8">
        <v>0</v>
      </c>
      <c r="T3043" s="8">
        <v>1</v>
      </c>
      <c r="U3043" s="8">
        <v>2</v>
      </c>
      <c r="AG3043" s="8" t="str">
        <f t="shared" si="189"/>
        <v/>
      </c>
      <c r="AI3043" s="8" t="str">
        <f t="shared" si="190"/>
        <v/>
      </c>
      <c r="AJ3043" s="8" t="str">
        <f t="shared" si="191"/>
        <v/>
      </c>
      <c r="AL3043" s="8" t="str">
        <f t="shared" si="192"/>
        <v/>
      </c>
    </row>
    <row r="3044" spans="1:38" x14ac:dyDescent="0.25">
      <c r="A3044" s="8" t="s">
        <v>7797</v>
      </c>
      <c r="B3044" s="8" t="s">
        <v>7798</v>
      </c>
      <c r="C3044" s="8">
        <v>30889059</v>
      </c>
      <c r="D3044" s="8">
        <v>5</v>
      </c>
      <c r="E3044" s="11">
        <v>43111</v>
      </c>
      <c r="F3044" s="8" t="s">
        <v>58</v>
      </c>
      <c r="G3044" s="11">
        <v>43115</v>
      </c>
      <c r="H3044" s="8" t="s">
        <v>25</v>
      </c>
      <c r="I3044" s="11">
        <v>43115</v>
      </c>
      <c r="J3044" s="8" t="s">
        <v>25</v>
      </c>
      <c r="N3044" s="8" t="s">
        <v>58</v>
      </c>
      <c r="O3044" s="8" t="s">
        <v>59</v>
      </c>
      <c r="P3044" s="8" t="s">
        <v>59</v>
      </c>
      <c r="R3044" s="8">
        <v>0</v>
      </c>
      <c r="S3044" s="8">
        <v>0</v>
      </c>
      <c r="T3044" s="8">
        <v>1</v>
      </c>
      <c r="U3044" s="8">
        <v>2</v>
      </c>
      <c r="X3044" s="8">
        <v>5</v>
      </c>
      <c r="AG3044" s="8" t="str">
        <f t="shared" si="189"/>
        <v/>
      </c>
      <c r="AI3044" s="8" t="str">
        <f t="shared" si="190"/>
        <v/>
      </c>
      <c r="AJ3044" s="8" t="str">
        <f t="shared" si="191"/>
        <v/>
      </c>
      <c r="AL3044" s="8" t="str">
        <f t="shared" si="192"/>
        <v/>
      </c>
    </row>
    <row r="3045" spans="1:38" x14ac:dyDescent="0.25">
      <c r="A3045" s="8" t="s">
        <v>5990</v>
      </c>
      <c r="B3045" s="8" t="s">
        <v>5991</v>
      </c>
      <c r="C3045" s="8">
        <v>30890734</v>
      </c>
      <c r="D3045" s="8">
        <v>5</v>
      </c>
      <c r="E3045" s="11">
        <v>43111</v>
      </c>
      <c r="F3045" s="8" t="s">
        <v>57</v>
      </c>
      <c r="G3045" s="11">
        <v>43112</v>
      </c>
      <c r="H3045" s="8" t="s">
        <v>25</v>
      </c>
      <c r="J3045" s="8" t="s">
        <v>25</v>
      </c>
      <c r="N3045" s="8" t="s">
        <v>58</v>
      </c>
      <c r="O3045" s="8" t="s">
        <v>59</v>
      </c>
      <c r="P3045" s="8" t="s">
        <v>59</v>
      </c>
      <c r="R3045" s="8">
        <v>0</v>
      </c>
      <c r="S3045" s="8">
        <v>0</v>
      </c>
      <c r="T3045" s="8">
        <v>1</v>
      </c>
      <c r="U3045" s="8">
        <v>2</v>
      </c>
      <c r="AG3045" s="8" t="str">
        <f t="shared" si="189"/>
        <v/>
      </c>
      <c r="AI3045" s="8" t="str">
        <f t="shared" si="190"/>
        <v/>
      </c>
      <c r="AJ3045" s="8" t="str">
        <f t="shared" si="191"/>
        <v/>
      </c>
      <c r="AL3045" s="8" t="str">
        <f t="shared" si="192"/>
        <v/>
      </c>
    </row>
    <row r="3046" spans="1:38" x14ac:dyDescent="0.25">
      <c r="A3046" s="8" t="s">
        <v>7799</v>
      </c>
      <c r="B3046" s="8" t="s">
        <v>7800</v>
      </c>
      <c r="C3046" s="8">
        <v>30930570</v>
      </c>
      <c r="D3046" s="8">
        <v>4</v>
      </c>
      <c r="E3046" s="11">
        <v>43115</v>
      </c>
      <c r="F3046" s="8" t="s">
        <v>57</v>
      </c>
      <c r="G3046" s="11">
        <v>43115</v>
      </c>
      <c r="H3046" s="8" t="s">
        <v>25</v>
      </c>
      <c r="J3046" s="8" t="s">
        <v>25</v>
      </c>
      <c r="N3046" s="8" t="s">
        <v>58</v>
      </c>
      <c r="O3046" s="8" t="s">
        <v>59</v>
      </c>
      <c r="P3046" s="8" t="s">
        <v>59</v>
      </c>
      <c r="R3046" s="8">
        <v>0</v>
      </c>
      <c r="S3046" s="8">
        <v>0</v>
      </c>
      <c r="T3046" s="8">
        <v>1</v>
      </c>
      <c r="U3046" s="8">
        <v>2</v>
      </c>
      <c r="AG3046" s="8" t="str">
        <f t="shared" si="189"/>
        <v/>
      </c>
      <c r="AI3046" s="8" t="str">
        <f t="shared" si="190"/>
        <v/>
      </c>
      <c r="AJ3046" s="8" t="str">
        <f t="shared" si="191"/>
        <v/>
      </c>
      <c r="AL3046" s="8" t="str">
        <f t="shared" si="192"/>
        <v/>
      </c>
    </row>
    <row r="3047" spans="1:38" x14ac:dyDescent="0.25">
      <c r="A3047" s="8" t="s">
        <v>2862</v>
      </c>
      <c r="B3047" s="8" t="s">
        <v>2863</v>
      </c>
      <c r="C3047" s="8">
        <v>30860304</v>
      </c>
      <c r="D3047" s="8">
        <v>4</v>
      </c>
      <c r="E3047" s="11">
        <v>43110</v>
      </c>
      <c r="F3047" s="8" t="s">
        <v>57</v>
      </c>
      <c r="G3047" s="11">
        <v>43110</v>
      </c>
      <c r="H3047" s="8" t="s">
        <v>25</v>
      </c>
      <c r="J3047" s="8" t="s">
        <v>25</v>
      </c>
      <c r="N3047" s="8" t="s">
        <v>58</v>
      </c>
      <c r="O3047" s="8" t="s">
        <v>59</v>
      </c>
      <c r="P3047" s="8" t="s">
        <v>59</v>
      </c>
      <c r="R3047" s="8">
        <v>0</v>
      </c>
      <c r="S3047" s="8">
        <v>0</v>
      </c>
      <c r="T3047" s="8">
        <v>1</v>
      </c>
      <c r="U3047" s="8">
        <v>2</v>
      </c>
      <c r="AG3047" s="8" t="str">
        <f t="shared" si="189"/>
        <v/>
      </c>
      <c r="AI3047" s="8" t="str">
        <f t="shared" si="190"/>
        <v/>
      </c>
      <c r="AJ3047" s="8" t="str">
        <f t="shared" si="191"/>
        <v/>
      </c>
      <c r="AL3047" s="8" t="str">
        <f t="shared" si="192"/>
        <v/>
      </c>
    </row>
    <row r="3048" spans="1:38" x14ac:dyDescent="0.25">
      <c r="A3048" s="8" t="s">
        <v>7801</v>
      </c>
      <c r="B3048" s="8" t="s">
        <v>7802</v>
      </c>
      <c r="C3048" s="8">
        <v>30902138</v>
      </c>
      <c r="D3048" s="8">
        <v>5</v>
      </c>
      <c r="E3048" s="11">
        <v>43111</v>
      </c>
      <c r="F3048" s="8" t="s">
        <v>58</v>
      </c>
      <c r="G3048" s="11">
        <v>43115</v>
      </c>
      <c r="H3048" s="8" t="s">
        <v>25</v>
      </c>
      <c r="I3048" s="11">
        <v>43115</v>
      </c>
      <c r="J3048" s="8" t="s">
        <v>25</v>
      </c>
      <c r="N3048" s="8" t="s">
        <v>58</v>
      </c>
      <c r="O3048" s="8" t="s">
        <v>59</v>
      </c>
      <c r="P3048" s="8" t="s">
        <v>59</v>
      </c>
      <c r="R3048" s="8">
        <v>0</v>
      </c>
      <c r="S3048" s="8">
        <v>0</v>
      </c>
      <c r="T3048" s="8">
        <v>1</v>
      </c>
      <c r="U3048" s="8">
        <v>2</v>
      </c>
      <c r="X3048" s="8">
        <v>5</v>
      </c>
      <c r="AG3048" s="8" t="str">
        <f t="shared" si="189"/>
        <v/>
      </c>
      <c r="AI3048" s="8" t="str">
        <f t="shared" si="190"/>
        <v/>
      </c>
      <c r="AJ3048" s="8" t="str">
        <f t="shared" si="191"/>
        <v/>
      </c>
      <c r="AL3048" s="8" t="str">
        <f t="shared" si="192"/>
        <v/>
      </c>
    </row>
    <row r="3049" spans="1:38" x14ac:dyDescent="0.25">
      <c r="A3049" s="8" t="s">
        <v>4324</v>
      </c>
      <c r="B3049" s="8" t="s">
        <v>4325</v>
      </c>
      <c r="C3049" s="8">
        <v>30831685</v>
      </c>
      <c r="D3049" s="8">
        <v>5</v>
      </c>
      <c r="E3049" s="11">
        <v>43109</v>
      </c>
      <c r="F3049" s="8" t="s">
        <v>57</v>
      </c>
      <c r="G3049" s="11">
        <v>43111</v>
      </c>
      <c r="H3049" s="8" t="s">
        <v>25</v>
      </c>
      <c r="J3049" s="8" t="s">
        <v>25</v>
      </c>
      <c r="N3049" s="8" t="s">
        <v>58</v>
      </c>
      <c r="O3049" s="8" t="s">
        <v>59</v>
      </c>
      <c r="P3049" s="8" t="s">
        <v>59</v>
      </c>
      <c r="R3049" s="8">
        <v>0</v>
      </c>
      <c r="S3049" s="8">
        <v>0</v>
      </c>
      <c r="T3049" s="8">
        <v>1</v>
      </c>
      <c r="U3049" s="8">
        <v>2</v>
      </c>
      <c r="AG3049" s="8" t="str">
        <f t="shared" si="189"/>
        <v/>
      </c>
      <c r="AI3049" s="8" t="str">
        <f t="shared" si="190"/>
        <v/>
      </c>
      <c r="AJ3049" s="8" t="str">
        <f t="shared" si="191"/>
        <v/>
      </c>
      <c r="AL3049" s="8" t="str">
        <f t="shared" si="192"/>
        <v/>
      </c>
    </row>
    <row r="3050" spans="1:38" x14ac:dyDescent="0.25">
      <c r="A3050" s="8" t="s">
        <v>5992</v>
      </c>
      <c r="B3050" s="8" t="s">
        <v>5993</v>
      </c>
      <c r="C3050" s="8">
        <v>30875545</v>
      </c>
      <c r="D3050" s="8">
        <v>5</v>
      </c>
      <c r="E3050" s="11">
        <v>43110</v>
      </c>
      <c r="F3050" s="8" t="s">
        <v>57</v>
      </c>
      <c r="G3050" s="11">
        <v>43112</v>
      </c>
      <c r="H3050" s="8" t="s">
        <v>25</v>
      </c>
      <c r="J3050" s="8" t="s">
        <v>25</v>
      </c>
      <c r="N3050" s="8" t="s">
        <v>58</v>
      </c>
      <c r="O3050" s="8" t="s">
        <v>59</v>
      </c>
      <c r="P3050" s="8" t="s">
        <v>59</v>
      </c>
      <c r="R3050" s="8">
        <v>0</v>
      </c>
      <c r="S3050" s="8">
        <v>0</v>
      </c>
      <c r="T3050" s="8">
        <v>1</v>
      </c>
      <c r="U3050" s="8">
        <v>2</v>
      </c>
      <c r="AG3050" s="8" t="str">
        <f t="shared" si="189"/>
        <v/>
      </c>
      <c r="AI3050" s="8" t="str">
        <f t="shared" si="190"/>
        <v/>
      </c>
      <c r="AJ3050" s="8" t="str">
        <f t="shared" si="191"/>
        <v/>
      </c>
      <c r="AL3050" s="8" t="str">
        <f t="shared" si="192"/>
        <v/>
      </c>
    </row>
    <row r="3051" spans="1:38" x14ac:dyDescent="0.25">
      <c r="A3051" s="8" t="s">
        <v>5994</v>
      </c>
      <c r="B3051" s="8" t="s">
        <v>5995</v>
      </c>
      <c r="C3051" s="8">
        <v>30912686</v>
      </c>
      <c r="D3051" s="8">
        <v>5</v>
      </c>
      <c r="E3051" s="11">
        <v>43112</v>
      </c>
      <c r="F3051" s="8" t="s">
        <v>57</v>
      </c>
      <c r="G3051" s="11">
        <v>43112</v>
      </c>
      <c r="H3051" s="8" t="s">
        <v>25</v>
      </c>
      <c r="J3051" s="8" t="s">
        <v>25</v>
      </c>
      <c r="N3051" s="8" t="s">
        <v>58</v>
      </c>
      <c r="O3051" s="8" t="s">
        <v>59</v>
      </c>
      <c r="P3051" s="8" t="s">
        <v>59</v>
      </c>
      <c r="R3051" s="8">
        <v>0</v>
      </c>
      <c r="S3051" s="8">
        <v>0</v>
      </c>
      <c r="T3051" s="8">
        <v>1</v>
      </c>
      <c r="U3051" s="8">
        <v>2</v>
      </c>
      <c r="AG3051" s="8" t="str">
        <f t="shared" si="189"/>
        <v/>
      </c>
      <c r="AI3051" s="8" t="str">
        <f t="shared" si="190"/>
        <v/>
      </c>
      <c r="AJ3051" s="8" t="str">
        <f t="shared" si="191"/>
        <v/>
      </c>
      <c r="AL3051" s="8" t="str">
        <f t="shared" si="192"/>
        <v/>
      </c>
    </row>
    <row r="3052" spans="1:38" x14ac:dyDescent="0.25">
      <c r="A3052" s="8" t="s">
        <v>7803</v>
      </c>
      <c r="B3052" s="8" t="s">
        <v>7804</v>
      </c>
      <c r="C3052" s="8">
        <v>30908951</v>
      </c>
      <c r="D3052" s="8">
        <v>5</v>
      </c>
      <c r="E3052" s="11">
        <v>43112</v>
      </c>
      <c r="F3052" s="8" t="s">
        <v>57</v>
      </c>
      <c r="G3052" s="11">
        <v>43115</v>
      </c>
      <c r="H3052" s="8" t="s">
        <v>25</v>
      </c>
      <c r="J3052" s="8" t="s">
        <v>25</v>
      </c>
      <c r="N3052" s="8" t="s">
        <v>58</v>
      </c>
      <c r="O3052" s="8" t="s">
        <v>59</v>
      </c>
      <c r="P3052" s="8" t="s">
        <v>59</v>
      </c>
      <c r="R3052" s="8">
        <v>0</v>
      </c>
      <c r="S3052" s="8">
        <v>0</v>
      </c>
      <c r="T3052" s="8">
        <v>1</v>
      </c>
      <c r="U3052" s="8">
        <v>2</v>
      </c>
      <c r="AG3052" s="8" t="str">
        <f t="shared" si="189"/>
        <v/>
      </c>
      <c r="AI3052" s="8" t="str">
        <f t="shared" si="190"/>
        <v/>
      </c>
      <c r="AJ3052" s="8" t="str">
        <f t="shared" si="191"/>
        <v/>
      </c>
      <c r="AL3052" s="8" t="str">
        <f t="shared" si="192"/>
        <v/>
      </c>
    </row>
    <row r="3053" spans="1:38" x14ac:dyDescent="0.25">
      <c r="A3053" s="8" t="s">
        <v>5996</v>
      </c>
      <c r="B3053" s="8" t="s">
        <v>5997</v>
      </c>
      <c r="C3053" s="8">
        <v>30876097</v>
      </c>
      <c r="D3053" s="8">
        <v>5</v>
      </c>
      <c r="E3053" s="11">
        <v>43110</v>
      </c>
      <c r="F3053" s="8" t="s">
        <v>57</v>
      </c>
      <c r="G3053" s="11">
        <v>43112</v>
      </c>
      <c r="H3053" s="8" t="s">
        <v>25</v>
      </c>
      <c r="J3053" s="8" t="s">
        <v>25</v>
      </c>
      <c r="N3053" s="8" t="s">
        <v>58</v>
      </c>
      <c r="O3053" s="8" t="s">
        <v>59</v>
      </c>
      <c r="P3053" s="8" t="s">
        <v>59</v>
      </c>
      <c r="R3053" s="8">
        <v>0</v>
      </c>
      <c r="S3053" s="8">
        <v>0</v>
      </c>
      <c r="T3053" s="8">
        <v>1</v>
      </c>
      <c r="U3053" s="8">
        <v>2</v>
      </c>
      <c r="AG3053" s="8" t="str">
        <f t="shared" si="189"/>
        <v/>
      </c>
      <c r="AI3053" s="8" t="str">
        <f t="shared" si="190"/>
        <v/>
      </c>
      <c r="AJ3053" s="8" t="str">
        <f t="shared" si="191"/>
        <v/>
      </c>
      <c r="AL3053" s="8" t="str">
        <f t="shared" si="192"/>
        <v/>
      </c>
    </row>
    <row r="3054" spans="1:38" x14ac:dyDescent="0.25">
      <c r="A3054" s="8" t="s">
        <v>2864</v>
      </c>
      <c r="B3054" s="8" t="s">
        <v>2865</v>
      </c>
      <c r="C3054" s="8">
        <v>30865221</v>
      </c>
      <c r="D3054" s="8">
        <v>5</v>
      </c>
      <c r="E3054" s="11">
        <v>43110</v>
      </c>
      <c r="F3054" s="8" t="s">
        <v>58</v>
      </c>
      <c r="G3054" s="11">
        <v>43110</v>
      </c>
      <c r="H3054" s="8" t="s">
        <v>25</v>
      </c>
      <c r="I3054" s="11">
        <v>43112</v>
      </c>
      <c r="J3054" s="8" t="s">
        <v>25</v>
      </c>
      <c r="N3054" s="8" t="s">
        <v>58</v>
      </c>
      <c r="O3054" s="8" t="s">
        <v>59</v>
      </c>
      <c r="P3054" s="8" t="s">
        <v>59</v>
      </c>
      <c r="R3054" s="8">
        <v>0</v>
      </c>
      <c r="S3054" s="8">
        <v>0</v>
      </c>
      <c r="T3054" s="8">
        <v>1</v>
      </c>
      <c r="U3054" s="8">
        <v>2</v>
      </c>
      <c r="X3054" s="8">
        <v>5</v>
      </c>
      <c r="AG3054" s="8" t="str">
        <f t="shared" si="189"/>
        <v/>
      </c>
      <c r="AI3054" s="8" t="str">
        <f t="shared" si="190"/>
        <v/>
      </c>
      <c r="AJ3054" s="8" t="str">
        <f t="shared" si="191"/>
        <v/>
      </c>
      <c r="AL3054" s="8" t="str">
        <f t="shared" si="192"/>
        <v/>
      </c>
    </row>
    <row r="3055" spans="1:38" x14ac:dyDescent="0.25">
      <c r="A3055" s="8" t="s">
        <v>1452</v>
      </c>
      <c r="B3055" s="8" t="s">
        <v>1453</v>
      </c>
      <c r="C3055" s="8">
        <v>30832309</v>
      </c>
      <c r="D3055" s="8">
        <v>5</v>
      </c>
      <c r="E3055" s="11">
        <v>43109</v>
      </c>
      <c r="F3055" s="8" t="s">
        <v>58</v>
      </c>
      <c r="G3055" s="11">
        <v>43109</v>
      </c>
      <c r="H3055" s="8" t="s">
        <v>25</v>
      </c>
      <c r="I3055" s="11">
        <v>43111</v>
      </c>
      <c r="J3055" s="8" t="s">
        <v>25</v>
      </c>
      <c r="N3055" s="8" t="s">
        <v>58</v>
      </c>
      <c r="O3055" s="8" t="s">
        <v>59</v>
      </c>
      <c r="P3055" s="8" t="s">
        <v>59</v>
      </c>
      <c r="R3055" s="8">
        <v>0</v>
      </c>
      <c r="S3055" s="8">
        <v>0</v>
      </c>
      <c r="T3055" s="8">
        <v>1</v>
      </c>
      <c r="U3055" s="8">
        <v>2</v>
      </c>
      <c r="X3055" s="8">
        <v>5</v>
      </c>
      <c r="AG3055" s="8" t="str">
        <f t="shared" si="189"/>
        <v/>
      </c>
      <c r="AI3055" s="8" t="str">
        <f t="shared" si="190"/>
        <v/>
      </c>
      <c r="AJ3055" s="8" t="str">
        <f t="shared" si="191"/>
        <v/>
      </c>
      <c r="AL3055" s="8" t="str">
        <f t="shared" si="192"/>
        <v/>
      </c>
    </row>
    <row r="3056" spans="1:38" x14ac:dyDescent="0.25">
      <c r="A3056" s="8" t="s">
        <v>5998</v>
      </c>
      <c r="B3056" s="8" t="s">
        <v>5999</v>
      </c>
      <c r="C3056" s="8">
        <v>30870178</v>
      </c>
      <c r="D3056" s="8">
        <v>5</v>
      </c>
      <c r="E3056" s="11">
        <v>43110</v>
      </c>
      <c r="F3056" s="8" t="s">
        <v>57</v>
      </c>
      <c r="G3056" s="11">
        <v>43112</v>
      </c>
      <c r="H3056" s="8" t="s">
        <v>25</v>
      </c>
      <c r="J3056" s="8" t="s">
        <v>25</v>
      </c>
      <c r="N3056" s="8" t="s">
        <v>58</v>
      </c>
      <c r="O3056" s="8" t="s">
        <v>59</v>
      </c>
      <c r="P3056" s="8" t="s">
        <v>59</v>
      </c>
      <c r="R3056" s="8">
        <v>0</v>
      </c>
      <c r="S3056" s="8">
        <v>0</v>
      </c>
      <c r="T3056" s="8">
        <v>1</v>
      </c>
      <c r="U3056" s="8">
        <v>2</v>
      </c>
      <c r="AG3056" s="8" t="str">
        <f t="shared" si="189"/>
        <v/>
      </c>
      <c r="AI3056" s="8" t="str">
        <f t="shared" si="190"/>
        <v/>
      </c>
      <c r="AJ3056" s="8" t="str">
        <f t="shared" si="191"/>
        <v/>
      </c>
      <c r="AL3056" s="8" t="str">
        <f t="shared" si="192"/>
        <v/>
      </c>
    </row>
    <row r="3057" spans="1:38" x14ac:dyDescent="0.25">
      <c r="A3057" s="8" t="s">
        <v>4326</v>
      </c>
      <c r="B3057" s="8" t="s">
        <v>4327</v>
      </c>
      <c r="C3057" s="8">
        <v>30836807</v>
      </c>
      <c r="D3057" s="8">
        <v>5</v>
      </c>
      <c r="E3057" s="11">
        <v>43109</v>
      </c>
      <c r="F3057" s="8" t="s">
        <v>58</v>
      </c>
      <c r="G3057" s="11">
        <v>43111</v>
      </c>
      <c r="H3057" s="8" t="s">
        <v>25</v>
      </c>
      <c r="I3057" s="11">
        <v>43111</v>
      </c>
      <c r="J3057" s="8" t="s">
        <v>25</v>
      </c>
      <c r="N3057" s="8" t="s">
        <v>58</v>
      </c>
      <c r="O3057" s="8" t="s">
        <v>59</v>
      </c>
      <c r="P3057" s="8" t="s">
        <v>59</v>
      </c>
      <c r="R3057" s="8">
        <v>0</v>
      </c>
      <c r="S3057" s="8">
        <v>0</v>
      </c>
      <c r="T3057" s="8">
        <v>1</v>
      </c>
      <c r="U3057" s="8">
        <v>2</v>
      </c>
      <c r="X3057" s="8">
        <v>5</v>
      </c>
      <c r="AG3057" s="8" t="str">
        <f t="shared" si="189"/>
        <v/>
      </c>
      <c r="AI3057" s="8" t="str">
        <f t="shared" si="190"/>
        <v/>
      </c>
      <c r="AJ3057" s="8" t="str">
        <f t="shared" si="191"/>
        <v/>
      </c>
      <c r="AL3057" s="8" t="str">
        <f t="shared" si="192"/>
        <v/>
      </c>
    </row>
    <row r="3058" spans="1:38" x14ac:dyDescent="0.25">
      <c r="A3058" s="8" t="s">
        <v>628</v>
      </c>
      <c r="B3058" s="8" t="s">
        <v>629</v>
      </c>
      <c r="C3058" s="8">
        <v>30812402</v>
      </c>
      <c r="D3058" s="8">
        <v>5</v>
      </c>
      <c r="E3058" s="11">
        <v>43108</v>
      </c>
      <c r="F3058" s="8" t="s">
        <v>58</v>
      </c>
      <c r="G3058" s="11">
        <v>43108</v>
      </c>
      <c r="H3058" s="8" t="s">
        <v>25</v>
      </c>
      <c r="I3058" s="11">
        <v>43110</v>
      </c>
      <c r="J3058" s="8" t="s">
        <v>25</v>
      </c>
      <c r="N3058" s="8" t="s">
        <v>58</v>
      </c>
      <c r="O3058" s="8" t="s">
        <v>59</v>
      </c>
      <c r="P3058" s="8" t="s">
        <v>59</v>
      </c>
      <c r="R3058" s="8">
        <v>0</v>
      </c>
      <c r="S3058" s="8">
        <v>0</v>
      </c>
      <c r="T3058" s="8">
        <v>1</v>
      </c>
      <c r="U3058" s="8">
        <v>2</v>
      </c>
      <c r="X3058" s="8">
        <v>5</v>
      </c>
      <c r="AG3058" s="8" t="str">
        <f t="shared" si="189"/>
        <v/>
      </c>
      <c r="AI3058" s="8" t="str">
        <f t="shared" si="190"/>
        <v/>
      </c>
      <c r="AJ3058" s="8" t="str">
        <f t="shared" si="191"/>
        <v/>
      </c>
      <c r="AL3058" s="8" t="str">
        <f t="shared" si="192"/>
        <v/>
      </c>
    </row>
    <row r="3059" spans="1:38" x14ac:dyDescent="0.25">
      <c r="A3059" s="8" t="s">
        <v>7805</v>
      </c>
      <c r="B3059" s="8" t="s">
        <v>7806</v>
      </c>
      <c r="C3059" s="8">
        <v>30881863</v>
      </c>
      <c r="D3059" s="8">
        <v>5</v>
      </c>
      <c r="E3059" s="11">
        <v>43111</v>
      </c>
      <c r="F3059" s="8" t="s">
        <v>58</v>
      </c>
      <c r="G3059" s="11">
        <v>43115</v>
      </c>
      <c r="H3059" s="8" t="s">
        <v>25</v>
      </c>
      <c r="I3059" s="11">
        <v>43115</v>
      </c>
      <c r="J3059" s="8" t="s">
        <v>25</v>
      </c>
      <c r="N3059" s="8" t="s">
        <v>58</v>
      </c>
      <c r="O3059" s="8" t="s">
        <v>59</v>
      </c>
      <c r="P3059" s="8" t="s">
        <v>59</v>
      </c>
      <c r="R3059" s="8">
        <v>0</v>
      </c>
      <c r="S3059" s="8">
        <v>0</v>
      </c>
      <c r="T3059" s="8">
        <v>1</v>
      </c>
      <c r="U3059" s="8">
        <v>2</v>
      </c>
      <c r="X3059" s="8">
        <v>5</v>
      </c>
      <c r="AG3059" s="8" t="str">
        <f t="shared" si="189"/>
        <v/>
      </c>
      <c r="AI3059" s="8" t="str">
        <f t="shared" si="190"/>
        <v/>
      </c>
      <c r="AJ3059" s="8" t="str">
        <f t="shared" si="191"/>
        <v/>
      </c>
      <c r="AL3059" s="8" t="str">
        <f t="shared" si="192"/>
        <v/>
      </c>
    </row>
    <row r="3060" spans="1:38" x14ac:dyDescent="0.25">
      <c r="A3060" s="8" t="s">
        <v>6000</v>
      </c>
      <c r="B3060" s="8" t="s">
        <v>6001</v>
      </c>
      <c r="C3060" s="8">
        <v>30860466</v>
      </c>
      <c r="D3060" s="8">
        <v>5</v>
      </c>
      <c r="E3060" s="11">
        <v>43110</v>
      </c>
      <c r="F3060" s="8" t="s">
        <v>58</v>
      </c>
      <c r="G3060" s="11">
        <v>43112</v>
      </c>
      <c r="H3060" s="8" t="s">
        <v>25</v>
      </c>
      <c r="I3060" s="11">
        <v>43112</v>
      </c>
      <c r="J3060" s="8" t="s">
        <v>25</v>
      </c>
      <c r="N3060" s="8" t="s">
        <v>58</v>
      </c>
      <c r="O3060" s="8" t="s">
        <v>59</v>
      </c>
      <c r="P3060" s="8" t="s">
        <v>59</v>
      </c>
      <c r="R3060" s="8">
        <v>0</v>
      </c>
      <c r="S3060" s="8">
        <v>0</v>
      </c>
      <c r="T3060" s="8">
        <v>1</v>
      </c>
      <c r="U3060" s="8">
        <v>2</v>
      </c>
      <c r="X3060" s="8">
        <v>5</v>
      </c>
      <c r="AG3060" s="8" t="str">
        <f t="shared" si="189"/>
        <v/>
      </c>
      <c r="AI3060" s="8" t="str">
        <f t="shared" si="190"/>
        <v/>
      </c>
      <c r="AJ3060" s="8" t="str">
        <f t="shared" si="191"/>
        <v/>
      </c>
      <c r="AL3060" s="8" t="str">
        <f t="shared" si="192"/>
        <v/>
      </c>
    </row>
    <row r="3061" spans="1:38" x14ac:dyDescent="0.25">
      <c r="A3061" s="8" t="s">
        <v>7807</v>
      </c>
      <c r="B3061" s="8" t="s">
        <v>7808</v>
      </c>
      <c r="C3061" s="8">
        <v>30890007</v>
      </c>
      <c r="D3061" s="8">
        <v>5</v>
      </c>
      <c r="E3061" s="11">
        <v>43111</v>
      </c>
      <c r="F3061" s="8" t="s">
        <v>58</v>
      </c>
      <c r="G3061" s="11">
        <v>43115</v>
      </c>
      <c r="H3061" s="8" t="s">
        <v>25</v>
      </c>
      <c r="I3061" s="11">
        <v>43115</v>
      </c>
      <c r="J3061" s="8" t="s">
        <v>25</v>
      </c>
      <c r="N3061" s="8" t="s">
        <v>58</v>
      </c>
      <c r="O3061" s="8" t="s">
        <v>59</v>
      </c>
      <c r="P3061" s="8" t="s">
        <v>59</v>
      </c>
      <c r="R3061" s="8">
        <v>0</v>
      </c>
      <c r="S3061" s="8">
        <v>0</v>
      </c>
      <c r="T3061" s="8">
        <v>1</v>
      </c>
      <c r="U3061" s="8">
        <v>2</v>
      </c>
      <c r="X3061" s="8">
        <v>5</v>
      </c>
      <c r="AG3061" s="8" t="str">
        <f t="shared" si="189"/>
        <v/>
      </c>
      <c r="AI3061" s="8" t="str">
        <f t="shared" si="190"/>
        <v/>
      </c>
      <c r="AJ3061" s="8" t="str">
        <f t="shared" si="191"/>
        <v/>
      </c>
      <c r="AL3061" s="8" t="str">
        <f t="shared" si="192"/>
        <v/>
      </c>
    </row>
    <row r="3062" spans="1:38" x14ac:dyDescent="0.25">
      <c r="A3062" s="8" t="s">
        <v>7809</v>
      </c>
      <c r="B3062" s="8" t="s">
        <v>7810</v>
      </c>
      <c r="C3062" s="8">
        <v>30882890</v>
      </c>
      <c r="D3062" s="8">
        <v>5</v>
      </c>
      <c r="E3062" s="11">
        <v>43111</v>
      </c>
      <c r="F3062" s="8" t="s">
        <v>57</v>
      </c>
      <c r="G3062" s="11">
        <v>43115</v>
      </c>
      <c r="H3062" s="8" t="s">
        <v>25</v>
      </c>
      <c r="J3062" s="8" t="s">
        <v>25</v>
      </c>
      <c r="N3062" s="8" t="s">
        <v>58</v>
      </c>
      <c r="O3062" s="8" t="s">
        <v>59</v>
      </c>
      <c r="P3062" s="8" t="s">
        <v>59</v>
      </c>
      <c r="R3062" s="8">
        <v>0</v>
      </c>
      <c r="S3062" s="8">
        <v>0</v>
      </c>
      <c r="T3062" s="8">
        <v>1</v>
      </c>
      <c r="U3062" s="8">
        <v>2</v>
      </c>
      <c r="AG3062" s="8" t="str">
        <f t="shared" si="189"/>
        <v/>
      </c>
      <c r="AI3062" s="8" t="str">
        <f t="shared" si="190"/>
        <v/>
      </c>
      <c r="AJ3062" s="8" t="str">
        <f t="shared" si="191"/>
        <v/>
      </c>
      <c r="AL3062" s="8" t="str">
        <f t="shared" si="192"/>
        <v/>
      </c>
    </row>
    <row r="3063" spans="1:38" x14ac:dyDescent="0.25">
      <c r="A3063" s="8" t="s">
        <v>4328</v>
      </c>
      <c r="B3063" s="8" t="s">
        <v>4329</v>
      </c>
      <c r="C3063" s="8">
        <v>30851674</v>
      </c>
      <c r="D3063" s="8">
        <v>5</v>
      </c>
      <c r="E3063" s="11">
        <v>43109</v>
      </c>
      <c r="F3063" s="8" t="s">
        <v>58</v>
      </c>
      <c r="G3063" s="11">
        <v>43111</v>
      </c>
      <c r="H3063" s="8" t="s">
        <v>25</v>
      </c>
      <c r="I3063" s="11">
        <v>43111</v>
      </c>
      <c r="J3063" s="8" t="s">
        <v>25</v>
      </c>
      <c r="N3063" s="8" t="s">
        <v>58</v>
      </c>
      <c r="O3063" s="8" t="s">
        <v>59</v>
      </c>
      <c r="P3063" s="8" t="s">
        <v>59</v>
      </c>
      <c r="R3063" s="8">
        <v>0</v>
      </c>
      <c r="S3063" s="8">
        <v>0</v>
      </c>
      <c r="T3063" s="8">
        <v>1</v>
      </c>
      <c r="U3063" s="8">
        <v>2</v>
      </c>
      <c r="X3063" s="8">
        <v>5</v>
      </c>
      <c r="AG3063" s="8" t="str">
        <f t="shared" si="189"/>
        <v/>
      </c>
      <c r="AI3063" s="8" t="str">
        <f t="shared" si="190"/>
        <v/>
      </c>
      <c r="AJ3063" s="8" t="str">
        <f t="shared" si="191"/>
        <v/>
      </c>
      <c r="AL3063" s="8" t="str">
        <f t="shared" si="192"/>
        <v/>
      </c>
    </row>
    <row r="3064" spans="1:38" x14ac:dyDescent="0.25">
      <c r="A3064" s="8" t="s">
        <v>4330</v>
      </c>
      <c r="B3064" s="8" t="s">
        <v>4331</v>
      </c>
      <c r="C3064" s="8">
        <v>30835812</v>
      </c>
      <c r="D3064" s="8">
        <v>5</v>
      </c>
      <c r="E3064" s="11">
        <v>43109</v>
      </c>
      <c r="F3064" s="8" t="s">
        <v>58</v>
      </c>
      <c r="G3064" s="11">
        <v>43111</v>
      </c>
      <c r="H3064" s="8" t="s">
        <v>25</v>
      </c>
      <c r="I3064" s="11">
        <v>43111</v>
      </c>
      <c r="J3064" s="8" t="s">
        <v>25</v>
      </c>
      <c r="N3064" s="8" t="s">
        <v>58</v>
      </c>
      <c r="O3064" s="8" t="s">
        <v>59</v>
      </c>
      <c r="P3064" s="8" t="s">
        <v>59</v>
      </c>
      <c r="R3064" s="8">
        <v>0</v>
      </c>
      <c r="S3064" s="8">
        <v>0</v>
      </c>
      <c r="T3064" s="8">
        <v>1</v>
      </c>
      <c r="U3064" s="8">
        <v>2</v>
      </c>
      <c r="X3064" s="8">
        <v>5</v>
      </c>
      <c r="AG3064" s="8" t="str">
        <f t="shared" si="189"/>
        <v/>
      </c>
      <c r="AI3064" s="8" t="str">
        <f t="shared" si="190"/>
        <v/>
      </c>
      <c r="AJ3064" s="8" t="str">
        <f t="shared" si="191"/>
        <v/>
      </c>
      <c r="AL3064" s="8" t="str">
        <f t="shared" si="192"/>
        <v/>
      </c>
    </row>
    <row r="3065" spans="1:38" x14ac:dyDescent="0.25">
      <c r="A3065" s="8" t="s">
        <v>6002</v>
      </c>
      <c r="B3065" s="8" t="s">
        <v>6003</v>
      </c>
      <c r="C3065" s="8">
        <v>30858853</v>
      </c>
      <c r="D3065" s="8">
        <v>5</v>
      </c>
      <c r="E3065" s="11">
        <v>43110</v>
      </c>
      <c r="F3065" s="8" t="s">
        <v>57</v>
      </c>
      <c r="G3065" s="11">
        <v>43112</v>
      </c>
      <c r="H3065" s="8" t="s">
        <v>25</v>
      </c>
      <c r="J3065" s="8" t="s">
        <v>25</v>
      </c>
      <c r="N3065" s="8" t="s">
        <v>58</v>
      </c>
      <c r="O3065" s="8" t="s">
        <v>59</v>
      </c>
      <c r="P3065" s="8" t="s">
        <v>59</v>
      </c>
      <c r="R3065" s="8">
        <v>0</v>
      </c>
      <c r="S3065" s="8">
        <v>0</v>
      </c>
      <c r="T3065" s="8">
        <v>1</v>
      </c>
      <c r="U3065" s="8">
        <v>2</v>
      </c>
      <c r="AG3065" s="8" t="str">
        <f t="shared" si="189"/>
        <v/>
      </c>
      <c r="AI3065" s="8" t="str">
        <f t="shared" si="190"/>
        <v/>
      </c>
      <c r="AJ3065" s="8" t="str">
        <f t="shared" si="191"/>
        <v/>
      </c>
      <c r="AL3065" s="8" t="str">
        <f t="shared" si="192"/>
        <v/>
      </c>
    </row>
    <row r="3066" spans="1:38" x14ac:dyDescent="0.25">
      <c r="A3066" s="8" t="s">
        <v>2866</v>
      </c>
      <c r="B3066" s="8" t="s">
        <v>2867</v>
      </c>
      <c r="C3066" s="8">
        <v>30823433</v>
      </c>
      <c r="D3066" s="8">
        <v>5</v>
      </c>
      <c r="E3066" s="11">
        <v>43108</v>
      </c>
      <c r="F3066" s="8" t="s">
        <v>58</v>
      </c>
      <c r="G3066" s="11">
        <v>43110</v>
      </c>
      <c r="H3066" s="8" t="s">
        <v>25</v>
      </c>
      <c r="I3066" s="11">
        <v>43110</v>
      </c>
      <c r="J3066" s="8" t="s">
        <v>25</v>
      </c>
      <c r="N3066" s="8" t="s">
        <v>58</v>
      </c>
      <c r="O3066" s="8" t="s">
        <v>59</v>
      </c>
      <c r="P3066" s="8" t="s">
        <v>59</v>
      </c>
      <c r="R3066" s="8">
        <v>0</v>
      </c>
      <c r="S3066" s="8">
        <v>0</v>
      </c>
      <c r="T3066" s="8">
        <v>1</v>
      </c>
      <c r="U3066" s="8">
        <v>2</v>
      </c>
      <c r="X3066" s="8">
        <v>5</v>
      </c>
      <c r="AG3066" s="8" t="str">
        <f t="shared" si="189"/>
        <v/>
      </c>
      <c r="AI3066" s="8" t="str">
        <f t="shared" si="190"/>
        <v/>
      </c>
      <c r="AJ3066" s="8" t="str">
        <f t="shared" si="191"/>
        <v/>
      </c>
      <c r="AL3066" s="8" t="str">
        <f t="shared" si="192"/>
        <v/>
      </c>
    </row>
    <row r="3067" spans="1:38" x14ac:dyDescent="0.25">
      <c r="A3067" s="8" t="s">
        <v>4332</v>
      </c>
      <c r="B3067" s="8" t="s">
        <v>4333</v>
      </c>
      <c r="C3067" s="8">
        <v>30832456</v>
      </c>
      <c r="D3067" s="8">
        <v>5</v>
      </c>
      <c r="E3067" s="11">
        <v>43109</v>
      </c>
      <c r="F3067" s="8" t="s">
        <v>57</v>
      </c>
      <c r="G3067" s="11">
        <v>43111</v>
      </c>
      <c r="H3067" s="8" t="s">
        <v>25</v>
      </c>
      <c r="J3067" s="8" t="s">
        <v>25</v>
      </c>
      <c r="N3067" s="8" t="s">
        <v>58</v>
      </c>
      <c r="O3067" s="8" t="s">
        <v>59</v>
      </c>
      <c r="P3067" s="8" t="s">
        <v>59</v>
      </c>
      <c r="R3067" s="8">
        <v>0</v>
      </c>
      <c r="S3067" s="8">
        <v>0</v>
      </c>
      <c r="T3067" s="8">
        <v>1</v>
      </c>
      <c r="U3067" s="8">
        <v>2</v>
      </c>
      <c r="AG3067" s="8" t="str">
        <f t="shared" si="189"/>
        <v/>
      </c>
      <c r="AI3067" s="8" t="str">
        <f t="shared" si="190"/>
        <v/>
      </c>
      <c r="AJ3067" s="8" t="str">
        <f t="shared" si="191"/>
        <v/>
      </c>
      <c r="AL3067" s="8" t="str">
        <f t="shared" si="192"/>
        <v/>
      </c>
    </row>
    <row r="3068" spans="1:38" x14ac:dyDescent="0.25">
      <c r="A3068" s="8" t="s">
        <v>7811</v>
      </c>
      <c r="B3068" s="8" t="s">
        <v>7812</v>
      </c>
      <c r="C3068" s="8">
        <v>30891124</v>
      </c>
      <c r="D3068" s="8">
        <v>5</v>
      </c>
      <c r="E3068" s="11">
        <v>43111</v>
      </c>
      <c r="F3068" s="8" t="s">
        <v>57</v>
      </c>
      <c r="G3068" s="11">
        <v>43115</v>
      </c>
      <c r="H3068" s="8" t="s">
        <v>25</v>
      </c>
      <c r="J3068" s="8" t="s">
        <v>25</v>
      </c>
      <c r="N3068" s="8" t="s">
        <v>58</v>
      </c>
      <c r="O3068" s="8" t="s">
        <v>59</v>
      </c>
      <c r="P3068" s="8" t="s">
        <v>59</v>
      </c>
      <c r="R3068" s="8">
        <v>0</v>
      </c>
      <c r="S3068" s="8">
        <v>0</v>
      </c>
      <c r="T3068" s="8">
        <v>1</v>
      </c>
      <c r="U3068" s="8">
        <v>2</v>
      </c>
      <c r="AG3068" s="8" t="str">
        <f t="shared" si="189"/>
        <v/>
      </c>
      <c r="AI3068" s="8" t="str">
        <f t="shared" si="190"/>
        <v/>
      </c>
      <c r="AJ3068" s="8" t="str">
        <f t="shared" si="191"/>
        <v/>
      </c>
      <c r="AL3068" s="8" t="str">
        <f t="shared" si="192"/>
        <v/>
      </c>
    </row>
    <row r="3069" spans="1:38" x14ac:dyDescent="0.25">
      <c r="A3069" s="8" t="s">
        <v>4334</v>
      </c>
      <c r="B3069" s="8" t="s">
        <v>4335</v>
      </c>
      <c r="C3069" s="8">
        <v>30843537</v>
      </c>
      <c r="D3069" s="8">
        <v>5</v>
      </c>
      <c r="E3069" s="11">
        <v>43109</v>
      </c>
      <c r="F3069" s="8" t="s">
        <v>58</v>
      </c>
      <c r="G3069" s="11">
        <v>43111</v>
      </c>
      <c r="H3069" s="8" t="s">
        <v>25</v>
      </c>
      <c r="I3069" s="11">
        <v>43111</v>
      </c>
      <c r="J3069" s="8" t="s">
        <v>25</v>
      </c>
      <c r="N3069" s="8" t="s">
        <v>58</v>
      </c>
      <c r="O3069" s="8" t="s">
        <v>59</v>
      </c>
      <c r="P3069" s="8" t="s">
        <v>59</v>
      </c>
      <c r="R3069" s="8">
        <v>0</v>
      </c>
      <c r="S3069" s="8">
        <v>0</v>
      </c>
      <c r="T3069" s="8">
        <v>1</v>
      </c>
      <c r="U3069" s="8">
        <v>2</v>
      </c>
      <c r="X3069" s="8">
        <v>5</v>
      </c>
      <c r="AG3069" s="8" t="str">
        <f t="shared" si="189"/>
        <v/>
      </c>
      <c r="AI3069" s="8" t="str">
        <f t="shared" si="190"/>
        <v/>
      </c>
      <c r="AJ3069" s="8" t="str">
        <f t="shared" si="191"/>
        <v/>
      </c>
      <c r="AL3069" s="8" t="str">
        <f t="shared" si="192"/>
        <v/>
      </c>
    </row>
    <row r="3070" spans="1:38" x14ac:dyDescent="0.25">
      <c r="A3070" s="8" t="s">
        <v>2868</v>
      </c>
      <c r="B3070" s="8" t="s">
        <v>2869</v>
      </c>
      <c r="C3070" s="8">
        <v>30823599</v>
      </c>
      <c r="D3070" s="8">
        <v>5</v>
      </c>
      <c r="E3070" s="11">
        <v>43108</v>
      </c>
      <c r="F3070" s="8" t="s">
        <v>58</v>
      </c>
      <c r="G3070" s="11">
        <v>43110</v>
      </c>
      <c r="H3070" s="8" t="s">
        <v>25</v>
      </c>
      <c r="I3070" s="11">
        <v>43110</v>
      </c>
      <c r="J3070" s="8" t="s">
        <v>25</v>
      </c>
      <c r="N3070" s="8" t="s">
        <v>58</v>
      </c>
      <c r="O3070" s="8" t="s">
        <v>59</v>
      </c>
      <c r="P3070" s="8" t="s">
        <v>59</v>
      </c>
      <c r="R3070" s="8">
        <v>0</v>
      </c>
      <c r="S3070" s="8">
        <v>0</v>
      </c>
      <c r="T3070" s="8">
        <v>1</v>
      </c>
      <c r="U3070" s="8">
        <v>2</v>
      </c>
      <c r="X3070" s="8">
        <v>5</v>
      </c>
      <c r="AG3070" s="8" t="str">
        <f t="shared" si="189"/>
        <v/>
      </c>
      <c r="AI3070" s="8" t="str">
        <f t="shared" si="190"/>
        <v/>
      </c>
      <c r="AJ3070" s="8" t="str">
        <f t="shared" si="191"/>
        <v/>
      </c>
      <c r="AL3070" s="8" t="str">
        <f t="shared" si="192"/>
        <v/>
      </c>
    </row>
    <row r="3071" spans="1:38" x14ac:dyDescent="0.25">
      <c r="A3071" s="8" t="s">
        <v>4336</v>
      </c>
      <c r="B3071" s="8" t="s">
        <v>4337</v>
      </c>
      <c r="C3071" s="8">
        <v>30853659</v>
      </c>
      <c r="D3071" s="8">
        <v>5</v>
      </c>
      <c r="E3071" s="11">
        <v>43109</v>
      </c>
      <c r="F3071" s="8" t="s">
        <v>57</v>
      </c>
      <c r="G3071" s="11">
        <v>43111</v>
      </c>
      <c r="H3071" s="8" t="s">
        <v>25</v>
      </c>
      <c r="J3071" s="8" t="s">
        <v>25</v>
      </c>
      <c r="N3071" s="8" t="s">
        <v>58</v>
      </c>
      <c r="O3071" s="8" t="s">
        <v>59</v>
      </c>
      <c r="P3071" s="8" t="s">
        <v>59</v>
      </c>
      <c r="R3071" s="8">
        <v>0</v>
      </c>
      <c r="S3071" s="8">
        <v>0</v>
      </c>
      <c r="T3071" s="8">
        <v>1</v>
      </c>
      <c r="U3071" s="8">
        <v>2</v>
      </c>
      <c r="AG3071" s="8" t="str">
        <f t="shared" si="189"/>
        <v/>
      </c>
      <c r="AI3071" s="8" t="str">
        <f t="shared" si="190"/>
        <v/>
      </c>
      <c r="AJ3071" s="8" t="str">
        <f t="shared" si="191"/>
        <v/>
      </c>
      <c r="AL3071" s="8" t="str">
        <f t="shared" si="192"/>
        <v/>
      </c>
    </row>
    <row r="3072" spans="1:38" x14ac:dyDescent="0.25">
      <c r="A3072" s="8" t="s">
        <v>7813</v>
      </c>
      <c r="B3072" s="8" t="s">
        <v>7814</v>
      </c>
      <c r="C3072" s="8">
        <v>30902282</v>
      </c>
      <c r="D3072" s="8">
        <v>5</v>
      </c>
      <c r="E3072" s="11">
        <v>43111</v>
      </c>
      <c r="F3072" s="8" t="s">
        <v>57</v>
      </c>
      <c r="G3072" s="11">
        <v>43115</v>
      </c>
      <c r="H3072" s="8" t="s">
        <v>25</v>
      </c>
      <c r="J3072" s="8" t="s">
        <v>25</v>
      </c>
      <c r="N3072" s="8" t="s">
        <v>58</v>
      </c>
      <c r="O3072" s="8" t="s">
        <v>59</v>
      </c>
      <c r="P3072" s="8" t="s">
        <v>59</v>
      </c>
      <c r="R3072" s="8">
        <v>0</v>
      </c>
      <c r="S3072" s="8">
        <v>0</v>
      </c>
      <c r="T3072" s="8">
        <v>1</v>
      </c>
      <c r="U3072" s="8">
        <v>2</v>
      </c>
      <c r="AG3072" s="8" t="str">
        <f t="shared" si="189"/>
        <v/>
      </c>
      <c r="AI3072" s="8" t="str">
        <f t="shared" si="190"/>
        <v/>
      </c>
      <c r="AJ3072" s="8" t="str">
        <f t="shared" si="191"/>
        <v/>
      </c>
      <c r="AL3072" s="8" t="str">
        <f t="shared" si="192"/>
        <v/>
      </c>
    </row>
    <row r="3073" spans="1:38" x14ac:dyDescent="0.25">
      <c r="A3073" s="8" t="s">
        <v>7815</v>
      </c>
      <c r="B3073" s="8" t="s">
        <v>7816</v>
      </c>
      <c r="C3073" s="8">
        <v>30909126</v>
      </c>
      <c r="D3073" s="8">
        <v>5</v>
      </c>
      <c r="E3073" s="11">
        <v>43112</v>
      </c>
      <c r="F3073" s="8" t="s">
        <v>57</v>
      </c>
      <c r="G3073" s="11">
        <v>43115</v>
      </c>
      <c r="H3073" s="8" t="s">
        <v>25</v>
      </c>
      <c r="J3073" s="8" t="s">
        <v>25</v>
      </c>
      <c r="N3073" s="8" t="s">
        <v>58</v>
      </c>
      <c r="O3073" s="8" t="s">
        <v>59</v>
      </c>
      <c r="P3073" s="8" t="s">
        <v>59</v>
      </c>
      <c r="R3073" s="8">
        <v>0</v>
      </c>
      <c r="S3073" s="8">
        <v>0</v>
      </c>
      <c r="T3073" s="8">
        <v>1</v>
      </c>
      <c r="U3073" s="8">
        <v>2</v>
      </c>
      <c r="AG3073" s="8" t="str">
        <f t="shared" si="189"/>
        <v/>
      </c>
      <c r="AI3073" s="8" t="str">
        <f t="shared" si="190"/>
        <v/>
      </c>
      <c r="AJ3073" s="8" t="str">
        <f t="shared" si="191"/>
        <v/>
      </c>
      <c r="AL3073" s="8" t="str">
        <f t="shared" si="192"/>
        <v/>
      </c>
    </row>
    <row r="3074" spans="1:38" x14ac:dyDescent="0.25">
      <c r="A3074" s="8" t="s">
        <v>2870</v>
      </c>
      <c r="B3074" s="8" t="s">
        <v>2871</v>
      </c>
      <c r="C3074" s="8">
        <v>30814745</v>
      </c>
      <c r="D3074" s="8">
        <v>5</v>
      </c>
      <c r="E3074" s="11">
        <v>43108</v>
      </c>
      <c r="F3074" s="8" t="s">
        <v>58</v>
      </c>
      <c r="G3074" s="11">
        <v>43110</v>
      </c>
      <c r="H3074" s="8" t="s">
        <v>25</v>
      </c>
      <c r="I3074" s="11">
        <v>43110</v>
      </c>
      <c r="J3074" s="8" t="s">
        <v>25</v>
      </c>
      <c r="N3074" s="8" t="s">
        <v>58</v>
      </c>
      <c r="O3074" s="8" t="s">
        <v>59</v>
      </c>
      <c r="P3074" s="8" t="s">
        <v>59</v>
      </c>
      <c r="R3074" s="8">
        <v>0</v>
      </c>
      <c r="S3074" s="8">
        <v>0</v>
      </c>
      <c r="T3074" s="8">
        <v>1</v>
      </c>
      <c r="U3074" s="8">
        <v>2</v>
      </c>
      <c r="X3074" s="8">
        <v>5</v>
      </c>
      <c r="AG3074" s="8" t="str">
        <f t="shared" si="189"/>
        <v/>
      </c>
      <c r="AI3074" s="8" t="str">
        <f t="shared" si="190"/>
        <v/>
      </c>
      <c r="AJ3074" s="8" t="str">
        <f t="shared" si="191"/>
        <v/>
      </c>
      <c r="AL3074" s="8" t="str">
        <f t="shared" si="192"/>
        <v/>
      </c>
    </row>
    <row r="3075" spans="1:38" x14ac:dyDescent="0.25">
      <c r="A3075" s="8" t="s">
        <v>2872</v>
      </c>
      <c r="B3075" s="8" t="s">
        <v>2873</v>
      </c>
      <c r="C3075" s="8">
        <v>30823693</v>
      </c>
      <c r="D3075" s="8">
        <v>5</v>
      </c>
      <c r="E3075" s="11">
        <v>43108</v>
      </c>
      <c r="F3075" s="8" t="s">
        <v>57</v>
      </c>
      <c r="G3075" s="11">
        <v>43110</v>
      </c>
      <c r="H3075" s="8" t="s">
        <v>25</v>
      </c>
      <c r="J3075" s="8" t="s">
        <v>25</v>
      </c>
      <c r="N3075" s="8" t="s">
        <v>58</v>
      </c>
      <c r="O3075" s="8" t="s">
        <v>59</v>
      </c>
      <c r="P3075" s="8" t="s">
        <v>59</v>
      </c>
      <c r="R3075" s="8">
        <v>0</v>
      </c>
      <c r="S3075" s="8">
        <v>0</v>
      </c>
      <c r="T3075" s="8">
        <v>1</v>
      </c>
      <c r="U3075" s="8">
        <v>2</v>
      </c>
      <c r="AG3075" s="8" t="str">
        <f t="shared" ref="AG3075:AG3138" si="193">IF(AND(U3075="",G3075&lt;&gt;"",NOT(OR(R3075,S3075))),IF(NETWORKDAYS.INTL(G3075,TODAY(),11)&lt;5,"En Plazo",IF(NETWORKDAYS.INTL(G3075,TODAY(),11)=5,"Riesgo Incumplimiento","FALTA_02")),"")</f>
        <v/>
      </c>
      <c r="AI3075" s="8" t="str">
        <f t="shared" ref="AI3075:AI3138" si="194">IF(AND(O3075&lt;&gt;"B1",F3075="Rejected"),IF(W3075="","FALTA_04",""),"")</f>
        <v/>
      </c>
      <c r="AJ3075" s="8" t="str">
        <f t="shared" ref="AJ3075:AJ3138" si="195">IF(AND(X3075="",I3075&lt;&gt;"",NOT(OR(R3075,S3075))),IF(NETWORKDAYS.INTL(G3075,TODAY(),11)&lt;=1,"En Plazo",IF(OR(AND(X3075="",O3075&lt;&gt;"M1"),AND(O3075="M1",(OR(Q3075="S - S",Q3075="S - T",)))),"FALTA_05","")),"")</f>
        <v/>
      </c>
      <c r="AL3075" s="8" t="str">
        <f t="shared" ref="AL3075:AL3138" si="196">IF(AND(O3075="B1",F3075="Rejected"),IF(Z3075="","FALTA_07",""),"")</f>
        <v/>
      </c>
    </row>
    <row r="3076" spans="1:38" x14ac:dyDescent="0.25">
      <c r="A3076" s="8" t="s">
        <v>2874</v>
      </c>
      <c r="B3076" s="8" t="s">
        <v>2875</v>
      </c>
      <c r="C3076" s="8">
        <v>30825919</v>
      </c>
      <c r="D3076" s="8">
        <v>5</v>
      </c>
      <c r="E3076" s="11">
        <v>43108</v>
      </c>
      <c r="F3076" s="8" t="s">
        <v>58</v>
      </c>
      <c r="G3076" s="11">
        <v>43110</v>
      </c>
      <c r="H3076" s="8" t="s">
        <v>25</v>
      </c>
      <c r="I3076" s="11">
        <v>43111</v>
      </c>
      <c r="J3076" s="8" t="s">
        <v>25</v>
      </c>
      <c r="N3076" s="8" t="s">
        <v>58</v>
      </c>
      <c r="O3076" s="8" t="s">
        <v>59</v>
      </c>
      <c r="P3076" s="8" t="s">
        <v>59</v>
      </c>
      <c r="R3076" s="8">
        <v>0</v>
      </c>
      <c r="S3076" s="8">
        <v>0</v>
      </c>
      <c r="T3076" s="8">
        <v>1</v>
      </c>
      <c r="U3076" s="8">
        <v>2</v>
      </c>
      <c r="X3076" s="8">
        <v>5</v>
      </c>
      <c r="AG3076" s="8" t="str">
        <f t="shared" si="193"/>
        <v/>
      </c>
      <c r="AI3076" s="8" t="str">
        <f t="shared" si="194"/>
        <v/>
      </c>
      <c r="AJ3076" s="8" t="str">
        <f t="shared" si="195"/>
        <v/>
      </c>
      <c r="AL3076" s="8" t="str">
        <f t="shared" si="196"/>
        <v/>
      </c>
    </row>
    <row r="3077" spans="1:38" x14ac:dyDescent="0.25">
      <c r="A3077" s="8" t="s">
        <v>4338</v>
      </c>
      <c r="B3077" s="8" t="s">
        <v>4339</v>
      </c>
      <c r="C3077" s="8">
        <v>30851073</v>
      </c>
      <c r="D3077" s="8">
        <v>5</v>
      </c>
      <c r="E3077" s="11">
        <v>43109</v>
      </c>
      <c r="F3077" s="8" t="s">
        <v>58</v>
      </c>
      <c r="G3077" s="11">
        <v>43111</v>
      </c>
      <c r="H3077" s="8" t="s">
        <v>25</v>
      </c>
      <c r="I3077" s="11">
        <v>43112</v>
      </c>
      <c r="J3077" s="8" t="s">
        <v>25</v>
      </c>
      <c r="N3077" s="8" t="s">
        <v>58</v>
      </c>
      <c r="O3077" s="8" t="s">
        <v>59</v>
      </c>
      <c r="P3077" s="8" t="s">
        <v>59</v>
      </c>
      <c r="R3077" s="8">
        <v>0</v>
      </c>
      <c r="S3077" s="8">
        <v>0</v>
      </c>
      <c r="T3077" s="8">
        <v>1</v>
      </c>
      <c r="U3077" s="8">
        <v>2</v>
      </c>
      <c r="X3077" s="8">
        <v>5</v>
      </c>
      <c r="AG3077" s="8" t="str">
        <f t="shared" si="193"/>
        <v/>
      </c>
      <c r="AI3077" s="8" t="str">
        <f t="shared" si="194"/>
        <v/>
      </c>
      <c r="AJ3077" s="8" t="str">
        <f t="shared" si="195"/>
        <v/>
      </c>
      <c r="AL3077" s="8" t="str">
        <f t="shared" si="196"/>
        <v/>
      </c>
    </row>
    <row r="3078" spans="1:38" x14ac:dyDescent="0.25">
      <c r="A3078" s="8" t="s">
        <v>2876</v>
      </c>
      <c r="B3078" s="8" t="s">
        <v>2877</v>
      </c>
      <c r="C3078" s="8">
        <v>30808074</v>
      </c>
      <c r="D3078" s="8">
        <v>5</v>
      </c>
      <c r="E3078" s="11">
        <v>43108</v>
      </c>
      <c r="F3078" s="8" t="s">
        <v>58</v>
      </c>
      <c r="G3078" s="11">
        <v>43110</v>
      </c>
      <c r="H3078" s="8" t="s">
        <v>25</v>
      </c>
      <c r="I3078" s="11">
        <v>43110</v>
      </c>
      <c r="J3078" s="8" t="s">
        <v>25</v>
      </c>
      <c r="N3078" s="8" t="s">
        <v>58</v>
      </c>
      <c r="O3078" s="8" t="s">
        <v>59</v>
      </c>
      <c r="P3078" s="8" t="s">
        <v>59</v>
      </c>
      <c r="R3078" s="8">
        <v>0</v>
      </c>
      <c r="S3078" s="8">
        <v>0</v>
      </c>
      <c r="T3078" s="8">
        <v>1</v>
      </c>
      <c r="U3078" s="8">
        <v>2</v>
      </c>
      <c r="X3078" s="8">
        <v>5</v>
      </c>
      <c r="AG3078" s="8" t="str">
        <f t="shared" si="193"/>
        <v/>
      </c>
      <c r="AI3078" s="8" t="str">
        <f t="shared" si="194"/>
        <v/>
      </c>
      <c r="AJ3078" s="8" t="str">
        <f t="shared" si="195"/>
        <v/>
      </c>
      <c r="AL3078" s="8" t="str">
        <f t="shared" si="196"/>
        <v/>
      </c>
    </row>
    <row r="3079" spans="1:38" x14ac:dyDescent="0.25">
      <c r="A3079" s="8" t="s">
        <v>4340</v>
      </c>
      <c r="B3079" s="8" t="s">
        <v>4341</v>
      </c>
      <c r="C3079" s="8">
        <v>30852387</v>
      </c>
      <c r="D3079" s="8">
        <v>5</v>
      </c>
      <c r="E3079" s="11">
        <v>43109</v>
      </c>
      <c r="F3079" s="8" t="s">
        <v>57</v>
      </c>
      <c r="G3079" s="11">
        <v>43111</v>
      </c>
      <c r="H3079" s="8" t="s">
        <v>25</v>
      </c>
      <c r="J3079" s="8" t="s">
        <v>25</v>
      </c>
      <c r="N3079" s="8" t="s">
        <v>58</v>
      </c>
      <c r="O3079" s="8" t="s">
        <v>59</v>
      </c>
      <c r="P3079" s="8" t="s">
        <v>59</v>
      </c>
      <c r="R3079" s="8">
        <v>0</v>
      </c>
      <c r="S3079" s="8">
        <v>0</v>
      </c>
      <c r="T3079" s="8">
        <v>1</v>
      </c>
      <c r="U3079" s="8">
        <v>2</v>
      </c>
      <c r="AG3079" s="8" t="str">
        <f t="shared" si="193"/>
        <v/>
      </c>
      <c r="AI3079" s="8" t="str">
        <f t="shared" si="194"/>
        <v/>
      </c>
      <c r="AJ3079" s="8" t="str">
        <f t="shared" si="195"/>
        <v/>
      </c>
      <c r="AL3079" s="8" t="str">
        <f t="shared" si="196"/>
        <v/>
      </c>
    </row>
    <row r="3080" spans="1:38" x14ac:dyDescent="0.25">
      <c r="A3080" s="8" t="s">
        <v>2878</v>
      </c>
      <c r="B3080" s="8" t="s">
        <v>2879</v>
      </c>
      <c r="C3080" s="8">
        <v>30815445</v>
      </c>
      <c r="D3080" s="8">
        <v>5</v>
      </c>
      <c r="E3080" s="11">
        <v>43108</v>
      </c>
      <c r="F3080" s="8" t="s">
        <v>58</v>
      </c>
      <c r="G3080" s="11">
        <v>43110</v>
      </c>
      <c r="H3080" s="8" t="s">
        <v>25</v>
      </c>
      <c r="I3080" s="11">
        <v>43110</v>
      </c>
      <c r="J3080" s="8" t="s">
        <v>25</v>
      </c>
      <c r="N3080" s="8" t="s">
        <v>58</v>
      </c>
      <c r="O3080" s="8" t="s">
        <v>59</v>
      </c>
      <c r="P3080" s="8" t="s">
        <v>59</v>
      </c>
      <c r="R3080" s="8">
        <v>0</v>
      </c>
      <c r="S3080" s="8">
        <v>0</v>
      </c>
      <c r="T3080" s="8">
        <v>1</v>
      </c>
      <c r="U3080" s="8">
        <v>2</v>
      </c>
      <c r="X3080" s="8">
        <v>5</v>
      </c>
      <c r="AG3080" s="8" t="str">
        <f t="shared" si="193"/>
        <v/>
      </c>
      <c r="AI3080" s="8" t="str">
        <f t="shared" si="194"/>
        <v/>
      </c>
      <c r="AJ3080" s="8" t="str">
        <f t="shared" si="195"/>
        <v/>
      </c>
      <c r="AL3080" s="8" t="str">
        <f t="shared" si="196"/>
        <v/>
      </c>
    </row>
    <row r="3081" spans="1:38" x14ac:dyDescent="0.25">
      <c r="A3081" s="8" t="s">
        <v>7817</v>
      </c>
      <c r="B3081" s="8" t="s">
        <v>7818</v>
      </c>
      <c r="C3081" s="8">
        <v>30892569</v>
      </c>
      <c r="D3081" s="8">
        <v>5</v>
      </c>
      <c r="E3081" s="11">
        <v>43111</v>
      </c>
      <c r="F3081" s="8" t="s">
        <v>58</v>
      </c>
      <c r="G3081" s="11">
        <v>43115</v>
      </c>
      <c r="H3081" s="8" t="s">
        <v>25</v>
      </c>
      <c r="I3081" s="11">
        <v>43115</v>
      </c>
      <c r="J3081" s="8" t="s">
        <v>25</v>
      </c>
      <c r="N3081" s="8" t="s">
        <v>58</v>
      </c>
      <c r="O3081" s="8" t="s">
        <v>59</v>
      </c>
      <c r="P3081" s="8" t="s">
        <v>59</v>
      </c>
      <c r="R3081" s="8">
        <v>0</v>
      </c>
      <c r="S3081" s="8">
        <v>0</v>
      </c>
      <c r="T3081" s="8">
        <v>1</v>
      </c>
      <c r="U3081" s="8">
        <v>2</v>
      </c>
      <c r="X3081" s="8">
        <v>5</v>
      </c>
      <c r="AG3081" s="8" t="str">
        <f t="shared" si="193"/>
        <v/>
      </c>
      <c r="AI3081" s="8" t="str">
        <f t="shared" si="194"/>
        <v/>
      </c>
      <c r="AJ3081" s="8" t="str">
        <f t="shared" si="195"/>
        <v/>
      </c>
      <c r="AL3081" s="8" t="str">
        <f t="shared" si="196"/>
        <v/>
      </c>
    </row>
    <row r="3082" spans="1:38" x14ac:dyDescent="0.25">
      <c r="A3082" s="8" t="s">
        <v>2880</v>
      </c>
      <c r="B3082" s="8" t="s">
        <v>2881</v>
      </c>
      <c r="C3082" s="8">
        <v>30812682</v>
      </c>
      <c r="D3082" s="8">
        <v>5</v>
      </c>
      <c r="E3082" s="11">
        <v>43108</v>
      </c>
      <c r="F3082" s="8" t="s">
        <v>58</v>
      </c>
      <c r="G3082" s="11">
        <v>43110</v>
      </c>
      <c r="H3082" s="8" t="s">
        <v>25</v>
      </c>
      <c r="I3082" s="11">
        <v>43115</v>
      </c>
      <c r="J3082" s="8" t="s">
        <v>145</v>
      </c>
      <c r="N3082" s="8" t="s">
        <v>58</v>
      </c>
      <c r="O3082" s="8" t="s">
        <v>59</v>
      </c>
      <c r="P3082" s="8" t="s">
        <v>59</v>
      </c>
      <c r="R3082" s="8">
        <v>0</v>
      </c>
      <c r="S3082" s="8">
        <v>0</v>
      </c>
      <c r="T3082" s="8">
        <v>1</v>
      </c>
      <c r="U3082" s="8">
        <v>2</v>
      </c>
      <c r="X3082" s="8">
        <v>5</v>
      </c>
      <c r="AG3082" s="8" t="str">
        <f t="shared" si="193"/>
        <v/>
      </c>
      <c r="AI3082" s="8" t="str">
        <f t="shared" si="194"/>
        <v/>
      </c>
      <c r="AJ3082" s="8" t="str">
        <f t="shared" si="195"/>
        <v/>
      </c>
      <c r="AL3082" s="8" t="str">
        <f t="shared" si="196"/>
        <v/>
      </c>
    </row>
    <row r="3083" spans="1:38" x14ac:dyDescent="0.25">
      <c r="A3083" s="8" t="s">
        <v>6004</v>
      </c>
      <c r="B3083" s="8" t="s">
        <v>6005</v>
      </c>
      <c r="C3083" s="8">
        <v>30857081</v>
      </c>
      <c r="D3083" s="8">
        <v>5</v>
      </c>
      <c r="E3083" s="11">
        <v>43110</v>
      </c>
      <c r="F3083" s="8" t="s">
        <v>57</v>
      </c>
      <c r="G3083" s="11">
        <v>43112</v>
      </c>
      <c r="H3083" s="8" t="s">
        <v>25</v>
      </c>
      <c r="J3083" s="8" t="s">
        <v>25</v>
      </c>
      <c r="N3083" s="8" t="s">
        <v>58</v>
      </c>
      <c r="O3083" s="8" t="s">
        <v>59</v>
      </c>
      <c r="P3083" s="8" t="s">
        <v>59</v>
      </c>
      <c r="R3083" s="8">
        <v>0</v>
      </c>
      <c r="S3083" s="8">
        <v>0</v>
      </c>
      <c r="T3083" s="8">
        <v>1</v>
      </c>
      <c r="U3083" s="8">
        <v>2</v>
      </c>
      <c r="AG3083" s="8" t="str">
        <f t="shared" si="193"/>
        <v/>
      </c>
      <c r="AI3083" s="8" t="str">
        <f t="shared" si="194"/>
        <v/>
      </c>
      <c r="AJ3083" s="8" t="str">
        <f t="shared" si="195"/>
        <v/>
      </c>
      <c r="AL3083" s="8" t="str">
        <f t="shared" si="196"/>
        <v/>
      </c>
    </row>
    <row r="3084" spans="1:38" x14ac:dyDescent="0.25">
      <c r="A3084" s="8" t="s">
        <v>2882</v>
      </c>
      <c r="B3084" s="8" t="s">
        <v>2883</v>
      </c>
      <c r="C3084" s="8">
        <v>30863566</v>
      </c>
      <c r="D3084" s="8">
        <v>5</v>
      </c>
      <c r="E3084" s="11">
        <v>43110</v>
      </c>
      <c r="F3084" s="8" t="s">
        <v>58</v>
      </c>
      <c r="G3084" s="11">
        <v>43110</v>
      </c>
      <c r="H3084" s="8" t="s">
        <v>25</v>
      </c>
      <c r="I3084" s="11">
        <v>43110</v>
      </c>
      <c r="J3084" s="8" t="s">
        <v>25</v>
      </c>
      <c r="N3084" s="8" t="s">
        <v>58</v>
      </c>
      <c r="O3084" s="8" t="s">
        <v>59</v>
      </c>
      <c r="P3084" s="8" t="s">
        <v>59</v>
      </c>
      <c r="R3084" s="8">
        <v>0</v>
      </c>
      <c r="S3084" s="8">
        <v>0</v>
      </c>
      <c r="T3084" s="8">
        <v>1</v>
      </c>
      <c r="U3084" s="8">
        <v>2</v>
      </c>
      <c r="X3084" s="8">
        <v>5</v>
      </c>
      <c r="AG3084" s="8" t="str">
        <f t="shared" si="193"/>
        <v/>
      </c>
      <c r="AI3084" s="8" t="str">
        <f t="shared" si="194"/>
        <v/>
      </c>
      <c r="AJ3084" s="8" t="str">
        <f t="shared" si="195"/>
        <v/>
      </c>
      <c r="AL3084" s="8" t="str">
        <f t="shared" si="196"/>
        <v/>
      </c>
    </row>
    <row r="3085" spans="1:38" x14ac:dyDescent="0.25">
      <c r="A3085" s="8" t="s">
        <v>2884</v>
      </c>
      <c r="B3085" s="8" t="s">
        <v>2885</v>
      </c>
      <c r="C3085" s="8">
        <v>30818253</v>
      </c>
      <c r="D3085" s="8">
        <v>5</v>
      </c>
      <c r="E3085" s="11">
        <v>43108</v>
      </c>
      <c r="F3085" s="8" t="s">
        <v>58</v>
      </c>
      <c r="G3085" s="11">
        <v>43110</v>
      </c>
      <c r="H3085" s="8" t="s">
        <v>25</v>
      </c>
      <c r="I3085" s="11">
        <v>43115</v>
      </c>
      <c r="J3085" s="8" t="s">
        <v>145</v>
      </c>
      <c r="N3085" s="8" t="s">
        <v>58</v>
      </c>
      <c r="O3085" s="8" t="s">
        <v>59</v>
      </c>
      <c r="P3085" s="8" t="s">
        <v>59</v>
      </c>
      <c r="R3085" s="8">
        <v>0</v>
      </c>
      <c r="S3085" s="8">
        <v>0</v>
      </c>
      <c r="T3085" s="8">
        <v>1</v>
      </c>
      <c r="U3085" s="8">
        <v>2</v>
      </c>
      <c r="X3085" s="8">
        <v>5</v>
      </c>
      <c r="AG3085" s="8" t="str">
        <f t="shared" si="193"/>
        <v/>
      </c>
      <c r="AI3085" s="8" t="str">
        <f t="shared" si="194"/>
        <v/>
      </c>
      <c r="AJ3085" s="8" t="str">
        <f t="shared" si="195"/>
        <v/>
      </c>
      <c r="AL3085" s="8" t="str">
        <f t="shared" si="196"/>
        <v/>
      </c>
    </row>
    <row r="3086" spans="1:38" x14ac:dyDescent="0.25">
      <c r="A3086" s="8" t="s">
        <v>7819</v>
      </c>
      <c r="B3086" s="8" t="s">
        <v>7820</v>
      </c>
      <c r="C3086" s="8">
        <v>30889332</v>
      </c>
      <c r="D3086" s="8">
        <v>5</v>
      </c>
      <c r="E3086" s="11">
        <v>43111</v>
      </c>
      <c r="F3086" s="8" t="s">
        <v>57</v>
      </c>
      <c r="G3086" s="11">
        <v>43115</v>
      </c>
      <c r="H3086" s="8" t="s">
        <v>25</v>
      </c>
      <c r="J3086" s="8" t="s">
        <v>25</v>
      </c>
      <c r="N3086" s="8" t="s">
        <v>58</v>
      </c>
      <c r="O3086" s="8" t="s">
        <v>59</v>
      </c>
      <c r="P3086" s="8" t="s">
        <v>59</v>
      </c>
      <c r="R3086" s="8">
        <v>0</v>
      </c>
      <c r="S3086" s="8">
        <v>0</v>
      </c>
      <c r="T3086" s="8">
        <v>1</v>
      </c>
      <c r="U3086" s="8">
        <v>2</v>
      </c>
      <c r="AG3086" s="8" t="str">
        <f t="shared" si="193"/>
        <v/>
      </c>
      <c r="AI3086" s="8" t="str">
        <f t="shared" si="194"/>
        <v/>
      </c>
      <c r="AJ3086" s="8" t="str">
        <f t="shared" si="195"/>
        <v/>
      </c>
      <c r="AL3086" s="8" t="str">
        <f t="shared" si="196"/>
        <v/>
      </c>
    </row>
    <row r="3087" spans="1:38" x14ac:dyDescent="0.25">
      <c r="A3087" s="8" t="s">
        <v>7821</v>
      </c>
      <c r="B3087" s="8" t="s">
        <v>7822</v>
      </c>
      <c r="C3087" s="8">
        <v>30883293</v>
      </c>
      <c r="D3087" s="8">
        <v>5</v>
      </c>
      <c r="E3087" s="11">
        <v>43111</v>
      </c>
      <c r="F3087" s="8" t="s">
        <v>58</v>
      </c>
      <c r="G3087" s="11">
        <v>43115</v>
      </c>
      <c r="H3087" s="8" t="s">
        <v>25</v>
      </c>
      <c r="I3087" s="11">
        <v>43115</v>
      </c>
      <c r="J3087" s="8" t="s">
        <v>25</v>
      </c>
      <c r="N3087" s="8" t="s">
        <v>58</v>
      </c>
      <c r="O3087" s="8" t="s">
        <v>59</v>
      </c>
      <c r="P3087" s="8" t="s">
        <v>59</v>
      </c>
      <c r="R3087" s="8">
        <v>0</v>
      </c>
      <c r="S3087" s="8">
        <v>0</v>
      </c>
      <c r="T3087" s="8">
        <v>1</v>
      </c>
      <c r="U3087" s="8">
        <v>2</v>
      </c>
      <c r="X3087" s="8">
        <v>5</v>
      </c>
      <c r="AG3087" s="8" t="str">
        <f t="shared" si="193"/>
        <v/>
      </c>
      <c r="AI3087" s="8" t="str">
        <f t="shared" si="194"/>
        <v/>
      </c>
      <c r="AJ3087" s="8" t="str">
        <f t="shared" si="195"/>
        <v/>
      </c>
      <c r="AL3087" s="8" t="str">
        <f t="shared" si="196"/>
        <v/>
      </c>
    </row>
    <row r="3088" spans="1:38" x14ac:dyDescent="0.25">
      <c r="A3088" s="8" t="s">
        <v>7823</v>
      </c>
      <c r="B3088" s="8" t="s">
        <v>7824</v>
      </c>
      <c r="C3088" s="8">
        <v>30894906</v>
      </c>
      <c r="D3088" s="8">
        <v>5</v>
      </c>
      <c r="E3088" s="11">
        <v>43111</v>
      </c>
      <c r="F3088" s="8" t="s">
        <v>58</v>
      </c>
      <c r="G3088" s="11">
        <v>43115</v>
      </c>
      <c r="H3088" s="8" t="s">
        <v>25</v>
      </c>
      <c r="I3088" s="11">
        <v>43115</v>
      </c>
      <c r="J3088" s="8" t="s">
        <v>25</v>
      </c>
      <c r="N3088" s="8" t="s">
        <v>58</v>
      </c>
      <c r="O3088" s="8" t="s">
        <v>59</v>
      </c>
      <c r="P3088" s="8" t="s">
        <v>59</v>
      </c>
      <c r="R3088" s="8">
        <v>0</v>
      </c>
      <c r="S3088" s="8">
        <v>0</v>
      </c>
      <c r="T3088" s="8">
        <v>1</v>
      </c>
      <c r="U3088" s="8">
        <v>2</v>
      </c>
      <c r="X3088" s="8">
        <v>5</v>
      </c>
      <c r="AG3088" s="8" t="str">
        <f t="shared" si="193"/>
        <v/>
      </c>
      <c r="AI3088" s="8" t="str">
        <f t="shared" si="194"/>
        <v/>
      </c>
      <c r="AJ3088" s="8" t="str">
        <f t="shared" si="195"/>
        <v/>
      </c>
      <c r="AL3088" s="8" t="str">
        <f t="shared" si="196"/>
        <v/>
      </c>
    </row>
    <row r="3089" spans="1:38" x14ac:dyDescent="0.25">
      <c r="A3089" s="8" t="s">
        <v>7825</v>
      </c>
      <c r="B3089" s="8" t="s">
        <v>7826</v>
      </c>
      <c r="C3089" s="8">
        <v>30891765</v>
      </c>
      <c r="D3089" s="8">
        <v>5</v>
      </c>
      <c r="E3089" s="11">
        <v>43111</v>
      </c>
      <c r="F3089" s="8" t="s">
        <v>57</v>
      </c>
      <c r="G3089" s="11">
        <v>43115</v>
      </c>
      <c r="H3089" s="8" t="s">
        <v>25</v>
      </c>
      <c r="J3089" s="8" t="s">
        <v>25</v>
      </c>
      <c r="N3089" s="8" t="s">
        <v>58</v>
      </c>
      <c r="O3089" s="8" t="s">
        <v>59</v>
      </c>
      <c r="P3089" s="8" t="s">
        <v>59</v>
      </c>
      <c r="R3089" s="8">
        <v>0</v>
      </c>
      <c r="S3089" s="8">
        <v>0</v>
      </c>
      <c r="T3089" s="8">
        <v>1</v>
      </c>
      <c r="U3089" s="8">
        <v>2</v>
      </c>
      <c r="AG3089" s="8" t="str">
        <f t="shared" si="193"/>
        <v/>
      </c>
      <c r="AI3089" s="8" t="str">
        <f t="shared" si="194"/>
        <v/>
      </c>
      <c r="AJ3089" s="8" t="str">
        <f t="shared" si="195"/>
        <v/>
      </c>
      <c r="AL3089" s="8" t="str">
        <f t="shared" si="196"/>
        <v/>
      </c>
    </row>
    <row r="3090" spans="1:38" x14ac:dyDescent="0.25">
      <c r="A3090" s="8" t="s">
        <v>2886</v>
      </c>
      <c r="B3090" s="8" t="s">
        <v>2887</v>
      </c>
      <c r="C3090" s="8">
        <v>30818204</v>
      </c>
      <c r="D3090" s="8">
        <v>5</v>
      </c>
      <c r="E3090" s="11">
        <v>43108</v>
      </c>
      <c r="F3090" s="8" t="s">
        <v>57</v>
      </c>
      <c r="G3090" s="11">
        <v>43110</v>
      </c>
      <c r="H3090" s="8" t="s">
        <v>25</v>
      </c>
      <c r="J3090" s="8" t="s">
        <v>25</v>
      </c>
      <c r="N3090" s="8" t="s">
        <v>58</v>
      </c>
      <c r="O3090" s="8" t="s">
        <v>59</v>
      </c>
      <c r="P3090" s="8" t="s">
        <v>59</v>
      </c>
      <c r="R3090" s="8">
        <v>0</v>
      </c>
      <c r="S3090" s="8">
        <v>0</v>
      </c>
      <c r="T3090" s="8">
        <v>1</v>
      </c>
      <c r="U3090" s="8">
        <v>2</v>
      </c>
      <c r="AG3090" s="8" t="str">
        <f t="shared" si="193"/>
        <v/>
      </c>
      <c r="AI3090" s="8" t="str">
        <f t="shared" si="194"/>
        <v/>
      </c>
      <c r="AJ3090" s="8" t="str">
        <f t="shared" si="195"/>
        <v/>
      </c>
      <c r="AL3090" s="8" t="str">
        <f t="shared" si="196"/>
        <v/>
      </c>
    </row>
    <row r="3091" spans="1:38" x14ac:dyDescent="0.25">
      <c r="A3091" s="8" t="s">
        <v>630</v>
      </c>
      <c r="B3091" s="8" t="s">
        <v>631</v>
      </c>
      <c r="C3091" s="8">
        <v>30807140</v>
      </c>
      <c r="D3091" s="8">
        <v>5</v>
      </c>
      <c r="E3091" s="11">
        <v>43108</v>
      </c>
      <c r="F3091" s="8" t="s">
        <v>58</v>
      </c>
      <c r="G3091" s="11">
        <v>43108</v>
      </c>
      <c r="H3091" s="8" t="s">
        <v>25</v>
      </c>
      <c r="I3091" s="11">
        <v>43108</v>
      </c>
      <c r="J3091" s="8" t="s">
        <v>25</v>
      </c>
      <c r="N3091" s="8" t="s">
        <v>58</v>
      </c>
      <c r="O3091" s="8" t="s">
        <v>59</v>
      </c>
      <c r="P3091" s="8" t="s">
        <v>59</v>
      </c>
      <c r="R3091" s="8">
        <v>0</v>
      </c>
      <c r="S3091" s="8">
        <v>0</v>
      </c>
      <c r="T3091" s="8">
        <v>1</v>
      </c>
      <c r="U3091" s="8">
        <v>2</v>
      </c>
      <c r="X3091" s="8">
        <v>5</v>
      </c>
      <c r="AG3091" s="8" t="str">
        <f t="shared" si="193"/>
        <v/>
      </c>
      <c r="AI3091" s="8" t="str">
        <f t="shared" si="194"/>
        <v/>
      </c>
      <c r="AJ3091" s="8" t="str">
        <f t="shared" si="195"/>
        <v/>
      </c>
      <c r="AL3091" s="8" t="str">
        <f t="shared" si="196"/>
        <v/>
      </c>
    </row>
    <row r="3092" spans="1:38" x14ac:dyDescent="0.25">
      <c r="A3092" s="8" t="s">
        <v>7827</v>
      </c>
      <c r="B3092" s="8" t="s">
        <v>7828</v>
      </c>
      <c r="C3092" s="8">
        <v>30883996</v>
      </c>
      <c r="D3092" s="8">
        <v>5</v>
      </c>
      <c r="E3092" s="11">
        <v>43111</v>
      </c>
      <c r="F3092" s="8" t="s">
        <v>58</v>
      </c>
      <c r="G3092" s="11">
        <v>43115</v>
      </c>
      <c r="H3092" s="8" t="s">
        <v>25</v>
      </c>
      <c r="I3092" s="11">
        <v>43115</v>
      </c>
      <c r="J3092" s="8" t="s">
        <v>25</v>
      </c>
      <c r="N3092" s="8" t="s">
        <v>58</v>
      </c>
      <c r="O3092" s="8" t="s">
        <v>59</v>
      </c>
      <c r="P3092" s="8" t="s">
        <v>59</v>
      </c>
      <c r="R3092" s="8">
        <v>0</v>
      </c>
      <c r="S3092" s="8">
        <v>0</v>
      </c>
      <c r="T3092" s="8">
        <v>1</v>
      </c>
      <c r="U3092" s="8">
        <v>2</v>
      </c>
      <c r="X3092" s="8">
        <v>5</v>
      </c>
      <c r="AG3092" s="8" t="str">
        <f t="shared" si="193"/>
        <v/>
      </c>
      <c r="AI3092" s="8" t="str">
        <f t="shared" si="194"/>
        <v/>
      </c>
      <c r="AJ3092" s="8" t="str">
        <f t="shared" si="195"/>
        <v/>
      </c>
      <c r="AL3092" s="8" t="str">
        <f t="shared" si="196"/>
        <v/>
      </c>
    </row>
    <row r="3093" spans="1:38" x14ac:dyDescent="0.25">
      <c r="A3093" s="8" t="s">
        <v>4342</v>
      </c>
      <c r="B3093" s="8" t="s">
        <v>4343</v>
      </c>
      <c r="C3093" s="8">
        <v>30852724</v>
      </c>
      <c r="D3093" s="8">
        <v>5</v>
      </c>
      <c r="E3093" s="11">
        <v>43109</v>
      </c>
      <c r="F3093" s="8" t="s">
        <v>57</v>
      </c>
      <c r="G3093" s="11">
        <v>43111</v>
      </c>
      <c r="H3093" s="8" t="s">
        <v>25</v>
      </c>
      <c r="J3093" s="8" t="s">
        <v>25</v>
      </c>
      <c r="N3093" s="8" t="s">
        <v>58</v>
      </c>
      <c r="O3093" s="8" t="s">
        <v>59</v>
      </c>
      <c r="P3093" s="8" t="s">
        <v>59</v>
      </c>
      <c r="R3093" s="8">
        <v>0</v>
      </c>
      <c r="S3093" s="8">
        <v>0</v>
      </c>
      <c r="T3093" s="8">
        <v>1</v>
      </c>
      <c r="U3093" s="8">
        <v>2</v>
      </c>
      <c r="AG3093" s="8" t="str">
        <f t="shared" si="193"/>
        <v/>
      </c>
      <c r="AI3093" s="8" t="str">
        <f t="shared" si="194"/>
        <v/>
      </c>
      <c r="AJ3093" s="8" t="str">
        <f t="shared" si="195"/>
        <v/>
      </c>
      <c r="AL3093" s="8" t="str">
        <f t="shared" si="196"/>
        <v/>
      </c>
    </row>
    <row r="3094" spans="1:38" x14ac:dyDescent="0.25">
      <c r="A3094" s="8" t="s">
        <v>2888</v>
      </c>
      <c r="B3094" s="8" t="s">
        <v>2889</v>
      </c>
      <c r="C3094" s="8">
        <v>30872477</v>
      </c>
      <c r="D3094" s="8">
        <v>5</v>
      </c>
      <c r="E3094" s="11">
        <v>43110</v>
      </c>
      <c r="F3094" s="8" t="s">
        <v>57</v>
      </c>
      <c r="G3094" s="11">
        <v>43110</v>
      </c>
      <c r="H3094" s="8" t="s">
        <v>25</v>
      </c>
      <c r="J3094" s="8" t="s">
        <v>25</v>
      </c>
      <c r="N3094" s="8" t="s">
        <v>58</v>
      </c>
      <c r="O3094" s="8" t="s">
        <v>59</v>
      </c>
      <c r="P3094" s="8" t="s">
        <v>59</v>
      </c>
      <c r="R3094" s="8">
        <v>0</v>
      </c>
      <c r="S3094" s="8">
        <v>0</v>
      </c>
      <c r="T3094" s="8">
        <v>1</v>
      </c>
      <c r="U3094" s="8">
        <v>2</v>
      </c>
      <c r="AG3094" s="8" t="str">
        <f t="shared" si="193"/>
        <v/>
      </c>
      <c r="AI3094" s="8" t="str">
        <f t="shared" si="194"/>
        <v/>
      </c>
      <c r="AJ3094" s="8" t="str">
        <f t="shared" si="195"/>
        <v/>
      </c>
      <c r="AL3094" s="8" t="str">
        <f t="shared" si="196"/>
        <v/>
      </c>
    </row>
    <row r="3095" spans="1:38" x14ac:dyDescent="0.25">
      <c r="A3095" s="8" t="s">
        <v>6006</v>
      </c>
      <c r="B3095" s="8" t="s">
        <v>6007</v>
      </c>
      <c r="C3095" s="8">
        <v>30856700</v>
      </c>
      <c r="D3095" s="8">
        <v>5</v>
      </c>
      <c r="E3095" s="11">
        <v>43110</v>
      </c>
      <c r="F3095" s="8" t="s">
        <v>58</v>
      </c>
      <c r="G3095" s="11">
        <v>43112</v>
      </c>
      <c r="H3095" s="8" t="s">
        <v>25</v>
      </c>
      <c r="I3095" s="11">
        <v>43115</v>
      </c>
      <c r="J3095" s="8" t="s">
        <v>25</v>
      </c>
      <c r="N3095" s="8" t="s">
        <v>58</v>
      </c>
      <c r="O3095" s="8" t="s">
        <v>59</v>
      </c>
      <c r="P3095" s="8" t="s">
        <v>59</v>
      </c>
      <c r="R3095" s="8">
        <v>0</v>
      </c>
      <c r="S3095" s="8">
        <v>0</v>
      </c>
      <c r="T3095" s="8">
        <v>1</v>
      </c>
      <c r="U3095" s="8">
        <v>2</v>
      </c>
      <c r="X3095" s="8">
        <v>5</v>
      </c>
      <c r="AG3095" s="8" t="str">
        <f t="shared" si="193"/>
        <v/>
      </c>
      <c r="AI3095" s="8" t="str">
        <f t="shared" si="194"/>
        <v/>
      </c>
      <c r="AJ3095" s="8" t="str">
        <f t="shared" si="195"/>
        <v/>
      </c>
      <c r="AL3095" s="8" t="str">
        <f t="shared" si="196"/>
        <v/>
      </c>
    </row>
    <row r="3096" spans="1:38" x14ac:dyDescent="0.25">
      <c r="A3096" s="8" t="s">
        <v>4344</v>
      </c>
      <c r="B3096" s="8" t="s">
        <v>4345</v>
      </c>
      <c r="C3096" s="8">
        <v>30851132</v>
      </c>
      <c r="D3096" s="8">
        <v>5</v>
      </c>
      <c r="E3096" s="11">
        <v>43109</v>
      </c>
      <c r="F3096" s="8" t="s">
        <v>58</v>
      </c>
      <c r="G3096" s="11">
        <v>43111</v>
      </c>
      <c r="H3096" s="8" t="s">
        <v>25</v>
      </c>
      <c r="I3096" s="11">
        <v>43111</v>
      </c>
      <c r="J3096" s="8" t="s">
        <v>25</v>
      </c>
      <c r="N3096" s="8" t="s">
        <v>58</v>
      </c>
      <c r="O3096" s="8" t="s">
        <v>59</v>
      </c>
      <c r="P3096" s="8" t="s">
        <v>59</v>
      </c>
      <c r="R3096" s="8">
        <v>0</v>
      </c>
      <c r="S3096" s="8">
        <v>0</v>
      </c>
      <c r="T3096" s="8">
        <v>1</v>
      </c>
      <c r="U3096" s="8">
        <v>2</v>
      </c>
      <c r="X3096" s="8">
        <v>5</v>
      </c>
      <c r="AG3096" s="8" t="str">
        <f t="shared" si="193"/>
        <v/>
      </c>
      <c r="AI3096" s="8" t="str">
        <f t="shared" si="194"/>
        <v/>
      </c>
      <c r="AJ3096" s="8" t="str">
        <f t="shared" si="195"/>
        <v/>
      </c>
      <c r="AL3096" s="8" t="str">
        <f t="shared" si="196"/>
        <v/>
      </c>
    </row>
    <row r="3097" spans="1:38" x14ac:dyDescent="0.25">
      <c r="A3097" s="8" t="s">
        <v>2890</v>
      </c>
      <c r="B3097" s="8" t="s">
        <v>2891</v>
      </c>
      <c r="C3097" s="8">
        <v>30812130</v>
      </c>
      <c r="D3097" s="8">
        <v>4</v>
      </c>
      <c r="E3097" s="11">
        <v>43108</v>
      </c>
      <c r="F3097" s="8" t="s">
        <v>60</v>
      </c>
      <c r="G3097" s="11">
        <v>43110</v>
      </c>
      <c r="H3097" s="8" t="s">
        <v>25</v>
      </c>
      <c r="J3097" s="8" t="s">
        <v>25</v>
      </c>
      <c r="L3097" s="8" t="s">
        <v>3287</v>
      </c>
      <c r="N3097" s="8" t="s">
        <v>58</v>
      </c>
      <c r="O3097" s="8" t="s">
        <v>59</v>
      </c>
      <c r="P3097" s="8" t="s">
        <v>59</v>
      </c>
      <c r="R3097" s="8">
        <v>0</v>
      </c>
      <c r="S3097" s="8">
        <v>0</v>
      </c>
      <c r="T3097" s="8">
        <v>1</v>
      </c>
      <c r="U3097" s="8">
        <v>2</v>
      </c>
      <c r="W3097" s="8">
        <v>4</v>
      </c>
      <c r="AG3097" s="8" t="str">
        <f t="shared" si="193"/>
        <v/>
      </c>
      <c r="AI3097" s="8" t="str">
        <f t="shared" si="194"/>
        <v/>
      </c>
      <c r="AJ3097" s="8" t="str">
        <f t="shared" si="195"/>
        <v/>
      </c>
      <c r="AL3097" s="8" t="str">
        <f t="shared" si="196"/>
        <v/>
      </c>
    </row>
    <row r="3098" spans="1:38" x14ac:dyDescent="0.25">
      <c r="A3098" s="8" t="s">
        <v>2892</v>
      </c>
      <c r="B3098" s="8" t="s">
        <v>2893</v>
      </c>
      <c r="C3098" s="8">
        <v>30815253</v>
      </c>
      <c r="D3098" s="8">
        <v>5</v>
      </c>
      <c r="E3098" s="11">
        <v>43108</v>
      </c>
      <c r="F3098" s="8" t="s">
        <v>58</v>
      </c>
      <c r="G3098" s="11">
        <v>43110</v>
      </c>
      <c r="H3098" s="8" t="s">
        <v>25</v>
      </c>
      <c r="I3098" s="11">
        <v>43110</v>
      </c>
      <c r="J3098" s="8" t="s">
        <v>25</v>
      </c>
      <c r="N3098" s="8" t="s">
        <v>58</v>
      </c>
      <c r="O3098" s="8" t="s">
        <v>59</v>
      </c>
      <c r="P3098" s="8" t="s">
        <v>59</v>
      </c>
      <c r="R3098" s="8">
        <v>0</v>
      </c>
      <c r="S3098" s="8">
        <v>0</v>
      </c>
      <c r="T3098" s="8">
        <v>1</v>
      </c>
      <c r="U3098" s="8">
        <v>2</v>
      </c>
      <c r="X3098" s="8">
        <v>5</v>
      </c>
      <c r="AG3098" s="8" t="str">
        <f t="shared" si="193"/>
        <v/>
      </c>
      <c r="AI3098" s="8" t="str">
        <f t="shared" si="194"/>
        <v/>
      </c>
      <c r="AJ3098" s="8" t="str">
        <f t="shared" si="195"/>
        <v/>
      </c>
      <c r="AL3098" s="8" t="str">
        <f t="shared" si="196"/>
        <v/>
      </c>
    </row>
    <row r="3099" spans="1:38" x14ac:dyDescent="0.25">
      <c r="A3099" s="8" t="s">
        <v>7829</v>
      </c>
      <c r="B3099" s="8" t="s">
        <v>7830</v>
      </c>
      <c r="C3099" s="8">
        <v>30885032</v>
      </c>
      <c r="D3099" s="8">
        <v>5</v>
      </c>
      <c r="E3099" s="11">
        <v>43111</v>
      </c>
      <c r="F3099" s="8" t="s">
        <v>58</v>
      </c>
      <c r="G3099" s="11">
        <v>43115</v>
      </c>
      <c r="H3099" s="8" t="s">
        <v>25</v>
      </c>
      <c r="I3099" s="11">
        <v>43115</v>
      </c>
      <c r="J3099" s="8" t="s">
        <v>25</v>
      </c>
      <c r="N3099" s="8" t="s">
        <v>58</v>
      </c>
      <c r="O3099" s="8" t="s">
        <v>59</v>
      </c>
      <c r="P3099" s="8" t="s">
        <v>59</v>
      </c>
      <c r="R3099" s="8">
        <v>0</v>
      </c>
      <c r="S3099" s="8">
        <v>0</v>
      </c>
      <c r="T3099" s="8">
        <v>1</v>
      </c>
      <c r="U3099" s="8">
        <v>2</v>
      </c>
      <c r="X3099" s="8">
        <v>5</v>
      </c>
      <c r="AG3099" s="8" t="str">
        <f t="shared" si="193"/>
        <v/>
      </c>
      <c r="AI3099" s="8" t="str">
        <f t="shared" si="194"/>
        <v/>
      </c>
      <c r="AJ3099" s="8" t="str">
        <f t="shared" si="195"/>
        <v/>
      </c>
      <c r="AL3099" s="8" t="str">
        <f t="shared" si="196"/>
        <v/>
      </c>
    </row>
    <row r="3100" spans="1:38" x14ac:dyDescent="0.25">
      <c r="A3100" s="8" t="s">
        <v>7831</v>
      </c>
      <c r="B3100" s="8" t="s">
        <v>7832</v>
      </c>
      <c r="C3100" s="8">
        <v>30945376</v>
      </c>
      <c r="D3100" s="8">
        <v>5</v>
      </c>
      <c r="E3100" s="11">
        <v>43115</v>
      </c>
      <c r="F3100" s="8" t="s">
        <v>57</v>
      </c>
      <c r="G3100" s="11">
        <v>43115</v>
      </c>
      <c r="H3100" s="8" t="s">
        <v>25</v>
      </c>
      <c r="J3100" s="8" t="s">
        <v>25</v>
      </c>
      <c r="N3100" s="8" t="s">
        <v>58</v>
      </c>
      <c r="O3100" s="8" t="s">
        <v>59</v>
      </c>
      <c r="P3100" s="8" t="s">
        <v>59</v>
      </c>
      <c r="R3100" s="8">
        <v>0</v>
      </c>
      <c r="S3100" s="8">
        <v>0</v>
      </c>
      <c r="T3100" s="8">
        <v>1</v>
      </c>
      <c r="U3100" s="8">
        <v>2</v>
      </c>
      <c r="AG3100" s="8" t="str">
        <f t="shared" si="193"/>
        <v/>
      </c>
      <c r="AI3100" s="8" t="str">
        <f t="shared" si="194"/>
        <v/>
      </c>
      <c r="AJ3100" s="8" t="str">
        <f t="shared" si="195"/>
        <v/>
      </c>
      <c r="AL3100" s="8" t="str">
        <f t="shared" si="196"/>
        <v/>
      </c>
    </row>
    <row r="3101" spans="1:38" x14ac:dyDescent="0.25">
      <c r="A3101" s="8" t="s">
        <v>4346</v>
      </c>
      <c r="B3101" s="8" t="s">
        <v>4347</v>
      </c>
      <c r="C3101" s="8">
        <v>30831705</v>
      </c>
      <c r="D3101" s="8">
        <v>5</v>
      </c>
      <c r="E3101" s="11">
        <v>43109</v>
      </c>
      <c r="F3101" s="8" t="s">
        <v>58</v>
      </c>
      <c r="G3101" s="11">
        <v>43111</v>
      </c>
      <c r="H3101" s="8" t="s">
        <v>25</v>
      </c>
      <c r="I3101" s="11">
        <v>43112</v>
      </c>
      <c r="J3101" s="8" t="s">
        <v>25</v>
      </c>
      <c r="N3101" s="8" t="s">
        <v>58</v>
      </c>
      <c r="O3101" s="8" t="s">
        <v>59</v>
      </c>
      <c r="P3101" s="8" t="s">
        <v>59</v>
      </c>
      <c r="R3101" s="8">
        <v>0</v>
      </c>
      <c r="S3101" s="8">
        <v>0</v>
      </c>
      <c r="T3101" s="8">
        <v>1</v>
      </c>
      <c r="U3101" s="8">
        <v>2</v>
      </c>
      <c r="X3101" s="8">
        <v>5</v>
      </c>
      <c r="AG3101" s="8" t="str">
        <f t="shared" si="193"/>
        <v/>
      </c>
      <c r="AI3101" s="8" t="str">
        <f t="shared" si="194"/>
        <v/>
      </c>
      <c r="AJ3101" s="8" t="str">
        <f t="shared" si="195"/>
        <v/>
      </c>
      <c r="AL3101" s="8" t="str">
        <f t="shared" si="196"/>
        <v/>
      </c>
    </row>
    <row r="3102" spans="1:38" x14ac:dyDescent="0.25">
      <c r="A3102" s="8" t="s">
        <v>7833</v>
      </c>
      <c r="B3102" s="8" t="s">
        <v>7834</v>
      </c>
      <c r="C3102" s="8">
        <v>30898343</v>
      </c>
      <c r="D3102" s="8">
        <v>5</v>
      </c>
      <c r="E3102" s="11">
        <v>43111</v>
      </c>
      <c r="F3102" s="8" t="s">
        <v>57</v>
      </c>
      <c r="G3102" s="11">
        <v>43115</v>
      </c>
      <c r="H3102" s="8" t="s">
        <v>25</v>
      </c>
      <c r="J3102" s="8" t="s">
        <v>25</v>
      </c>
      <c r="N3102" s="8" t="s">
        <v>58</v>
      </c>
      <c r="O3102" s="8" t="s">
        <v>59</v>
      </c>
      <c r="P3102" s="8" t="s">
        <v>59</v>
      </c>
      <c r="R3102" s="8">
        <v>0</v>
      </c>
      <c r="S3102" s="8">
        <v>0</v>
      </c>
      <c r="T3102" s="8">
        <v>1</v>
      </c>
      <c r="U3102" s="8">
        <v>2</v>
      </c>
      <c r="AG3102" s="8" t="str">
        <f t="shared" si="193"/>
        <v/>
      </c>
      <c r="AI3102" s="8" t="str">
        <f t="shared" si="194"/>
        <v/>
      </c>
      <c r="AJ3102" s="8" t="str">
        <f t="shared" si="195"/>
        <v/>
      </c>
      <c r="AL3102" s="8" t="str">
        <f t="shared" si="196"/>
        <v/>
      </c>
    </row>
    <row r="3103" spans="1:38" x14ac:dyDescent="0.25">
      <c r="A3103" s="8" t="s">
        <v>6008</v>
      </c>
      <c r="B3103" s="8" t="s">
        <v>6009</v>
      </c>
      <c r="C3103" s="8">
        <v>30875762</v>
      </c>
      <c r="D3103" s="8">
        <v>5</v>
      </c>
      <c r="E3103" s="11">
        <v>43110</v>
      </c>
      <c r="F3103" s="8" t="s">
        <v>58</v>
      </c>
      <c r="G3103" s="11">
        <v>43112</v>
      </c>
      <c r="H3103" s="8" t="s">
        <v>25</v>
      </c>
      <c r="I3103" s="11">
        <v>43112</v>
      </c>
      <c r="J3103" s="8" t="s">
        <v>25</v>
      </c>
      <c r="N3103" s="8" t="s">
        <v>58</v>
      </c>
      <c r="O3103" s="8" t="s">
        <v>59</v>
      </c>
      <c r="P3103" s="8" t="s">
        <v>59</v>
      </c>
      <c r="R3103" s="8">
        <v>0</v>
      </c>
      <c r="S3103" s="8">
        <v>0</v>
      </c>
      <c r="T3103" s="8">
        <v>1</v>
      </c>
      <c r="U3103" s="8">
        <v>2</v>
      </c>
      <c r="X3103" s="8">
        <v>5</v>
      </c>
      <c r="AG3103" s="8" t="str">
        <f t="shared" si="193"/>
        <v/>
      </c>
      <c r="AI3103" s="8" t="str">
        <f t="shared" si="194"/>
        <v/>
      </c>
      <c r="AJ3103" s="8" t="str">
        <f t="shared" si="195"/>
        <v/>
      </c>
      <c r="AL3103" s="8" t="str">
        <f t="shared" si="196"/>
        <v/>
      </c>
    </row>
    <row r="3104" spans="1:38" x14ac:dyDescent="0.25">
      <c r="A3104" s="8" t="s">
        <v>6010</v>
      </c>
      <c r="B3104" s="8" t="s">
        <v>6011</v>
      </c>
      <c r="C3104" s="8">
        <v>30867407</v>
      </c>
      <c r="D3104" s="8">
        <v>5</v>
      </c>
      <c r="E3104" s="11">
        <v>43110</v>
      </c>
      <c r="F3104" s="8" t="s">
        <v>57</v>
      </c>
      <c r="G3104" s="11">
        <v>43112</v>
      </c>
      <c r="H3104" s="8" t="s">
        <v>25</v>
      </c>
      <c r="J3104" s="8" t="s">
        <v>25</v>
      </c>
      <c r="N3104" s="8" t="s">
        <v>58</v>
      </c>
      <c r="O3104" s="8" t="s">
        <v>59</v>
      </c>
      <c r="P3104" s="8" t="s">
        <v>59</v>
      </c>
      <c r="R3104" s="8">
        <v>0</v>
      </c>
      <c r="S3104" s="8">
        <v>0</v>
      </c>
      <c r="T3104" s="8">
        <v>1</v>
      </c>
      <c r="U3104" s="8">
        <v>2</v>
      </c>
      <c r="AG3104" s="8" t="str">
        <f t="shared" si="193"/>
        <v/>
      </c>
      <c r="AI3104" s="8" t="str">
        <f t="shared" si="194"/>
        <v/>
      </c>
      <c r="AJ3104" s="8" t="str">
        <f t="shared" si="195"/>
        <v/>
      </c>
      <c r="AL3104" s="8" t="str">
        <f t="shared" si="196"/>
        <v/>
      </c>
    </row>
    <row r="3105" spans="1:38" x14ac:dyDescent="0.25">
      <c r="A3105" s="8" t="s">
        <v>1454</v>
      </c>
      <c r="B3105" s="8" t="s">
        <v>1455</v>
      </c>
      <c r="C3105" s="8">
        <v>30850718</v>
      </c>
      <c r="D3105" s="8">
        <v>5</v>
      </c>
      <c r="E3105" s="11">
        <v>43109</v>
      </c>
      <c r="F3105" s="8" t="s">
        <v>58</v>
      </c>
      <c r="G3105" s="11">
        <v>43109</v>
      </c>
      <c r="H3105" s="8" t="s">
        <v>25</v>
      </c>
      <c r="I3105" s="11">
        <v>43111</v>
      </c>
      <c r="J3105" s="8" t="s">
        <v>25</v>
      </c>
      <c r="N3105" s="8" t="s">
        <v>58</v>
      </c>
      <c r="O3105" s="8" t="s">
        <v>59</v>
      </c>
      <c r="P3105" s="8" t="s">
        <v>59</v>
      </c>
      <c r="R3105" s="8">
        <v>0</v>
      </c>
      <c r="S3105" s="8">
        <v>0</v>
      </c>
      <c r="T3105" s="8">
        <v>1</v>
      </c>
      <c r="U3105" s="8">
        <v>2</v>
      </c>
      <c r="X3105" s="8">
        <v>5</v>
      </c>
      <c r="AG3105" s="8" t="str">
        <f t="shared" si="193"/>
        <v/>
      </c>
      <c r="AI3105" s="8" t="str">
        <f t="shared" si="194"/>
        <v/>
      </c>
      <c r="AJ3105" s="8" t="str">
        <f t="shared" si="195"/>
        <v/>
      </c>
      <c r="AL3105" s="8" t="str">
        <f t="shared" si="196"/>
        <v/>
      </c>
    </row>
    <row r="3106" spans="1:38" x14ac:dyDescent="0.25">
      <c r="A3106" s="8" t="s">
        <v>4348</v>
      </c>
      <c r="B3106" s="8" t="s">
        <v>4349</v>
      </c>
      <c r="C3106" s="8">
        <v>30839565</v>
      </c>
      <c r="D3106" s="8">
        <v>5</v>
      </c>
      <c r="E3106" s="11">
        <v>43109</v>
      </c>
      <c r="F3106" s="8" t="s">
        <v>58</v>
      </c>
      <c r="G3106" s="11">
        <v>43111</v>
      </c>
      <c r="H3106" s="8" t="s">
        <v>25</v>
      </c>
      <c r="I3106" s="11">
        <v>43111</v>
      </c>
      <c r="J3106" s="8" t="s">
        <v>25</v>
      </c>
      <c r="N3106" s="8" t="s">
        <v>58</v>
      </c>
      <c r="O3106" s="8" t="s">
        <v>59</v>
      </c>
      <c r="P3106" s="8" t="s">
        <v>59</v>
      </c>
      <c r="R3106" s="8">
        <v>0</v>
      </c>
      <c r="S3106" s="8">
        <v>0</v>
      </c>
      <c r="T3106" s="8">
        <v>1</v>
      </c>
      <c r="U3106" s="8">
        <v>2</v>
      </c>
      <c r="X3106" s="8">
        <v>5</v>
      </c>
      <c r="AG3106" s="8" t="str">
        <f t="shared" si="193"/>
        <v/>
      </c>
      <c r="AI3106" s="8" t="str">
        <f t="shared" si="194"/>
        <v/>
      </c>
      <c r="AJ3106" s="8" t="str">
        <f t="shared" si="195"/>
        <v/>
      </c>
      <c r="AL3106" s="8" t="str">
        <f t="shared" si="196"/>
        <v/>
      </c>
    </row>
    <row r="3107" spans="1:38" x14ac:dyDescent="0.25">
      <c r="A3107" s="8" t="s">
        <v>7835</v>
      </c>
      <c r="B3107" s="8" t="s">
        <v>7836</v>
      </c>
      <c r="C3107" s="8">
        <v>30885465</v>
      </c>
      <c r="D3107" s="8">
        <v>4</v>
      </c>
      <c r="E3107" s="11">
        <v>43111</v>
      </c>
      <c r="F3107" s="8" t="s">
        <v>57</v>
      </c>
      <c r="G3107" s="11">
        <v>43115</v>
      </c>
      <c r="H3107" s="8" t="s">
        <v>25</v>
      </c>
      <c r="J3107" s="8" t="s">
        <v>25</v>
      </c>
      <c r="N3107" s="8" t="s">
        <v>58</v>
      </c>
      <c r="O3107" s="8" t="s">
        <v>59</v>
      </c>
      <c r="P3107" s="8" t="s">
        <v>59</v>
      </c>
      <c r="R3107" s="8">
        <v>0</v>
      </c>
      <c r="S3107" s="8">
        <v>0</v>
      </c>
      <c r="T3107" s="8">
        <v>1</v>
      </c>
      <c r="U3107" s="8">
        <v>2</v>
      </c>
      <c r="AG3107" s="8" t="str">
        <f t="shared" si="193"/>
        <v/>
      </c>
      <c r="AI3107" s="8" t="str">
        <f t="shared" si="194"/>
        <v/>
      </c>
      <c r="AJ3107" s="8" t="str">
        <f t="shared" si="195"/>
        <v/>
      </c>
      <c r="AL3107" s="8" t="str">
        <f t="shared" si="196"/>
        <v/>
      </c>
    </row>
    <row r="3108" spans="1:38" x14ac:dyDescent="0.25">
      <c r="A3108" s="8" t="s">
        <v>4350</v>
      </c>
      <c r="B3108" s="8" t="s">
        <v>4351</v>
      </c>
      <c r="C3108" s="8">
        <v>30853105</v>
      </c>
      <c r="D3108" s="8">
        <v>5</v>
      </c>
      <c r="E3108" s="11">
        <v>43109</v>
      </c>
      <c r="F3108" s="8" t="s">
        <v>58</v>
      </c>
      <c r="G3108" s="11">
        <v>43111</v>
      </c>
      <c r="H3108" s="8" t="s">
        <v>25</v>
      </c>
      <c r="I3108" s="11">
        <v>43115</v>
      </c>
      <c r="J3108" s="8" t="s">
        <v>25</v>
      </c>
      <c r="N3108" s="8" t="s">
        <v>58</v>
      </c>
      <c r="O3108" s="8" t="s">
        <v>59</v>
      </c>
      <c r="P3108" s="8" t="s">
        <v>59</v>
      </c>
      <c r="R3108" s="8">
        <v>0</v>
      </c>
      <c r="S3108" s="8">
        <v>0</v>
      </c>
      <c r="T3108" s="8">
        <v>1</v>
      </c>
      <c r="U3108" s="8">
        <v>2</v>
      </c>
      <c r="X3108" s="8">
        <v>5</v>
      </c>
      <c r="AG3108" s="8" t="str">
        <f t="shared" si="193"/>
        <v/>
      </c>
      <c r="AI3108" s="8" t="str">
        <f t="shared" si="194"/>
        <v/>
      </c>
      <c r="AJ3108" s="8" t="str">
        <f t="shared" si="195"/>
        <v/>
      </c>
      <c r="AL3108" s="8" t="str">
        <f t="shared" si="196"/>
        <v/>
      </c>
    </row>
    <row r="3109" spans="1:38" x14ac:dyDescent="0.25">
      <c r="A3109" s="8" t="s">
        <v>6012</v>
      </c>
      <c r="B3109" s="8" t="s">
        <v>6013</v>
      </c>
      <c r="C3109" s="8">
        <v>30876061</v>
      </c>
      <c r="D3109" s="8">
        <v>5</v>
      </c>
      <c r="E3109" s="11">
        <v>43110</v>
      </c>
      <c r="F3109" s="8" t="s">
        <v>57</v>
      </c>
      <c r="G3109" s="11">
        <v>43112</v>
      </c>
      <c r="H3109" s="8" t="s">
        <v>25</v>
      </c>
      <c r="J3109" s="8" t="s">
        <v>25</v>
      </c>
      <c r="N3109" s="8" t="s">
        <v>58</v>
      </c>
      <c r="O3109" s="8" t="s">
        <v>59</v>
      </c>
      <c r="P3109" s="8" t="s">
        <v>59</v>
      </c>
      <c r="R3109" s="8">
        <v>0</v>
      </c>
      <c r="S3109" s="8">
        <v>0</v>
      </c>
      <c r="T3109" s="8">
        <v>1</v>
      </c>
      <c r="U3109" s="8">
        <v>2</v>
      </c>
      <c r="AG3109" s="8" t="str">
        <f t="shared" si="193"/>
        <v/>
      </c>
      <c r="AI3109" s="8" t="str">
        <f t="shared" si="194"/>
        <v/>
      </c>
      <c r="AJ3109" s="8" t="str">
        <f t="shared" si="195"/>
        <v/>
      </c>
      <c r="AL3109" s="8" t="str">
        <f t="shared" si="196"/>
        <v/>
      </c>
    </row>
    <row r="3110" spans="1:38" x14ac:dyDescent="0.25">
      <c r="A3110" s="8" t="s">
        <v>7837</v>
      </c>
      <c r="B3110" s="8" t="s">
        <v>7838</v>
      </c>
      <c r="C3110" s="8">
        <v>30899235</v>
      </c>
      <c r="D3110" s="8">
        <v>5</v>
      </c>
      <c r="E3110" s="11">
        <v>43111</v>
      </c>
      <c r="F3110" s="8" t="s">
        <v>57</v>
      </c>
      <c r="G3110" s="11">
        <v>43115</v>
      </c>
      <c r="H3110" s="8" t="s">
        <v>25</v>
      </c>
      <c r="J3110" s="8" t="s">
        <v>25</v>
      </c>
      <c r="N3110" s="8" t="s">
        <v>58</v>
      </c>
      <c r="O3110" s="8" t="s">
        <v>59</v>
      </c>
      <c r="P3110" s="8" t="s">
        <v>59</v>
      </c>
      <c r="R3110" s="8">
        <v>0</v>
      </c>
      <c r="S3110" s="8">
        <v>0</v>
      </c>
      <c r="T3110" s="8">
        <v>1</v>
      </c>
      <c r="U3110" s="8">
        <v>2</v>
      </c>
      <c r="AG3110" s="8" t="str">
        <f t="shared" si="193"/>
        <v/>
      </c>
      <c r="AI3110" s="8" t="str">
        <f t="shared" si="194"/>
        <v/>
      </c>
      <c r="AJ3110" s="8" t="str">
        <f t="shared" si="195"/>
        <v/>
      </c>
      <c r="AL3110" s="8" t="str">
        <f t="shared" si="196"/>
        <v/>
      </c>
    </row>
    <row r="3111" spans="1:38" x14ac:dyDescent="0.25">
      <c r="A3111" s="8" t="s">
        <v>6014</v>
      </c>
      <c r="B3111" s="8" t="s">
        <v>6015</v>
      </c>
      <c r="C3111" s="8">
        <v>30861801</v>
      </c>
      <c r="D3111" s="8">
        <v>5</v>
      </c>
      <c r="E3111" s="11">
        <v>43110</v>
      </c>
      <c r="F3111" s="8" t="s">
        <v>58</v>
      </c>
      <c r="G3111" s="11">
        <v>43112</v>
      </c>
      <c r="H3111" s="8" t="s">
        <v>25</v>
      </c>
      <c r="I3111" s="11">
        <v>43115</v>
      </c>
      <c r="J3111" s="8" t="s">
        <v>25</v>
      </c>
      <c r="N3111" s="8" t="s">
        <v>58</v>
      </c>
      <c r="O3111" s="8" t="s">
        <v>59</v>
      </c>
      <c r="P3111" s="8" t="s">
        <v>59</v>
      </c>
      <c r="R3111" s="8">
        <v>0</v>
      </c>
      <c r="S3111" s="8">
        <v>0</v>
      </c>
      <c r="T3111" s="8">
        <v>1</v>
      </c>
      <c r="U3111" s="8">
        <v>2</v>
      </c>
      <c r="X3111" s="8">
        <v>5</v>
      </c>
      <c r="AG3111" s="8" t="str">
        <f t="shared" si="193"/>
        <v/>
      </c>
      <c r="AI3111" s="8" t="str">
        <f t="shared" si="194"/>
        <v/>
      </c>
      <c r="AJ3111" s="8" t="str">
        <f t="shared" si="195"/>
        <v/>
      </c>
      <c r="AL3111" s="8" t="str">
        <f t="shared" si="196"/>
        <v/>
      </c>
    </row>
    <row r="3112" spans="1:38" x14ac:dyDescent="0.25">
      <c r="A3112" s="8" t="s">
        <v>6016</v>
      </c>
      <c r="B3112" s="8" t="s">
        <v>6017</v>
      </c>
      <c r="C3112" s="8">
        <v>30869413</v>
      </c>
      <c r="D3112" s="8">
        <v>5</v>
      </c>
      <c r="E3112" s="11">
        <v>43110</v>
      </c>
      <c r="F3112" s="8" t="s">
        <v>57</v>
      </c>
      <c r="G3112" s="11">
        <v>43112</v>
      </c>
      <c r="H3112" s="8" t="s">
        <v>25</v>
      </c>
      <c r="J3112" s="8" t="s">
        <v>25</v>
      </c>
      <c r="N3112" s="8" t="s">
        <v>58</v>
      </c>
      <c r="O3112" s="8" t="s">
        <v>59</v>
      </c>
      <c r="P3112" s="8" t="s">
        <v>59</v>
      </c>
      <c r="R3112" s="8">
        <v>0</v>
      </c>
      <c r="S3112" s="8">
        <v>0</v>
      </c>
      <c r="T3112" s="8">
        <v>1</v>
      </c>
      <c r="U3112" s="8">
        <v>2</v>
      </c>
      <c r="AG3112" s="8" t="str">
        <f t="shared" si="193"/>
        <v/>
      </c>
      <c r="AI3112" s="8" t="str">
        <f t="shared" si="194"/>
        <v/>
      </c>
      <c r="AJ3112" s="8" t="str">
        <f t="shared" si="195"/>
        <v/>
      </c>
      <c r="AL3112" s="8" t="str">
        <f t="shared" si="196"/>
        <v/>
      </c>
    </row>
    <row r="3113" spans="1:38" x14ac:dyDescent="0.25">
      <c r="A3113" s="8" t="s">
        <v>2894</v>
      </c>
      <c r="B3113" s="8" t="s">
        <v>2895</v>
      </c>
      <c r="C3113" s="8">
        <v>30817504</v>
      </c>
      <c r="D3113" s="8">
        <v>5</v>
      </c>
      <c r="E3113" s="11">
        <v>43108</v>
      </c>
      <c r="F3113" s="8" t="s">
        <v>58</v>
      </c>
      <c r="G3113" s="11">
        <v>43110</v>
      </c>
      <c r="H3113" s="8" t="s">
        <v>25</v>
      </c>
      <c r="I3113" s="11">
        <v>43110</v>
      </c>
      <c r="J3113" s="8" t="s">
        <v>25</v>
      </c>
      <c r="N3113" s="8" t="s">
        <v>58</v>
      </c>
      <c r="O3113" s="8" t="s">
        <v>59</v>
      </c>
      <c r="P3113" s="8" t="s">
        <v>59</v>
      </c>
      <c r="R3113" s="8">
        <v>0</v>
      </c>
      <c r="S3113" s="8">
        <v>0</v>
      </c>
      <c r="T3113" s="8">
        <v>1</v>
      </c>
      <c r="U3113" s="8">
        <v>2</v>
      </c>
      <c r="X3113" s="8">
        <v>5</v>
      </c>
      <c r="AG3113" s="8" t="str">
        <f t="shared" si="193"/>
        <v/>
      </c>
      <c r="AI3113" s="8" t="str">
        <f t="shared" si="194"/>
        <v/>
      </c>
      <c r="AJ3113" s="8" t="str">
        <f t="shared" si="195"/>
        <v/>
      </c>
      <c r="AL3113" s="8" t="str">
        <f t="shared" si="196"/>
        <v/>
      </c>
    </row>
    <row r="3114" spans="1:38" x14ac:dyDescent="0.25">
      <c r="A3114" s="8" t="s">
        <v>2896</v>
      </c>
      <c r="B3114" s="8" t="s">
        <v>2897</v>
      </c>
      <c r="C3114" s="8">
        <v>30819037</v>
      </c>
      <c r="D3114" s="8">
        <v>5</v>
      </c>
      <c r="E3114" s="11">
        <v>43108</v>
      </c>
      <c r="F3114" s="8" t="s">
        <v>58</v>
      </c>
      <c r="G3114" s="11">
        <v>43110</v>
      </c>
      <c r="H3114" s="8" t="s">
        <v>25</v>
      </c>
      <c r="I3114" s="11">
        <v>43111</v>
      </c>
      <c r="J3114" s="8" t="s">
        <v>25</v>
      </c>
      <c r="N3114" s="8" t="s">
        <v>58</v>
      </c>
      <c r="O3114" s="8" t="s">
        <v>59</v>
      </c>
      <c r="P3114" s="8" t="s">
        <v>59</v>
      </c>
      <c r="R3114" s="8">
        <v>0</v>
      </c>
      <c r="S3114" s="8">
        <v>0</v>
      </c>
      <c r="T3114" s="8">
        <v>1</v>
      </c>
      <c r="U3114" s="8">
        <v>2</v>
      </c>
      <c r="X3114" s="8">
        <v>5</v>
      </c>
      <c r="AG3114" s="8" t="str">
        <f t="shared" si="193"/>
        <v/>
      </c>
      <c r="AI3114" s="8" t="str">
        <f t="shared" si="194"/>
        <v/>
      </c>
      <c r="AJ3114" s="8" t="str">
        <f t="shared" si="195"/>
        <v/>
      </c>
      <c r="AL3114" s="8" t="str">
        <f t="shared" si="196"/>
        <v/>
      </c>
    </row>
    <row r="3115" spans="1:38" x14ac:dyDescent="0.25">
      <c r="A3115" s="8" t="s">
        <v>7839</v>
      </c>
      <c r="B3115" s="8" t="s">
        <v>7840</v>
      </c>
      <c r="C3115" s="8">
        <v>30885500</v>
      </c>
      <c r="D3115" s="8">
        <v>5</v>
      </c>
      <c r="E3115" s="11">
        <v>43111</v>
      </c>
      <c r="F3115" s="8" t="s">
        <v>57</v>
      </c>
      <c r="G3115" s="11">
        <v>43115</v>
      </c>
      <c r="H3115" s="8" t="s">
        <v>25</v>
      </c>
      <c r="J3115" s="8" t="s">
        <v>25</v>
      </c>
      <c r="N3115" s="8" t="s">
        <v>58</v>
      </c>
      <c r="O3115" s="8" t="s">
        <v>59</v>
      </c>
      <c r="P3115" s="8" t="s">
        <v>59</v>
      </c>
      <c r="R3115" s="8">
        <v>0</v>
      </c>
      <c r="S3115" s="8">
        <v>0</v>
      </c>
      <c r="T3115" s="8">
        <v>1</v>
      </c>
      <c r="U3115" s="8">
        <v>2</v>
      </c>
      <c r="AG3115" s="8" t="str">
        <f t="shared" si="193"/>
        <v/>
      </c>
      <c r="AI3115" s="8" t="str">
        <f t="shared" si="194"/>
        <v/>
      </c>
      <c r="AJ3115" s="8" t="str">
        <f t="shared" si="195"/>
        <v/>
      </c>
      <c r="AL3115" s="8" t="str">
        <f t="shared" si="196"/>
        <v/>
      </c>
    </row>
    <row r="3116" spans="1:38" x14ac:dyDescent="0.25">
      <c r="A3116" s="8" t="s">
        <v>632</v>
      </c>
      <c r="B3116" s="8" t="s">
        <v>633</v>
      </c>
      <c r="C3116" s="8">
        <v>30819948</v>
      </c>
      <c r="D3116" s="8">
        <v>5</v>
      </c>
      <c r="E3116" s="11">
        <v>43108</v>
      </c>
      <c r="F3116" s="8" t="s">
        <v>58</v>
      </c>
      <c r="G3116" s="11">
        <v>43108</v>
      </c>
      <c r="H3116" s="8" t="s">
        <v>25</v>
      </c>
      <c r="I3116" s="11">
        <v>43115</v>
      </c>
      <c r="J3116" s="8" t="s">
        <v>856</v>
      </c>
      <c r="N3116" s="8" t="s">
        <v>58</v>
      </c>
      <c r="O3116" s="8" t="s">
        <v>59</v>
      </c>
      <c r="P3116" s="8" t="s">
        <v>59</v>
      </c>
      <c r="R3116" s="8">
        <v>0</v>
      </c>
      <c r="S3116" s="8">
        <v>0</v>
      </c>
      <c r="T3116" s="8">
        <v>1</v>
      </c>
      <c r="U3116" s="8">
        <v>2</v>
      </c>
      <c r="X3116" s="8">
        <v>5</v>
      </c>
      <c r="AG3116" s="8" t="str">
        <f t="shared" si="193"/>
        <v/>
      </c>
      <c r="AI3116" s="8" t="str">
        <f t="shared" si="194"/>
        <v/>
      </c>
      <c r="AJ3116" s="8" t="str">
        <f t="shared" si="195"/>
        <v/>
      </c>
      <c r="AL3116" s="8" t="str">
        <f t="shared" si="196"/>
        <v/>
      </c>
    </row>
    <row r="3117" spans="1:38" x14ac:dyDescent="0.25">
      <c r="A3117" s="8" t="s">
        <v>4352</v>
      </c>
      <c r="B3117" s="8" t="s">
        <v>4353</v>
      </c>
      <c r="C3117" s="8">
        <v>30895890</v>
      </c>
      <c r="D3117" s="8">
        <v>5</v>
      </c>
      <c r="E3117" s="11">
        <v>43111</v>
      </c>
      <c r="F3117" s="8" t="s">
        <v>57</v>
      </c>
      <c r="G3117" s="11">
        <v>43111</v>
      </c>
      <c r="H3117" s="8" t="s">
        <v>25</v>
      </c>
      <c r="J3117" s="8" t="s">
        <v>25</v>
      </c>
      <c r="N3117" s="8" t="s">
        <v>58</v>
      </c>
      <c r="O3117" s="8" t="s">
        <v>59</v>
      </c>
      <c r="P3117" s="8" t="s">
        <v>59</v>
      </c>
      <c r="R3117" s="8">
        <v>0</v>
      </c>
      <c r="S3117" s="8">
        <v>0</v>
      </c>
      <c r="T3117" s="8">
        <v>1</v>
      </c>
      <c r="U3117" s="8">
        <v>2</v>
      </c>
      <c r="AG3117" s="8" t="str">
        <f t="shared" si="193"/>
        <v/>
      </c>
      <c r="AI3117" s="8" t="str">
        <f t="shared" si="194"/>
        <v/>
      </c>
      <c r="AJ3117" s="8" t="str">
        <f t="shared" si="195"/>
        <v/>
      </c>
      <c r="AL3117" s="8" t="str">
        <f t="shared" si="196"/>
        <v/>
      </c>
    </row>
    <row r="3118" spans="1:38" x14ac:dyDescent="0.25">
      <c r="A3118" s="8" t="s">
        <v>6018</v>
      </c>
      <c r="B3118" s="8" t="s">
        <v>6019</v>
      </c>
      <c r="C3118" s="8">
        <v>30862203</v>
      </c>
      <c r="D3118" s="8">
        <v>5</v>
      </c>
      <c r="E3118" s="11">
        <v>43110</v>
      </c>
      <c r="F3118" s="8" t="s">
        <v>58</v>
      </c>
      <c r="G3118" s="11">
        <v>43112</v>
      </c>
      <c r="H3118" s="8" t="s">
        <v>25</v>
      </c>
      <c r="I3118" s="11">
        <v>43112</v>
      </c>
      <c r="J3118" s="8" t="s">
        <v>25</v>
      </c>
      <c r="N3118" s="8" t="s">
        <v>58</v>
      </c>
      <c r="O3118" s="8" t="s">
        <v>59</v>
      </c>
      <c r="P3118" s="8" t="s">
        <v>59</v>
      </c>
      <c r="R3118" s="8">
        <v>0</v>
      </c>
      <c r="S3118" s="8">
        <v>0</v>
      </c>
      <c r="T3118" s="8">
        <v>1</v>
      </c>
      <c r="U3118" s="8">
        <v>2</v>
      </c>
      <c r="X3118" s="8">
        <v>5</v>
      </c>
      <c r="AG3118" s="8" t="str">
        <f t="shared" si="193"/>
        <v/>
      </c>
      <c r="AI3118" s="8" t="str">
        <f t="shared" si="194"/>
        <v/>
      </c>
      <c r="AJ3118" s="8" t="str">
        <f t="shared" si="195"/>
        <v/>
      </c>
      <c r="AL3118" s="8" t="str">
        <f t="shared" si="196"/>
        <v/>
      </c>
    </row>
    <row r="3119" spans="1:38" x14ac:dyDescent="0.25">
      <c r="A3119" s="8" t="s">
        <v>2898</v>
      </c>
      <c r="B3119" s="8" t="s">
        <v>2899</v>
      </c>
      <c r="C3119" s="8">
        <v>30814639</v>
      </c>
      <c r="D3119" s="8">
        <v>5</v>
      </c>
      <c r="E3119" s="11">
        <v>43108</v>
      </c>
      <c r="F3119" s="8" t="s">
        <v>57</v>
      </c>
      <c r="G3119" s="11">
        <v>43110</v>
      </c>
      <c r="H3119" s="8" t="s">
        <v>25</v>
      </c>
      <c r="J3119" s="8" t="s">
        <v>25</v>
      </c>
      <c r="N3119" s="8" t="s">
        <v>58</v>
      </c>
      <c r="O3119" s="8" t="s">
        <v>59</v>
      </c>
      <c r="P3119" s="8" t="s">
        <v>59</v>
      </c>
      <c r="R3119" s="8">
        <v>0</v>
      </c>
      <c r="S3119" s="8">
        <v>0</v>
      </c>
      <c r="T3119" s="8">
        <v>1</v>
      </c>
      <c r="U3119" s="8">
        <v>2</v>
      </c>
      <c r="AG3119" s="8" t="str">
        <f t="shared" si="193"/>
        <v/>
      </c>
      <c r="AI3119" s="8" t="str">
        <f t="shared" si="194"/>
        <v/>
      </c>
      <c r="AJ3119" s="8" t="str">
        <f t="shared" si="195"/>
        <v/>
      </c>
      <c r="AL3119" s="8" t="str">
        <f t="shared" si="196"/>
        <v/>
      </c>
    </row>
    <row r="3120" spans="1:38" x14ac:dyDescent="0.25">
      <c r="A3120" s="8" t="s">
        <v>2900</v>
      </c>
      <c r="B3120" s="8" t="s">
        <v>2901</v>
      </c>
      <c r="C3120" s="8">
        <v>30832598</v>
      </c>
      <c r="D3120" s="8">
        <v>5</v>
      </c>
      <c r="E3120" s="11">
        <v>43109</v>
      </c>
      <c r="F3120" s="8" t="s">
        <v>58</v>
      </c>
      <c r="G3120" s="11">
        <v>43110</v>
      </c>
      <c r="H3120" s="8" t="s">
        <v>25</v>
      </c>
      <c r="I3120" s="11">
        <v>43111</v>
      </c>
      <c r="J3120" s="8" t="s">
        <v>25</v>
      </c>
      <c r="N3120" s="8" t="s">
        <v>58</v>
      </c>
      <c r="O3120" s="8" t="s">
        <v>59</v>
      </c>
      <c r="P3120" s="8" t="s">
        <v>59</v>
      </c>
      <c r="R3120" s="8">
        <v>0</v>
      </c>
      <c r="S3120" s="8">
        <v>0</v>
      </c>
      <c r="T3120" s="8">
        <v>1</v>
      </c>
      <c r="U3120" s="8">
        <v>2</v>
      </c>
      <c r="X3120" s="8">
        <v>5</v>
      </c>
      <c r="AG3120" s="8" t="str">
        <f t="shared" si="193"/>
        <v/>
      </c>
      <c r="AI3120" s="8" t="str">
        <f t="shared" si="194"/>
        <v/>
      </c>
      <c r="AJ3120" s="8" t="str">
        <f t="shared" si="195"/>
        <v/>
      </c>
      <c r="AL3120" s="8" t="str">
        <f t="shared" si="196"/>
        <v/>
      </c>
    </row>
    <row r="3121" spans="1:38" x14ac:dyDescent="0.25">
      <c r="A3121" s="8" t="s">
        <v>7841</v>
      </c>
      <c r="B3121" s="8" t="s">
        <v>7842</v>
      </c>
      <c r="C3121" s="8">
        <v>30897767</v>
      </c>
      <c r="D3121" s="8">
        <v>5</v>
      </c>
      <c r="E3121" s="11">
        <v>43111</v>
      </c>
      <c r="F3121" s="8" t="s">
        <v>57</v>
      </c>
      <c r="G3121" s="11">
        <v>43115</v>
      </c>
      <c r="H3121" s="8" t="s">
        <v>25</v>
      </c>
      <c r="J3121" s="8" t="s">
        <v>25</v>
      </c>
      <c r="N3121" s="8" t="s">
        <v>58</v>
      </c>
      <c r="O3121" s="8" t="s">
        <v>59</v>
      </c>
      <c r="P3121" s="8" t="s">
        <v>59</v>
      </c>
      <c r="R3121" s="8">
        <v>0</v>
      </c>
      <c r="S3121" s="8">
        <v>0</v>
      </c>
      <c r="T3121" s="8">
        <v>1</v>
      </c>
      <c r="U3121" s="8">
        <v>2</v>
      </c>
      <c r="AG3121" s="8" t="str">
        <f t="shared" si="193"/>
        <v/>
      </c>
      <c r="AI3121" s="8" t="str">
        <f t="shared" si="194"/>
        <v/>
      </c>
      <c r="AJ3121" s="8" t="str">
        <f t="shared" si="195"/>
        <v/>
      </c>
      <c r="AL3121" s="8" t="str">
        <f t="shared" si="196"/>
        <v/>
      </c>
    </row>
    <row r="3122" spans="1:38" x14ac:dyDescent="0.25">
      <c r="A3122" s="8" t="s">
        <v>6020</v>
      </c>
      <c r="B3122" s="8" t="s">
        <v>6021</v>
      </c>
      <c r="C3122" s="8">
        <v>30865586</v>
      </c>
      <c r="D3122" s="8">
        <v>5</v>
      </c>
      <c r="E3122" s="11">
        <v>43110</v>
      </c>
      <c r="F3122" s="8" t="s">
        <v>58</v>
      </c>
      <c r="G3122" s="11">
        <v>43112</v>
      </c>
      <c r="H3122" s="8" t="s">
        <v>25</v>
      </c>
      <c r="I3122" s="11">
        <v>43112</v>
      </c>
      <c r="J3122" s="8" t="s">
        <v>25</v>
      </c>
      <c r="N3122" s="8" t="s">
        <v>58</v>
      </c>
      <c r="O3122" s="8" t="s">
        <v>59</v>
      </c>
      <c r="P3122" s="8" t="s">
        <v>59</v>
      </c>
      <c r="R3122" s="8">
        <v>0</v>
      </c>
      <c r="S3122" s="8">
        <v>0</v>
      </c>
      <c r="T3122" s="8">
        <v>1</v>
      </c>
      <c r="U3122" s="8">
        <v>2</v>
      </c>
      <c r="X3122" s="8">
        <v>5</v>
      </c>
      <c r="AG3122" s="8" t="str">
        <f t="shared" si="193"/>
        <v/>
      </c>
      <c r="AI3122" s="8" t="str">
        <f t="shared" si="194"/>
        <v/>
      </c>
      <c r="AJ3122" s="8" t="str">
        <f t="shared" si="195"/>
        <v/>
      </c>
      <c r="AL3122" s="8" t="str">
        <f t="shared" si="196"/>
        <v/>
      </c>
    </row>
    <row r="3123" spans="1:38" x14ac:dyDescent="0.25">
      <c r="A3123" s="8" t="s">
        <v>6022</v>
      </c>
      <c r="B3123" s="8" t="s">
        <v>6023</v>
      </c>
      <c r="C3123" s="8">
        <v>30876736</v>
      </c>
      <c r="D3123" s="8">
        <v>5</v>
      </c>
      <c r="E3123" s="11">
        <v>43110</v>
      </c>
      <c r="F3123" s="8" t="s">
        <v>58</v>
      </c>
      <c r="G3123" s="11">
        <v>43112</v>
      </c>
      <c r="H3123" s="8" t="s">
        <v>25</v>
      </c>
      <c r="I3123" s="11">
        <v>43112</v>
      </c>
      <c r="J3123" s="8" t="s">
        <v>25</v>
      </c>
      <c r="N3123" s="8" t="s">
        <v>58</v>
      </c>
      <c r="O3123" s="8" t="s">
        <v>59</v>
      </c>
      <c r="P3123" s="8" t="s">
        <v>59</v>
      </c>
      <c r="R3123" s="8">
        <v>0</v>
      </c>
      <c r="S3123" s="8">
        <v>0</v>
      </c>
      <c r="T3123" s="8">
        <v>1</v>
      </c>
      <c r="U3123" s="8">
        <v>2</v>
      </c>
      <c r="X3123" s="8">
        <v>5</v>
      </c>
      <c r="AG3123" s="8" t="str">
        <f t="shared" si="193"/>
        <v/>
      </c>
      <c r="AI3123" s="8" t="str">
        <f t="shared" si="194"/>
        <v/>
      </c>
      <c r="AJ3123" s="8" t="str">
        <f t="shared" si="195"/>
        <v/>
      </c>
      <c r="AL3123" s="8" t="str">
        <f t="shared" si="196"/>
        <v/>
      </c>
    </row>
    <row r="3124" spans="1:38" x14ac:dyDescent="0.25">
      <c r="A3124" s="8" t="s">
        <v>4354</v>
      </c>
      <c r="B3124" s="8" t="s">
        <v>4355</v>
      </c>
      <c r="C3124" s="8">
        <v>30842233</v>
      </c>
      <c r="D3124" s="8">
        <v>5</v>
      </c>
      <c r="E3124" s="11">
        <v>43109</v>
      </c>
      <c r="F3124" s="8" t="s">
        <v>57</v>
      </c>
      <c r="G3124" s="11">
        <v>43111</v>
      </c>
      <c r="H3124" s="8" t="s">
        <v>25</v>
      </c>
      <c r="J3124" s="8" t="s">
        <v>25</v>
      </c>
      <c r="N3124" s="8" t="s">
        <v>58</v>
      </c>
      <c r="O3124" s="8" t="s">
        <v>59</v>
      </c>
      <c r="P3124" s="8" t="s">
        <v>59</v>
      </c>
      <c r="R3124" s="8">
        <v>0</v>
      </c>
      <c r="S3124" s="8">
        <v>0</v>
      </c>
      <c r="T3124" s="8">
        <v>1</v>
      </c>
      <c r="U3124" s="8">
        <v>2</v>
      </c>
      <c r="AG3124" s="8" t="str">
        <f t="shared" si="193"/>
        <v/>
      </c>
      <c r="AI3124" s="8" t="str">
        <f t="shared" si="194"/>
        <v/>
      </c>
      <c r="AJ3124" s="8" t="str">
        <f t="shared" si="195"/>
        <v/>
      </c>
      <c r="AL3124" s="8" t="str">
        <f t="shared" si="196"/>
        <v/>
      </c>
    </row>
    <row r="3125" spans="1:38" x14ac:dyDescent="0.25">
      <c r="A3125" s="8" t="s">
        <v>6024</v>
      </c>
      <c r="B3125" s="8" t="s">
        <v>6025</v>
      </c>
      <c r="C3125" s="8">
        <v>30871504</v>
      </c>
      <c r="D3125" s="8">
        <v>5</v>
      </c>
      <c r="E3125" s="11">
        <v>43110</v>
      </c>
      <c r="F3125" s="8" t="s">
        <v>58</v>
      </c>
      <c r="G3125" s="11">
        <v>43112</v>
      </c>
      <c r="H3125" s="8" t="s">
        <v>25</v>
      </c>
      <c r="I3125" s="11">
        <v>43115</v>
      </c>
      <c r="J3125" s="8" t="s">
        <v>25</v>
      </c>
      <c r="N3125" s="8" t="s">
        <v>58</v>
      </c>
      <c r="O3125" s="8" t="s">
        <v>59</v>
      </c>
      <c r="P3125" s="8" t="s">
        <v>59</v>
      </c>
      <c r="R3125" s="8">
        <v>0</v>
      </c>
      <c r="S3125" s="8">
        <v>0</v>
      </c>
      <c r="T3125" s="8">
        <v>1</v>
      </c>
      <c r="U3125" s="8">
        <v>2</v>
      </c>
      <c r="X3125" s="8">
        <v>5</v>
      </c>
      <c r="AG3125" s="8" t="str">
        <f t="shared" si="193"/>
        <v/>
      </c>
      <c r="AI3125" s="8" t="str">
        <f t="shared" si="194"/>
        <v/>
      </c>
      <c r="AJ3125" s="8" t="str">
        <f t="shared" si="195"/>
        <v/>
      </c>
      <c r="AL3125" s="8" t="str">
        <f t="shared" si="196"/>
        <v/>
      </c>
    </row>
    <row r="3126" spans="1:38" x14ac:dyDescent="0.25">
      <c r="A3126" s="8" t="s">
        <v>4356</v>
      </c>
      <c r="B3126" s="8" t="s">
        <v>4357</v>
      </c>
      <c r="C3126" s="8">
        <v>30847814</v>
      </c>
      <c r="D3126" s="8">
        <v>5</v>
      </c>
      <c r="E3126" s="11">
        <v>43109</v>
      </c>
      <c r="F3126" s="8" t="s">
        <v>57</v>
      </c>
      <c r="G3126" s="11">
        <v>43111</v>
      </c>
      <c r="H3126" s="8" t="s">
        <v>25</v>
      </c>
      <c r="J3126" s="8" t="s">
        <v>25</v>
      </c>
      <c r="N3126" s="8" t="s">
        <v>58</v>
      </c>
      <c r="O3126" s="8" t="s">
        <v>59</v>
      </c>
      <c r="P3126" s="8" t="s">
        <v>59</v>
      </c>
      <c r="R3126" s="8">
        <v>0</v>
      </c>
      <c r="S3126" s="8">
        <v>0</v>
      </c>
      <c r="T3126" s="8">
        <v>1</v>
      </c>
      <c r="U3126" s="8">
        <v>2</v>
      </c>
      <c r="AG3126" s="8" t="str">
        <f t="shared" si="193"/>
        <v/>
      </c>
      <c r="AI3126" s="8" t="str">
        <f t="shared" si="194"/>
        <v/>
      </c>
      <c r="AJ3126" s="8" t="str">
        <f t="shared" si="195"/>
        <v/>
      </c>
      <c r="AL3126" s="8" t="str">
        <f t="shared" si="196"/>
        <v/>
      </c>
    </row>
    <row r="3127" spans="1:38" x14ac:dyDescent="0.25">
      <c r="A3127" s="8" t="s">
        <v>7843</v>
      </c>
      <c r="B3127" s="8" t="s">
        <v>7844</v>
      </c>
      <c r="C3127" s="8">
        <v>30898170</v>
      </c>
      <c r="D3127" s="8">
        <v>5</v>
      </c>
      <c r="E3127" s="11">
        <v>43111</v>
      </c>
      <c r="F3127" s="8" t="s">
        <v>57</v>
      </c>
      <c r="G3127" s="11">
        <v>43115</v>
      </c>
      <c r="H3127" s="8" t="s">
        <v>25</v>
      </c>
      <c r="J3127" s="8" t="s">
        <v>25</v>
      </c>
      <c r="N3127" s="8" t="s">
        <v>58</v>
      </c>
      <c r="O3127" s="8" t="s">
        <v>59</v>
      </c>
      <c r="P3127" s="8" t="s">
        <v>59</v>
      </c>
      <c r="R3127" s="8">
        <v>0</v>
      </c>
      <c r="S3127" s="8">
        <v>0</v>
      </c>
      <c r="T3127" s="8">
        <v>1</v>
      </c>
      <c r="U3127" s="8">
        <v>2</v>
      </c>
      <c r="AG3127" s="8" t="str">
        <f t="shared" si="193"/>
        <v/>
      </c>
      <c r="AI3127" s="8" t="str">
        <f t="shared" si="194"/>
        <v/>
      </c>
      <c r="AJ3127" s="8" t="str">
        <f t="shared" si="195"/>
        <v/>
      </c>
      <c r="AL3127" s="8" t="str">
        <f t="shared" si="196"/>
        <v/>
      </c>
    </row>
    <row r="3128" spans="1:38" x14ac:dyDescent="0.25">
      <c r="A3128" s="8" t="s">
        <v>4358</v>
      </c>
      <c r="B3128" s="8" t="s">
        <v>4359</v>
      </c>
      <c r="C3128" s="8">
        <v>30840357</v>
      </c>
      <c r="D3128" s="8">
        <v>5</v>
      </c>
      <c r="E3128" s="11">
        <v>43109</v>
      </c>
      <c r="F3128" s="8" t="s">
        <v>58</v>
      </c>
      <c r="G3128" s="11">
        <v>43111</v>
      </c>
      <c r="H3128" s="8" t="s">
        <v>25</v>
      </c>
      <c r="I3128" s="11">
        <v>43111</v>
      </c>
      <c r="J3128" s="8" t="s">
        <v>25</v>
      </c>
      <c r="N3128" s="8" t="s">
        <v>58</v>
      </c>
      <c r="O3128" s="8" t="s">
        <v>59</v>
      </c>
      <c r="P3128" s="8" t="s">
        <v>59</v>
      </c>
      <c r="R3128" s="8">
        <v>0</v>
      </c>
      <c r="S3128" s="8">
        <v>0</v>
      </c>
      <c r="T3128" s="8">
        <v>1</v>
      </c>
      <c r="U3128" s="8">
        <v>2</v>
      </c>
      <c r="X3128" s="8">
        <v>5</v>
      </c>
      <c r="AG3128" s="8" t="str">
        <f t="shared" si="193"/>
        <v/>
      </c>
      <c r="AI3128" s="8" t="str">
        <f t="shared" si="194"/>
        <v/>
      </c>
      <c r="AJ3128" s="8" t="str">
        <f t="shared" si="195"/>
        <v/>
      </c>
      <c r="AL3128" s="8" t="str">
        <f t="shared" si="196"/>
        <v/>
      </c>
    </row>
    <row r="3129" spans="1:38" x14ac:dyDescent="0.25">
      <c r="A3129" s="8" t="s">
        <v>4360</v>
      </c>
      <c r="B3129" s="8" t="s">
        <v>4361</v>
      </c>
      <c r="C3129" s="8">
        <v>30839713</v>
      </c>
      <c r="D3129" s="8">
        <v>5</v>
      </c>
      <c r="E3129" s="11">
        <v>43109</v>
      </c>
      <c r="F3129" s="8" t="s">
        <v>58</v>
      </c>
      <c r="G3129" s="11">
        <v>43111</v>
      </c>
      <c r="H3129" s="8" t="s">
        <v>25</v>
      </c>
      <c r="I3129" s="11">
        <v>43111</v>
      </c>
      <c r="J3129" s="8" t="s">
        <v>25</v>
      </c>
      <c r="N3129" s="8" t="s">
        <v>58</v>
      </c>
      <c r="O3129" s="8" t="s">
        <v>59</v>
      </c>
      <c r="P3129" s="8" t="s">
        <v>59</v>
      </c>
      <c r="R3129" s="8">
        <v>0</v>
      </c>
      <c r="S3129" s="8">
        <v>0</v>
      </c>
      <c r="T3129" s="8">
        <v>1</v>
      </c>
      <c r="U3129" s="8">
        <v>2</v>
      </c>
      <c r="X3129" s="8">
        <v>5</v>
      </c>
      <c r="AG3129" s="8" t="str">
        <f t="shared" si="193"/>
        <v/>
      </c>
      <c r="AI3129" s="8" t="str">
        <f t="shared" si="194"/>
        <v/>
      </c>
      <c r="AJ3129" s="8" t="str">
        <f t="shared" si="195"/>
        <v/>
      </c>
      <c r="AL3129" s="8" t="str">
        <f t="shared" si="196"/>
        <v/>
      </c>
    </row>
    <row r="3130" spans="1:38" x14ac:dyDescent="0.25">
      <c r="A3130" s="8" t="s">
        <v>6026</v>
      </c>
      <c r="B3130" s="8" t="s">
        <v>6027</v>
      </c>
      <c r="C3130" s="8">
        <v>30860443</v>
      </c>
      <c r="D3130" s="8">
        <v>5</v>
      </c>
      <c r="E3130" s="11">
        <v>43110</v>
      </c>
      <c r="F3130" s="8" t="s">
        <v>58</v>
      </c>
      <c r="G3130" s="11">
        <v>43112</v>
      </c>
      <c r="H3130" s="8" t="s">
        <v>25</v>
      </c>
      <c r="I3130" s="11">
        <v>43112</v>
      </c>
      <c r="J3130" s="8" t="s">
        <v>25</v>
      </c>
      <c r="N3130" s="8" t="s">
        <v>58</v>
      </c>
      <c r="O3130" s="8" t="s">
        <v>59</v>
      </c>
      <c r="P3130" s="8" t="s">
        <v>59</v>
      </c>
      <c r="R3130" s="8">
        <v>0</v>
      </c>
      <c r="S3130" s="8">
        <v>0</v>
      </c>
      <c r="T3130" s="8">
        <v>1</v>
      </c>
      <c r="U3130" s="8">
        <v>2</v>
      </c>
      <c r="X3130" s="8">
        <v>5</v>
      </c>
      <c r="AG3130" s="8" t="str">
        <f t="shared" si="193"/>
        <v/>
      </c>
      <c r="AI3130" s="8" t="str">
        <f t="shared" si="194"/>
        <v/>
      </c>
      <c r="AJ3130" s="8" t="str">
        <f t="shared" si="195"/>
        <v/>
      </c>
      <c r="AL3130" s="8" t="str">
        <f t="shared" si="196"/>
        <v/>
      </c>
    </row>
    <row r="3131" spans="1:38" x14ac:dyDescent="0.25">
      <c r="A3131" s="8" t="s">
        <v>2902</v>
      </c>
      <c r="B3131" s="8" t="s">
        <v>2903</v>
      </c>
      <c r="C3131" s="8">
        <v>30828726</v>
      </c>
      <c r="D3131" s="8">
        <v>5</v>
      </c>
      <c r="E3131" s="11">
        <v>43108</v>
      </c>
      <c r="F3131" s="8" t="s">
        <v>58</v>
      </c>
      <c r="G3131" s="11">
        <v>43110</v>
      </c>
      <c r="H3131" s="8" t="s">
        <v>25</v>
      </c>
      <c r="I3131" s="11">
        <v>43111</v>
      </c>
      <c r="J3131" s="8" t="s">
        <v>25</v>
      </c>
      <c r="N3131" s="8" t="s">
        <v>58</v>
      </c>
      <c r="O3131" s="8" t="s">
        <v>59</v>
      </c>
      <c r="P3131" s="8" t="s">
        <v>59</v>
      </c>
      <c r="R3131" s="8">
        <v>0</v>
      </c>
      <c r="S3131" s="8">
        <v>0</v>
      </c>
      <c r="T3131" s="8">
        <v>1</v>
      </c>
      <c r="U3131" s="8">
        <v>2</v>
      </c>
      <c r="X3131" s="8">
        <v>5</v>
      </c>
      <c r="AG3131" s="8" t="str">
        <f t="shared" si="193"/>
        <v/>
      </c>
      <c r="AI3131" s="8" t="str">
        <f t="shared" si="194"/>
        <v/>
      </c>
      <c r="AJ3131" s="8" t="str">
        <f t="shared" si="195"/>
        <v/>
      </c>
      <c r="AL3131" s="8" t="str">
        <f t="shared" si="196"/>
        <v/>
      </c>
    </row>
    <row r="3132" spans="1:38" x14ac:dyDescent="0.25">
      <c r="A3132" s="8" t="s">
        <v>2904</v>
      </c>
      <c r="B3132" s="8" t="s">
        <v>2905</v>
      </c>
      <c r="C3132" s="8">
        <v>30816559</v>
      </c>
      <c r="D3132" s="8">
        <v>5</v>
      </c>
      <c r="E3132" s="11">
        <v>43108</v>
      </c>
      <c r="F3132" s="8" t="s">
        <v>58</v>
      </c>
      <c r="G3132" s="11">
        <v>43110</v>
      </c>
      <c r="H3132" s="8" t="s">
        <v>25</v>
      </c>
      <c r="I3132" s="11">
        <v>43110</v>
      </c>
      <c r="J3132" s="8" t="s">
        <v>25</v>
      </c>
      <c r="N3132" s="8" t="s">
        <v>58</v>
      </c>
      <c r="O3132" s="8" t="s">
        <v>59</v>
      </c>
      <c r="P3132" s="8" t="s">
        <v>59</v>
      </c>
      <c r="R3132" s="8">
        <v>0</v>
      </c>
      <c r="S3132" s="8">
        <v>0</v>
      </c>
      <c r="T3132" s="8">
        <v>1</v>
      </c>
      <c r="U3132" s="8">
        <v>2</v>
      </c>
      <c r="X3132" s="8">
        <v>5</v>
      </c>
      <c r="AG3132" s="8" t="str">
        <f t="shared" si="193"/>
        <v/>
      </c>
      <c r="AI3132" s="8" t="str">
        <f t="shared" si="194"/>
        <v/>
      </c>
      <c r="AJ3132" s="8" t="str">
        <f t="shared" si="195"/>
        <v/>
      </c>
      <c r="AL3132" s="8" t="str">
        <f t="shared" si="196"/>
        <v/>
      </c>
    </row>
    <row r="3133" spans="1:38" x14ac:dyDescent="0.25">
      <c r="A3133" s="8" t="s">
        <v>4362</v>
      </c>
      <c r="B3133" s="8" t="s">
        <v>4363</v>
      </c>
      <c r="C3133" s="8">
        <v>30831789</v>
      </c>
      <c r="D3133" s="8">
        <v>5</v>
      </c>
      <c r="E3133" s="11">
        <v>43109</v>
      </c>
      <c r="F3133" s="8" t="s">
        <v>58</v>
      </c>
      <c r="G3133" s="11">
        <v>43111</v>
      </c>
      <c r="H3133" s="8" t="s">
        <v>25</v>
      </c>
      <c r="I3133" s="11">
        <v>43111</v>
      </c>
      <c r="J3133" s="8" t="s">
        <v>25</v>
      </c>
      <c r="N3133" s="8" t="s">
        <v>58</v>
      </c>
      <c r="O3133" s="8" t="s">
        <v>59</v>
      </c>
      <c r="P3133" s="8" t="s">
        <v>59</v>
      </c>
      <c r="R3133" s="8">
        <v>0</v>
      </c>
      <c r="S3133" s="8">
        <v>0</v>
      </c>
      <c r="T3133" s="8">
        <v>1</v>
      </c>
      <c r="U3133" s="8">
        <v>2</v>
      </c>
      <c r="X3133" s="8">
        <v>5</v>
      </c>
      <c r="AG3133" s="8" t="str">
        <f t="shared" si="193"/>
        <v/>
      </c>
      <c r="AI3133" s="8" t="str">
        <f t="shared" si="194"/>
        <v/>
      </c>
      <c r="AJ3133" s="8" t="str">
        <f t="shared" si="195"/>
        <v/>
      </c>
      <c r="AL3133" s="8" t="str">
        <f t="shared" si="196"/>
        <v/>
      </c>
    </row>
    <row r="3134" spans="1:38" x14ac:dyDescent="0.25">
      <c r="A3134" s="8" t="s">
        <v>2906</v>
      </c>
      <c r="B3134" s="8" t="s">
        <v>2907</v>
      </c>
      <c r="C3134" s="8">
        <v>30815265</v>
      </c>
      <c r="D3134" s="8">
        <v>5</v>
      </c>
      <c r="E3134" s="11">
        <v>43108</v>
      </c>
      <c r="F3134" s="8" t="s">
        <v>57</v>
      </c>
      <c r="G3134" s="11">
        <v>43110</v>
      </c>
      <c r="H3134" s="8" t="s">
        <v>25</v>
      </c>
      <c r="J3134" s="8" t="s">
        <v>25</v>
      </c>
      <c r="N3134" s="8" t="s">
        <v>58</v>
      </c>
      <c r="O3134" s="8" t="s">
        <v>59</v>
      </c>
      <c r="P3134" s="8" t="s">
        <v>59</v>
      </c>
      <c r="R3134" s="8">
        <v>0</v>
      </c>
      <c r="S3134" s="8">
        <v>0</v>
      </c>
      <c r="T3134" s="8">
        <v>1</v>
      </c>
      <c r="U3134" s="8">
        <v>2</v>
      </c>
      <c r="AG3134" s="8" t="str">
        <f t="shared" si="193"/>
        <v/>
      </c>
      <c r="AI3134" s="8" t="str">
        <f t="shared" si="194"/>
        <v/>
      </c>
      <c r="AJ3134" s="8" t="str">
        <f t="shared" si="195"/>
        <v/>
      </c>
      <c r="AL3134" s="8" t="str">
        <f t="shared" si="196"/>
        <v/>
      </c>
    </row>
    <row r="3135" spans="1:38" x14ac:dyDescent="0.25">
      <c r="A3135" s="8" t="s">
        <v>2908</v>
      </c>
      <c r="B3135" s="8" t="s">
        <v>2909</v>
      </c>
      <c r="C3135" s="8">
        <v>30815971</v>
      </c>
      <c r="D3135" s="8">
        <v>5</v>
      </c>
      <c r="E3135" s="11">
        <v>43108</v>
      </c>
      <c r="F3135" s="8" t="s">
        <v>57</v>
      </c>
      <c r="G3135" s="11">
        <v>43110</v>
      </c>
      <c r="H3135" s="8" t="s">
        <v>25</v>
      </c>
      <c r="J3135" s="8" t="s">
        <v>25</v>
      </c>
      <c r="N3135" s="8" t="s">
        <v>58</v>
      </c>
      <c r="O3135" s="8" t="s">
        <v>59</v>
      </c>
      <c r="P3135" s="8" t="s">
        <v>59</v>
      </c>
      <c r="R3135" s="8">
        <v>0</v>
      </c>
      <c r="S3135" s="8">
        <v>0</v>
      </c>
      <c r="T3135" s="8">
        <v>1</v>
      </c>
      <c r="U3135" s="8">
        <v>2</v>
      </c>
      <c r="AG3135" s="8" t="str">
        <f t="shared" si="193"/>
        <v/>
      </c>
      <c r="AI3135" s="8" t="str">
        <f t="shared" si="194"/>
        <v/>
      </c>
      <c r="AJ3135" s="8" t="str">
        <f t="shared" si="195"/>
        <v/>
      </c>
      <c r="AL3135" s="8" t="str">
        <f t="shared" si="196"/>
        <v/>
      </c>
    </row>
    <row r="3136" spans="1:38" x14ac:dyDescent="0.25">
      <c r="A3136" s="8" t="s">
        <v>6028</v>
      </c>
      <c r="B3136" s="8" t="s">
        <v>6029</v>
      </c>
      <c r="C3136" s="8">
        <v>30863819</v>
      </c>
      <c r="D3136" s="8">
        <v>5</v>
      </c>
      <c r="E3136" s="11">
        <v>43110</v>
      </c>
      <c r="F3136" s="8" t="s">
        <v>57</v>
      </c>
      <c r="G3136" s="11">
        <v>43112</v>
      </c>
      <c r="H3136" s="8" t="s">
        <v>25</v>
      </c>
      <c r="J3136" s="8" t="s">
        <v>25</v>
      </c>
      <c r="N3136" s="8" t="s">
        <v>58</v>
      </c>
      <c r="O3136" s="8" t="s">
        <v>59</v>
      </c>
      <c r="P3136" s="8" t="s">
        <v>59</v>
      </c>
      <c r="R3136" s="8">
        <v>0</v>
      </c>
      <c r="S3136" s="8">
        <v>0</v>
      </c>
      <c r="T3136" s="8">
        <v>1</v>
      </c>
      <c r="U3136" s="8">
        <v>2</v>
      </c>
      <c r="AG3136" s="8" t="str">
        <f t="shared" si="193"/>
        <v/>
      </c>
      <c r="AI3136" s="8" t="str">
        <f t="shared" si="194"/>
        <v/>
      </c>
      <c r="AJ3136" s="8" t="str">
        <f t="shared" si="195"/>
        <v/>
      </c>
      <c r="AL3136" s="8" t="str">
        <f t="shared" si="196"/>
        <v/>
      </c>
    </row>
    <row r="3137" spans="1:38" x14ac:dyDescent="0.25">
      <c r="A3137" s="8" t="s">
        <v>6030</v>
      </c>
      <c r="B3137" s="8" t="s">
        <v>6031</v>
      </c>
      <c r="C3137" s="8">
        <v>30881960</v>
      </c>
      <c r="D3137" s="8">
        <v>4</v>
      </c>
      <c r="E3137" s="11">
        <v>43111</v>
      </c>
      <c r="F3137" s="8" t="s">
        <v>57</v>
      </c>
      <c r="G3137" s="11">
        <v>43112</v>
      </c>
      <c r="H3137" s="8" t="s">
        <v>25</v>
      </c>
      <c r="J3137" s="8" t="s">
        <v>25</v>
      </c>
      <c r="N3137" s="8" t="s">
        <v>58</v>
      </c>
      <c r="O3137" s="8" t="s">
        <v>59</v>
      </c>
      <c r="P3137" s="8" t="s">
        <v>59</v>
      </c>
      <c r="R3137" s="8">
        <v>0</v>
      </c>
      <c r="S3137" s="8">
        <v>0</v>
      </c>
      <c r="T3137" s="8">
        <v>1</v>
      </c>
      <c r="U3137" s="8">
        <v>2</v>
      </c>
      <c r="AG3137" s="8" t="str">
        <f t="shared" si="193"/>
        <v/>
      </c>
      <c r="AI3137" s="8" t="str">
        <f t="shared" si="194"/>
        <v/>
      </c>
      <c r="AJ3137" s="8" t="str">
        <f t="shared" si="195"/>
        <v/>
      </c>
      <c r="AL3137" s="8" t="str">
        <f t="shared" si="196"/>
        <v/>
      </c>
    </row>
    <row r="3138" spans="1:38" x14ac:dyDescent="0.25">
      <c r="A3138" s="8" t="s">
        <v>2910</v>
      </c>
      <c r="B3138" s="8" t="s">
        <v>2911</v>
      </c>
      <c r="C3138" s="8">
        <v>30825400</v>
      </c>
      <c r="D3138" s="8">
        <v>5</v>
      </c>
      <c r="E3138" s="11">
        <v>43108</v>
      </c>
      <c r="F3138" s="8" t="s">
        <v>57</v>
      </c>
      <c r="G3138" s="11">
        <v>43110</v>
      </c>
      <c r="H3138" s="8" t="s">
        <v>25</v>
      </c>
      <c r="J3138" s="8" t="s">
        <v>25</v>
      </c>
      <c r="N3138" s="8" t="s">
        <v>58</v>
      </c>
      <c r="O3138" s="8" t="s">
        <v>59</v>
      </c>
      <c r="P3138" s="8" t="s">
        <v>59</v>
      </c>
      <c r="R3138" s="8">
        <v>0</v>
      </c>
      <c r="S3138" s="8">
        <v>0</v>
      </c>
      <c r="T3138" s="8">
        <v>1</v>
      </c>
      <c r="U3138" s="8">
        <v>2</v>
      </c>
      <c r="AG3138" s="8" t="str">
        <f t="shared" si="193"/>
        <v/>
      </c>
      <c r="AI3138" s="8" t="str">
        <f t="shared" si="194"/>
        <v/>
      </c>
      <c r="AJ3138" s="8" t="str">
        <f t="shared" si="195"/>
        <v/>
      </c>
      <c r="AL3138" s="8" t="str">
        <f t="shared" si="196"/>
        <v/>
      </c>
    </row>
    <row r="3139" spans="1:38" x14ac:dyDescent="0.25">
      <c r="A3139" s="8" t="s">
        <v>2912</v>
      </c>
      <c r="B3139" s="8" t="s">
        <v>2913</v>
      </c>
      <c r="C3139" s="8">
        <v>30809472</v>
      </c>
      <c r="D3139" s="8">
        <v>5</v>
      </c>
      <c r="E3139" s="11">
        <v>43108</v>
      </c>
      <c r="F3139" s="8" t="s">
        <v>57</v>
      </c>
      <c r="G3139" s="11">
        <v>43110</v>
      </c>
      <c r="H3139" s="8" t="s">
        <v>25</v>
      </c>
      <c r="J3139" s="8" t="s">
        <v>25</v>
      </c>
      <c r="N3139" s="8" t="s">
        <v>58</v>
      </c>
      <c r="O3139" s="8" t="s">
        <v>59</v>
      </c>
      <c r="P3139" s="8" t="s">
        <v>59</v>
      </c>
      <c r="R3139" s="8">
        <v>0</v>
      </c>
      <c r="S3139" s="8">
        <v>0</v>
      </c>
      <c r="T3139" s="8">
        <v>1</v>
      </c>
      <c r="U3139" s="8">
        <v>2</v>
      </c>
      <c r="AG3139" s="8" t="str">
        <f t="shared" ref="AG3139:AG3202" si="197">IF(AND(U3139="",G3139&lt;&gt;"",NOT(OR(R3139,S3139))),IF(NETWORKDAYS.INTL(G3139,TODAY(),11)&lt;5,"En Plazo",IF(NETWORKDAYS.INTL(G3139,TODAY(),11)=5,"Riesgo Incumplimiento","FALTA_02")),"")</f>
        <v/>
      </c>
      <c r="AI3139" s="8" t="str">
        <f t="shared" ref="AI3139:AI3202" si="198">IF(AND(O3139&lt;&gt;"B1",F3139="Rejected"),IF(W3139="","FALTA_04",""),"")</f>
        <v/>
      </c>
      <c r="AJ3139" s="8" t="str">
        <f t="shared" ref="AJ3139:AJ3202" si="199">IF(AND(X3139="",I3139&lt;&gt;"",NOT(OR(R3139,S3139))),IF(NETWORKDAYS.INTL(G3139,TODAY(),11)&lt;=1,"En Plazo",IF(OR(AND(X3139="",O3139&lt;&gt;"M1"),AND(O3139="M1",(OR(Q3139="S - S",Q3139="S - T",)))),"FALTA_05","")),"")</f>
        <v/>
      </c>
      <c r="AL3139" s="8" t="str">
        <f t="shared" ref="AL3139:AL3202" si="200">IF(AND(O3139="B1",F3139="Rejected"),IF(Z3139="","FALTA_07",""),"")</f>
        <v/>
      </c>
    </row>
    <row r="3140" spans="1:38" x14ac:dyDescent="0.25">
      <c r="A3140" s="8" t="s">
        <v>7845</v>
      </c>
      <c r="B3140" s="8" t="s">
        <v>7846</v>
      </c>
      <c r="C3140" s="8">
        <v>30904228</v>
      </c>
      <c r="D3140" s="8">
        <v>5</v>
      </c>
      <c r="E3140" s="11">
        <v>43111</v>
      </c>
      <c r="F3140" s="8" t="s">
        <v>57</v>
      </c>
      <c r="G3140" s="11">
        <v>43115</v>
      </c>
      <c r="H3140" s="8" t="s">
        <v>25</v>
      </c>
      <c r="J3140" s="8" t="s">
        <v>25</v>
      </c>
      <c r="N3140" s="8" t="s">
        <v>58</v>
      </c>
      <c r="O3140" s="8" t="s">
        <v>59</v>
      </c>
      <c r="P3140" s="8" t="s">
        <v>59</v>
      </c>
      <c r="R3140" s="8">
        <v>0</v>
      </c>
      <c r="S3140" s="8">
        <v>0</v>
      </c>
      <c r="T3140" s="8">
        <v>1</v>
      </c>
      <c r="U3140" s="8">
        <v>2</v>
      </c>
      <c r="AG3140" s="8" t="str">
        <f t="shared" si="197"/>
        <v/>
      </c>
      <c r="AI3140" s="8" t="str">
        <f t="shared" si="198"/>
        <v/>
      </c>
      <c r="AJ3140" s="8" t="str">
        <f t="shared" si="199"/>
        <v/>
      </c>
      <c r="AL3140" s="8" t="str">
        <f t="shared" si="200"/>
        <v/>
      </c>
    </row>
    <row r="3141" spans="1:38" x14ac:dyDescent="0.25">
      <c r="A3141" s="8" t="s">
        <v>7847</v>
      </c>
      <c r="B3141" s="8" t="s">
        <v>7848</v>
      </c>
      <c r="C3141" s="8">
        <v>30893975</v>
      </c>
      <c r="D3141" s="8">
        <v>5</v>
      </c>
      <c r="E3141" s="11">
        <v>43111</v>
      </c>
      <c r="F3141" s="8" t="s">
        <v>58</v>
      </c>
      <c r="G3141" s="11">
        <v>43115</v>
      </c>
      <c r="H3141" s="8" t="s">
        <v>25</v>
      </c>
      <c r="I3141" s="11">
        <v>43115</v>
      </c>
      <c r="J3141" s="8" t="s">
        <v>25</v>
      </c>
      <c r="N3141" s="8" t="s">
        <v>58</v>
      </c>
      <c r="O3141" s="8" t="s">
        <v>59</v>
      </c>
      <c r="P3141" s="8" t="s">
        <v>59</v>
      </c>
      <c r="R3141" s="8">
        <v>0</v>
      </c>
      <c r="S3141" s="8">
        <v>0</v>
      </c>
      <c r="T3141" s="8">
        <v>1</v>
      </c>
      <c r="U3141" s="8">
        <v>2</v>
      </c>
      <c r="X3141" s="8">
        <v>5</v>
      </c>
      <c r="AG3141" s="8" t="str">
        <f t="shared" si="197"/>
        <v/>
      </c>
      <c r="AI3141" s="8" t="str">
        <f t="shared" si="198"/>
        <v/>
      </c>
      <c r="AJ3141" s="8" t="str">
        <f t="shared" si="199"/>
        <v/>
      </c>
      <c r="AL3141" s="8" t="str">
        <f t="shared" si="200"/>
        <v/>
      </c>
    </row>
    <row r="3142" spans="1:38" x14ac:dyDescent="0.25">
      <c r="A3142" s="8" t="s">
        <v>7849</v>
      </c>
      <c r="B3142" s="8" t="s">
        <v>7850</v>
      </c>
      <c r="C3142" s="8">
        <v>30899458</v>
      </c>
      <c r="D3142" s="8">
        <v>5</v>
      </c>
      <c r="E3142" s="11">
        <v>43111</v>
      </c>
      <c r="F3142" s="8" t="s">
        <v>58</v>
      </c>
      <c r="G3142" s="11">
        <v>43115</v>
      </c>
      <c r="H3142" s="8" t="s">
        <v>25</v>
      </c>
      <c r="I3142" s="11">
        <v>43115</v>
      </c>
      <c r="J3142" s="8" t="s">
        <v>25</v>
      </c>
      <c r="N3142" s="8" t="s">
        <v>58</v>
      </c>
      <c r="O3142" s="8" t="s">
        <v>59</v>
      </c>
      <c r="P3142" s="8" t="s">
        <v>59</v>
      </c>
      <c r="R3142" s="8">
        <v>0</v>
      </c>
      <c r="S3142" s="8">
        <v>0</v>
      </c>
      <c r="T3142" s="8">
        <v>1</v>
      </c>
      <c r="U3142" s="8">
        <v>2</v>
      </c>
      <c r="X3142" s="8">
        <v>5</v>
      </c>
      <c r="AG3142" s="8" t="str">
        <f t="shared" si="197"/>
        <v/>
      </c>
      <c r="AI3142" s="8" t="str">
        <f t="shared" si="198"/>
        <v/>
      </c>
      <c r="AJ3142" s="8" t="str">
        <f t="shared" si="199"/>
        <v/>
      </c>
      <c r="AL3142" s="8" t="str">
        <f t="shared" si="200"/>
        <v/>
      </c>
    </row>
    <row r="3143" spans="1:38" x14ac:dyDescent="0.25">
      <c r="A3143" s="8" t="s">
        <v>4364</v>
      </c>
      <c r="B3143" s="8" t="s">
        <v>4365</v>
      </c>
      <c r="C3143" s="8">
        <v>30842317</v>
      </c>
      <c r="D3143" s="8">
        <v>5</v>
      </c>
      <c r="E3143" s="11">
        <v>43109</v>
      </c>
      <c r="F3143" s="8" t="s">
        <v>58</v>
      </c>
      <c r="G3143" s="11">
        <v>43111</v>
      </c>
      <c r="H3143" s="8" t="s">
        <v>25</v>
      </c>
      <c r="I3143" s="11">
        <v>43115</v>
      </c>
      <c r="J3143" s="8" t="s">
        <v>25</v>
      </c>
      <c r="N3143" s="8" t="s">
        <v>58</v>
      </c>
      <c r="O3143" s="8" t="s">
        <v>59</v>
      </c>
      <c r="P3143" s="8" t="s">
        <v>59</v>
      </c>
      <c r="R3143" s="8">
        <v>0</v>
      </c>
      <c r="S3143" s="8">
        <v>0</v>
      </c>
      <c r="T3143" s="8">
        <v>1</v>
      </c>
      <c r="U3143" s="8">
        <v>2</v>
      </c>
      <c r="X3143" s="8">
        <v>5</v>
      </c>
      <c r="AG3143" s="8" t="str">
        <f t="shared" si="197"/>
        <v/>
      </c>
      <c r="AI3143" s="8" t="str">
        <f t="shared" si="198"/>
        <v/>
      </c>
      <c r="AJ3143" s="8" t="str">
        <f t="shared" si="199"/>
        <v/>
      </c>
      <c r="AL3143" s="8" t="str">
        <f t="shared" si="200"/>
        <v/>
      </c>
    </row>
    <row r="3144" spans="1:38" x14ac:dyDescent="0.25">
      <c r="A3144" s="8" t="s">
        <v>7851</v>
      </c>
      <c r="B3144" s="8" t="s">
        <v>7852</v>
      </c>
      <c r="C3144" s="8">
        <v>30897032</v>
      </c>
      <c r="D3144" s="8">
        <v>5</v>
      </c>
      <c r="E3144" s="11">
        <v>43111</v>
      </c>
      <c r="F3144" s="8" t="s">
        <v>58</v>
      </c>
      <c r="G3144" s="11">
        <v>43115</v>
      </c>
      <c r="H3144" s="8" t="s">
        <v>25</v>
      </c>
      <c r="I3144" s="11">
        <v>43115</v>
      </c>
      <c r="J3144" s="8" t="s">
        <v>25</v>
      </c>
      <c r="N3144" s="8" t="s">
        <v>58</v>
      </c>
      <c r="O3144" s="8" t="s">
        <v>59</v>
      </c>
      <c r="P3144" s="8" t="s">
        <v>59</v>
      </c>
      <c r="R3144" s="8">
        <v>0</v>
      </c>
      <c r="S3144" s="8">
        <v>0</v>
      </c>
      <c r="T3144" s="8">
        <v>1</v>
      </c>
      <c r="U3144" s="8">
        <v>2</v>
      </c>
      <c r="X3144" s="8">
        <v>5</v>
      </c>
      <c r="AG3144" s="8" t="str">
        <f t="shared" si="197"/>
        <v/>
      </c>
      <c r="AI3144" s="8" t="str">
        <f t="shared" si="198"/>
        <v/>
      </c>
      <c r="AJ3144" s="8" t="str">
        <f t="shared" si="199"/>
        <v/>
      </c>
      <c r="AL3144" s="8" t="str">
        <f t="shared" si="200"/>
        <v/>
      </c>
    </row>
    <row r="3145" spans="1:38" x14ac:dyDescent="0.25">
      <c r="A3145" s="8" t="s">
        <v>6032</v>
      </c>
      <c r="B3145" s="8" t="s">
        <v>6033</v>
      </c>
      <c r="C3145" s="8">
        <v>30861134</v>
      </c>
      <c r="D3145" s="8">
        <v>5</v>
      </c>
      <c r="E3145" s="11">
        <v>43110</v>
      </c>
      <c r="F3145" s="8" t="s">
        <v>57</v>
      </c>
      <c r="G3145" s="11">
        <v>43112</v>
      </c>
      <c r="H3145" s="8" t="s">
        <v>25</v>
      </c>
      <c r="J3145" s="8" t="s">
        <v>25</v>
      </c>
      <c r="N3145" s="8" t="s">
        <v>58</v>
      </c>
      <c r="O3145" s="8" t="s">
        <v>59</v>
      </c>
      <c r="P3145" s="8" t="s">
        <v>59</v>
      </c>
      <c r="R3145" s="8">
        <v>0</v>
      </c>
      <c r="S3145" s="8">
        <v>0</v>
      </c>
      <c r="T3145" s="8">
        <v>1</v>
      </c>
      <c r="U3145" s="8">
        <v>2</v>
      </c>
      <c r="AG3145" s="8" t="str">
        <f t="shared" si="197"/>
        <v/>
      </c>
      <c r="AI3145" s="8" t="str">
        <f t="shared" si="198"/>
        <v/>
      </c>
      <c r="AJ3145" s="8" t="str">
        <f t="shared" si="199"/>
        <v/>
      </c>
      <c r="AL3145" s="8" t="str">
        <f t="shared" si="200"/>
        <v/>
      </c>
    </row>
    <row r="3146" spans="1:38" x14ac:dyDescent="0.25">
      <c r="A3146" s="8" t="s">
        <v>2914</v>
      </c>
      <c r="B3146" s="8" t="s">
        <v>2915</v>
      </c>
      <c r="C3146" s="8">
        <v>30807091</v>
      </c>
      <c r="D3146" s="8">
        <v>5</v>
      </c>
      <c r="E3146" s="11">
        <v>43108</v>
      </c>
      <c r="F3146" s="8" t="s">
        <v>57</v>
      </c>
      <c r="G3146" s="11">
        <v>43110</v>
      </c>
      <c r="H3146" s="8" t="s">
        <v>25</v>
      </c>
      <c r="J3146" s="8" t="s">
        <v>25</v>
      </c>
      <c r="N3146" s="8" t="s">
        <v>58</v>
      </c>
      <c r="O3146" s="8" t="s">
        <v>59</v>
      </c>
      <c r="P3146" s="8" t="s">
        <v>59</v>
      </c>
      <c r="R3146" s="8">
        <v>0</v>
      </c>
      <c r="S3146" s="8">
        <v>0</v>
      </c>
      <c r="T3146" s="8">
        <v>1</v>
      </c>
      <c r="U3146" s="8">
        <v>2</v>
      </c>
      <c r="AG3146" s="8" t="str">
        <f t="shared" si="197"/>
        <v/>
      </c>
      <c r="AI3146" s="8" t="str">
        <f t="shared" si="198"/>
        <v/>
      </c>
      <c r="AJ3146" s="8" t="str">
        <f t="shared" si="199"/>
        <v/>
      </c>
      <c r="AL3146" s="8" t="str">
        <f t="shared" si="200"/>
        <v/>
      </c>
    </row>
    <row r="3147" spans="1:38" x14ac:dyDescent="0.25">
      <c r="A3147" s="8" t="s">
        <v>4366</v>
      </c>
      <c r="B3147" s="8" t="s">
        <v>4367</v>
      </c>
      <c r="C3147" s="8">
        <v>30839219</v>
      </c>
      <c r="D3147" s="8">
        <v>5</v>
      </c>
      <c r="E3147" s="11">
        <v>43109</v>
      </c>
      <c r="F3147" s="8" t="s">
        <v>57</v>
      </c>
      <c r="G3147" s="11">
        <v>43111</v>
      </c>
      <c r="H3147" s="8" t="s">
        <v>25</v>
      </c>
      <c r="J3147" s="8" t="s">
        <v>25</v>
      </c>
      <c r="N3147" s="8" t="s">
        <v>58</v>
      </c>
      <c r="O3147" s="8" t="s">
        <v>59</v>
      </c>
      <c r="P3147" s="8" t="s">
        <v>59</v>
      </c>
      <c r="R3147" s="8">
        <v>0</v>
      </c>
      <c r="S3147" s="8">
        <v>0</v>
      </c>
      <c r="T3147" s="8">
        <v>1</v>
      </c>
      <c r="U3147" s="8">
        <v>2</v>
      </c>
      <c r="AG3147" s="8" t="str">
        <f t="shared" si="197"/>
        <v/>
      </c>
      <c r="AI3147" s="8" t="str">
        <f t="shared" si="198"/>
        <v/>
      </c>
      <c r="AJ3147" s="8" t="str">
        <f t="shared" si="199"/>
        <v/>
      </c>
      <c r="AL3147" s="8" t="str">
        <f t="shared" si="200"/>
        <v/>
      </c>
    </row>
    <row r="3148" spans="1:38" x14ac:dyDescent="0.25">
      <c r="A3148" s="8" t="s">
        <v>7853</v>
      </c>
      <c r="B3148" s="8" t="s">
        <v>7854</v>
      </c>
      <c r="C3148" s="8">
        <v>30888123</v>
      </c>
      <c r="D3148" s="8">
        <v>5</v>
      </c>
      <c r="E3148" s="11">
        <v>43111</v>
      </c>
      <c r="F3148" s="8" t="s">
        <v>57</v>
      </c>
      <c r="G3148" s="11">
        <v>43115</v>
      </c>
      <c r="H3148" s="8" t="s">
        <v>25</v>
      </c>
      <c r="J3148" s="8" t="s">
        <v>25</v>
      </c>
      <c r="N3148" s="8" t="s">
        <v>58</v>
      </c>
      <c r="O3148" s="8" t="s">
        <v>59</v>
      </c>
      <c r="P3148" s="8" t="s">
        <v>59</v>
      </c>
      <c r="R3148" s="8">
        <v>0</v>
      </c>
      <c r="S3148" s="8">
        <v>0</v>
      </c>
      <c r="T3148" s="8">
        <v>1</v>
      </c>
      <c r="U3148" s="8">
        <v>2</v>
      </c>
      <c r="AG3148" s="8" t="str">
        <f t="shared" si="197"/>
        <v/>
      </c>
      <c r="AI3148" s="8" t="str">
        <f t="shared" si="198"/>
        <v/>
      </c>
      <c r="AJ3148" s="8" t="str">
        <f t="shared" si="199"/>
        <v/>
      </c>
      <c r="AL3148" s="8" t="str">
        <f t="shared" si="200"/>
        <v/>
      </c>
    </row>
    <row r="3149" spans="1:38" x14ac:dyDescent="0.25">
      <c r="A3149" s="8" t="s">
        <v>2916</v>
      </c>
      <c r="B3149" s="8" t="s">
        <v>2917</v>
      </c>
      <c r="C3149" s="8">
        <v>30817829</v>
      </c>
      <c r="D3149" s="8">
        <v>5</v>
      </c>
      <c r="E3149" s="11">
        <v>43108</v>
      </c>
      <c r="F3149" s="8" t="s">
        <v>57</v>
      </c>
      <c r="G3149" s="11">
        <v>43110</v>
      </c>
      <c r="H3149" s="8" t="s">
        <v>25</v>
      </c>
      <c r="J3149" s="8" t="s">
        <v>25</v>
      </c>
      <c r="N3149" s="8" t="s">
        <v>58</v>
      </c>
      <c r="O3149" s="8" t="s">
        <v>59</v>
      </c>
      <c r="P3149" s="8" t="s">
        <v>59</v>
      </c>
      <c r="R3149" s="8">
        <v>0</v>
      </c>
      <c r="S3149" s="8">
        <v>0</v>
      </c>
      <c r="T3149" s="8">
        <v>1</v>
      </c>
      <c r="U3149" s="8">
        <v>2</v>
      </c>
      <c r="AG3149" s="8" t="str">
        <f t="shared" si="197"/>
        <v/>
      </c>
      <c r="AI3149" s="8" t="str">
        <f t="shared" si="198"/>
        <v/>
      </c>
      <c r="AJ3149" s="8" t="str">
        <f t="shared" si="199"/>
        <v/>
      </c>
      <c r="AL3149" s="8" t="str">
        <f t="shared" si="200"/>
        <v/>
      </c>
    </row>
    <row r="3150" spans="1:38" x14ac:dyDescent="0.25">
      <c r="A3150" s="8" t="s">
        <v>2918</v>
      </c>
      <c r="B3150" s="8" t="s">
        <v>2919</v>
      </c>
      <c r="C3150" s="8">
        <v>30817510</v>
      </c>
      <c r="D3150" s="8">
        <v>5</v>
      </c>
      <c r="E3150" s="11">
        <v>43108</v>
      </c>
      <c r="F3150" s="8" t="s">
        <v>57</v>
      </c>
      <c r="G3150" s="11">
        <v>43110</v>
      </c>
      <c r="H3150" s="8" t="s">
        <v>25</v>
      </c>
      <c r="J3150" s="8" t="s">
        <v>25</v>
      </c>
      <c r="N3150" s="8" t="s">
        <v>58</v>
      </c>
      <c r="O3150" s="8" t="s">
        <v>59</v>
      </c>
      <c r="P3150" s="8" t="s">
        <v>59</v>
      </c>
      <c r="R3150" s="8">
        <v>0</v>
      </c>
      <c r="S3150" s="8">
        <v>0</v>
      </c>
      <c r="T3150" s="8">
        <v>1</v>
      </c>
      <c r="U3150" s="8">
        <v>2</v>
      </c>
      <c r="AG3150" s="8" t="str">
        <f t="shared" si="197"/>
        <v/>
      </c>
      <c r="AI3150" s="8" t="str">
        <f t="shared" si="198"/>
        <v/>
      </c>
      <c r="AJ3150" s="8" t="str">
        <f t="shared" si="199"/>
        <v/>
      </c>
      <c r="AL3150" s="8" t="str">
        <f t="shared" si="200"/>
        <v/>
      </c>
    </row>
    <row r="3151" spans="1:38" x14ac:dyDescent="0.25">
      <c r="A3151" s="8" t="s">
        <v>6034</v>
      </c>
      <c r="B3151" s="8" t="s">
        <v>6035</v>
      </c>
      <c r="C3151" s="8">
        <v>30863431</v>
      </c>
      <c r="D3151" s="8">
        <v>5</v>
      </c>
      <c r="E3151" s="11">
        <v>43110</v>
      </c>
      <c r="F3151" s="8" t="s">
        <v>57</v>
      </c>
      <c r="G3151" s="11">
        <v>43112</v>
      </c>
      <c r="H3151" s="8" t="s">
        <v>25</v>
      </c>
      <c r="J3151" s="8" t="s">
        <v>25</v>
      </c>
      <c r="N3151" s="8" t="s">
        <v>58</v>
      </c>
      <c r="O3151" s="8" t="s">
        <v>59</v>
      </c>
      <c r="P3151" s="8" t="s">
        <v>59</v>
      </c>
      <c r="R3151" s="8">
        <v>0</v>
      </c>
      <c r="S3151" s="8">
        <v>0</v>
      </c>
      <c r="T3151" s="8">
        <v>1</v>
      </c>
      <c r="U3151" s="8">
        <v>2</v>
      </c>
      <c r="AG3151" s="8" t="str">
        <f t="shared" si="197"/>
        <v/>
      </c>
      <c r="AI3151" s="8" t="str">
        <f t="shared" si="198"/>
        <v/>
      </c>
      <c r="AJ3151" s="8" t="str">
        <f t="shared" si="199"/>
        <v/>
      </c>
      <c r="AL3151" s="8" t="str">
        <f t="shared" si="200"/>
        <v/>
      </c>
    </row>
    <row r="3152" spans="1:38" x14ac:dyDescent="0.25">
      <c r="A3152" s="8" t="s">
        <v>6036</v>
      </c>
      <c r="B3152" s="8" t="s">
        <v>6037</v>
      </c>
      <c r="C3152" s="8">
        <v>30900033</v>
      </c>
      <c r="D3152" s="8">
        <v>4</v>
      </c>
      <c r="E3152" s="11">
        <v>43111</v>
      </c>
      <c r="F3152" s="8" t="s">
        <v>58</v>
      </c>
      <c r="G3152" s="11">
        <v>43112</v>
      </c>
      <c r="H3152" s="8" t="s">
        <v>25</v>
      </c>
      <c r="I3152" s="11">
        <v>43105</v>
      </c>
      <c r="J3152" s="8" t="s">
        <v>25</v>
      </c>
      <c r="N3152" s="8" t="s">
        <v>58</v>
      </c>
      <c r="O3152" s="8" t="s">
        <v>59</v>
      </c>
      <c r="P3152" s="8" t="s">
        <v>59</v>
      </c>
      <c r="R3152" s="8">
        <v>0</v>
      </c>
      <c r="S3152" s="8">
        <v>0</v>
      </c>
      <c r="T3152" s="8">
        <v>1</v>
      </c>
      <c r="U3152" s="8">
        <v>2</v>
      </c>
      <c r="X3152" s="8">
        <v>5</v>
      </c>
      <c r="AG3152" s="8" t="str">
        <f t="shared" si="197"/>
        <v/>
      </c>
      <c r="AI3152" s="8" t="str">
        <f t="shared" si="198"/>
        <v/>
      </c>
      <c r="AJ3152" s="8" t="str">
        <f t="shared" si="199"/>
        <v/>
      </c>
      <c r="AL3152" s="8" t="str">
        <f t="shared" si="200"/>
        <v/>
      </c>
    </row>
    <row r="3153" spans="1:38" x14ac:dyDescent="0.25">
      <c r="A3153" s="8" t="s">
        <v>6038</v>
      </c>
      <c r="B3153" s="8" t="s">
        <v>6039</v>
      </c>
      <c r="C3153" s="8">
        <v>30913262</v>
      </c>
      <c r="D3153" s="8">
        <v>4</v>
      </c>
      <c r="E3153" s="11">
        <v>43112</v>
      </c>
      <c r="F3153" s="8" t="s">
        <v>57</v>
      </c>
      <c r="G3153" s="11">
        <v>43112</v>
      </c>
      <c r="H3153" s="8" t="s">
        <v>25</v>
      </c>
      <c r="J3153" s="8" t="s">
        <v>25</v>
      </c>
      <c r="N3153" s="8" t="s">
        <v>58</v>
      </c>
      <c r="O3153" s="8" t="s">
        <v>59</v>
      </c>
      <c r="P3153" s="8" t="s">
        <v>59</v>
      </c>
      <c r="R3153" s="8">
        <v>0</v>
      </c>
      <c r="S3153" s="8">
        <v>0</v>
      </c>
      <c r="T3153" s="8">
        <v>1</v>
      </c>
      <c r="U3153" s="8">
        <v>2</v>
      </c>
      <c r="AG3153" s="8" t="str">
        <f t="shared" si="197"/>
        <v/>
      </c>
      <c r="AI3153" s="8" t="str">
        <f t="shared" si="198"/>
        <v/>
      </c>
      <c r="AJ3153" s="8" t="str">
        <f t="shared" si="199"/>
        <v/>
      </c>
      <c r="AL3153" s="8" t="str">
        <f t="shared" si="200"/>
        <v/>
      </c>
    </row>
    <row r="3154" spans="1:38" x14ac:dyDescent="0.25">
      <c r="A3154" s="8" t="s">
        <v>2920</v>
      </c>
      <c r="B3154" s="8" t="s">
        <v>2921</v>
      </c>
      <c r="C3154" s="8">
        <v>30860615</v>
      </c>
      <c r="D3154" s="8">
        <v>5</v>
      </c>
      <c r="E3154" s="11">
        <v>43110</v>
      </c>
      <c r="F3154" s="8" t="s">
        <v>58</v>
      </c>
      <c r="G3154" s="11">
        <v>43110</v>
      </c>
      <c r="H3154" s="8" t="s">
        <v>25</v>
      </c>
      <c r="I3154" s="11">
        <v>43112</v>
      </c>
      <c r="J3154" s="8" t="s">
        <v>25</v>
      </c>
      <c r="N3154" s="8" t="s">
        <v>58</v>
      </c>
      <c r="O3154" s="8" t="s">
        <v>59</v>
      </c>
      <c r="P3154" s="8" t="s">
        <v>59</v>
      </c>
      <c r="R3154" s="8">
        <v>0</v>
      </c>
      <c r="S3154" s="8">
        <v>0</v>
      </c>
      <c r="T3154" s="8">
        <v>1</v>
      </c>
      <c r="U3154" s="8">
        <v>2</v>
      </c>
      <c r="X3154" s="8">
        <v>5</v>
      </c>
      <c r="AG3154" s="8" t="str">
        <f t="shared" si="197"/>
        <v/>
      </c>
      <c r="AI3154" s="8" t="str">
        <f t="shared" si="198"/>
        <v/>
      </c>
      <c r="AJ3154" s="8" t="str">
        <f t="shared" si="199"/>
        <v/>
      </c>
      <c r="AL3154" s="8" t="str">
        <f t="shared" si="200"/>
        <v/>
      </c>
    </row>
    <row r="3155" spans="1:38" x14ac:dyDescent="0.25">
      <c r="A3155" s="8" t="s">
        <v>7855</v>
      </c>
      <c r="B3155" s="8" t="s">
        <v>7856</v>
      </c>
      <c r="C3155" s="8">
        <v>30889273</v>
      </c>
      <c r="D3155" s="8">
        <v>5</v>
      </c>
      <c r="E3155" s="11">
        <v>43111</v>
      </c>
      <c r="F3155" s="8" t="s">
        <v>58</v>
      </c>
      <c r="G3155" s="11">
        <v>43115</v>
      </c>
      <c r="H3155" s="8" t="s">
        <v>25</v>
      </c>
      <c r="I3155" s="11">
        <v>43115</v>
      </c>
      <c r="J3155" s="8" t="s">
        <v>25</v>
      </c>
      <c r="N3155" s="8" t="s">
        <v>58</v>
      </c>
      <c r="O3155" s="8" t="s">
        <v>59</v>
      </c>
      <c r="P3155" s="8" t="s">
        <v>59</v>
      </c>
      <c r="R3155" s="8">
        <v>0</v>
      </c>
      <c r="S3155" s="8">
        <v>0</v>
      </c>
      <c r="T3155" s="8">
        <v>1</v>
      </c>
      <c r="U3155" s="8">
        <v>2</v>
      </c>
      <c r="X3155" s="8">
        <v>5</v>
      </c>
      <c r="AG3155" s="8" t="str">
        <f t="shared" si="197"/>
        <v/>
      </c>
      <c r="AI3155" s="8" t="str">
        <f t="shared" si="198"/>
        <v/>
      </c>
      <c r="AJ3155" s="8" t="str">
        <f t="shared" si="199"/>
        <v/>
      </c>
      <c r="AL3155" s="8" t="str">
        <f t="shared" si="200"/>
        <v/>
      </c>
    </row>
    <row r="3156" spans="1:38" x14ac:dyDescent="0.25">
      <c r="A3156" s="8" t="s">
        <v>2922</v>
      </c>
      <c r="B3156" s="8" t="s">
        <v>2923</v>
      </c>
      <c r="C3156" s="8">
        <v>30814033</v>
      </c>
      <c r="D3156" s="8">
        <v>5</v>
      </c>
      <c r="E3156" s="11">
        <v>43108</v>
      </c>
      <c r="F3156" s="8" t="s">
        <v>57</v>
      </c>
      <c r="G3156" s="11">
        <v>43110</v>
      </c>
      <c r="H3156" s="8" t="s">
        <v>25</v>
      </c>
      <c r="J3156" s="8" t="s">
        <v>25</v>
      </c>
      <c r="N3156" s="8" t="s">
        <v>58</v>
      </c>
      <c r="O3156" s="8" t="s">
        <v>59</v>
      </c>
      <c r="P3156" s="8" t="s">
        <v>59</v>
      </c>
      <c r="R3156" s="8">
        <v>0</v>
      </c>
      <c r="S3156" s="8">
        <v>0</v>
      </c>
      <c r="T3156" s="8">
        <v>1</v>
      </c>
      <c r="U3156" s="8">
        <v>2</v>
      </c>
      <c r="AG3156" s="8" t="str">
        <f t="shared" si="197"/>
        <v/>
      </c>
      <c r="AI3156" s="8" t="str">
        <f t="shared" si="198"/>
        <v/>
      </c>
      <c r="AJ3156" s="8" t="str">
        <f t="shared" si="199"/>
        <v/>
      </c>
      <c r="AL3156" s="8" t="str">
        <f t="shared" si="200"/>
        <v/>
      </c>
    </row>
    <row r="3157" spans="1:38" x14ac:dyDescent="0.25">
      <c r="A3157" s="8" t="s">
        <v>7857</v>
      </c>
      <c r="B3157" s="8" t="s">
        <v>7858</v>
      </c>
      <c r="C3157" s="8">
        <v>30900467</v>
      </c>
      <c r="D3157" s="8">
        <v>5</v>
      </c>
      <c r="E3157" s="11">
        <v>43111</v>
      </c>
      <c r="F3157" s="8" t="s">
        <v>57</v>
      </c>
      <c r="G3157" s="11">
        <v>43115</v>
      </c>
      <c r="H3157" s="8" t="s">
        <v>25</v>
      </c>
      <c r="J3157" s="8" t="s">
        <v>25</v>
      </c>
      <c r="N3157" s="8" t="s">
        <v>58</v>
      </c>
      <c r="O3157" s="8" t="s">
        <v>59</v>
      </c>
      <c r="P3157" s="8" t="s">
        <v>59</v>
      </c>
      <c r="R3157" s="8">
        <v>0</v>
      </c>
      <c r="S3157" s="8">
        <v>0</v>
      </c>
      <c r="T3157" s="8">
        <v>1</v>
      </c>
      <c r="U3157" s="8">
        <v>2</v>
      </c>
      <c r="AG3157" s="8" t="str">
        <f t="shared" si="197"/>
        <v/>
      </c>
      <c r="AI3157" s="8" t="str">
        <f t="shared" si="198"/>
        <v/>
      </c>
      <c r="AJ3157" s="8" t="str">
        <f t="shared" si="199"/>
        <v/>
      </c>
      <c r="AL3157" s="8" t="str">
        <f t="shared" si="200"/>
        <v/>
      </c>
    </row>
    <row r="3158" spans="1:38" x14ac:dyDescent="0.25">
      <c r="A3158" s="8" t="s">
        <v>7859</v>
      </c>
      <c r="B3158" s="8" t="s">
        <v>7860</v>
      </c>
      <c r="C3158" s="8">
        <v>30891799</v>
      </c>
      <c r="D3158" s="8">
        <v>5</v>
      </c>
      <c r="E3158" s="11">
        <v>43111</v>
      </c>
      <c r="F3158" s="8" t="s">
        <v>58</v>
      </c>
      <c r="G3158" s="11">
        <v>43115</v>
      </c>
      <c r="H3158" s="8" t="s">
        <v>25</v>
      </c>
      <c r="I3158" s="11">
        <v>43115</v>
      </c>
      <c r="J3158" s="8" t="s">
        <v>25</v>
      </c>
      <c r="N3158" s="8" t="s">
        <v>58</v>
      </c>
      <c r="O3158" s="8" t="s">
        <v>59</v>
      </c>
      <c r="P3158" s="8" t="s">
        <v>59</v>
      </c>
      <c r="R3158" s="8">
        <v>0</v>
      </c>
      <c r="S3158" s="8">
        <v>0</v>
      </c>
      <c r="T3158" s="8">
        <v>1</v>
      </c>
      <c r="U3158" s="8">
        <v>2</v>
      </c>
      <c r="X3158" s="8">
        <v>5</v>
      </c>
      <c r="AG3158" s="8" t="str">
        <f t="shared" si="197"/>
        <v/>
      </c>
      <c r="AI3158" s="8" t="str">
        <f t="shared" si="198"/>
        <v/>
      </c>
      <c r="AJ3158" s="8" t="str">
        <f t="shared" si="199"/>
        <v/>
      </c>
      <c r="AL3158" s="8" t="str">
        <f t="shared" si="200"/>
        <v/>
      </c>
    </row>
    <row r="3159" spans="1:38" x14ac:dyDescent="0.25">
      <c r="A3159" s="8" t="s">
        <v>6040</v>
      </c>
      <c r="B3159" s="8" t="s">
        <v>6041</v>
      </c>
      <c r="C3159" s="8">
        <v>30860203</v>
      </c>
      <c r="D3159" s="8">
        <v>5</v>
      </c>
      <c r="E3159" s="11">
        <v>43110</v>
      </c>
      <c r="F3159" s="8" t="s">
        <v>58</v>
      </c>
      <c r="G3159" s="11">
        <v>43112</v>
      </c>
      <c r="H3159" s="8" t="s">
        <v>25</v>
      </c>
      <c r="I3159" s="11">
        <v>43112</v>
      </c>
      <c r="J3159" s="8" t="s">
        <v>25</v>
      </c>
      <c r="N3159" s="8" t="s">
        <v>58</v>
      </c>
      <c r="O3159" s="8" t="s">
        <v>59</v>
      </c>
      <c r="P3159" s="8" t="s">
        <v>59</v>
      </c>
      <c r="R3159" s="8">
        <v>0</v>
      </c>
      <c r="S3159" s="8">
        <v>0</v>
      </c>
      <c r="T3159" s="8">
        <v>1</v>
      </c>
      <c r="U3159" s="8">
        <v>2</v>
      </c>
      <c r="X3159" s="8">
        <v>5</v>
      </c>
      <c r="AG3159" s="8" t="str">
        <f t="shared" si="197"/>
        <v/>
      </c>
      <c r="AI3159" s="8" t="str">
        <f t="shared" si="198"/>
        <v/>
      </c>
      <c r="AJ3159" s="8" t="str">
        <f t="shared" si="199"/>
        <v/>
      </c>
      <c r="AL3159" s="8" t="str">
        <f t="shared" si="200"/>
        <v/>
      </c>
    </row>
    <row r="3160" spans="1:38" x14ac:dyDescent="0.25">
      <c r="A3160" s="8" t="s">
        <v>6042</v>
      </c>
      <c r="B3160" s="8" t="s">
        <v>6043</v>
      </c>
      <c r="C3160" s="8">
        <v>30889757</v>
      </c>
      <c r="D3160" s="8">
        <v>5</v>
      </c>
      <c r="E3160" s="11">
        <v>43111</v>
      </c>
      <c r="F3160" s="8" t="s">
        <v>57</v>
      </c>
      <c r="G3160" s="11">
        <v>43112</v>
      </c>
      <c r="H3160" s="8" t="s">
        <v>25</v>
      </c>
      <c r="J3160" s="8" t="s">
        <v>25</v>
      </c>
      <c r="N3160" s="8" t="s">
        <v>58</v>
      </c>
      <c r="O3160" s="8" t="s">
        <v>59</v>
      </c>
      <c r="P3160" s="8" t="s">
        <v>59</v>
      </c>
      <c r="R3160" s="8">
        <v>0</v>
      </c>
      <c r="S3160" s="8">
        <v>0</v>
      </c>
      <c r="T3160" s="8">
        <v>1</v>
      </c>
      <c r="U3160" s="8">
        <v>2</v>
      </c>
      <c r="AG3160" s="8" t="str">
        <f t="shared" si="197"/>
        <v/>
      </c>
      <c r="AI3160" s="8" t="str">
        <f t="shared" si="198"/>
        <v/>
      </c>
      <c r="AJ3160" s="8" t="str">
        <f t="shared" si="199"/>
        <v/>
      </c>
      <c r="AL3160" s="8" t="str">
        <f t="shared" si="200"/>
        <v/>
      </c>
    </row>
    <row r="3161" spans="1:38" x14ac:dyDescent="0.25">
      <c r="A3161" s="8" t="s">
        <v>7861</v>
      </c>
      <c r="B3161" s="8" t="s">
        <v>7862</v>
      </c>
      <c r="C3161" s="8">
        <v>30901554</v>
      </c>
      <c r="D3161" s="8">
        <v>5</v>
      </c>
      <c r="E3161" s="11">
        <v>43111</v>
      </c>
      <c r="F3161" s="8" t="s">
        <v>57</v>
      </c>
      <c r="G3161" s="11">
        <v>43115</v>
      </c>
      <c r="H3161" s="8" t="s">
        <v>25</v>
      </c>
      <c r="J3161" s="8" t="s">
        <v>25</v>
      </c>
      <c r="N3161" s="8" t="s">
        <v>58</v>
      </c>
      <c r="O3161" s="8" t="s">
        <v>59</v>
      </c>
      <c r="P3161" s="8" t="s">
        <v>59</v>
      </c>
      <c r="R3161" s="8">
        <v>0</v>
      </c>
      <c r="S3161" s="8">
        <v>0</v>
      </c>
      <c r="T3161" s="8">
        <v>1</v>
      </c>
      <c r="U3161" s="8">
        <v>2</v>
      </c>
      <c r="AG3161" s="8" t="str">
        <f t="shared" si="197"/>
        <v/>
      </c>
      <c r="AI3161" s="8" t="str">
        <f t="shared" si="198"/>
        <v/>
      </c>
      <c r="AJ3161" s="8" t="str">
        <f t="shared" si="199"/>
        <v/>
      </c>
      <c r="AL3161" s="8" t="str">
        <f t="shared" si="200"/>
        <v/>
      </c>
    </row>
    <row r="3162" spans="1:38" x14ac:dyDescent="0.25">
      <c r="A3162" s="8" t="s">
        <v>634</v>
      </c>
      <c r="B3162" s="8" t="s">
        <v>635</v>
      </c>
      <c r="C3162" s="8">
        <v>30812761</v>
      </c>
      <c r="D3162" s="8">
        <v>3</v>
      </c>
      <c r="E3162" s="11">
        <v>43108</v>
      </c>
      <c r="F3162" s="8" t="s">
        <v>58</v>
      </c>
      <c r="G3162" s="11">
        <v>43108</v>
      </c>
      <c r="H3162" s="8" t="s">
        <v>25</v>
      </c>
      <c r="I3162" s="11">
        <v>43115</v>
      </c>
      <c r="J3162" s="8" t="s">
        <v>856</v>
      </c>
      <c r="N3162" s="8" t="s">
        <v>58</v>
      </c>
      <c r="O3162" s="8" t="s">
        <v>59</v>
      </c>
      <c r="P3162" s="8" t="s">
        <v>59</v>
      </c>
      <c r="R3162" s="8">
        <v>0</v>
      </c>
      <c r="S3162" s="8">
        <v>0</v>
      </c>
      <c r="T3162" s="8">
        <v>1</v>
      </c>
      <c r="U3162" s="8">
        <v>2</v>
      </c>
      <c r="X3162" s="8">
        <v>5</v>
      </c>
      <c r="Y3162" s="8">
        <v>6</v>
      </c>
      <c r="Z3162" s="8">
        <v>7</v>
      </c>
      <c r="AG3162" s="8" t="str">
        <f t="shared" si="197"/>
        <v/>
      </c>
      <c r="AI3162" s="8" t="str">
        <f t="shared" si="198"/>
        <v/>
      </c>
      <c r="AJ3162" s="8" t="str">
        <f t="shared" si="199"/>
        <v/>
      </c>
      <c r="AL3162" s="8" t="str">
        <f t="shared" si="200"/>
        <v/>
      </c>
    </row>
    <row r="3163" spans="1:38" x14ac:dyDescent="0.25">
      <c r="A3163" s="8" t="s">
        <v>4368</v>
      </c>
      <c r="B3163" s="8" t="s">
        <v>4369</v>
      </c>
      <c r="C3163" s="8">
        <v>30841116</v>
      </c>
      <c r="D3163" s="8">
        <v>5</v>
      </c>
      <c r="E3163" s="11">
        <v>43109</v>
      </c>
      <c r="F3163" s="8" t="s">
        <v>57</v>
      </c>
      <c r="G3163" s="11">
        <v>43111</v>
      </c>
      <c r="H3163" s="8" t="s">
        <v>25</v>
      </c>
      <c r="J3163" s="8" t="s">
        <v>25</v>
      </c>
      <c r="N3163" s="8" t="s">
        <v>58</v>
      </c>
      <c r="O3163" s="8" t="s">
        <v>59</v>
      </c>
      <c r="P3163" s="8" t="s">
        <v>59</v>
      </c>
      <c r="R3163" s="8">
        <v>0</v>
      </c>
      <c r="S3163" s="8">
        <v>0</v>
      </c>
      <c r="T3163" s="8">
        <v>1</v>
      </c>
      <c r="U3163" s="8">
        <v>2</v>
      </c>
      <c r="AG3163" s="8" t="str">
        <f t="shared" si="197"/>
        <v/>
      </c>
      <c r="AI3163" s="8" t="str">
        <f t="shared" si="198"/>
        <v/>
      </c>
      <c r="AJ3163" s="8" t="str">
        <f t="shared" si="199"/>
        <v/>
      </c>
      <c r="AL3163" s="8" t="str">
        <f t="shared" si="200"/>
        <v/>
      </c>
    </row>
    <row r="3164" spans="1:38" x14ac:dyDescent="0.25">
      <c r="A3164" s="8" t="s">
        <v>6044</v>
      </c>
      <c r="B3164" s="8" t="s">
        <v>6045</v>
      </c>
      <c r="C3164" s="8">
        <v>30856670</v>
      </c>
      <c r="D3164" s="8">
        <v>5</v>
      </c>
      <c r="E3164" s="11">
        <v>43110</v>
      </c>
      <c r="F3164" s="8" t="s">
        <v>58</v>
      </c>
      <c r="G3164" s="11">
        <v>43112</v>
      </c>
      <c r="H3164" s="8" t="s">
        <v>25</v>
      </c>
      <c r="I3164" s="11">
        <v>43115</v>
      </c>
      <c r="J3164" s="8" t="s">
        <v>25</v>
      </c>
      <c r="N3164" s="8" t="s">
        <v>58</v>
      </c>
      <c r="O3164" s="8" t="s">
        <v>59</v>
      </c>
      <c r="P3164" s="8" t="s">
        <v>59</v>
      </c>
      <c r="R3164" s="8">
        <v>0</v>
      </c>
      <c r="S3164" s="8">
        <v>0</v>
      </c>
      <c r="T3164" s="8">
        <v>1</v>
      </c>
      <c r="U3164" s="8">
        <v>2</v>
      </c>
      <c r="X3164" s="8">
        <v>5</v>
      </c>
      <c r="AG3164" s="8" t="str">
        <f t="shared" si="197"/>
        <v/>
      </c>
      <c r="AI3164" s="8" t="str">
        <f t="shared" si="198"/>
        <v/>
      </c>
      <c r="AJ3164" s="8" t="str">
        <f t="shared" si="199"/>
        <v/>
      </c>
      <c r="AL3164" s="8" t="str">
        <f t="shared" si="200"/>
        <v/>
      </c>
    </row>
    <row r="3165" spans="1:38" x14ac:dyDescent="0.25">
      <c r="A3165" s="8" t="s">
        <v>7863</v>
      </c>
      <c r="B3165" s="8" t="s">
        <v>7864</v>
      </c>
      <c r="C3165" s="8">
        <v>30904060</v>
      </c>
      <c r="D3165" s="8">
        <v>5</v>
      </c>
      <c r="E3165" s="11">
        <v>43111</v>
      </c>
      <c r="F3165" s="8" t="s">
        <v>57</v>
      </c>
      <c r="G3165" s="11">
        <v>43115</v>
      </c>
      <c r="H3165" s="8" t="s">
        <v>25</v>
      </c>
      <c r="J3165" s="8" t="s">
        <v>25</v>
      </c>
      <c r="N3165" s="8" t="s">
        <v>58</v>
      </c>
      <c r="O3165" s="8" t="s">
        <v>59</v>
      </c>
      <c r="P3165" s="8" t="s">
        <v>59</v>
      </c>
      <c r="R3165" s="8">
        <v>0</v>
      </c>
      <c r="S3165" s="8">
        <v>0</v>
      </c>
      <c r="T3165" s="8">
        <v>1</v>
      </c>
      <c r="U3165" s="8">
        <v>2</v>
      </c>
      <c r="AG3165" s="8" t="str">
        <f t="shared" si="197"/>
        <v/>
      </c>
      <c r="AI3165" s="8" t="str">
        <f t="shared" si="198"/>
        <v/>
      </c>
      <c r="AJ3165" s="8" t="str">
        <f t="shared" si="199"/>
        <v/>
      </c>
      <c r="AL3165" s="8" t="str">
        <f t="shared" si="200"/>
        <v/>
      </c>
    </row>
    <row r="3166" spans="1:38" x14ac:dyDescent="0.25">
      <c r="A3166" s="8" t="s">
        <v>2924</v>
      </c>
      <c r="B3166" s="8" t="s">
        <v>2925</v>
      </c>
      <c r="C3166" s="8">
        <v>30815641</v>
      </c>
      <c r="D3166" s="8">
        <v>5</v>
      </c>
      <c r="E3166" s="11">
        <v>43108</v>
      </c>
      <c r="F3166" s="8" t="s">
        <v>58</v>
      </c>
      <c r="G3166" s="11">
        <v>43110</v>
      </c>
      <c r="H3166" s="8" t="s">
        <v>25</v>
      </c>
      <c r="I3166" s="11">
        <v>43112</v>
      </c>
      <c r="J3166" s="8" t="s">
        <v>25</v>
      </c>
      <c r="N3166" s="8" t="s">
        <v>58</v>
      </c>
      <c r="O3166" s="8" t="s">
        <v>59</v>
      </c>
      <c r="P3166" s="8" t="s">
        <v>59</v>
      </c>
      <c r="R3166" s="8">
        <v>0</v>
      </c>
      <c r="S3166" s="8">
        <v>0</v>
      </c>
      <c r="T3166" s="8">
        <v>1</v>
      </c>
      <c r="U3166" s="8">
        <v>2</v>
      </c>
      <c r="X3166" s="8">
        <v>5</v>
      </c>
      <c r="AG3166" s="8" t="str">
        <f t="shared" si="197"/>
        <v/>
      </c>
      <c r="AI3166" s="8" t="str">
        <f t="shared" si="198"/>
        <v/>
      </c>
      <c r="AJ3166" s="8" t="str">
        <f t="shared" si="199"/>
        <v/>
      </c>
      <c r="AL3166" s="8" t="str">
        <f t="shared" si="200"/>
        <v/>
      </c>
    </row>
    <row r="3167" spans="1:38" x14ac:dyDescent="0.25">
      <c r="A3167" s="8" t="s">
        <v>636</v>
      </c>
      <c r="B3167" s="8" t="s">
        <v>637</v>
      </c>
      <c r="C3167" s="8">
        <v>30814264</v>
      </c>
      <c r="D3167" s="8">
        <v>5</v>
      </c>
      <c r="E3167" s="11">
        <v>43108</v>
      </c>
      <c r="F3167" s="8" t="s">
        <v>58</v>
      </c>
      <c r="G3167" s="11">
        <v>43108</v>
      </c>
      <c r="H3167" s="8" t="s">
        <v>25</v>
      </c>
      <c r="I3167" s="11">
        <v>43115</v>
      </c>
      <c r="J3167" s="8" t="s">
        <v>856</v>
      </c>
      <c r="N3167" s="8" t="s">
        <v>58</v>
      </c>
      <c r="O3167" s="8" t="s">
        <v>59</v>
      </c>
      <c r="P3167" s="8" t="s">
        <v>59</v>
      </c>
      <c r="R3167" s="8">
        <v>0</v>
      </c>
      <c r="S3167" s="8">
        <v>0</v>
      </c>
      <c r="T3167" s="8">
        <v>1</v>
      </c>
      <c r="U3167" s="8">
        <v>2</v>
      </c>
      <c r="X3167" s="8">
        <v>5</v>
      </c>
      <c r="AG3167" s="8" t="str">
        <f t="shared" si="197"/>
        <v/>
      </c>
      <c r="AI3167" s="8" t="str">
        <f t="shared" si="198"/>
        <v/>
      </c>
      <c r="AJ3167" s="8" t="str">
        <f t="shared" si="199"/>
        <v/>
      </c>
      <c r="AL3167" s="8" t="str">
        <f t="shared" si="200"/>
        <v/>
      </c>
    </row>
    <row r="3168" spans="1:38" x14ac:dyDescent="0.25">
      <c r="A3168" s="8" t="s">
        <v>7865</v>
      </c>
      <c r="B3168" s="8" t="s">
        <v>7866</v>
      </c>
      <c r="C3168" s="8">
        <v>30932476</v>
      </c>
      <c r="D3168" s="8">
        <v>5</v>
      </c>
      <c r="E3168" s="11">
        <v>43115</v>
      </c>
      <c r="F3168" s="8" t="s">
        <v>58</v>
      </c>
      <c r="G3168" s="11">
        <v>43115</v>
      </c>
      <c r="H3168" s="8" t="s">
        <v>25</v>
      </c>
      <c r="I3168" s="11">
        <v>43115</v>
      </c>
      <c r="J3168" s="8" t="s">
        <v>25</v>
      </c>
      <c r="N3168" s="8" t="s">
        <v>58</v>
      </c>
      <c r="O3168" s="8" t="s">
        <v>59</v>
      </c>
      <c r="P3168" s="8" t="s">
        <v>59</v>
      </c>
      <c r="R3168" s="8">
        <v>0</v>
      </c>
      <c r="S3168" s="8">
        <v>0</v>
      </c>
      <c r="T3168" s="8">
        <v>1</v>
      </c>
      <c r="U3168" s="8">
        <v>2</v>
      </c>
      <c r="X3168" s="8">
        <v>5</v>
      </c>
      <c r="AG3168" s="8" t="str">
        <f t="shared" si="197"/>
        <v/>
      </c>
      <c r="AI3168" s="8" t="str">
        <f t="shared" si="198"/>
        <v/>
      </c>
      <c r="AJ3168" s="8" t="str">
        <f t="shared" si="199"/>
        <v/>
      </c>
      <c r="AL3168" s="8" t="str">
        <f t="shared" si="200"/>
        <v/>
      </c>
    </row>
    <row r="3169" spans="1:38" x14ac:dyDescent="0.25">
      <c r="A3169" s="8" t="s">
        <v>6046</v>
      </c>
      <c r="B3169" s="8" t="s">
        <v>6047</v>
      </c>
      <c r="C3169" s="8">
        <v>30918370</v>
      </c>
      <c r="D3169" s="8">
        <v>5</v>
      </c>
      <c r="E3169" s="11">
        <v>43112</v>
      </c>
      <c r="F3169" s="8" t="s">
        <v>57</v>
      </c>
      <c r="G3169" s="11">
        <v>43112</v>
      </c>
      <c r="H3169" s="8" t="s">
        <v>25</v>
      </c>
      <c r="J3169" s="8" t="s">
        <v>25</v>
      </c>
      <c r="N3169" s="8" t="s">
        <v>58</v>
      </c>
      <c r="O3169" s="8" t="s">
        <v>59</v>
      </c>
      <c r="P3169" s="8" t="s">
        <v>59</v>
      </c>
      <c r="R3169" s="8">
        <v>0</v>
      </c>
      <c r="S3169" s="8">
        <v>0</v>
      </c>
      <c r="T3169" s="8">
        <v>1</v>
      </c>
      <c r="U3169" s="8">
        <v>2</v>
      </c>
      <c r="AG3169" s="8" t="str">
        <f t="shared" si="197"/>
        <v/>
      </c>
      <c r="AI3169" s="8" t="str">
        <f t="shared" si="198"/>
        <v/>
      </c>
      <c r="AJ3169" s="8" t="str">
        <f t="shared" si="199"/>
        <v/>
      </c>
      <c r="AL3169" s="8" t="str">
        <f t="shared" si="200"/>
        <v/>
      </c>
    </row>
    <row r="3170" spans="1:38" x14ac:dyDescent="0.25">
      <c r="A3170" s="8" t="s">
        <v>638</v>
      </c>
      <c r="B3170" s="8" t="s">
        <v>639</v>
      </c>
      <c r="C3170" s="8">
        <v>30821990</v>
      </c>
      <c r="D3170" s="8">
        <v>5</v>
      </c>
      <c r="E3170" s="11">
        <v>43108</v>
      </c>
      <c r="F3170" s="8" t="s">
        <v>57</v>
      </c>
      <c r="G3170" s="11">
        <v>43108</v>
      </c>
      <c r="H3170" s="8" t="s">
        <v>25</v>
      </c>
      <c r="J3170" s="8" t="s">
        <v>25</v>
      </c>
      <c r="N3170" s="8" t="s">
        <v>58</v>
      </c>
      <c r="O3170" s="8" t="s">
        <v>59</v>
      </c>
      <c r="P3170" s="8" t="s">
        <v>59</v>
      </c>
      <c r="R3170" s="8">
        <v>0</v>
      </c>
      <c r="S3170" s="8">
        <v>0</v>
      </c>
      <c r="T3170" s="8">
        <v>1</v>
      </c>
      <c r="U3170" s="8">
        <v>2</v>
      </c>
      <c r="AG3170" s="8" t="str">
        <f t="shared" si="197"/>
        <v/>
      </c>
      <c r="AI3170" s="8" t="str">
        <f t="shared" si="198"/>
        <v/>
      </c>
      <c r="AJ3170" s="8" t="str">
        <f t="shared" si="199"/>
        <v/>
      </c>
      <c r="AL3170" s="8" t="str">
        <f t="shared" si="200"/>
        <v/>
      </c>
    </row>
    <row r="3171" spans="1:38" x14ac:dyDescent="0.25">
      <c r="A3171" s="8" t="s">
        <v>4370</v>
      </c>
      <c r="B3171" s="8" t="s">
        <v>4371</v>
      </c>
      <c r="C3171" s="8">
        <v>30847727</v>
      </c>
      <c r="D3171" s="8">
        <v>5</v>
      </c>
      <c r="E3171" s="11">
        <v>43109</v>
      </c>
      <c r="F3171" s="8" t="s">
        <v>57</v>
      </c>
      <c r="G3171" s="11">
        <v>43111</v>
      </c>
      <c r="H3171" s="8" t="s">
        <v>25</v>
      </c>
      <c r="J3171" s="8" t="s">
        <v>25</v>
      </c>
      <c r="N3171" s="8" t="s">
        <v>58</v>
      </c>
      <c r="O3171" s="8" t="s">
        <v>59</v>
      </c>
      <c r="P3171" s="8" t="s">
        <v>59</v>
      </c>
      <c r="R3171" s="8">
        <v>0</v>
      </c>
      <c r="S3171" s="8">
        <v>0</v>
      </c>
      <c r="T3171" s="8">
        <v>1</v>
      </c>
      <c r="U3171" s="8">
        <v>2</v>
      </c>
      <c r="AG3171" s="8" t="str">
        <f t="shared" si="197"/>
        <v/>
      </c>
      <c r="AI3171" s="8" t="str">
        <f t="shared" si="198"/>
        <v/>
      </c>
      <c r="AJ3171" s="8" t="str">
        <f t="shared" si="199"/>
        <v/>
      </c>
      <c r="AL3171" s="8" t="str">
        <f t="shared" si="200"/>
        <v/>
      </c>
    </row>
    <row r="3172" spans="1:38" x14ac:dyDescent="0.25">
      <c r="A3172" s="8" t="s">
        <v>4372</v>
      </c>
      <c r="B3172" s="8" t="s">
        <v>4373</v>
      </c>
      <c r="C3172" s="8">
        <v>30846200</v>
      </c>
      <c r="D3172" s="8">
        <v>5</v>
      </c>
      <c r="E3172" s="11">
        <v>43109</v>
      </c>
      <c r="F3172" s="8" t="s">
        <v>58</v>
      </c>
      <c r="G3172" s="11">
        <v>43111</v>
      </c>
      <c r="H3172" s="8" t="s">
        <v>25</v>
      </c>
      <c r="I3172" s="11">
        <v>43115</v>
      </c>
      <c r="J3172" s="8" t="s">
        <v>25</v>
      </c>
      <c r="N3172" s="8" t="s">
        <v>58</v>
      </c>
      <c r="O3172" s="8" t="s">
        <v>59</v>
      </c>
      <c r="P3172" s="8" t="s">
        <v>59</v>
      </c>
      <c r="R3172" s="8">
        <v>0</v>
      </c>
      <c r="S3172" s="8">
        <v>0</v>
      </c>
      <c r="T3172" s="8">
        <v>1</v>
      </c>
      <c r="U3172" s="8">
        <v>2</v>
      </c>
      <c r="X3172" s="8">
        <v>5</v>
      </c>
      <c r="AG3172" s="8" t="str">
        <f t="shared" si="197"/>
        <v/>
      </c>
      <c r="AI3172" s="8" t="str">
        <f t="shared" si="198"/>
        <v/>
      </c>
      <c r="AJ3172" s="8" t="str">
        <f t="shared" si="199"/>
        <v/>
      </c>
      <c r="AL3172" s="8" t="str">
        <f t="shared" si="200"/>
        <v/>
      </c>
    </row>
    <row r="3173" spans="1:38" x14ac:dyDescent="0.25">
      <c r="A3173" s="8" t="s">
        <v>7867</v>
      </c>
      <c r="B3173" s="8" t="s">
        <v>7868</v>
      </c>
      <c r="C3173" s="8">
        <v>30894328</v>
      </c>
      <c r="D3173" s="8">
        <v>5</v>
      </c>
      <c r="E3173" s="11">
        <v>43111</v>
      </c>
      <c r="F3173" s="8" t="s">
        <v>57</v>
      </c>
      <c r="G3173" s="11">
        <v>43115</v>
      </c>
      <c r="H3173" s="8" t="s">
        <v>25</v>
      </c>
      <c r="J3173" s="8" t="s">
        <v>25</v>
      </c>
      <c r="N3173" s="8" t="s">
        <v>58</v>
      </c>
      <c r="O3173" s="8" t="s">
        <v>59</v>
      </c>
      <c r="P3173" s="8" t="s">
        <v>59</v>
      </c>
      <c r="R3173" s="8">
        <v>0</v>
      </c>
      <c r="S3173" s="8">
        <v>0</v>
      </c>
      <c r="T3173" s="8">
        <v>1</v>
      </c>
      <c r="U3173" s="8">
        <v>2</v>
      </c>
      <c r="AG3173" s="8" t="str">
        <f t="shared" si="197"/>
        <v/>
      </c>
      <c r="AI3173" s="8" t="str">
        <f t="shared" si="198"/>
        <v/>
      </c>
      <c r="AJ3173" s="8" t="str">
        <f t="shared" si="199"/>
        <v/>
      </c>
      <c r="AL3173" s="8" t="str">
        <f t="shared" si="200"/>
        <v/>
      </c>
    </row>
    <row r="3174" spans="1:38" x14ac:dyDescent="0.25">
      <c r="A3174" s="8" t="s">
        <v>7869</v>
      </c>
      <c r="B3174" s="8" t="s">
        <v>7870</v>
      </c>
      <c r="C3174" s="8">
        <v>30889593</v>
      </c>
      <c r="D3174" s="8">
        <v>5</v>
      </c>
      <c r="E3174" s="11">
        <v>43111</v>
      </c>
      <c r="F3174" s="8" t="s">
        <v>57</v>
      </c>
      <c r="G3174" s="11">
        <v>43115</v>
      </c>
      <c r="H3174" s="8" t="s">
        <v>25</v>
      </c>
      <c r="J3174" s="8" t="s">
        <v>25</v>
      </c>
      <c r="N3174" s="8" t="s">
        <v>58</v>
      </c>
      <c r="O3174" s="8" t="s">
        <v>59</v>
      </c>
      <c r="P3174" s="8" t="s">
        <v>59</v>
      </c>
      <c r="R3174" s="8">
        <v>0</v>
      </c>
      <c r="S3174" s="8">
        <v>0</v>
      </c>
      <c r="T3174" s="8">
        <v>1</v>
      </c>
      <c r="U3174" s="8">
        <v>2</v>
      </c>
      <c r="AG3174" s="8" t="str">
        <f t="shared" si="197"/>
        <v/>
      </c>
      <c r="AI3174" s="8" t="str">
        <f t="shared" si="198"/>
        <v/>
      </c>
      <c r="AJ3174" s="8" t="str">
        <f t="shared" si="199"/>
        <v/>
      </c>
      <c r="AL3174" s="8" t="str">
        <f t="shared" si="200"/>
        <v/>
      </c>
    </row>
    <row r="3175" spans="1:38" x14ac:dyDescent="0.25">
      <c r="A3175" s="8" t="s">
        <v>7871</v>
      </c>
      <c r="B3175" s="8" t="s">
        <v>7872</v>
      </c>
      <c r="C3175" s="8">
        <v>30881362</v>
      </c>
      <c r="D3175" s="8">
        <v>5</v>
      </c>
      <c r="E3175" s="11">
        <v>43111</v>
      </c>
      <c r="F3175" s="8" t="s">
        <v>58</v>
      </c>
      <c r="G3175" s="11">
        <v>43115</v>
      </c>
      <c r="H3175" s="8" t="s">
        <v>25</v>
      </c>
      <c r="I3175" s="11">
        <v>43115</v>
      </c>
      <c r="J3175" s="8" t="s">
        <v>25</v>
      </c>
      <c r="N3175" s="8" t="s">
        <v>58</v>
      </c>
      <c r="O3175" s="8" t="s">
        <v>59</v>
      </c>
      <c r="P3175" s="8" t="s">
        <v>59</v>
      </c>
      <c r="R3175" s="8">
        <v>0</v>
      </c>
      <c r="S3175" s="8">
        <v>0</v>
      </c>
      <c r="T3175" s="8">
        <v>1</v>
      </c>
      <c r="U3175" s="8">
        <v>2</v>
      </c>
      <c r="X3175" s="8">
        <v>5</v>
      </c>
      <c r="AG3175" s="8" t="str">
        <f t="shared" si="197"/>
        <v/>
      </c>
      <c r="AI3175" s="8" t="str">
        <f t="shared" si="198"/>
        <v/>
      </c>
      <c r="AJ3175" s="8" t="str">
        <f t="shared" si="199"/>
        <v/>
      </c>
      <c r="AL3175" s="8" t="str">
        <f t="shared" si="200"/>
        <v/>
      </c>
    </row>
    <row r="3176" spans="1:38" x14ac:dyDescent="0.25">
      <c r="A3176" s="8" t="s">
        <v>2926</v>
      </c>
      <c r="B3176" s="8" t="s">
        <v>2927</v>
      </c>
      <c r="C3176" s="8">
        <v>30869583</v>
      </c>
      <c r="D3176" s="8">
        <v>5</v>
      </c>
      <c r="E3176" s="11">
        <v>43110</v>
      </c>
      <c r="F3176" s="8" t="s">
        <v>57</v>
      </c>
      <c r="G3176" s="11">
        <v>43110</v>
      </c>
      <c r="H3176" s="8" t="s">
        <v>25</v>
      </c>
      <c r="J3176" s="8" t="s">
        <v>25</v>
      </c>
      <c r="N3176" s="8" t="s">
        <v>58</v>
      </c>
      <c r="O3176" s="8" t="s">
        <v>59</v>
      </c>
      <c r="P3176" s="8" t="s">
        <v>59</v>
      </c>
      <c r="R3176" s="8">
        <v>0</v>
      </c>
      <c r="S3176" s="8">
        <v>0</v>
      </c>
      <c r="T3176" s="8">
        <v>1</v>
      </c>
      <c r="U3176" s="8">
        <v>2</v>
      </c>
      <c r="AG3176" s="8" t="str">
        <f t="shared" si="197"/>
        <v/>
      </c>
      <c r="AI3176" s="8" t="str">
        <f t="shared" si="198"/>
        <v/>
      </c>
      <c r="AJ3176" s="8" t="str">
        <f t="shared" si="199"/>
        <v/>
      </c>
      <c r="AL3176" s="8" t="str">
        <f t="shared" si="200"/>
        <v/>
      </c>
    </row>
    <row r="3177" spans="1:38" x14ac:dyDescent="0.25">
      <c r="A3177" s="8" t="s">
        <v>7873</v>
      </c>
      <c r="B3177" s="8" t="s">
        <v>7874</v>
      </c>
      <c r="C3177" s="8">
        <v>30898284</v>
      </c>
      <c r="D3177" s="8">
        <v>3</v>
      </c>
      <c r="E3177" s="11">
        <v>43111</v>
      </c>
      <c r="F3177" s="8" t="s">
        <v>57</v>
      </c>
      <c r="G3177" s="11">
        <v>43115</v>
      </c>
      <c r="H3177" s="8" t="s">
        <v>25</v>
      </c>
      <c r="J3177" s="8" t="s">
        <v>25</v>
      </c>
      <c r="N3177" s="8" t="s">
        <v>58</v>
      </c>
      <c r="O3177" s="8" t="s">
        <v>59</v>
      </c>
      <c r="P3177" s="8" t="s">
        <v>59</v>
      </c>
      <c r="R3177" s="8">
        <v>0</v>
      </c>
      <c r="S3177" s="8">
        <v>0</v>
      </c>
      <c r="T3177" s="8">
        <v>1</v>
      </c>
      <c r="U3177" s="8">
        <v>2</v>
      </c>
      <c r="AG3177" s="8" t="str">
        <f t="shared" si="197"/>
        <v/>
      </c>
      <c r="AI3177" s="8" t="str">
        <f t="shared" si="198"/>
        <v/>
      </c>
      <c r="AJ3177" s="8" t="str">
        <f t="shared" si="199"/>
        <v/>
      </c>
      <c r="AL3177" s="8" t="str">
        <f t="shared" si="200"/>
        <v/>
      </c>
    </row>
    <row r="3178" spans="1:38" x14ac:dyDescent="0.25">
      <c r="A3178" s="8" t="s">
        <v>6048</v>
      </c>
      <c r="B3178" s="8" t="s">
        <v>6049</v>
      </c>
      <c r="C3178" s="8">
        <v>30894299</v>
      </c>
      <c r="D3178" s="8">
        <v>5</v>
      </c>
      <c r="E3178" s="11">
        <v>43111</v>
      </c>
      <c r="F3178" s="8" t="s">
        <v>58</v>
      </c>
      <c r="G3178" s="11">
        <v>43112</v>
      </c>
      <c r="H3178" s="8" t="s">
        <v>25</v>
      </c>
      <c r="I3178" s="11">
        <v>43112</v>
      </c>
      <c r="J3178" s="8" t="s">
        <v>25</v>
      </c>
      <c r="N3178" s="8" t="s">
        <v>58</v>
      </c>
      <c r="O3178" s="8" t="s">
        <v>59</v>
      </c>
      <c r="P3178" s="8" t="s">
        <v>59</v>
      </c>
      <c r="R3178" s="8">
        <v>0</v>
      </c>
      <c r="S3178" s="8">
        <v>0</v>
      </c>
      <c r="T3178" s="8">
        <v>1</v>
      </c>
      <c r="U3178" s="8">
        <v>2</v>
      </c>
      <c r="X3178" s="8">
        <v>5</v>
      </c>
      <c r="AG3178" s="8" t="str">
        <f t="shared" si="197"/>
        <v/>
      </c>
      <c r="AI3178" s="8" t="str">
        <f t="shared" si="198"/>
        <v/>
      </c>
      <c r="AJ3178" s="8" t="str">
        <f t="shared" si="199"/>
        <v/>
      </c>
      <c r="AL3178" s="8" t="str">
        <f t="shared" si="200"/>
        <v/>
      </c>
    </row>
    <row r="3179" spans="1:38" x14ac:dyDescent="0.25">
      <c r="A3179" s="8" t="s">
        <v>2928</v>
      </c>
      <c r="B3179" s="8" t="s">
        <v>2929</v>
      </c>
      <c r="C3179" s="8">
        <v>30817000</v>
      </c>
      <c r="D3179" s="8">
        <v>5</v>
      </c>
      <c r="E3179" s="11">
        <v>43108</v>
      </c>
      <c r="F3179" s="8" t="s">
        <v>58</v>
      </c>
      <c r="G3179" s="11">
        <v>43110</v>
      </c>
      <c r="H3179" s="8" t="s">
        <v>25</v>
      </c>
      <c r="I3179" s="11">
        <v>43110</v>
      </c>
      <c r="J3179" s="8" t="s">
        <v>25</v>
      </c>
      <c r="N3179" s="8" t="s">
        <v>58</v>
      </c>
      <c r="O3179" s="8" t="s">
        <v>59</v>
      </c>
      <c r="P3179" s="8" t="s">
        <v>59</v>
      </c>
      <c r="R3179" s="8">
        <v>0</v>
      </c>
      <c r="S3179" s="8">
        <v>0</v>
      </c>
      <c r="T3179" s="8">
        <v>1</v>
      </c>
      <c r="U3179" s="8">
        <v>2</v>
      </c>
      <c r="X3179" s="8">
        <v>5</v>
      </c>
      <c r="AG3179" s="8" t="str">
        <f t="shared" si="197"/>
        <v/>
      </c>
      <c r="AI3179" s="8" t="str">
        <f t="shared" si="198"/>
        <v/>
      </c>
      <c r="AJ3179" s="8" t="str">
        <f t="shared" si="199"/>
        <v/>
      </c>
      <c r="AL3179" s="8" t="str">
        <f t="shared" si="200"/>
        <v/>
      </c>
    </row>
    <row r="3180" spans="1:38" x14ac:dyDescent="0.25">
      <c r="A3180" s="8" t="s">
        <v>7875</v>
      </c>
      <c r="B3180" s="8" t="s">
        <v>7876</v>
      </c>
      <c r="C3180" s="8">
        <v>30943335</v>
      </c>
      <c r="D3180" s="8">
        <v>5</v>
      </c>
      <c r="E3180" s="11">
        <v>43115</v>
      </c>
      <c r="F3180" s="8" t="s">
        <v>57</v>
      </c>
      <c r="G3180" s="11">
        <v>43115</v>
      </c>
      <c r="H3180" s="8" t="s">
        <v>25</v>
      </c>
      <c r="J3180" s="8" t="s">
        <v>25</v>
      </c>
      <c r="N3180" s="8" t="s">
        <v>58</v>
      </c>
      <c r="O3180" s="8" t="s">
        <v>59</v>
      </c>
      <c r="P3180" s="8" t="s">
        <v>59</v>
      </c>
      <c r="R3180" s="8">
        <v>0</v>
      </c>
      <c r="S3180" s="8">
        <v>0</v>
      </c>
      <c r="T3180" s="8">
        <v>1</v>
      </c>
      <c r="U3180" s="8">
        <v>2</v>
      </c>
      <c r="AG3180" s="8" t="str">
        <f t="shared" si="197"/>
        <v/>
      </c>
      <c r="AI3180" s="8" t="str">
        <f t="shared" si="198"/>
        <v/>
      </c>
      <c r="AJ3180" s="8" t="str">
        <f t="shared" si="199"/>
        <v/>
      </c>
      <c r="AL3180" s="8" t="str">
        <f t="shared" si="200"/>
        <v/>
      </c>
    </row>
    <row r="3181" spans="1:38" x14ac:dyDescent="0.25">
      <c r="A3181" s="8" t="s">
        <v>6050</v>
      </c>
      <c r="B3181" s="8" t="s">
        <v>6051</v>
      </c>
      <c r="C3181" s="8">
        <v>30896103</v>
      </c>
      <c r="D3181" s="8">
        <v>3</v>
      </c>
      <c r="E3181" s="11">
        <v>43111</v>
      </c>
      <c r="F3181" s="8" t="s">
        <v>60</v>
      </c>
      <c r="G3181" s="11">
        <v>43112</v>
      </c>
      <c r="H3181" s="8" t="s">
        <v>25</v>
      </c>
      <c r="J3181" s="8" t="s">
        <v>25</v>
      </c>
      <c r="L3181" s="8" t="s">
        <v>4797</v>
      </c>
      <c r="N3181" s="8" t="s">
        <v>58</v>
      </c>
      <c r="O3181" s="8" t="s">
        <v>59</v>
      </c>
      <c r="P3181" s="8" t="s">
        <v>59</v>
      </c>
      <c r="R3181" s="8">
        <v>0</v>
      </c>
      <c r="S3181" s="8">
        <v>0</v>
      </c>
      <c r="T3181" s="8">
        <v>1</v>
      </c>
      <c r="U3181" s="8">
        <v>2</v>
      </c>
      <c r="W3181" s="8">
        <v>4</v>
      </c>
      <c r="AG3181" s="8" t="str">
        <f t="shared" si="197"/>
        <v/>
      </c>
      <c r="AI3181" s="8" t="str">
        <f t="shared" si="198"/>
        <v/>
      </c>
      <c r="AJ3181" s="8" t="str">
        <f t="shared" si="199"/>
        <v/>
      </c>
      <c r="AL3181" s="8" t="str">
        <f t="shared" si="200"/>
        <v/>
      </c>
    </row>
    <row r="3182" spans="1:38" x14ac:dyDescent="0.25">
      <c r="A3182" s="8" t="s">
        <v>2930</v>
      </c>
      <c r="B3182" s="8" t="s">
        <v>128</v>
      </c>
      <c r="C3182" s="8">
        <v>30875539</v>
      </c>
      <c r="D3182" s="8">
        <v>5</v>
      </c>
      <c r="E3182" s="11">
        <v>43110</v>
      </c>
      <c r="F3182" s="8" t="s">
        <v>57</v>
      </c>
      <c r="G3182" s="11">
        <v>43110</v>
      </c>
      <c r="H3182" s="8" t="s">
        <v>25</v>
      </c>
      <c r="J3182" s="8" t="s">
        <v>25</v>
      </c>
      <c r="N3182" s="8" t="s">
        <v>58</v>
      </c>
      <c r="O3182" s="8" t="s">
        <v>59</v>
      </c>
      <c r="P3182" s="8" t="s">
        <v>59</v>
      </c>
      <c r="R3182" s="8">
        <v>0</v>
      </c>
      <c r="S3182" s="8">
        <v>0</v>
      </c>
      <c r="T3182" s="8">
        <v>1</v>
      </c>
      <c r="U3182" s="8">
        <v>2</v>
      </c>
      <c r="AG3182" s="8" t="str">
        <f t="shared" si="197"/>
        <v/>
      </c>
      <c r="AI3182" s="8" t="str">
        <f t="shared" si="198"/>
        <v/>
      </c>
      <c r="AJ3182" s="8" t="str">
        <f t="shared" si="199"/>
        <v/>
      </c>
      <c r="AL3182" s="8" t="str">
        <f t="shared" si="200"/>
        <v/>
      </c>
    </row>
    <row r="3183" spans="1:38" x14ac:dyDescent="0.25">
      <c r="A3183" s="8" t="s">
        <v>4374</v>
      </c>
      <c r="B3183" s="8" t="s">
        <v>4375</v>
      </c>
      <c r="C3183" s="8">
        <v>30888008</v>
      </c>
      <c r="D3183" s="8">
        <v>5</v>
      </c>
      <c r="E3183" s="11">
        <v>43111</v>
      </c>
      <c r="F3183" s="8" t="s">
        <v>58</v>
      </c>
      <c r="G3183" s="11">
        <v>43111</v>
      </c>
      <c r="H3183" s="8" t="s">
        <v>25</v>
      </c>
      <c r="I3183" s="11">
        <v>43111</v>
      </c>
      <c r="J3183" s="8" t="s">
        <v>25</v>
      </c>
      <c r="N3183" s="8" t="s">
        <v>58</v>
      </c>
      <c r="O3183" s="8" t="s">
        <v>59</v>
      </c>
      <c r="P3183" s="8" t="s">
        <v>59</v>
      </c>
      <c r="R3183" s="8">
        <v>0</v>
      </c>
      <c r="S3183" s="8">
        <v>0</v>
      </c>
      <c r="T3183" s="8">
        <v>1</v>
      </c>
      <c r="U3183" s="8">
        <v>2</v>
      </c>
      <c r="X3183" s="8">
        <v>5</v>
      </c>
      <c r="AG3183" s="8" t="str">
        <f t="shared" si="197"/>
        <v/>
      </c>
      <c r="AI3183" s="8" t="str">
        <f t="shared" si="198"/>
        <v/>
      </c>
      <c r="AJ3183" s="8" t="str">
        <f t="shared" si="199"/>
        <v/>
      </c>
      <c r="AL3183" s="8" t="str">
        <f t="shared" si="200"/>
        <v/>
      </c>
    </row>
    <row r="3184" spans="1:38" x14ac:dyDescent="0.25">
      <c r="A3184" s="8" t="s">
        <v>6052</v>
      </c>
      <c r="B3184" s="8" t="s">
        <v>6053</v>
      </c>
      <c r="C3184" s="8">
        <v>30874794</v>
      </c>
      <c r="D3184" s="8">
        <v>5</v>
      </c>
      <c r="E3184" s="11">
        <v>43110</v>
      </c>
      <c r="F3184" s="8" t="s">
        <v>58</v>
      </c>
      <c r="G3184" s="11">
        <v>43112</v>
      </c>
      <c r="H3184" s="8" t="s">
        <v>25</v>
      </c>
      <c r="I3184" s="11">
        <v>43112</v>
      </c>
      <c r="J3184" s="8" t="s">
        <v>25</v>
      </c>
      <c r="N3184" s="8" t="s">
        <v>58</v>
      </c>
      <c r="O3184" s="8" t="s">
        <v>59</v>
      </c>
      <c r="P3184" s="8" t="s">
        <v>59</v>
      </c>
      <c r="R3184" s="8">
        <v>0</v>
      </c>
      <c r="S3184" s="8">
        <v>0</v>
      </c>
      <c r="T3184" s="8">
        <v>1</v>
      </c>
      <c r="U3184" s="8">
        <v>2</v>
      </c>
      <c r="X3184" s="8">
        <v>5</v>
      </c>
      <c r="AG3184" s="8" t="str">
        <f t="shared" si="197"/>
        <v/>
      </c>
      <c r="AI3184" s="8" t="str">
        <f t="shared" si="198"/>
        <v/>
      </c>
      <c r="AJ3184" s="8" t="str">
        <f t="shared" si="199"/>
        <v/>
      </c>
      <c r="AL3184" s="8" t="str">
        <f t="shared" si="200"/>
        <v/>
      </c>
    </row>
    <row r="3185" spans="1:38" x14ac:dyDescent="0.25">
      <c r="A3185" s="8" t="s">
        <v>2931</v>
      </c>
      <c r="B3185" s="8" t="s">
        <v>2932</v>
      </c>
      <c r="C3185" s="8">
        <v>30819422</v>
      </c>
      <c r="D3185" s="8">
        <v>5</v>
      </c>
      <c r="E3185" s="11">
        <v>43108</v>
      </c>
      <c r="F3185" s="8" t="s">
        <v>58</v>
      </c>
      <c r="G3185" s="11">
        <v>43110</v>
      </c>
      <c r="H3185" s="8" t="s">
        <v>25</v>
      </c>
      <c r="I3185" s="11">
        <v>43110</v>
      </c>
      <c r="J3185" s="8" t="s">
        <v>25</v>
      </c>
      <c r="N3185" s="8" t="s">
        <v>58</v>
      </c>
      <c r="O3185" s="8" t="s">
        <v>59</v>
      </c>
      <c r="P3185" s="8" t="s">
        <v>59</v>
      </c>
      <c r="R3185" s="8">
        <v>0</v>
      </c>
      <c r="S3185" s="8">
        <v>0</v>
      </c>
      <c r="T3185" s="8">
        <v>1</v>
      </c>
      <c r="U3185" s="8">
        <v>2</v>
      </c>
      <c r="X3185" s="8">
        <v>5</v>
      </c>
      <c r="AG3185" s="8" t="str">
        <f t="shared" si="197"/>
        <v/>
      </c>
      <c r="AI3185" s="8" t="str">
        <f t="shared" si="198"/>
        <v/>
      </c>
      <c r="AJ3185" s="8" t="str">
        <f t="shared" si="199"/>
        <v/>
      </c>
      <c r="AL3185" s="8" t="str">
        <f t="shared" si="200"/>
        <v/>
      </c>
    </row>
    <row r="3186" spans="1:38" x14ac:dyDescent="0.25">
      <c r="A3186" s="8" t="s">
        <v>2933</v>
      </c>
      <c r="B3186" s="8" t="s">
        <v>2934</v>
      </c>
      <c r="C3186" s="8">
        <v>30822039</v>
      </c>
      <c r="D3186" s="8">
        <v>5</v>
      </c>
      <c r="E3186" s="11">
        <v>43108</v>
      </c>
      <c r="F3186" s="8" t="s">
        <v>58</v>
      </c>
      <c r="G3186" s="11">
        <v>43110</v>
      </c>
      <c r="H3186" s="8" t="s">
        <v>25</v>
      </c>
      <c r="I3186" s="11">
        <v>43110</v>
      </c>
      <c r="J3186" s="8" t="s">
        <v>25</v>
      </c>
      <c r="N3186" s="8" t="s">
        <v>58</v>
      </c>
      <c r="O3186" s="8" t="s">
        <v>59</v>
      </c>
      <c r="P3186" s="8" t="s">
        <v>59</v>
      </c>
      <c r="R3186" s="8">
        <v>0</v>
      </c>
      <c r="S3186" s="8">
        <v>0</v>
      </c>
      <c r="T3186" s="8">
        <v>1</v>
      </c>
      <c r="U3186" s="8">
        <v>2</v>
      </c>
      <c r="X3186" s="8">
        <v>5</v>
      </c>
      <c r="AG3186" s="8" t="str">
        <f t="shared" si="197"/>
        <v/>
      </c>
      <c r="AI3186" s="8" t="str">
        <f t="shared" si="198"/>
        <v/>
      </c>
      <c r="AJ3186" s="8" t="str">
        <f t="shared" si="199"/>
        <v/>
      </c>
      <c r="AL3186" s="8" t="str">
        <f t="shared" si="200"/>
        <v/>
      </c>
    </row>
    <row r="3187" spans="1:38" x14ac:dyDescent="0.25">
      <c r="A3187" s="8" t="s">
        <v>2935</v>
      </c>
      <c r="B3187" s="8" t="s">
        <v>2936</v>
      </c>
      <c r="C3187" s="8">
        <v>30822058</v>
      </c>
      <c r="D3187" s="8">
        <v>5</v>
      </c>
      <c r="E3187" s="11">
        <v>43108</v>
      </c>
      <c r="F3187" s="8" t="s">
        <v>57</v>
      </c>
      <c r="G3187" s="11">
        <v>43110</v>
      </c>
      <c r="H3187" s="8" t="s">
        <v>25</v>
      </c>
      <c r="J3187" s="8" t="s">
        <v>25</v>
      </c>
      <c r="N3187" s="8" t="s">
        <v>58</v>
      </c>
      <c r="O3187" s="8" t="s">
        <v>59</v>
      </c>
      <c r="P3187" s="8" t="s">
        <v>59</v>
      </c>
      <c r="R3187" s="8">
        <v>0</v>
      </c>
      <c r="S3187" s="8">
        <v>0</v>
      </c>
      <c r="T3187" s="8">
        <v>1</v>
      </c>
      <c r="U3187" s="8">
        <v>2</v>
      </c>
      <c r="AG3187" s="8" t="str">
        <f t="shared" si="197"/>
        <v/>
      </c>
      <c r="AI3187" s="8" t="str">
        <f t="shared" si="198"/>
        <v/>
      </c>
      <c r="AJ3187" s="8" t="str">
        <f t="shared" si="199"/>
        <v/>
      </c>
      <c r="AL3187" s="8" t="str">
        <f t="shared" si="200"/>
        <v/>
      </c>
    </row>
    <row r="3188" spans="1:38" x14ac:dyDescent="0.25">
      <c r="A3188" s="8" t="s">
        <v>7877</v>
      </c>
      <c r="B3188" s="8" t="s">
        <v>7878</v>
      </c>
      <c r="C3188" s="8">
        <v>30889920</v>
      </c>
      <c r="D3188" s="8">
        <v>5</v>
      </c>
      <c r="E3188" s="11">
        <v>43111</v>
      </c>
      <c r="F3188" s="8" t="s">
        <v>57</v>
      </c>
      <c r="G3188" s="11">
        <v>43115</v>
      </c>
      <c r="H3188" s="8" t="s">
        <v>25</v>
      </c>
      <c r="J3188" s="8" t="s">
        <v>25</v>
      </c>
      <c r="N3188" s="8" t="s">
        <v>58</v>
      </c>
      <c r="O3188" s="8" t="s">
        <v>59</v>
      </c>
      <c r="P3188" s="8" t="s">
        <v>59</v>
      </c>
      <c r="R3188" s="8">
        <v>0</v>
      </c>
      <c r="S3188" s="8">
        <v>0</v>
      </c>
      <c r="T3188" s="8">
        <v>1</v>
      </c>
      <c r="U3188" s="8">
        <v>2</v>
      </c>
      <c r="AG3188" s="8" t="str">
        <f t="shared" si="197"/>
        <v/>
      </c>
      <c r="AI3188" s="8" t="str">
        <f t="shared" si="198"/>
        <v/>
      </c>
      <c r="AJ3188" s="8" t="str">
        <f t="shared" si="199"/>
        <v/>
      </c>
      <c r="AL3188" s="8" t="str">
        <f t="shared" si="200"/>
        <v/>
      </c>
    </row>
    <row r="3189" spans="1:38" x14ac:dyDescent="0.25">
      <c r="A3189" s="8" t="s">
        <v>6054</v>
      </c>
      <c r="B3189" s="8" t="s">
        <v>6055</v>
      </c>
      <c r="C3189" s="8">
        <v>30863240</v>
      </c>
      <c r="D3189" s="8">
        <v>5</v>
      </c>
      <c r="E3189" s="11">
        <v>43110</v>
      </c>
      <c r="F3189" s="8" t="s">
        <v>57</v>
      </c>
      <c r="G3189" s="11">
        <v>43112</v>
      </c>
      <c r="H3189" s="8" t="s">
        <v>25</v>
      </c>
      <c r="J3189" s="8" t="s">
        <v>25</v>
      </c>
      <c r="N3189" s="8" t="s">
        <v>58</v>
      </c>
      <c r="O3189" s="8" t="s">
        <v>59</v>
      </c>
      <c r="P3189" s="8" t="s">
        <v>59</v>
      </c>
      <c r="R3189" s="8">
        <v>0</v>
      </c>
      <c r="S3189" s="8">
        <v>0</v>
      </c>
      <c r="T3189" s="8">
        <v>1</v>
      </c>
      <c r="U3189" s="8">
        <v>2</v>
      </c>
      <c r="AG3189" s="8" t="str">
        <f t="shared" si="197"/>
        <v/>
      </c>
      <c r="AI3189" s="8" t="str">
        <f t="shared" si="198"/>
        <v/>
      </c>
      <c r="AJ3189" s="8" t="str">
        <f t="shared" si="199"/>
        <v/>
      </c>
      <c r="AL3189" s="8" t="str">
        <f t="shared" si="200"/>
        <v/>
      </c>
    </row>
    <row r="3190" spans="1:38" x14ac:dyDescent="0.25">
      <c r="A3190" s="8" t="s">
        <v>4376</v>
      </c>
      <c r="B3190" s="8" t="s">
        <v>4377</v>
      </c>
      <c r="C3190" s="8">
        <v>30889043</v>
      </c>
      <c r="D3190" s="8">
        <v>5</v>
      </c>
      <c r="E3190" s="11">
        <v>43111</v>
      </c>
      <c r="F3190" s="8" t="s">
        <v>58</v>
      </c>
      <c r="G3190" s="11">
        <v>43111</v>
      </c>
      <c r="H3190" s="8" t="s">
        <v>25</v>
      </c>
      <c r="I3190" s="11">
        <v>43111</v>
      </c>
      <c r="J3190" s="8" t="s">
        <v>25</v>
      </c>
      <c r="N3190" s="8" t="s">
        <v>58</v>
      </c>
      <c r="O3190" s="8" t="s">
        <v>59</v>
      </c>
      <c r="P3190" s="8" t="s">
        <v>59</v>
      </c>
      <c r="R3190" s="8">
        <v>0</v>
      </c>
      <c r="S3190" s="8">
        <v>0</v>
      </c>
      <c r="T3190" s="8">
        <v>1</v>
      </c>
      <c r="U3190" s="8">
        <v>2</v>
      </c>
      <c r="X3190" s="8">
        <v>5</v>
      </c>
      <c r="AG3190" s="8" t="str">
        <f t="shared" si="197"/>
        <v/>
      </c>
      <c r="AI3190" s="8" t="str">
        <f t="shared" si="198"/>
        <v/>
      </c>
      <c r="AJ3190" s="8" t="str">
        <f t="shared" si="199"/>
        <v/>
      </c>
      <c r="AL3190" s="8" t="str">
        <f t="shared" si="200"/>
        <v/>
      </c>
    </row>
    <row r="3191" spans="1:38" x14ac:dyDescent="0.25">
      <c r="A3191" s="8" t="s">
        <v>7879</v>
      </c>
      <c r="B3191" s="8" t="s">
        <v>7880</v>
      </c>
      <c r="C3191" s="8">
        <v>30903829</v>
      </c>
      <c r="D3191" s="8">
        <v>5</v>
      </c>
      <c r="E3191" s="11">
        <v>43111</v>
      </c>
      <c r="F3191" s="8" t="s">
        <v>57</v>
      </c>
      <c r="G3191" s="11">
        <v>43115</v>
      </c>
      <c r="H3191" s="8" t="s">
        <v>25</v>
      </c>
      <c r="J3191" s="8" t="s">
        <v>25</v>
      </c>
      <c r="N3191" s="8" t="s">
        <v>58</v>
      </c>
      <c r="O3191" s="8" t="s">
        <v>59</v>
      </c>
      <c r="P3191" s="8" t="s">
        <v>59</v>
      </c>
      <c r="R3191" s="8">
        <v>0</v>
      </c>
      <c r="S3191" s="8">
        <v>0</v>
      </c>
      <c r="T3191" s="8">
        <v>1</v>
      </c>
      <c r="U3191" s="8">
        <v>2</v>
      </c>
      <c r="AG3191" s="8" t="str">
        <f t="shared" si="197"/>
        <v/>
      </c>
      <c r="AI3191" s="8" t="str">
        <f t="shared" si="198"/>
        <v/>
      </c>
      <c r="AJ3191" s="8" t="str">
        <f t="shared" si="199"/>
        <v/>
      </c>
      <c r="AL3191" s="8" t="str">
        <f t="shared" si="200"/>
        <v/>
      </c>
    </row>
    <row r="3192" spans="1:38" x14ac:dyDescent="0.25">
      <c r="A3192" s="8" t="s">
        <v>2937</v>
      </c>
      <c r="B3192" s="8" t="s">
        <v>2938</v>
      </c>
      <c r="C3192" s="8">
        <v>30828003</v>
      </c>
      <c r="D3192" s="8">
        <v>5</v>
      </c>
      <c r="E3192" s="11">
        <v>43108</v>
      </c>
      <c r="F3192" s="8" t="s">
        <v>58</v>
      </c>
      <c r="G3192" s="11">
        <v>43110</v>
      </c>
      <c r="H3192" s="8" t="s">
        <v>25</v>
      </c>
      <c r="I3192" s="11">
        <v>43110</v>
      </c>
      <c r="J3192" s="8" t="s">
        <v>25</v>
      </c>
      <c r="N3192" s="8" t="s">
        <v>58</v>
      </c>
      <c r="O3192" s="8" t="s">
        <v>59</v>
      </c>
      <c r="P3192" s="8" t="s">
        <v>59</v>
      </c>
      <c r="R3192" s="8">
        <v>0</v>
      </c>
      <c r="S3192" s="8">
        <v>0</v>
      </c>
      <c r="T3192" s="8">
        <v>1</v>
      </c>
      <c r="U3192" s="8">
        <v>2</v>
      </c>
      <c r="X3192" s="8">
        <v>5</v>
      </c>
      <c r="AG3192" s="8" t="str">
        <f t="shared" si="197"/>
        <v/>
      </c>
      <c r="AI3192" s="8" t="str">
        <f t="shared" si="198"/>
        <v/>
      </c>
      <c r="AJ3192" s="8" t="str">
        <f t="shared" si="199"/>
        <v/>
      </c>
      <c r="AL3192" s="8" t="str">
        <f t="shared" si="200"/>
        <v/>
      </c>
    </row>
    <row r="3193" spans="1:38" x14ac:dyDescent="0.25">
      <c r="A3193" s="8" t="s">
        <v>4378</v>
      </c>
      <c r="B3193" s="8" t="s">
        <v>4379</v>
      </c>
      <c r="C3193" s="8">
        <v>30852747</v>
      </c>
      <c r="D3193" s="8">
        <v>5</v>
      </c>
      <c r="E3193" s="11">
        <v>43109</v>
      </c>
      <c r="F3193" s="8" t="s">
        <v>57</v>
      </c>
      <c r="G3193" s="11">
        <v>43111</v>
      </c>
      <c r="H3193" s="8" t="s">
        <v>25</v>
      </c>
      <c r="J3193" s="8" t="s">
        <v>25</v>
      </c>
      <c r="N3193" s="8" t="s">
        <v>58</v>
      </c>
      <c r="O3193" s="8" t="s">
        <v>59</v>
      </c>
      <c r="P3193" s="8" t="s">
        <v>59</v>
      </c>
      <c r="R3193" s="8">
        <v>0</v>
      </c>
      <c r="S3193" s="8">
        <v>0</v>
      </c>
      <c r="T3193" s="8">
        <v>1</v>
      </c>
      <c r="U3193" s="8">
        <v>2</v>
      </c>
      <c r="AG3193" s="8" t="str">
        <f t="shared" si="197"/>
        <v/>
      </c>
      <c r="AI3193" s="8" t="str">
        <f t="shared" si="198"/>
        <v/>
      </c>
      <c r="AJ3193" s="8" t="str">
        <f t="shared" si="199"/>
        <v/>
      </c>
      <c r="AL3193" s="8" t="str">
        <f t="shared" si="200"/>
        <v/>
      </c>
    </row>
    <row r="3194" spans="1:38" x14ac:dyDescent="0.25">
      <c r="A3194" s="8" t="s">
        <v>4380</v>
      </c>
      <c r="B3194" s="8" t="s">
        <v>4381</v>
      </c>
      <c r="C3194" s="8">
        <v>30839611</v>
      </c>
      <c r="D3194" s="8">
        <v>5</v>
      </c>
      <c r="E3194" s="11">
        <v>43109</v>
      </c>
      <c r="F3194" s="8" t="s">
        <v>58</v>
      </c>
      <c r="G3194" s="11">
        <v>43111</v>
      </c>
      <c r="H3194" s="8" t="s">
        <v>25</v>
      </c>
      <c r="I3194" s="11">
        <v>43111</v>
      </c>
      <c r="J3194" s="8" t="s">
        <v>25</v>
      </c>
      <c r="N3194" s="8" t="s">
        <v>58</v>
      </c>
      <c r="O3194" s="8" t="s">
        <v>59</v>
      </c>
      <c r="P3194" s="8" t="s">
        <v>59</v>
      </c>
      <c r="R3194" s="8">
        <v>0</v>
      </c>
      <c r="S3194" s="8">
        <v>0</v>
      </c>
      <c r="T3194" s="8">
        <v>1</v>
      </c>
      <c r="U3194" s="8">
        <v>2</v>
      </c>
      <c r="X3194" s="8">
        <v>5</v>
      </c>
      <c r="AG3194" s="8" t="str">
        <f t="shared" si="197"/>
        <v/>
      </c>
      <c r="AI3194" s="8" t="str">
        <f t="shared" si="198"/>
        <v/>
      </c>
      <c r="AJ3194" s="8" t="str">
        <f t="shared" si="199"/>
        <v/>
      </c>
      <c r="AL3194" s="8" t="str">
        <f t="shared" si="200"/>
        <v/>
      </c>
    </row>
    <row r="3195" spans="1:38" x14ac:dyDescent="0.25">
      <c r="A3195" s="8" t="s">
        <v>7881</v>
      </c>
      <c r="B3195" s="8" t="s">
        <v>7882</v>
      </c>
      <c r="C3195" s="8">
        <v>30934726</v>
      </c>
      <c r="D3195" s="8">
        <v>5</v>
      </c>
      <c r="E3195" s="11">
        <v>43115</v>
      </c>
      <c r="F3195" s="8" t="s">
        <v>57</v>
      </c>
      <c r="G3195" s="11">
        <v>43115</v>
      </c>
      <c r="H3195" s="8" t="s">
        <v>25</v>
      </c>
      <c r="J3195" s="8" t="s">
        <v>25</v>
      </c>
      <c r="N3195" s="8" t="s">
        <v>58</v>
      </c>
      <c r="O3195" s="8" t="s">
        <v>59</v>
      </c>
      <c r="P3195" s="8" t="s">
        <v>59</v>
      </c>
      <c r="R3195" s="8">
        <v>0</v>
      </c>
      <c r="S3195" s="8">
        <v>0</v>
      </c>
      <c r="T3195" s="8">
        <v>1</v>
      </c>
      <c r="U3195" s="8">
        <v>2</v>
      </c>
      <c r="AG3195" s="8" t="str">
        <f t="shared" si="197"/>
        <v/>
      </c>
      <c r="AI3195" s="8" t="str">
        <f t="shared" si="198"/>
        <v/>
      </c>
      <c r="AJ3195" s="8" t="str">
        <f t="shared" si="199"/>
        <v/>
      </c>
      <c r="AL3195" s="8" t="str">
        <f t="shared" si="200"/>
        <v/>
      </c>
    </row>
    <row r="3196" spans="1:38" x14ac:dyDescent="0.25">
      <c r="A3196" s="8" t="s">
        <v>2939</v>
      </c>
      <c r="B3196" s="8" t="s">
        <v>2940</v>
      </c>
      <c r="C3196" s="8">
        <v>30825689</v>
      </c>
      <c r="D3196" s="8">
        <v>5</v>
      </c>
      <c r="E3196" s="11">
        <v>43108</v>
      </c>
      <c r="F3196" s="8" t="s">
        <v>57</v>
      </c>
      <c r="G3196" s="11">
        <v>43110</v>
      </c>
      <c r="H3196" s="8" t="s">
        <v>25</v>
      </c>
      <c r="J3196" s="8" t="s">
        <v>25</v>
      </c>
      <c r="N3196" s="8" t="s">
        <v>58</v>
      </c>
      <c r="O3196" s="8" t="s">
        <v>59</v>
      </c>
      <c r="P3196" s="8" t="s">
        <v>59</v>
      </c>
      <c r="R3196" s="8">
        <v>0</v>
      </c>
      <c r="S3196" s="8">
        <v>0</v>
      </c>
      <c r="T3196" s="8">
        <v>1</v>
      </c>
      <c r="U3196" s="8">
        <v>2</v>
      </c>
      <c r="AG3196" s="8" t="str">
        <f t="shared" si="197"/>
        <v/>
      </c>
      <c r="AI3196" s="8" t="str">
        <f t="shared" si="198"/>
        <v/>
      </c>
      <c r="AJ3196" s="8" t="str">
        <f t="shared" si="199"/>
        <v/>
      </c>
      <c r="AL3196" s="8" t="str">
        <f t="shared" si="200"/>
        <v/>
      </c>
    </row>
    <row r="3197" spans="1:38" x14ac:dyDescent="0.25">
      <c r="A3197" s="8" t="s">
        <v>6056</v>
      </c>
      <c r="B3197" s="8" t="s">
        <v>6057</v>
      </c>
      <c r="C3197" s="8">
        <v>30861295</v>
      </c>
      <c r="D3197" s="8">
        <v>5</v>
      </c>
      <c r="E3197" s="11">
        <v>43110</v>
      </c>
      <c r="F3197" s="8" t="s">
        <v>57</v>
      </c>
      <c r="G3197" s="11">
        <v>43112</v>
      </c>
      <c r="H3197" s="8" t="s">
        <v>25</v>
      </c>
      <c r="J3197" s="8" t="s">
        <v>25</v>
      </c>
      <c r="N3197" s="8" t="s">
        <v>58</v>
      </c>
      <c r="O3197" s="8" t="s">
        <v>59</v>
      </c>
      <c r="P3197" s="8" t="s">
        <v>59</v>
      </c>
      <c r="R3197" s="8">
        <v>0</v>
      </c>
      <c r="S3197" s="8">
        <v>0</v>
      </c>
      <c r="T3197" s="8">
        <v>1</v>
      </c>
      <c r="U3197" s="8">
        <v>2</v>
      </c>
      <c r="AG3197" s="8" t="str">
        <f t="shared" si="197"/>
        <v/>
      </c>
      <c r="AI3197" s="8" t="str">
        <f t="shared" si="198"/>
        <v/>
      </c>
      <c r="AJ3197" s="8" t="str">
        <f t="shared" si="199"/>
        <v/>
      </c>
      <c r="AL3197" s="8" t="str">
        <f t="shared" si="200"/>
        <v/>
      </c>
    </row>
    <row r="3198" spans="1:38" x14ac:dyDescent="0.25">
      <c r="A3198" s="8" t="s">
        <v>4382</v>
      </c>
      <c r="B3198" s="8" t="s">
        <v>4383</v>
      </c>
      <c r="C3198" s="8">
        <v>30837500</v>
      </c>
      <c r="D3198" s="8">
        <v>5</v>
      </c>
      <c r="E3198" s="11">
        <v>43109</v>
      </c>
      <c r="F3198" s="8" t="s">
        <v>57</v>
      </c>
      <c r="G3198" s="11">
        <v>43111</v>
      </c>
      <c r="H3198" s="8" t="s">
        <v>25</v>
      </c>
      <c r="J3198" s="8" t="s">
        <v>25</v>
      </c>
      <c r="N3198" s="8" t="s">
        <v>58</v>
      </c>
      <c r="O3198" s="8" t="s">
        <v>59</v>
      </c>
      <c r="P3198" s="8" t="s">
        <v>59</v>
      </c>
      <c r="R3198" s="8">
        <v>0</v>
      </c>
      <c r="S3198" s="8">
        <v>0</v>
      </c>
      <c r="T3198" s="8">
        <v>1</v>
      </c>
      <c r="U3198" s="8">
        <v>2</v>
      </c>
      <c r="AG3198" s="8" t="str">
        <f t="shared" si="197"/>
        <v/>
      </c>
      <c r="AI3198" s="8" t="str">
        <f t="shared" si="198"/>
        <v/>
      </c>
      <c r="AJ3198" s="8" t="str">
        <f t="shared" si="199"/>
        <v/>
      </c>
      <c r="AL3198" s="8" t="str">
        <f t="shared" si="200"/>
        <v/>
      </c>
    </row>
    <row r="3199" spans="1:38" x14ac:dyDescent="0.25">
      <c r="A3199" s="8" t="s">
        <v>4384</v>
      </c>
      <c r="B3199" s="8" t="s">
        <v>4385</v>
      </c>
      <c r="C3199" s="8">
        <v>30836504</v>
      </c>
      <c r="D3199" s="8">
        <v>5</v>
      </c>
      <c r="E3199" s="11">
        <v>43109</v>
      </c>
      <c r="F3199" s="8" t="s">
        <v>58</v>
      </c>
      <c r="G3199" s="11">
        <v>43111</v>
      </c>
      <c r="H3199" s="8" t="s">
        <v>25</v>
      </c>
      <c r="I3199" s="11">
        <v>43115</v>
      </c>
      <c r="J3199" s="8" t="s">
        <v>25</v>
      </c>
      <c r="N3199" s="8" t="s">
        <v>58</v>
      </c>
      <c r="O3199" s="8" t="s">
        <v>59</v>
      </c>
      <c r="P3199" s="8" t="s">
        <v>59</v>
      </c>
      <c r="R3199" s="8">
        <v>0</v>
      </c>
      <c r="S3199" s="8">
        <v>0</v>
      </c>
      <c r="T3199" s="8">
        <v>1</v>
      </c>
      <c r="U3199" s="8">
        <v>2</v>
      </c>
      <c r="X3199" s="8">
        <v>5</v>
      </c>
      <c r="AG3199" s="8" t="str">
        <f t="shared" si="197"/>
        <v/>
      </c>
      <c r="AI3199" s="8" t="str">
        <f t="shared" si="198"/>
        <v/>
      </c>
      <c r="AJ3199" s="8" t="str">
        <f t="shared" si="199"/>
        <v/>
      </c>
      <c r="AL3199" s="8" t="str">
        <f t="shared" si="200"/>
        <v/>
      </c>
    </row>
    <row r="3200" spans="1:38" x14ac:dyDescent="0.25">
      <c r="A3200" s="8" t="s">
        <v>7883</v>
      </c>
      <c r="B3200" s="8" t="s">
        <v>7884</v>
      </c>
      <c r="C3200" s="8">
        <v>30888705</v>
      </c>
      <c r="D3200" s="8">
        <v>5</v>
      </c>
      <c r="E3200" s="11">
        <v>43111</v>
      </c>
      <c r="F3200" s="8" t="s">
        <v>57</v>
      </c>
      <c r="G3200" s="11">
        <v>43115</v>
      </c>
      <c r="H3200" s="8" t="s">
        <v>25</v>
      </c>
      <c r="J3200" s="8" t="s">
        <v>25</v>
      </c>
      <c r="N3200" s="8" t="s">
        <v>58</v>
      </c>
      <c r="O3200" s="8" t="s">
        <v>59</v>
      </c>
      <c r="P3200" s="8" t="s">
        <v>59</v>
      </c>
      <c r="R3200" s="8">
        <v>0</v>
      </c>
      <c r="S3200" s="8">
        <v>0</v>
      </c>
      <c r="T3200" s="8">
        <v>1</v>
      </c>
      <c r="U3200" s="8">
        <v>2</v>
      </c>
      <c r="AG3200" s="8" t="str">
        <f t="shared" si="197"/>
        <v/>
      </c>
      <c r="AI3200" s="8" t="str">
        <f t="shared" si="198"/>
        <v/>
      </c>
      <c r="AJ3200" s="8" t="str">
        <f t="shared" si="199"/>
        <v/>
      </c>
      <c r="AL3200" s="8" t="str">
        <f t="shared" si="200"/>
        <v/>
      </c>
    </row>
    <row r="3201" spans="1:38" x14ac:dyDescent="0.25">
      <c r="A3201" s="8" t="s">
        <v>2941</v>
      </c>
      <c r="B3201" s="8" t="s">
        <v>2942</v>
      </c>
      <c r="C3201" s="8">
        <v>30824391</v>
      </c>
      <c r="D3201" s="8">
        <v>5</v>
      </c>
      <c r="E3201" s="11">
        <v>43108</v>
      </c>
      <c r="F3201" s="8" t="s">
        <v>58</v>
      </c>
      <c r="G3201" s="11">
        <v>43110</v>
      </c>
      <c r="H3201" s="8" t="s">
        <v>25</v>
      </c>
      <c r="I3201" s="11">
        <v>43110</v>
      </c>
      <c r="J3201" s="8" t="s">
        <v>25</v>
      </c>
      <c r="N3201" s="8" t="s">
        <v>58</v>
      </c>
      <c r="O3201" s="8" t="s">
        <v>59</v>
      </c>
      <c r="P3201" s="8" t="s">
        <v>59</v>
      </c>
      <c r="R3201" s="8">
        <v>0</v>
      </c>
      <c r="S3201" s="8">
        <v>0</v>
      </c>
      <c r="T3201" s="8">
        <v>1</v>
      </c>
      <c r="U3201" s="8">
        <v>2</v>
      </c>
      <c r="X3201" s="8">
        <v>5</v>
      </c>
      <c r="AG3201" s="8" t="str">
        <f t="shared" si="197"/>
        <v/>
      </c>
      <c r="AI3201" s="8" t="str">
        <f t="shared" si="198"/>
        <v/>
      </c>
      <c r="AJ3201" s="8" t="str">
        <f t="shared" si="199"/>
        <v/>
      </c>
      <c r="AL3201" s="8" t="str">
        <f t="shared" si="200"/>
        <v/>
      </c>
    </row>
    <row r="3202" spans="1:38" x14ac:dyDescent="0.25">
      <c r="A3202" s="8" t="s">
        <v>6058</v>
      </c>
      <c r="B3202" s="8" t="s">
        <v>6059</v>
      </c>
      <c r="C3202" s="8">
        <v>30869034</v>
      </c>
      <c r="D3202" s="8">
        <v>5</v>
      </c>
      <c r="E3202" s="11">
        <v>43110</v>
      </c>
      <c r="F3202" s="8" t="s">
        <v>57</v>
      </c>
      <c r="G3202" s="11">
        <v>43112</v>
      </c>
      <c r="H3202" s="8" t="s">
        <v>25</v>
      </c>
      <c r="J3202" s="8" t="s">
        <v>25</v>
      </c>
      <c r="N3202" s="8" t="s">
        <v>58</v>
      </c>
      <c r="O3202" s="8" t="s">
        <v>59</v>
      </c>
      <c r="P3202" s="8" t="s">
        <v>59</v>
      </c>
      <c r="R3202" s="8">
        <v>0</v>
      </c>
      <c r="S3202" s="8">
        <v>0</v>
      </c>
      <c r="T3202" s="8">
        <v>1</v>
      </c>
      <c r="U3202" s="8">
        <v>2</v>
      </c>
      <c r="AG3202" s="8" t="str">
        <f t="shared" si="197"/>
        <v/>
      </c>
      <c r="AI3202" s="8" t="str">
        <f t="shared" si="198"/>
        <v/>
      </c>
      <c r="AJ3202" s="8" t="str">
        <f t="shared" si="199"/>
        <v/>
      </c>
      <c r="AL3202" s="8" t="str">
        <f t="shared" si="200"/>
        <v/>
      </c>
    </row>
    <row r="3203" spans="1:38" x14ac:dyDescent="0.25">
      <c r="A3203" s="8" t="s">
        <v>640</v>
      </c>
      <c r="B3203" s="8" t="s">
        <v>129</v>
      </c>
      <c r="C3203" s="8">
        <v>30825794</v>
      </c>
      <c r="D3203" s="8">
        <v>4</v>
      </c>
      <c r="E3203" s="11">
        <v>43108</v>
      </c>
      <c r="F3203" s="8" t="s">
        <v>60</v>
      </c>
      <c r="G3203" s="11">
        <v>43108</v>
      </c>
      <c r="H3203" s="8" t="s">
        <v>25</v>
      </c>
      <c r="J3203" s="8" t="s">
        <v>145</v>
      </c>
      <c r="L3203" s="8" t="s">
        <v>4797</v>
      </c>
      <c r="N3203" s="8" t="s">
        <v>58</v>
      </c>
      <c r="O3203" s="8" t="s">
        <v>59</v>
      </c>
      <c r="P3203" s="8" t="s">
        <v>59</v>
      </c>
      <c r="R3203" s="8">
        <v>0</v>
      </c>
      <c r="S3203" s="8">
        <v>0</v>
      </c>
      <c r="T3203" s="8">
        <v>1</v>
      </c>
      <c r="U3203" s="8">
        <v>2</v>
      </c>
      <c r="W3203" s="8">
        <v>4</v>
      </c>
      <c r="Y3203" s="8">
        <v>6</v>
      </c>
      <c r="Z3203" s="8">
        <v>7</v>
      </c>
      <c r="AG3203" s="8" t="str">
        <f t="shared" ref="AG3203:AG3266" si="201">IF(AND(U3203="",G3203&lt;&gt;"",NOT(OR(R3203,S3203))),IF(NETWORKDAYS.INTL(G3203,TODAY(),11)&lt;5,"En Plazo",IF(NETWORKDAYS.INTL(G3203,TODAY(),11)=5,"Riesgo Incumplimiento","FALTA_02")),"")</f>
        <v/>
      </c>
      <c r="AI3203" s="8" t="str">
        <f t="shared" ref="AI3203:AI3266" si="202">IF(AND(O3203&lt;&gt;"B1",F3203="Rejected"),IF(W3203="","FALTA_04",""),"")</f>
        <v/>
      </c>
      <c r="AJ3203" s="8" t="str">
        <f t="shared" ref="AJ3203:AJ3266" si="203">IF(AND(X3203="",I3203&lt;&gt;"",NOT(OR(R3203,S3203))),IF(NETWORKDAYS.INTL(G3203,TODAY(),11)&lt;=1,"En Plazo",IF(OR(AND(X3203="",O3203&lt;&gt;"M1"),AND(O3203="M1",(OR(Q3203="S - S",Q3203="S - T",)))),"FALTA_05","")),"")</f>
        <v/>
      </c>
      <c r="AL3203" s="8" t="str">
        <f t="shared" ref="AL3203:AL3266" si="204">IF(AND(O3203="B1",F3203="Rejected"),IF(Z3203="","FALTA_07",""),"")</f>
        <v/>
      </c>
    </row>
    <row r="3204" spans="1:38" x14ac:dyDescent="0.25">
      <c r="A3204" s="8" t="s">
        <v>6060</v>
      </c>
      <c r="B3204" s="8" t="s">
        <v>129</v>
      </c>
      <c r="C3204" s="8">
        <v>30924032</v>
      </c>
      <c r="D3204" s="8">
        <v>4</v>
      </c>
      <c r="E3204" s="11">
        <v>43112</v>
      </c>
      <c r="F3204" s="8" t="s">
        <v>57</v>
      </c>
      <c r="G3204" s="11">
        <v>43112</v>
      </c>
      <c r="H3204" s="8" t="s">
        <v>25</v>
      </c>
      <c r="J3204" s="8" t="s">
        <v>25</v>
      </c>
      <c r="N3204" s="8" t="s">
        <v>58</v>
      </c>
      <c r="O3204" s="8" t="s">
        <v>59</v>
      </c>
      <c r="P3204" s="8" t="s">
        <v>59</v>
      </c>
      <c r="R3204" s="8">
        <v>0</v>
      </c>
      <c r="S3204" s="8">
        <v>0</v>
      </c>
      <c r="T3204" s="8">
        <v>1</v>
      </c>
      <c r="U3204" s="8">
        <v>2</v>
      </c>
      <c r="AG3204" s="8" t="str">
        <f t="shared" si="201"/>
        <v/>
      </c>
      <c r="AI3204" s="8" t="str">
        <f t="shared" si="202"/>
        <v/>
      </c>
      <c r="AJ3204" s="8" t="str">
        <f t="shared" si="203"/>
        <v/>
      </c>
      <c r="AL3204" s="8" t="str">
        <f t="shared" si="204"/>
        <v/>
      </c>
    </row>
    <row r="3205" spans="1:38" x14ac:dyDescent="0.25">
      <c r="A3205" s="8" t="s">
        <v>7885</v>
      </c>
      <c r="B3205" s="8" t="s">
        <v>7886</v>
      </c>
      <c r="C3205" s="8">
        <v>30888998</v>
      </c>
      <c r="D3205" s="8">
        <v>4</v>
      </c>
      <c r="E3205" s="11">
        <v>43111</v>
      </c>
      <c r="F3205" s="8" t="s">
        <v>57</v>
      </c>
      <c r="G3205" s="11">
        <v>43115</v>
      </c>
      <c r="H3205" s="8" t="s">
        <v>25</v>
      </c>
      <c r="J3205" s="8" t="s">
        <v>25</v>
      </c>
      <c r="N3205" s="8" t="s">
        <v>58</v>
      </c>
      <c r="O3205" s="8" t="s">
        <v>59</v>
      </c>
      <c r="P3205" s="8" t="s">
        <v>59</v>
      </c>
      <c r="R3205" s="8">
        <v>0</v>
      </c>
      <c r="S3205" s="8">
        <v>0</v>
      </c>
      <c r="T3205" s="8">
        <v>1</v>
      </c>
      <c r="U3205" s="8">
        <v>2</v>
      </c>
      <c r="AG3205" s="8" t="str">
        <f t="shared" si="201"/>
        <v/>
      </c>
      <c r="AI3205" s="8" t="str">
        <f t="shared" si="202"/>
        <v/>
      </c>
      <c r="AJ3205" s="8" t="str">
        <f t="shared" si="203"/>
        <v/>
      </c>
      <c r="AL3205" s="8" t="str">
        <f t="shared" si="204"/>
        <v/>
      </c>
    </row>
    <row r="3206" spans="1:38" x14ac:dyDescent="0.25">
      <c r="A3206" s="8" t="s">
        <v>6061</v>
      </c>
      <c r="B3206" s="8" t="s">
        <v>6062</v>
      </c>
      <c r="C3206" s="8">
        <v>30862927</v>
      </c>
      <c r="D3206" s="8">
        <v>5</v>
      </c>
      <c r="E3206" s="11">
        <v>43110</v>
      </c>
      <c r="F3206" s="8" t="s">
        <v>57</v>
      </c>
      <c r="G3206" s="11">
        <v>43112</v>
      </c>
      <c r="H3206" s="8" t="s">
        <v>25</v>
      </c>
      <c r="J3206" s="8" t="s">
        <v>25</v>
      </c>
      <c r="N3206" s="8" t="s">
        <v>58</v>
      </c>
      <c r="O3206" s="8" t="s">
        <v>59</v>
      </c>
      <c r="P3206" s="8" t="s">
        <v>59</v>
      </c>
      <c r="R3206" s="8">
        <v>0</v>
      </c>
      <c r="S3206" s="8">
        <v>0</v>
      </c>
      <c r="T3206" s="8">
        <v>1</v>
      </c>
      <c r="U3206" s="8">
        <v>2</v>
      </c>
      <c r="AG3206" s="8" t="str">
        <f t="shared" si="201"/>
        <v/>
      </c>
      <c r="AI3206" s="8" t="str">
        <f t="shared" si="202"/>
        <v/>
      </c>
      <c r="AJ3206" s="8" t="str">
        <f t="shared" si="203"/>
        <v/>
      </c>
      <c r="AL3206" s="8" t="str">
        <f t="shared" si="204"/>
        <v/>
      </c>
    </row>
    <row r="3207" spans="1:38" x14ac:dyDescent="0.25">
      <c r="A3207" s="8" t="s">
        <v>6063</v>
      </c>
      <c r="B3207" s="8" t="s">
        <v>6064</v>
      </c>
      <c r="C3207" s="8">
        <v>30866716</v>
      </c>
      <c r="D3207" s="8">
        <v>5</v>
      </c>
      <c r="E3207" s="11">
        <v>43110</v>
      </c>
      <c r="F3207" s="8" t="s">
        <v>57</v>
      </c>
      <c r="G3207" s="11">
        <v>43112</v>
      </c>
      <c r="H3207" s="8" t="s">
        <v>25</v>
      </c>
      <c r="J3207" s="8" t="s">
        <v>25</v>
      </c>
      <c r="N3207" s="8" t="s">
        <v>58</v>
      </c>
      <c r="O3207" s="8" t="s">
        <v>59</v>
      </c>
      <c r="P3207" s="8" t="s">
        <v>59</v>
      </c>
      <c r="R3207" s="8">
        <v>0</v>
      </c>
      <c r="S3207" s="8">
        <v>0</v>
      </c>
      <c r="T3207" s="8">
        <v>1</v>
      </c>
      <c r="U3207" s="8">
        <v>2</v>
      </c>
      <c r="AG3207" s="8" t="str">
        <f t="shared" si="201"/>
        <v/>
      </c>
      <c r="AI3207" s="8" t="str">
        <f t="shared" si="202"/>
        <v/>
      </c>
      <c r="AJ3207" s="8" t="str">
        <f t="shared" si="203"/>
        <v/>
      </c>
      <c r="AL3207" s="8" t="str">
        <f t="shared" si="204"/>
        <v/>
      </c>
    </row>
    <row r="3208" spans="1:38" x14ac:dyDescent="0.25">
      <c r="A3208" s="8" t="s">
        <v>2943</v>
      </c>
      <c r="B3208" s="8" t="s">
        <v>2944</v>
      </c>
      <c r="C3208" s="8">
        <v>30817243</v>
      </c>
      <c r="D3208" s="8">
        <v>5</v>
      </c>
      <c r="E3208" s="11">
        <v>43108</v>
      </c>
      <c r="F3208" s="8" t="s">
        <v>58</v>
      </c>
      <c r="G3208" s="11">
        <v>43110</v>
      </c>
      <c r="H3208" s="8" t="s">
        <v>25</v>
      </c>
      <c r="I3208" s="11">
        <v>43111</v>
      </c>
      <c r="J3208" s="8" t="s">
        <v>25</v>
      </c>
      <c r="N3208" s="8" t="s">
        <v>58</v>
      </c>
      <c r="O3208" s="8" t="s">
        <v>59</v>
      </c>
      <c r="P3208" s="8" t="s">
        <v>59</v>
      </c>
      <c r="R3208" s="8">
        <v>0</v>
      </c>
      <c r="S3208" s="8">
        <v>0</v>
      </c>
      <c r="T3208" s="8">
        <v>1</v>
      </c>
      <c r="U3208" s="8">
        <v>2</v>
      </c>
      <c r="X3208" s="8">
        <v>5</v>
      </c>
      <c r="AG3208" s="8" t="str">
        <f t="shared" si="201"/>
        <v/>
      </c>
      <c r="AI3208" s="8" t="str">
        <f t="shared" si="202"/>
        <v/>
      </c>
      <c r="AJ3208" s="8" t="str">
        <f t="shared" si="203"/>
        <v/>
      </c>
      <c r="AL3208" s="8" t="str">
        <f t="shared" si="204"/>
        <v/>
      </c>
    </row>
    <row r="3209" spans="1:38" x14ac:dyDescent="0.25">
      <c r="A3209" s="8" t="s">
        <v>6065</v>
      </c>
      <c r="B3209" s="8" t="s">
        <v>6066</v>
      </c>
      <c r="C3209" s="8">
        <v>30856890</v>
      </c>
      <c r="D3209" s="8">
        <v>5</v>
      </c>
      <c r="E3209" s="11">
        <v>43110</v>
      </c>
      <c r="F3209" s="8" t="s">
        <v>58</v>
      </c>
      <c r="G3209" s="11">
        <v>43112</v>
      </c>
      <c r="H3209" s="8" t="s">
        <v>25</v>
      </c>
      <c r="I3209" s="11">
        <v>43115</v>
      </c>
      <c r="J3209" s="8" t="s">
        <v>25</v>
      </c>
      <c r="N3209" s="8" t="s">
        <v>58</v>
      </c>
      <c r="O3209" s="8" t="s">
        <v>59</v>
      </c>
      <c r="P3209" s="8" t="s">
        <v>59</v>
      </c>
      <c r="R3209" s="8">
        <v>0</v>
      </c>
      <c r="S3209" s="8">
        <v>0</v>
      </c>
      <c r="T3209" s="8">
        <v>1</v>
      </c>
      <c r="U3209" s="8">
        <v>2</v>
      </c>
      <c r="X3209" s="8">
        <v>5</v>
      </c>
      <c r="AG3209" s="8" t="str">
        <f t="shared" si="201"/>
        <v/>
      </c>
      <c r="AI3209" s="8" t="str">
        <f t="shared" si="202"/>
        <v/>
      </c>
      <c r="AJ3209" s="8" t="str">
        <f t="shared" si="203"/>
        <v/>
      </c>
      <c r="AL3209" s="8" t="str">
        <f t="shared" si="204"/>
        <v/>
      </c>
    </row>
    <row r="3210" spans="1:38" x14ac:dyDescent="0.25">
      <c r="A3210" s="8" t="s">
        <v>7887</v>
      </c>
      <c r="B3210" s="8" t="s">
        <v>7888</v>
      </c>
      <c r="C3210" s="8">
        <v>30897651</v>
      </c>
      <c r="D3210" s="8">
        <v>5</v>
      </c>
      <c r="E3210" s="11">
        <v>43111</v>
      </c>
      <c r="F3210" s="8" t="s">
        <v>58</v>
      </c>
      <c r="G3210" s="11">
        <v>43115</v>
      </c>
      <c r="H3210" s="8" t="s">
        <v>25</v>
      </c>
      <c r="I3210" s="11">
        <v>43115</v>
      </c>
      <c r="J3210" s="8" t="s">
        <v>25</v>
      </c>
      <c r="N3210" s="8" t="s">
        <v>58</v>
      </c>
      <c r="O3210" s="8" t="s">
        <v>59</v>
      </c>
      <c r="P3210" s="8" t="s">
        <v>59</v>
      </c>
      <c r="R3210" s="8">
        <v>0</v>
      </c>
      <c r="S3210" s="8">
        <v>0</v>
      </c>
      <c r="T3210" s="8">
        <v>1</v>
      </c>
      <c r="U3210" s="8">
        <v>2</v>
      </c>
      <c r="X3210" s="8">
        <v>5</v>
      </c>
      <c r="AG3210" s="8" t="str">
        <f t="shared" si="201"/>
        <v/>
      </c>
      <c r="AI3210" s="8" t="str">
        <f t="shared" si="202"/>
        <v/>
      </c>
      <c r="AJ3210" s="8" t="str">
        <f t="shared" si="203"/>
        <v/>
      </c>
      <c r="AL3210" s="8" t="str">
        <f t="shared" si="204"/>
        <v/>
      </c>
    </row>
    <row r="3211" spans="1:38" x14ac:dyDescent="0.25">
      <c r="A3211" s="8" t="s">
        <v>4386</v>
      </c>
      <c r="B3211" s="8" t="s">
        <v>4387</v>
      </c>
      <c r="C3211" s="8">
        <v>30851365</v>
      </c>
      <c r="D3211" s="8">
        <v>5</v>
      </c>
      <c r="E3211" s="11">
        <v>43109</v>
      </c>
      <c r="F3211" s="8" t="s">
        <v>57</v>
      </c>
      <c r="G3211" s="11">
        <v>43111</v>
      </c>
      <c r="H3211" s="8" t="s">
        <v>25</v>
      </c>
      <c r="J3211" s="8" t="s">
        <v>25</v>
      </c>
      <c r="N3211" s="8" t="s">
        <v>58</v>
      </c>
      <c r="O3211" s="8" t="s">
        <v>59</v>
      </c>
      <c r="P3211" s="8" t="s">
        <v>59</v>
      </c>
      <c r="R3211" s="8">
        <v>0</v>
      </c>
      <c r="S3211" s="8">
        <v>0</v>
      </c>
      <c r="T3211" s="8">
        <v>1</v>
      </c>
      <c r="U3211" s="8">
        <v>2</v>
      </c>
      <c r="AG3211" s="8" t="str">
        <f t="shared" si="201"/>
        <v/>
      </c>
      <c r="AI3211" s="8" t="str">
        <f t="shared" si="202"/>
        <v/>
      </c>
      <c r="AJ3211" s="8" t="str">
        <f t="shared" si="203"/>
        <v/>
      </c>
      <c r="AL3211" s="8" t="str">
        <f t="shared" si="204"/>
        <v/>
      </c>
    </row>
    <row r="3212" spans="1:38" x14ac:dyDescent="0.25">
      <c r="A3212" s="8" t="s">
        <v>2945</v>
      </c>
      <c r="B3212" s="8" t="s">
        <v>2946</v>
      </c>
      <c r="C3212" s="8">
        <v>30862150</v>
      </c>
      <c r="D3212" s="8">
        <v>5</v>
      </c>
      <c r="E3212" s="11">
        <v>43110</v>
      </c>
      <c r="F3212" s="8" t="s">
        <v>57</v>
      </c>
      <c r="G3212" s="11">
        <v>43110</v>
      </c>
      <c r="H3212" s="8" t="s">
        <v>25</v>
      </c>
      <c r="J3212" s="8" t="s">
        <v>25</v>
      </c>
      <c r="N3212" s="8" t="s">
        <v>58</v>
      </c>
      <c r="O3212" s="8" t="s">
        <v>59</v>
      </c>
      <c r="P3212" s="8" t="s">
        <v>59</v>
      </c>
      <c r="R3212" s="8">
        <v>0</v>
      </c>
      <c r="S3212" s="8">
        <v>0</v>
      </c>
      <c r="T3212" s="8">
        <v>1</v>
      </c>
      <c r="U3212" s="8">
        <v>2</v>
      </c>
      <c r="AG3212" s="8" t="str">
        <f t="shared" si="201"/>
        <v/>
      </c>
      <c r="AI3212" s="8" t="str">
        <f t="shared" si="202"/>
        <v/>
      </c>
      <c r="AJ3212" s="8" t="str">
        <f t="shared" si="203"/>
        <v/>
      </c>
      <c r="AL3212" s="8" t="str">
        <f t="shared" si="204"/>
        <v/>
      </c>
    </row>
    <row r="3213" spans="1:38" x14ac:dyDescent="0.25">
      <c r="A3213" s="8" t="s">
        <v>4388</v>
      </c>
      <c r="B3213" s="8" t="s">
        <v>4389</v>
      </c>
      <c r="C3213" s="8">
        <v>30841493</v>
      </c>
      <c r="D3213" s="8">
        <v>5</v>
      </c>
      <c r="E3213" s="11">
        <v>43109</v>
      </c>
      <c r="F3213" s="8" t="s">
        <v>58</v>
      </c>
      <c r="G3213" s="11">
        <v>43111</v>
      </c>
      <c r="H3213" s="8" t="s">
        <v>25</v>
      </c>
      <c r="I3213" s="11">
        <v>43111</v>
      </c>
      <c r="J3213" s="8" t="s">
        <v>25</v>
      </c>
      <c r="N3213" s="8" t="s">
        <v>58</v>
      </c>
      <c r="O3213" s="8" t="s">
        <v>59</v>
      </c>
      <c r="P3213" s="8" t="s">
        <v>59</v>
      </c>
      <c r="R3213" s="8">
        <v>0</v>
      </c>
      <c r="S3213" s="8">
        <v>0</v>
      </c>
      <c r="T3213" s="8">
        <v>1</v>
      </c>
      <c r="U3213" s="8">
        <v>2</v>
      </c>
      <c r="X3213" s="8">
        <v>5</v>
      </c>
      <c r="AG3213" s="8" t="str">
        <f t="shared" si="201"/>
        <v/>
      </c>
      <c r="AI3213" s="8" t="str">
        <f t="shared" si="202"/>
        <v/>
      </c>
      <c r="AJ3213" s="8" t="str">
        <f t="shared" si="203"/>
        <v/>
      </c>
      <c r="AL3213" s="8" t="str">
        <f t="shared" si="204"/>
        <v/>
      </c>
    </row>
    <row r="3214" spans="1:38" x14ac:dyDescent="0.25">
      <c r="A3214" s="8" t="s">
        <v>4390</v>
      </c>
      <c r="B3214" s="8" t="s">
        <v>4391</v>
      </c>
      <c r="C3214" s="8">
        <v>30841494</v>
      </c>
      <c r="D3214" s="8">
        <v>5</v>
      </c>
      <c r="E3214" s="11">
        <v>43109</v>
      </c>
      <c r="F3214" s="8" t="s">
        <v>57</v>
      </c>
      <c r="G3214" s="11">
        <v>43111</v>
      </c>
      <c r="H3214" s="8" t="s">
        <v>25</v>
      </c>
      <c r="J3214" s="8" t="s">
        <v>25</v>
      </c>
      <c r="N3214" s="8" t="s">
        <v>58</v>
      </c>
      <c r="O3214" s="8" t="s">
        <v>59</v>
      </c>
      <c r="P3214" s="8" t="s">
        <v>59</v>
      </c>
      <c r="R3214" s="8">
        <v>0</v>
      </c>
      <c r="S3214" s="8">
        <v>0</v>
      </c>
      <c r="T3214" s="8">
        <v>1</v>
      </c>
      <c r="U3214" s="8">
        <v>2</v>
      </c>
      <c r="AG3214" s="8" t="str">
        <f t="shared" si="201"/>
        <v/>
      </c>
      <c r="AI3214" s="8" t="str">
        <f t="shared" si="202"/>
        <v/>
      </c>
      <c r="AJ3214" s="8" t="str">
        <f t="shared" si="203"/>
        <v/>
      </c>
      <c r="AL3214" s="8" t="str">
        <f t="shared" si="204"/>
        <v/>
      </c>
    </row>
    <row r="3215" spans="1:38" x14ac:dyDescent="0.25">
      <c r="A3215" s="8" t="s">
        <v>4392</v>
      </c>
      <c r="B3215" s="8" t="s">
        <v>4393</v>
      </c>
      <c r="C3215" s="8">
        <v>30850249</v>
      </c>
      <c r="D3215" s="8">
        <v>5</v>
      </c>
      <c r="E3215" s="11">
        <v>43109</v>
      </c>
      <c r="F3215" s="8" t="s">
        <v>58</v>
      </c>
      <c r="G3215" s="11">
        <v>43111</v>
      </c>
      <c r="H3215" s="8" t="s">
        <v>25</v>
      </c>
      <c r="I3215" s="11">
        <v>43112</v>
      </c>
      <c r="J3215" s="8" t="s">
        <v>25</v>
      </c>
      <c r="N3215" s="8" t="s">
        <v>58</v>
      </c>
      <c r="O3215" s="8" t="s">
        <v>59</v>
      </c>
      <c r="P3215" s="8" t="s">
        <v>59</v>
      </c>
      <c r="R3215" s="8">
        <v>0</v>
      </c>
      <c r="S3215" s="8">
        <v>0</v>
      </c>
      <c r="T3215" s="8">
        <v>1</v>
      </c>
      <c r="U3215" s="8">
        <v>2</v>
      </c>
      <c r="X3215" s="8">
        <v>5</v>
      </c>
      <c r="AG3215" s="8" t="str">
        <f t="shared" si="201"/>
        <v/>
      </c>
      <c r="AI3215" s="8" t="str">
        <f t="shared" si="202"/>
        <v/>
      </c>
      <c r="AJ3215" s="8" t="str">
        <f t="shared" si="203"/>
        <v/>
      </c>
      <c r="AL3215" s="8" t="str">
        <f t="shared" si="204"/>
        <v/>
      </c>
    </row>
    <row r="3216" spans="1:38" x14ac:dyDescent="0.25">
      <c r="A3216" s="8" t="s">
        <v>7889</v>
      </c>
      <c r="B3216" s="8" t="s">
        <v>7890</v>
      </c>
      <c r="C3216" s="8">
        <v>30891245</v>
      </c>
      <c r="D3216" s="8">
        <v>5</v>
      </c>
      <c r="E3216" s="11">
        <v>43111</v>
      </c>
      <c r="F3216" s="8" t="s">
        <v>57</v>
      </c>
      <c r="G3216" s="11">
        <v>43115</v>
      </c>
      <c r="H3216" s="8" t="s">
        <v>25</v>
      </c>
      <c r="J3216" s="8" t="s">
        <v>25</v>
      </c>
      <c r="N3216" s="8" t="s">
        <v>58</v>
      </c>
      <c r="O3216" s="8" t="s">
        <v>59</v>
      </c>
      <c r="P3216" s="8" t="s">
        <v>59</v>
      </c>
      <c r="R3216" s="8">
        <v>0</v>
      </c>
      <c r="S3216" s="8">
        <v>0</v>
      </c>
      <c r="T3216" s="8">
        <v>1</v>
      </c>
      <c r="U3216" s="8">
        <v>2</v>
      </c>
      <c r="AG3216" s="8" t="str">
        <f t="shared" si="201"/>
        <v/>
      </c>
      <c r="AI3216" s="8" t="str">
        <f t="shared" si="202"/>
        <v/>
      </c>
      <c r="AJ3216" s="8" t="str">
        <f t="shared" si="203"/>
        <v/>
      </c>
      <c r="AL3216" s="8" t="str">
        <f t="shared" si="204"/>
        <v/>
      </c>
    </row>
    <row r="3217" spans="1:38" x14ac:dyDescent="0.25">
      <c r="A3217" s="8" t="s">
        <v>2947</v>
      </c>
      <c r="B3217" s="8" t="s">
        <v>2948</v>
      </c>
      <c r="C3217" s="8">
        <v>30820259</v>
      </c>
      <c r="D3217" s="8">
        <v>5</v>
      </c>
      <c r="E3217" s="11">
        <v>43108</v>
      </c>
      <c r="F3217" s="8" t="s">
        <v>57</v>
      </c>
      <c r="G3217" s="11">
        <v>43110</v>
      </c>
      <c r="H3217" s="8" t="s">
        <v>25</v>
      </c>
      <c r="J3217" s="8" t="s">
        <v>25</v>
      </c>
      <c r="N3217" s="8" t="s">
        <v>58</v>
      </c>
      <c r="O3217" s="8" t="s">
        <v>59</v>
      </c>
      <c r="P3217" s="8" t="s">
        <v>59</v>
      </c>
      <c r="R3217" s="8">
        <v>0</v>
      </c>
      <c r="S3217" s="8">
        <v>0</v>
      </c>
      <c r="T3217" s="8">
        <v>1</v>
      </c>
      <c r="U3217" s="8">
        <v>2</v>
      </c>
      <c r="AG3217" s="8" t="str">
        <f t="shared" si="201"/>
        <v/>
      </c>
      <c r="AI3217" s="8" t="str">
        <f t="shared" si="202"/>
        <v/>
      </c>
      <c r="AJ3217" s="8" t="str">
        <f t="shared" si="203"/>
        <v/>
      </c>
      <c r="AL3217" s="8" t="str">
        <f t="shared" si="204"/>
        <v/>
      </c>
    </row>
    <row r="3218" spans="1:38" x14ac:dyDescent="0.25">
      <c r="A3218" s="8" t="s">
        <v>6067</v>
      </c>
      <c r="B3218" s="8" t="s">
        <v>6068</v>
      </c>
      <c r="C3218" s="8">
        <v>30877357</v>
      </c>
      <c r="D3218" s="8">
        <v>5</v>
      </c>
      <c r="E3218" s="11">
        <v>43110</v>
      </c>
      <c r="F3218" s="8" t="s">
        <v>57</v>
      </c>
      <c r="G3218" s="11">
        <v>43112</v>
      </c>
      <c r="H3218" s="8" t="s">
        <v>25</v>
      </c>
      <c r="J3218" s="8" t="s">
        <v>25</v>
      </c>
      <c r="N3218" s="8" t="s">
        <v>58</v>
      </c>
      <c r="O3218" s="8" t="s">
        <v>59</v>
      </c>
      <c r="P3218" s="8" t="s">
        <v>59</v>
      </c>
      <c r="R3218" s="8">
        <v>0</v>
      </c>
      <c r="S3218" s="8">
        <v>0</v>
      </c>
      <c r="T3218" s="8">
        <v>1</v>
      </c>
      <c r="U3218" s="8">
        <v>2</v>
      </c>
      <c r="AG3218" s="8" t="str">
        <f t="shared" si="201"/>
        <v/>
      </c>
      <c r="AI3218" s="8" t="str">
        <f t="shared" si="202"/>
        <v/>
      </c>
      <c r="AJ3218" s="8" t="str">
        <f t="shared" si="203"/>
        <v/>
      </c>
      <c r="AL3218" s="8" t="str">
        <f t="shared" si="204"/>
        <v/>
      </c>
    </row>
    <row r="3219" spans="1:38" x14ac:dyDescent="0.25">
      <c r="A3219" s="8" t="s">
        <v>641</v>
      </c>
      <c r="B3219" s="8" t="s">
        <v>642</v>
      </c>
      <c r="C3219" s="8">
        <v>30807142</v>
      </c>
      <c r="D3219" s="8">
        <v>5</v>
      </c>
      <c r="E3219" s="11">
        <v>43108</v>
      </c>
      <c r="F3219" s="8" t="s">
        <v>58</v>
      </c>
      <c r="G3219" s="11">
        <v>43108</v>
      </c>
      <c r="H3219" s="8" t="s">
        <v>25</v>
      </c>
      <c r="I3219" s="11">
        <v>43111</v>
      </c>
      <c r="J3219" s="8" t="s">
        <v>25</v>
      </c>
      <c r="N3219" s="8" t="s">
        <v>58</v>
      </c>
      <c r="O3219" s="8" t="s">
        <v>59</v>
      </c>
      <c r="P3219" s="8" t="s">
        <v>59</v>
      </c>
      <c r="R3219" s="8">
        <v>0</v>
      </c>
      <c r="S3219" s="8">
        <v>0</v>
      </c>
      <c r="T3219" s="8">
        <v>1</v>
      </c>
      <c r="U3219" s="8">
        <v>2</v>
      </c>
      <c r="X3219" s="8">
        <v>5</v>
      </c>
      <c r="AG3219" s="8" t="str">
        <f t="shared" si="201"/>
        <v/>
      </c>
      <c r="AI3219" s="8" t="str">
        <f t="shared" si="202"/>
        <v/>
      </c>
      <c r="AJ3219" s="8" t="str">
        <f t="shared" si="203"/>
        <v/>
      </c>
      <c r="AL3219" s="8" t="str">
        <f t="shared" si="204"/>
        <v/>
      </c>
    </row>
    <row r="3220" spans="1:38" x14ac:dyDescent="0.25">
      <c r="A3220" s="8" t="s">
        <v>2949</v>
      </c>
      <c r="B3220" s="8" t="s">
        <v>93</v>
      </c>
      <c r="C3220" s="8">
        <v>30876098</v>
      </c>
      <c r="D3220" s="8">
        <v>5</v>
      </c>
      <c r="E3220" s="11">
        <v>43110</v>
      </c>
      <c r="F3220" s="8" t="s">
        <v>57</v>
      </c>
      <c r="G3220" s="11">
        <v>43110</v>
      </c>
      <c r="H3220" s="8" t="s">
        <v>25</v>
      </c>
      <c r="J3220" s="8" t="s">
        <v>25</v>
      </c>
      <c r="N3220" s="8" t="s">
        <v>58</v>
      </c>
      <c r="O3220" s="8" t="s">
        <v>59</v>
      </c>
      <c r="P3220" s="8" t="s">
        <v>59</v>
      </c>
      <c r="R3220" s="8">
        <v>0</v>
      </c>
      <c r="S3220" s="8">
        <v>0</v>
      </c>
      <c r="T3220" s="8">
        <v>1</v>
      </c>
      <c r="U3220" s="8">
        <v>2</v>
      </c>
      <c r="AG3220" s="8" t="str">
        <f t="shared" si="201"/>
        <v/>
      </c>
      <c r="AI3220" s="8" t="str">
        <f t="shared" si="202"/>
        <v/>
      </c>
      <c r="AJ3220" s="8" t="str">
        <f t="shared" si="203"/>
        <v/>
      </c>
      <c r="AL3220" s="8" t="str">
        <f t="shared" si="204"/>
        <v/>
      </c>
    </row>
    <row r="3221" spans="1:38" x14ac:dyDescent="0.25">
      <c r="A3221" s="8" t="s">
        <v>7891</v>
      </c>
      <c r="B3221" s="8" t="s">
        <v>7892</v>
      </c>
      <c r="C3221" s="8">
        <v>30903602</v>
      </c>
      <c r="D3221" s="8">
        <v>5</v>
      </c>
      <c r="E3221" s="11">
        <v>43111</v>
      </c>
      <c r="F3221" s="8" t="s">
        <v>57</v>
      </c>
      <c r="G3221" s="11">
        <v>43115</v>
      </c>
      <c r="H3221" s="8" t="s">
        <v>25</v>
      </c>
      <c r="J3221" s="8" t="s">
        <v>25</v>
      </c>
      <c r="N3221" s="8" t="s">
        <v>58</v>
      </c>
      <c r="O3221" s="8" t="s">
        <v>59</v>
      </c>
      <c r="P3221" s="8" t="s">
        <v>59</v>
      </c>
      <c r="R3221" s="8">
        <v>0</v>
      </c>
      <c r="S3221" s="8">
        <v>0</v>
      </c>
      <c r="T3221" s="8">
        <v>1</v>
      </c>
      <c r="U3221" s="8">
        <v>2</v>
      </c>
      <c r="AG3221" s="8" t="str">
        <f t="shared" si="201"/>
        <v/>
      </c>
      <c r="AI3221" s="8" t="str">
        <f t="shared" si="202"/>
        <v/>
      </c>
      <c r="AJ3221" s="8" t="str">
        <f t="shared" si="203"/>
        <v/>
      </c>
      <c r="AL3221" s="8" t="str">
        <f t="shared" si="204"/>
        <v/>
      </c>
    </row>
    <row r="3222" spans="1:38" x14ac:dyDescent="0.25">
      <c r="A3222" s="8" t="s">
        <v>7893</v>
      </c>
      <c r="B3222" s="8" t="s">
        <v>7894</v>
      </c>
      <c r="C3222" s="8">
        <v>30903842</v>
      </c>
      <c r="D3222" s="8">
        <v>5</v>
      </c>
      <c r="E3222" s="11">
        <v>43111</v>
      </c>
      <c r="F3222" s="8" t="s">
        <v>57</v>
      </c>
      <c r="G3222" s="11">
        <v>43115</v>
      </c>
      <c r="H3222" s="8" t="s">
        <v>25</v>
      </c>
      <c r="J3222" s="8" t="s">
        <v>25</v>
      </c>
      <c r="N3222" s="8" t="s">
        <v>58</v>
      </c>
      <c r="O3222" s="8" t="s">
        <v>59</v>
      </c>
      <c r="P3222" s="8" t="s">
        <v>59</v>
      </c>
      <c r="R3222" s="8">
        <v>0</v>
      </c>
      <c r="S3222" s="8">
        <v>0</v>
      </c>
      <c r="T3222" s="8">
        <v>1</v>
      </c>
      <c r="U3222" s="8">
        <v>2</v>
      </c>
      <c r="AG3222" s="8" t="str">
        <f t="shared" si="201"/>
        <v/>
      </c>
      <c r="AI3222" s="8" t="str">
        <f t="shared" si="202"/>
        <v/>
      </c>
      <c r="AJ3222" s="8" t="str">
        <f t="shared" si="203"/>
        <v/>
      </c>
      <c r="AL3222" s="8" t="str">
        <f t="shared" si="204"/>
        <v/>
      </c>
    </row>
    <row r="3223" spans="1:38" x14ac:dyDescent="0.25">
      <c r="A3223" s="8" t="s">
        <v>7895</v>
      </c>
      <c r="B3223" s="8" t="s">
        <v>7896</v>
      </c>
      <c r="C3223" s="8">
        <v>30903860</v>
      </c>
      <c r="D3223" s="8">
        <v>5</v>
      </c>
      <c r="E3223" s="11">
        <v>43111</v>
      </c>
      <c r="F3223" s="8" t="s">
        <v>57</v>
      </c>
      <c r="G3223" s="11">
        <v>43115</v>
      </c>
      <c r="H3223" s="8" t="s">
        <v>25</v>
      </c>
      <c r="J3223" s="8" t="s">
        <v>25</v>
      </c>
      <c r="N3223" s="8" t="s">
        <v>58</v>
      </c>
      <c r="O3223" s="8" t="s">
        <v>59</v>
      </c>
      <c r="P3223" s="8" t="s">
        <v>59</v>
      </c>
      <c r="R3223" s="8">
        <v>0</v>
      </c>
      <c r="S3223" s="8">
        <v>0</v>
      </c>
      <c r="T3223" s="8">
        <v>1</v>
      </c>
      <c r="U3223" s="8">
        <v>2</v>
      </c>
      <c r="AG3223" s="8" t="str">
        <f t="shared" si="201"/>
        <v/>
      </c>
      <c r="AI3223" s="8" t="str">
        <f t="shared" si="202"/>
        <v/>
      </c>
      <c r="AJ3223" s="8" t="str">
        <f t="shared" si="203"/>
        <v/>
      </c>
      <c r="AL3223" s="8" t="str">
        <f t="shared" si="204"/>
        <v/>
      </c>
    </row>
    <row r="3224" spans="1:38" x14ac:dyDescent="0.25">
      <c r="A3224" s="8" t="s">
        <v>7897</v>
      </c>
      <c r="B3224" s="8" t="s">
        <v>7898</v>
      </c>
      <c r="C3224" s="8">
        <v>30903893</v>
      </c>
      <c r="D3224" s="8">
        <v>5</v>
      </c>
      <c r="E3224" s="11">
        <v>43111</v>
      </c>
      <c r="F3224" s="8" t="s">
        <v>57</v>
      </c>
      <c r="G3224" s="11">
        <v>43115</v>
      </c>
      <c r="H3224" s="8" t="s">
        <v>25</v>
      </c>
      <c r="J3224" s="8" t="s">
        <v>25</v>
      </c>
      <c r="N3224" s="8" t="s">
        <v>58</v>
      </c>
      <c r="O3224" s="8" t="s">
        <v>59</v>
      </c>
      <c r="P3224" s="8" t="s">
        <v>59</v>
      </c>
      <c r="R3224" s="8">
        <v>0</v>
      </c>
      <c r="S3224" s="8">
        <v>0</v>
      </c>
      <c r="T3224" s="8">
        <v>1</v>
      </c>
      <c r="U3224" s="8">
        <v>2</v>
      </c>
      <c r="AG3224" s="8" t="str">
        <f t="shared" si="201"/>
        <v/>
      </c>
      <c r="AI3224" s="8" t="str">
        <f t="shared" si="202"/>
        <v/>
      </c>
      <c r="AJ3224" s="8" t="str">
        <f t="shared" si="203"/>
        <v/>
      </c>
      <c r="AL3224" s="8" t="str">
        <f t="shared" si="204"/>
        <v/>
      </c>
    </row>
    <row r="3225" spans="1:38" x14ac:dyDescent="0.25">
      <c r="A3225" s="8" t="s">
        <v>2950</v>
      </c>
      <c r="B3225" s="8" t="s">
        <v>2951</v>
      </c>
      <c r="C3225" s="8">
        <v>30812982</v>
      </c>
      <c r="D3225" s="8">
        <v>4</v>
      </c>
      <c r="E3225" s="11">
        <v>43108</v>
      </c>
      <c r="F3225" s="8" t="s">
        <v>58</v>
      </c>
      <c r="G3225" s="11">
        <v>43110</v>
      </c>
      <c r="H3225" s="8" t="s">
        <v>25</v>
      </c>
      <c r="I3225" s="11">
        <v>43112</v>
      </c>
      <c r="J3225" s="8" t="s">
        <v>25</v>
      </c>
      <c r="N3225" s="8" t="s">
        <v>58</v>
      </c>
      <c r="O3225" s="8" t="s">
        <v>59</v>
      </c>
      <c r="P3225" s="8" t="s">
        <v>59</v>
      </c>
      <c r="R3225" s="8">
        <v>0</v>
      </c>
      <c r="S3225" s="8">
        <v>0</v>
      </c>
      <c r="T3225" s="8">
        <v>1</v>
      </c>
      <c r="U3225" s="8">
        <v>2</v>
      </c>
      <c r="X3225" s="8">
        <v>5</v>
      </c>
      <c r="AG3225" s="8" t="str">
        <f t="shared" si="201"/>
        <v/>
      </c>
      <c r="AI3225" s="8" t="str">
        <f t="shared" si="202"/>
        <v/>
      </c>
      <c r="AJ3225" s="8" t="str">
        <f t="shared" si="203"/>
        <v/>
      </c>
      <c r="AL3225" s="8" t="str">
        <f t="shared" si="204"/>
        <v/>
      </c>
    </row>
    <row r="3226" spans="1:38" x14ac:dyDescent="0.25">
      <c r="A3226" s="8" t="s">
        <v>7899</v>
      </c>
      <c r="B3226" s="8" t="s">
        <v>7900</v>
      </c>
      <c r="C3226" s="8">
        <v>30891564</v>
      </c>
      <c r="D3226" s="8">
        <v>5</v>
      </c>
      <c r="E3226" s="11">
        <v>43111</v>
      </c>
      <c r="F3226" s="8" t="s">
        <v>58</v>
      </c>
      <c r="G3226" s="11">
        <v>43115</v>
      </c>
      <c r="H3226" s="8" t="s">
        <v>25</v>
      </c>
      <c r="I3226" s="11">
        <v>43115</v>
      </c>
      <c r="J3226" s="8" t="s">
        <v>25</v>
      </c>
      <c r="N3226" s="8" t="s">
        <v>58</v>
      </c>
      <c r="O3226" s="8" t="s">
        <v>59</v>
      </c>
      <c r="P3226" s="8" t="s">
        <v>59</v>
      </c>
      <c r="R3226" s="8">
        <v>0</v>
      </c>
      <c r="S3226" s="8">
        <v>0</v>
      </c>
      <c r="T3226" s="8">
        <v>1</v>
      </c>
      <c r="U3226" s="8">
        <v>2</v>
      </c>
      <c r="X3226" s="8">
        <v>5</v>
      </c>
      <c r="AG3226" s="8" t="str">
        <f t="shared" si="201"/>
        <v/>
      </c>
      <c r="AI3226" s="8" t="str">
        <f t="shared" si="202"/>
        <v/>
      </c>
      <c r="AJ3226" s="8" t="str">
        <f t="shared" si="203"/>
        <v/>
      </c>
      <c r="AL3226" s="8" t="str">
        <f t="shared" si="204"/>
        <v/>
      </c>
    </row>
    <row r="3227" spans="1:38" x14ac:dyDescent="0.25">
      <c r="A3227" s="8" t="s">
        <v>7901</v>
      </c>
      <c r="B3227" s="8" t="s">
        <v>7902</v>
      </c>
      <c r="C3227" s="8">
        <v>30899367</v>
      </c>
      <c r="D3227" s="8">
        <v>5</v>
      </c>
      <c r="E3227" s="11">
        <v>43111</v>
      </c>
      <c r="F3227" s="8" t="s">
        <v>58</v>
      </c>
      <c r="G3227" s="11">
        <v>43115</v>
      </c>
      <c r="H3227" s="8" t="s">
        <v>25</v>
      </c>
      <c r="I3227" s="11">
        <v>43115</v>
      </c>
      <c r="J3227" s="8" t="s">
        <v>25</v>
      </c>
      <c r="N3227" s="8" t="s">
        <v>58</v>
      </c>
      <c r="O3227" s="8" t="s">
        <v>59</v>
      </c>
      <c r="P3227" s="8" t="s">
        <v>59</v>
      </c>
      <c r="R3227" s="8">
        <v>0</v>
      </c>
      <c r="S3227" s="8">
        <v>0</v>
      </c>
      <c r="T3227" s="8">
        <v>1</v>
      </c>
      <c r="U3227" s="8">
        <v>2</v>
      </c>
      <c r="X3227" s="8">
        <v>5</v>
      </c>
      <c r="AG3227" s="8" t="str">
        <f t="shared" si="201"/>
        <v/>
      </c>
      <c r="AI3227" s="8" t="str">
        <f t="shared" si="202"/>
        <v/>
      </c>
      <c r="AJ3227" s="8" t="str">
        <f t="shared" si="203"/>
        <v/>
      </c>
      <c r="AL3227" s="8" t="str">
        <f t="shared" si="204"/>
        <v/>
      </c>
    </row>
    <row r="3228" spans="1:38" x14ac:dyDescent="0.25">
      <c r="A3228" s="8" t="s">
        <v>7903</v>
      </c>
      <c r="B3228" s="8" t="s">
        <v>7904</v>
      </c>
      <c r="C3228" s="8">
        <v>30904315</v>
      </c>
      <c r="D3228" s="8">
        <v>5</v>
      </c>
      <c r="E3228" s="11">
        <v>43111</v>
      </c>
      <c r="F3228" s="8" t="s">
        <v>57</v>
      </c>
      <c r="G3228" s="11">
        <v>43115</v>
      </c>
      <c r="H3228" s="8" t="s">
        <v>25</v>
      </c>
      <c r="J3228" s="8" t="s">
        <v>25</v>
      </c>
      <c r="N3228" s="8" t="s">
        <v>58</v>
      </c>
      <c r="O3228" s="8" t="s">
        <v>59</v>
      </c>
      <c r="P3228" s="8" t="s">
        <v>59</v>
      </c>
      <c r="R3228" s="8">
        <v>0</v>
      </c>
      <c r="S3228" s="8">
        <v>0</v>
      </c>
      <c r="T3228" s="8">
        <v>1</v>
      </c>
      <c r="U3228" s="8">
        <v>2</v>
      </c>
      <c r="AG3228" s="8" t="str">
        <f t="shared" si="201"/>
        <v/>
      </c>
      <c r="AI3228" s="8" t="str">
        <f t="shared" si="202"/>
        <v/>
      </c>
      <c r="AJ3228" s="8" t="str">
        <f t="shared" si="203"/>
        <v/>
      </c>
      <c r="AL3228" s="8" t="str">
        <f t="shared" si="204"/>
        <v/>
      </c>
    </row>
    <row r="3229" spans="1:38" x14ac:dyDescent="0.25">
      <c r="A3229" s="8" t="s">
        <v>6069</v>
      </c>
      <c r="B3229" s="8" t="s">
        <v>6070</v>
      </c>
      <c r="C3229" s="8">
        <v>30869705</v>
      </c>
      <c r="D3229" s="8">
        <v>5</v>
      </c>
      <c r="E3229" s="11">
        <v>43110</v>
      </c>
      <c r="F3229" s="8" t="s">
        <v>58</v>
      </c>
      <c r="G3229" s="11">
        <v>43112</v>
      </c>
      <c r="H3229" s="8" t="s">
        <v>25</v>
      </c>
      <c r="I3229" s="11">
        <v>43112</v>
      </c>
      <c r="J3229" s="8" t="s">
        <v>25</v>
      </c>
      <c r="N3229" s="8" t="s">
        <v>58</v>
      </c>
      <c r="O3229" s="8" t="s">
        <v>59</v>
      </c>
      <c r="P3229" s="8" t="s">
        <v>59</v>
      </c>
      <c r="R3229" s="8">
        <v>0</v>
      </c>
      <c r="S3229" s="8">
        <v>0</v>
      </c>
      <c r="T3229" s="8">
        <v>1</v>
      </c>
      <c r="U3229" s="8">
        <v>2</v>
      </c>
      <c r="X3229" s="8">
        <v>5</v>
      </c>
      <c r="AG3229" s="8" t="str">
        <f t="shared" si="201"/>
        <v/>
      </c>
      <c r="AI3229" s="8" t="str">
        <f t="shared" si="202"/>
        <v/>
      </c>
      <c r="AJ3229" s="8" t="str">
        <f t="shared" si="203"/>
        <v/>
      </c>
      <c r="AL3229" s="8" t="str">
        <f t="shared" si="204"/>
        <v/>
      </c>
    </row>
    <row r="3230" spans="1:38" x14ac:dyDescent="0.25">
      <c r="A3230" s="8" t="s">
        <v>6071</v>
      </c>
      <c r="B3230" s="8" t="s">
        <v>6072</v>
      </c>
      <c r="C3230" s="8">
        <v>30864035</v>
      </c>
      <c r="D3230" s="8">
        <v>5</v>
      </c>
      <c r="E3230" s="11">
        <v>43110</v>
      </c>
      <c r="F3230" s="8" t="s">
        <v>58</v>
      </c>
      <c r="G3230" s="11">
        <v>43112</v>
      </c>
      <c r="H3230" s="8" t="s">
        <v>25</v>
      </c>
      <c r="I3230" s="11">
        <v>43112</v>
      </c>
      <c r="J3230" s="8" t="s">
        <v>25</v>
      </c>
      <c r="N3230" s="8" t="s">
        <v>58</v>
      </c>
      <c r="O3230" s="8" t="s">
        <v>59</v>
      </c>
      <c r="P3230" s="8" t="s">
        <v>59</v>
      </c>
      <c r="R3230" s="8">
        <v>0</v>
      </c>
      <c r="S3230" s="8">
        <v>0</v>
      </c>
      <c r="T3230" s="8">
        <v>1</v>
      </c>
      <c r="U3230" s="8">
        <v>2</v>
      </c>
      <c r="X3230" s="8">
        <v>5</v>
      </c>
      <c r="AG3230" s="8" t="str">
        <f t="shared" si="201"/>
        <v/>
      </c>
      <c r="AI3230" s="8" t="str">
        <f t="shared" si="202"/>
        <v/>
      </c>
      <c r="AJ3230" s="8" t="str">
        <f t="shared" si="203"/>
        <v/>
      </c>
      <c r="AL3230" s="8" t="str">
        <f t="shared" si="204"/>
        <v/>
      </c>
    </row>
    <row r="3231" spans="1:38" x14ac:dyDescent="0.25">
      <c r="A3231" s="8" t="s">
        <v>6073</v>
      </c>
      <c r="B3231" s="8" t="s">
        <v>6074</v>
      </c>
      <c r="C3231" s="8">
        <v>30866711</v>
      </c>
      <c r="D3231" s="8">
        <v>5</v>
      </c>
      <c r="E3231" s="11">
        <v>43110</v>
      </c>
      <c r="F3231" s="8" t="s">
        <v>58</v>
      </c>
      <c r="G3231" s="11">
        <v>43112</v>
      </c>
      <c r="H3231" s="8" t="s">
        <v>25</v>
      </c>
      <c r="I3231" s="11">
        <v>43112</v>
      </c>
      <c r="J3231" s="8" t="s">
        <v>25</v>
      </c>
      <c r="N3231" s="8" t="s">
        <v>58</v>
      </c>
      <c r="O3231" s="8" t="s">
        <v>59</v>
      </c>
      <c r="P3231" s="8" t="s">
        <v>59</v>
      </c>
      <c r="R3231" s="8">
        <v>0</v>
      </c>
      <c r="S3231" s="8">
        <v>0</v>
      </c>
      <c r="T3231" s="8">
        <v>1</v>
      </c>
      <c r="U3231" s="8">
        <v>2</v>
      </c>
      <c r="X3231" s="8">
        <v>5</v>
      </c>
      <c r="AG3231" s="8" t="str">
        <f t="shared" si="201"/>
        <v/>
      </c>
      <c r="AI3231" s="8" t="str">
        <f t="shared" si="202"/>
        <v/>
      </c>
      <c r="AJ3231" s="8" t="str">
        <f t="shared" si="203"/>
        <v/>
      </c>
      <c r="AL3231" s="8" t="str">
        <f t="shared" si="204"/>
        <v/>
      </c>
    </row>
    <row r="3232" spans="1:38" x14ac:dyDescent="0.25">
      <c r="A3232" s="8" t="s">
        <v>6075</v>
      </c>
      <c r="B3232" s="8" t="s">
        <v>6076</v>
      </c>
      <c r="C3232" s="8">
        <v>30867943</v>
      </c>
      <c r="D3232" s="8">
        <v>5</v>
      </c>
      <c r="E3232" s="11">
        <v>43110</v>
      </c>
      <c r="F3232" s="8" t="s">
        <v>58</v>
      </c>
      <c r="G3232" s="11">
        <v>43112</v>
      </c>
      <c r="H3232" s="8" t="s">
        <v>25</v>
      </c>
      <c r="I3232" s="11">
        <v>43112</v>
      </c>
      <c r="J3232" s="8" t="s">
        <v>25</v>
      </c>
      <c r="N3232" s="8" t="s">
        <v>58</v>
      </c>
      <c r="O3232" s="8" t="s">
        <v>59</v>
      </c>
      <c r="P3232" s="8" t="s">
        <v>59</v>
      </c>
      <c r="R3232" s="8">
        <v>0</v>
      </c>
      <c r="S3232" s="8">
        <v>0</v>
      </c>
      <c r="T3232" s="8">
        <v>1</v>
      </c>
      <c r="U3232" s="8">
        <v>2</v>
      </c>
      <c r="X3232" s="8">
        <v>5</v>
      </c>
      <c r="AG3232" s="8" t="str">
        <f t="shared" si="201"/>
        <v/>
      </c>
      <c r="AI3232" s="8" t="str">
        <f t="shared" si="202"/>
        <v/>
      </c>
      <c r="AJ3232" s="8" t="str">
        <f t="shared" si="203"/>
        <v/>
      </c>
      <c r="AL3232" s="8" t="str">
        <f t="shared" si="204"/>
        <v/>
      </c>
    </row>
    <row r="3233" spans="1:38" x14ac:dyDescent="0.25">
      <c r="A3233" s="8" t="s">
        <v>4394</v>
      </c>
      <c r="B3233" s="8" t="s">
        <v>4395</v>
      </c>
      <c r="C3233" s="8">
        <v>30831798</v>
      </c>
      <c r="D3233" s="8">
        <v>5</v>
      </c>
      <c r="E3233" s="11">
        <v>43109</v>
      </c>
      <c r="F3233" s="8" t="s">
        <v>58</v>
      </c>
      <c r="G3233" s="11">
        <v>43111</v>
      </c>
      <c r="H3233" s="8" t="s">
        <v>25</v>
      </c>
      <c r="I3233" s="11">
        <v>43112</v>
      </c>
      <c r="J3233" s="8" t="s">
        <v>25</v>
      </c>
      <c r="N3233" s="8" t="s">
        <v>58</v>
      </c>
      <c r="O3233" s="8" t="s">
        <v>59</v>
      </c>
      <c r="P3233" s="8" t="s">
        <v>59</v>
      </c>
      <c r="R3233" s="8">
        <v>0</v>
      </c>
      <c r="S3233" s="8">
        <v>0</v>
      </c>
      <c r="T3233" s="8">
        <v>1</v>
      </c>
      <c r="U3233" s="8">
        <v>2</v>
      </c>
      <c r="X3233" s="8">
        <v>5</v>
      </c>
      <c r="AG3233" s="8" t="str">
        <f t="shared" si="201"/>
        <v/>
      </c>
      <c r="AI3233" s="8" t="str">
        <f t="shared" si="202"/>
        <v/>
      </c>
      <c r="AJ3233" s="8" t="str">
        <f t="shared" si="203"/>
        <v/>
      </c>
      <c r="AL3233" s="8" t="str">
        <f t="shared" si="204"/>
        <v/>
      </c>
    </row>
    <row r="3234" spans="1:38" x14ac:dyDescent="0.25">
      <c r="A3234" s="8" t="s">
        <v>6077</v>
      </c>
      <c r="B3234" s="8" t="s">
        <v>6078</v>
      </c>
      <c r="C3234" s="8">
        <v>30869838</v>
      </c>
      <c r="D3234" s="8">
        <v>4</v>
      </c>
      <c r="E3234" s="11">
        <v>43110</v>
      </c>
      <c r="F3234" s="8" t="s">
        <v>58</v>
      </c>
      <c r="G3234" s="11">
        <v>43112</v>
      </c>
      <c r="H3234" s="8" t="s">
        <v>25</v>
      </c>
      <c r="I3234" s="11">
        <v>43115</v>
      </c>
      <c r="J3234" s="8" t="s">
        <v>25</v>
      </c>
      <c r="N3234" s="8" t="s">
        <v>58</v>
      </c>
      <c r="O3234" s="8" t="s">
        <v>59</v>
      </c>
      <c r="P3234" s="8" t="s">
        <v>59</v>
      </c>
      <c r="R3234" s="8">
        <v>0</v>
      </c>
      <c r="S3234" s="8">
        <v>0</v>
      </c>
      <c r="T3234" s="8">
        <v>1</v>
      </c>
      <c r="U3234" s="8">
        <v>2</v>
      </c>
      <c r="X3234" s="8">
        <v>5</v>
      </c>
      <c r="AG3234" s="8" t="str">
        <f t="shared" si="201"/>
        <v/>
      </c>
      <c r="AI3234" s="8" t="str">
        <f t="shared" si="202"/>
        <v/>
      </c>
      <c r="AJ3234" s="8" t="str">
        <f t="shared" si="203"/>
        <v/>
      </c>
      <c r="AL3234" s="8" t="str">
        <f t="shared" si="204"/>
        <v/>
      </c>
    </row>
    <row r="3235" spans="1:38" x14ac:dyDescent="0.25">
      <c r="A3235" s="8" t="s">
        <v>7905</v>
      </c>
      <c r="B3235" s="8" t="s">
        <v>7906</v>
      </c>
      <c r="C3235" s="8">
        <v>30904022</v>
      </c>
      <c r="D3235" s="8">
        <v>5</v>
      </c>
      <c r="E3235" s="11">
        <v>43111</v>
      </c>
      <c r="F3235" s="8" t="s">
        <v>57</v>
      </c>
      <c r="G3235" s="11">
        <v>43115</v>
      </c>
      <c r="H3235" s="8" t="s">
        <v>25</v>
      </c>
      <c r="J3235" s="8" t="s">
        <v>25</v>
      </c>
      <c r="N3235" s="8" t="s">
        <v>58</v>
      </c>
      <c r="O3235" s="8" t="s">
        <v>59</v>
      </c>
      <c r="P3235" s="8" t="s">
        <v>59</v>
      </c>
      <c r="R3235" s="8">
        <v>0</v>
      </c>
      <c r="S3235" s="8">
        <v>0</v>
      </c>
      <c r="T3235" s="8">
        <v>1</v>
      </c>
      <c r="U3235" s="8">
        <v>2</v>
      </c>
      <c r="AG3235" s="8" t="str">
        <f t="shared" si="201"/>
        <v/>
      </c>
      <c r="AI3235" s="8" t="str">
        <f t="shared" si="202"/>
        <v/>
      </c>
      <c r="AJ3235" s="8" t="str">
        <f t="shared" si="203"/>
        <v/>
      </c>
      <c r="AL3235" s="8" t="str">
        <f t="shared" si="204"/>
        <v/>
      </c>
    </row>
    <row r="3236" spans="1:38" x14ac:dyDescent="0.25">
      <c r="A3236" s="8" t="s">
        <v>7907</v>
      </c>
      <c r="B3236" s="8" t="s">
        <v>7908</v>
      </c>
      <c r="C3236" s="8">
        <v>30888179</v>
      </c>
      <c r="D3236" s="8">
        <v>5</v>
      </c>
      <c r="E3236" s="11">
        <v>43111</v>
      </c>
      <c r="F3236" s="8" t="s">
        <v>57</v>
      </c>
      <c r="G3236" s="11">
        <v>43115</v>
      </c>
      <c r="H3236" s="8" t="s">
        <v>25</v>
      </c>
      <c r="J3236" s="8" t="s">
        <v>25</v>
      </c>
      <c r="N3236" s="8" t="s">
        <v>58</v>
      </c>
      <c r="O3236" s="8" t="s">
        <v>59</v>
      </c>
      <c r="P3236" s="8" t="s">
        <v>59</v>
      </c>
      <c r="R3236" s="8">
        <v>0</v>
      </c>
      <c r="S3236" s="8">
        <v>0</v>
      </c>
      <c r="T3236" s="8">
        <v>1</v>
      </c>
      <c r="U3236" s="8">
        <v>2</v>
      </c>
      <c r="AG3236" s="8" t="str">
        <f t="shared" si="201"/>
        <v/>
      </c>
      <c r="AI3236" s="8" t="str">
        <f t="shared" si="202"/>
        <v/>
      </c>
      <c r="AJ3236" s="8" t="str">
        <f t="shared" si="203"/>
        <v/>
      </c>
      <c r="AL3236" s="8" t="str">
        <f t="shared" si="204"/>
        <v/>
      </c>
    </row>
    <row r="3237" spans="1:38" x14ac:dyDescent="0.25">
      <c r="A3237" s="8" t="s">
        <v>4396</v>
      </c>
      <c r="B3237" s="8" t="s">
        <v>4397</v>
      </c>
      <c r="C3237" s="8">
        <v>30831743</v>
      </c>
      <c r="D3237" s="8">
        <v>5</v>
      </c>
      <c r="E3237" s="11">
        <v>43109</v>
      </c>
      <c r="F3237" s="8" t="s">
        <v>57</v>
      </c>
      <c r="G3237" s="11">
        <v>43111</v>
      </c>
      <c r="H3237" s="8" t="s">
        <v>25</v>
      </c>
      <c r="J3237" s="8" t="s">
        <v>25</v>
      </c>
      <c r="N3237" s="8" t="s">
        <v>58</v>
      </c>
      <c r="O3237" s="8" t="s">
        <v>59</v>
      </c>
      <c r="P3237" s="8" t="s">
        <v>59</v>
      </c>
      <c r="R3237" s="8">
        <v>0</v>
      </c>
      <c r="S3237" s="8">
        <v>0</v>
      </c>
      <c r="T3237" s="8">
        <v>1</v>
      </c>
      <c r="U3237" s="8">
        <v>2</v>
      </c>
      <c r="AG3237" s="8" t="str">
        <f t="shared" si="201"/>
        <v/>
      </c>
      <c r="AI3237" s="8" t="str">
        <f t="shared" si="202"/>
        <v/>
      </c>
      <c r="AJ3237" s="8" t="str">
        <f t="shared" si="203"/>
        <v/>
      </c>
      <c r="AL3237" s="8" t="str">
        <f t="shared" si="204"/>
        <v/>
      </c>
    </row>
    <row r="3238" spans="1:38" x14ac:dyDescent="0.25">
      <c r="A3238" s="8" t="s">
        <v>4398</v>
      </c>
      <c r="B3238" s="8" t="s">
        <v>4399</v>
      </c>
      <c r="C3238" s="8">
        <v>30843541</v>
      </c>
      <c r="D3238" s="8">
        <v>5</v>
      </c>
      <c r="E3238" s="11">
        <v>43109</v>
      </c>
      <c r="F3238" s="8" t="s">
        <v>58</v>
      </c>
      <c r="G3238" s="11">
        <v>43111</v>
      </c>
      <c r="H3238" s="8" t="s">
        <v>25</v>
      </c>
      <c r="I3238" s="11">
        <v>43112</v>
      </c>
      <c r="J3238" s="8" t="s">
        <v>25</v>
      </c>
      <c r="N3238" s="8" t="s">
        <v>58</v>
      </c>
      <c r="O3238" s="8" t="s">
        <v>59</v>
      </c>
      <c r="P3238" s="8" t="s">
        <v>59</v>
      </c>
      <c r="R3238" s="8">
        <v>0</v>
      </c>
      <c r="S3238" s="8">
        <v>0</v>
      </c>
      <c r="T3238" s="8">
        <v>1</v>
      </c>
      <c r="U3238" s="8">
        <v>2</v>
      </c>
      <c r="X3238" s="8">
        <v>5</v>
      </c>
      <c r="AG3238" s="8" t="str">
        <f t="shared" si="201"/>
        <v/>
      </c>
      <c r="AI3238" s="8" t="str">
        <f t="shared" si="202"/>
        <v/>
      </c>
      <c r="AJ3238" s="8" t="str">
        <f t="shared" si="203"/>
        <v/>
      </c>
      <c r="AL3238" s="8" t="str">
        <f t="shared" si="204"/>
        <v/>
      </c>
    </row>
    <row r="3239" spans="1:38" x14ac:dyDescent="0.25">
      <c r="A3239" s="8" t="s">
        <v>7909</v>
      </c>
      <c r="B3239" s="8" t="s">
        <v>7910</v>
      </c>
      <c r="C3239" s="8">
        <v>30891068</v>
      </c>
      <c r="D3239" s="8">
        <v>5</v>
      </c>
      <c r="E3239" s="11">
        <v>43111</v>
      </c>
      <c r="F3239" s="8" t="s">
        <v>57</v>
      </c>
      <c r="G3239" s="11">
        <v>43115</v>
      </c>
      <c r="H3239" s="8" t="s">
        <v>25</v>
      </c>
      <c r="J3239" s="8" t="s">
        <v>25</v>
      </c>
      <c r="N3239" s="8" t="s">
        <v>58</v>
      </c>
      <c r="O3239" s="8" t="s">
        <v>59</v>
      </c>
      <c r="P3239" s="8" t="s">
        <v>59</v>
      </c>
      <c r="R3239" s="8">
        <v>0</v>
      </c>
      <c r="S3239" s="8">
        <v>0</v>
      </c>
      <c r="T3239" s="8">
        <v>1</v>
      </c>
      <c r="U3239" s="8">
        <v>2</v>
      </c>
      <c r="AG3239" s="8" t="str">
        <f t="shared" si="201"/>
        <v/>
      </c>
      <c r="AI3239" s="8" t="str">
        <f t="shared" si="202"/>
        <v/>
      </c>
      <c r="AJ3239" s="8" t="str">
        <f t="shared" si="203"/>
        <v/>
      </c>
      <c r="AL3239" s="8" t="str">
        <f t="shared" si="204"/>
        <v/>
      </c>
    </row>
    <row r="3240" spans="1:38" x14ac:dyDescent="0.25">
      <c r="A3240" s="8" t="s">
        <v>6079</v>
      </c>
      <c r="B3240" s="8" t="s">
        <v>6080</v>
      </c>
      <c r="C3240" s="8">
        <v>30873328</v>
      </c>
      <c r="D3240" s="8">
        <v>5</v>
      </c>
      <c r="E3240" s="11">
        <v>43110</v>
      </c>
      <c r="F3240" s="8" t="s">
        <v>60</v>
      </c>
      <c r="G3240" s="11">
        <v>43112</v>
      </c>
      <c r="H3240" s="8" t="s">
        <v>25</v>
      </c>
      <c r="J3240" s="8" t="s">
        <v>25</v>
      </c>
      <c r="L3240" s="8" t="s">
        <v>6525</v>
      </c>
      <c r="N3240" s="8" t="s">
        <v>58</v>
      </c>
      <c r="O3240" s="8" t="s">
        <v>59</v>
      </c>
      <c r="P3240" s="8" t="s">
        <v>59</v>
      </c>
      <c r="R3240" s="8">
        <v>0</v>
      </c>
      <c r="S3240" s="8">
        <v>0</v>
      </c>
      <c r="T3240" s="8">
        <v>1</v>
      </c>
      <c r="U3240" s="8">
        <v>2</v>
      </c>
      <c r="W3240" s="8">
        <v>4</v>
      </c>
      <c r="AG3240" s="8" t="str">
        <f t="shared" si="201"/>
        <v/>
      </c>
      <c r="AI3240" s="8" t="str">
        <f t="shared" si="202"/>
        <v/>
      </c>
      <c r="AJ3240" s="8" t="str">
        <f t="shared" si="203"/>
        <v/>
      </c>
      <c r="AL3240" s="8" t="str">
        <f t="shared" si="204"/>
        <v/>
      </c>
    </row>
    <row r="3241" spans="1:38" x14ac:dyDescent="0.25">
      <c r="A3241" s="8" t="s">
        <v>6081</v>
      </c>
      <c r="B3241" s="8" t="s">
        <v>6082</v>
      </c>
      <c r="C3241" s="8">
        <v>30890943</v>
      </c>
      <c r="D3241" s="8">
        <v>4</v>
      </c>
      <c r="E3241" s="11">
        <v>43111</v>
      </c>
      <c r="F3241" s="8" t="s">
        <v>57</v>
      </c>
      <c r="G3241" s="11">
        <v>43112</v>
      </c>
      <c r="H3241" s="8" t="s">
        <v>25</v>
      </c>
      <c r="J3241" s="8" t="s">
        <v>25</v>
      </c>
      <c r="N3241" s="8" t="s">
        <v>58</v>
      </c>
      <c r="O3241" s="8" t="s">
        <v>59</v>
      </c>
      <c r="P3241" s="8" t="s">
        <v>59</v>
      </c>
      <c r="R3241" s="8">
        <v>0</v>
      </c>
      <c r="S3241" s="8">
        <v>0</v>
      </c>
      <c r="T3241" s="8">
        <v>1</v>
      </c>
      <c r="U3241" s="8">
        <v>2</v>
      </c>
      <c r="AG3241" s="8" t="str">
        <f t="shared" si="201"/>
        <v/>
      </c>
      <c r="AI3241" s="8" t="str">
        <f t="shared" si="202"/>
        <v/>
      </c>
      <c r="AJ3241" s="8" t="str">
        <f t="shared" si="203"/>
        <v/>
      </c>
      <c r="AL3241" s="8" t="str">
        <f t="shared" si="204"/>
        <v/>
      </c>
    </row>
    <row r="3242" spans="1:38" x14ac:dyDescent="0.25">
      <c r="A3242" s="8" t="s">
        <v>6083</v>
      </c>
      <c r="B3242" s="8" t="s">
        <v>6084</v>
      </c>
      <c r="C3242" s="8">
        <v>30891207</v>
      </c>
      <c r="D3242" s="8">
        <v>4</v>
      </c>
      <c r="E3242" s="11">
        <v>43111</v>
      </c>
      <c r="F3242" s="8" t="s">
        <v>57</v>
      </c>
      <c r="G3242" s="11">
        <v>43112</v>
      </c>
      <c r="H3242" s="8" t="s">
        <v>25</v>
      </c>
      <c r="J3242" s="8" t="s">
        <v>25</v>
      </c>
      <c r="N3242" s="8" t="s">
        <v>58</v>
      </c>
      <c r="O3242" s="8" t="s">
        <v>59</v>
      </c>
      <c r="P3242" s="8" t="s">
        <v>59</v>
      </c>
      <c r="R3242" s="8">
        <v>0</v>
      </c>
      <c r="S3242" s="8">
        <v>0</v>
      </c>
      <c r="T3242" s="8">
        <v>1</v>
      </c>
      <c r="U3242" s="8">
        <v>2</v>
      </c>
      <c r="AG3242" s="8" t="str">
        <f t="shared" si="201"/>
        <v/>
      </c>
      <c r="AI3242" s="8" t="str">
        <f t="shared" si="202"/>
        <v/>
      </c>
      <c r="AJ3242" s="8" t="str">
        <f t="shared" si="203"/>
        <v/>
      </c>
      <c r="AL3242" s="8" t="str">
        <f t="shared" si="204"/>
        <v/>
      </c>
    </row>
    <row r="3243" spans="1:38" x14ac:dyDescent="0.25">
      <c r="A3243" s="8" t="s">
        <v>6085</v>
      </c>
      <c r="B3243" s="8" t="s">
        <v>6086</v>
      </c>
      <c r="C3243" s="8">
        <v>30923312</v>
      </c>
      <c r="D3243" s="8">
        <v>5</v>
      </c>
      <c r="E3243" s="11">
        <v>43112</v>
      </c>
      <c r="F3243" s="8" t="s">
        <v>57</v>
      </c>
      <c r="G3243" s="11">
        <v>43112</v>
      </c>
      <c r="H3243" s="8" t="s">
        <v>25</v>
      </c>
      <c r="J3243" s="8" t="s">
        <v>25</v>
      </c>
      <c r="N3243" s="8" t="s">
        <v>58</v>
      </c>
      <c r="O3243" s="8" t="s">
        <v>59</v>
      </c>
      <c r="P3243" s="8" t="s">
        <v>59</v>
      </c>
      <c r="R3243" s="8">
        <v>0</v>
      </c>
      <c r="S3243" s="8">
        <v>0</v>
      </c>
      <c r="T3243" s="8">
        <v>1</v>
      </c>
      <c r="U3243" s="8">
        <v>2</v>
      </c>
      <c r="AG3243" s="8" t="str">
        <f t="shared" si="201"/>
        <v/>
      </c>
      <c r="AI3243" s="8" t="str">
        <f t="shared" si="202"/>
        <v/>
      </c>
      <c r="AJ3243" s="8" t="str">
        <f t="shared" si="203"/>
        <v/>
      </c>
      <c r="AL3243" s="8" t="str">
        <f t="shared" si="204"/>
        <v/>
      </c>
    </row>
    <row r="3244" spans="1:38" x14ac:dyDescent="0.25">
      <c r="A3244" s="8" t="s">
        <v>2952</v>
      </c>
      <c r="B3244" s="8" t="s">
        <v>2953</v>
      </c>
      <c r="C3244" s="8">
        <v>30809218</v>
      </c>
      <c r="D3244" s="8">
        <v>5</v>
      </c>
      <c r="E3244" s="11">
        <v>43108</v>
      </c>
      <c r="F3244" s="8" t="s">
        <v>57</v>
      </c>
      <c r="G3244" s="11">
        <v>43110</v>
      </c>
      <c r="H3244" s="8" t="s">
        <v>25</v>
      </c>
      <c r="J3244" s="8" t="s">
        <v>25</v>
      </c>
      <c r="N3244" s="8" t="s">
        <v>58</v>
      </c>
      <c r="O3244" s="8" t="s">
        <v>59</v>
      </c>
      <c r="P3244" s="8" t="s">
        <v>59</v>
      </c>
      <c r="R3244" s="8">
        <v>0</v>
      </c>
      <c r="S3244" s="8">
        <v>0</v>
      </c>
      <c r="T3244" s="8">
        <v>1</v>
      </c>
      <c r="U3244" s="8">
        <v>2</v>
      </c>
      <c r="AG3244" s="8" t="str">
        <f t="shared" si="201"/>
        <v/>
      </c>
      <c r="AI3244" s="8" t="str">
        <f t="shared" si="202"/>
        <v/>
      </c>
      <c r="AJ3244" s="8" t="str">
        <f t="shared" si="203"/>
        <v/>
      </c>
      <c r="AL3244" s="8" t="str">
        <f t="shared" si="204"/>
        <v/>
      </c>
    </row>
    <row r="3245" spans="1:38" x14ac:dyDescent="0.25">
      <c r="A3245" s="8" t="s">
        <v>2954</v>
      </c>
      <c r="B3245" s="8" t="s">
        <v>2955</v>
      </c>
      <c r="C3245" s="8">
        <v>30816762</v>
      </c>
      <c r="D3245" s="8">
        <v>5</v>
      </c>
      <c r="E3245" s="11">
        <v>43108</v>
      </c>
      <c r="F3245" s="8" t="s">
        <v>57</v>
      </c>
      <c r="G3245" s="11">
        <v>43110</v>
      </c>
      <c r="H3245" s="8" t="s">
        <v>25</v>
      </c>
      <c r="J3245" s="8" t="s">
        <v>25</v>
      </c>
      <c r="N3245" s="8" t="s">
        <v>58</v>
      </c>
      <c r="O3245" s="8" t="s">
        <v>59</v>
      </c>
      <c r="P3245" s="8" t="s">
        <v>59</v>
      </c>
      <c r="R3245" s="8">
        <v>0</v>
      </c>
      <c r="S3245" s="8">
        <v>0</v>
      </c>
      <c r="T3245" s="8">
        <v>1</v>
      </c>
      <c r="U3245" s="8">
        <v>2</v>
      </c>
      <c r="AG3245" s="8" t="str">
        <f t="shared" si="201"/>
        <v/>
      </c>
      <c r="AI3245" s="8" t="str">
        <f t="shared" si="202"/>
        <v/>
      </c>
      <c r="AJ3245" s="8" t="str">
        <f t="shared" si="203"/>
        <v/>
      </c>
      <c r="AL3245" s="8" t="str">
        <f t="shared" si="204"/>
        <v/>
      </c>
    </row>
    <row r="3246" spans="1:38" x14ac:dyDescent="0.25">
      <c r="A3246" s="8" t="s">
        <v>4400</v>
      </c>
      <c r="B3246" s="8" t="s">
        <v>4401</v>
      </c>
      <c r="C3246" s="8">
        <v>30897564</v>
      </c>
      <c r="D3246" s="8">
        <v>5</v>
      </c>
      <c r="E3246" s="11">
        <v>43111</v>
      </c>
      <c r="F3246" s="8" t="s">
        <v>57</v>
      </c>
      <c r="G3246" s="11">
        <v>43111</v>
      </c>
      <c r="H3246" s="8" t="s">
        <v>25</v>
      </c>
      <c r="J3246" s="8" t="s">
        <v>25</v>
      </c>
      <c r="N3246" s="8" t="s">
        <v>58</v>
      </c>
      <c r="O3246" s="8" t="s">
        <v>59</v>
      </c>
      <c r="P3246" s="8" t="s">
        <v>59</v>
      </c>
      <c r="R3246" s="8">
        <v>0</v>
      </c>
      <c r="S3246" s="8">
        <v>0</v>
      </c>
      <c r="T3246" s="8">
        <v>1</v>
      </c>
      <c r="U3246" s="8">
        <v>2</v>
      </c>
      <c r="AG3246" s="8" t="str">
        <f t="shared" si="201"/>
        <v/>
      </c>
      <c r="AI3246" s="8" t="str">
        <f t="shared" si="202"/>
        <v/>
      </c>
      <c r="AJ3246" s="8" t="str">
        <f t="shared" si="203"/>
        <v/>
      </c>
      <c r="AL3246" s="8" t="str">
        <f t="shared" si="204"/>
        <v/>
      </c>
    </row>
    <row r="3247" spans="1:38" x14ac:dyDescent="0.25">
      <c r="A3247" s="8" t="s">
        <v>6087</v>
      </c>
      <c r="B3247" s="8" t="s">
        <v>6088</v>
      </c>
      <c r="C3247" s="8">
        <v>30910304</v>
      </c>
      <c r="D3247" s="8">
        <v>5</v>
      </c>
      <c r="E3247" s="11">
        <v>43112</v>
      </c>
      <c r="F3247" s="8" t="s">
        <v>57</v>
      </c>
      <c r="G3247" s="11">
        <v>43112</v>
      </c>
      <c r="H3247" s="8" t="s">
        <v>25</v>
      </c>
      <c r="J3247" s="8" t="s">
        <v>25</v>
      </c>
      <c r="N3247" s="8" t="s">
        <v>58</v>
      </c>
      <c r="O3247" s="8" t="s">
        <v>59</v>
      </c>
      <c r="P3247" s="8" t="s">
        <v>59</v>
      </c>
      <c r="R3247" s="8">
        <v>0</v>
      </c>
      <c r="S3247" s="8">
        <v>0</v>
      </c>
      <c r="T3247" s="8">
        <v>1</v>
      </c>
      <c r="U3247" s="8">
        <v>2</v>
      </c>
      <c r="AG3247" s="8" t="str">
        <f t="shared" si="201"/>
        <v/>
      </c>
      <c r="AI3247" s="8" t="str">
        <f t="shared" si="202"/>
        <v/>
      </c>
      <c r="AJ3247" s="8" t="str">
        <f t="shared" si="203"/>
        <v/>
      </c>
      <c r="AL3247" s="8" t="str">
        <f t="shared" si="204"/>
        <v/>
      </c>
    </row>
    <row r="3248" spans="1:38" x14ac:dyDescent="0.25">
      <c r="A3248" s="8" t="s">
        <v>4402</v>
      </c>
      <c r="B3248" s="8" t="s">
        <v>4403</v>
      </c>
      <c r="C3248" s="8">
        <v>30831517</v>
      </c>
      <c r="D3248" s="8">
        <v>5</v>
      </c>
      <c r="E3248" s="11">
        <v>43109</v>
      </c>
      <c r="F3248" s="8" t="s">
        <v>57</v>
      </c>
      <c r="G3248" s="11">
        <v>43111</v>
      </c>
      <c r="H3248" s="8" t="s">
        <v>25</v>
      </c>
      <c r="J3248" s="8" t="s">
        <v>25</v>
      </c>
      <c r="N3248" s="8" t="s">
        <v>58</v>
      </c>
      <c r="O3248" s="8" t="s">
        <v>59</v>
      </c>
      <c r="P3248" s="8" t="s">
        <v>59</v>
      </c>
      <c r="R3248" s="8">
        <v>0</v>
      </c>
      <c r="S3248" s="8">
        <v>0</v>
      </c>
      <c r="T3248" s="8">
        <v>1</v>
      </c>
      <c r="U3248" s="8">
        <v>2</v>
      </c>
      <c r="AG3248" s="8" t="str">
        <f t="shared" si="201"/>
        <v/>
      </c>
      <c r="AI3248" s="8" t="str">
        <f t="shared" si="202"/>
        <v/>
      </c>
      <c r="AJ3248" s="8" t="str">
        <f t="shared" si="203"/>
        <v/>
      </c>
      <c r="AL3248" s="8" t="str">
        <f t="shared" si="204"/>
        <v/>
      </c>
    </row>
    <row r="3249" spans="1:38" x14ac:dyDescent="0.25">
      <c r="A3249" s="8" t="s">
        <v>7911</v>
      </c>
      <c r="B3249" s="8" t="s">
        <v>7912</v>
      </c>
      <c r="C3249" s="8">
        <v>30904042</v>
      </c>
      <c r="D3249" s="8">
        <v>5</v>
      </c>
      <c r="E3249" s="11">
        <v>43111</v>
      </c>
      <c r="F3249" s="8" t="s">
        <v>57</v>
      </c>
      <c r="G3249" s="11">
        <v>43115</v>
      </c>
      <c r="H3249" s="8" t="s">
        <v>25</v>
      </c>
      <c r="J3249" s="8" t="s">
        <v>25</v>
      </c>
      <c r="N3249" s="8" t="s">
        <v>58</v>
      </c>
      <c r="O3249" s="8" t="s">
        <v>59</v>
      </c>
      <c r="P3249" s="8" t="s">
        <v>59</v>
      </c>
      <c r="R3249" s="8">
        <v>0</v>
      </c>
      <c r="S3249" s="8">
        <v>0</v>
      </c>
      <c r="T3249" s="8">
        <v>1</v>
      </c>
      <c r="U3249" s="8">
        <v>2</v>
      </c>
      <c r="AG3249" s="8" t="str">
        <f t="shared" si="201"/>
        <v/>
      </c>
      <c r="AI3249" s="8" t="str">
        <f t="shared" si="202"/>
        <v/>
      </c>
      <c r="AJ3249" s="8" t="str">
        <f t="shared" si="203"/>
        <v/>
      </c>
      <c r="AL3249" s="8" t="str">
        <f t="shared" si="204"/>
        <v/>
      </c>
    </row>
    <row r="3250" spans="1:38" x14ac:dyDescent="0.25">
      <c r="A3250" s="8" t="s">
        <v>6089</v>
      </c>
      <c r="B3250" s="8" t="s">
        <v>6090</v>
      </c>
      <c r="C3250" s="8">
        <v>30900380</v>
      </c>
      <c r="D3250" s="8">
        <v>5</v>
      </c>
      <c r="E3250" s="11">
        <v>43111</v>
      </c>
      <c r="F3250" s="8" t="s">
        <v>57</v>
      </c>
      <c r="G3250" s="11">
        <v>43112</v>
      </c>
      <c r="H3250" s="8" t="s">
        <v>25</v>
      </c>
      <c r="J3250" s="8" t="s">
        <v>25</v>
      </c>
      <c r="N3250" s="8" t="s">
        <v>58</v>
      </c>
      <c r="O3250" s="8" t="s">
        <v>59</v>
      </c>
      <c r="P3250" s="8" t="s">
        <v>59</v>
      </c>
      <c r="R3250" s="8">
        <v>0</v>
      </c>
      <c r="S3250" s="8">
        <v>0</v>
      </c>
      <c r="T3250" s="8">
        <v>1</v>
      </c>
      <c r="U3250" s="8">
        <v>2</v>
      </c>
      <c r="AG3250" s="8" t="str">
        <f t="shared" si="201"/>
        <v/>
      </c>
      <c r="AI3250" s="8" t="str">
        <f t="shared" si="202"/>
        <v/>
      </c>
      <c r="AJ3250" s="8" t="str">
        <f t="shared" si="203"/>
        <v/>
      </c>
      <c r="AL3250" s="8" t="str">
        <f t="shared" si="204"/>
        <v/>
      </c>
    </row>
    <row r="3251" spans="1:38" x14ac:dyDescent="0.25">
      <c r="A3251" s="8" t="s">
        <v>7913</v>
      </c>
      <c r="B3251" s="8" t="s">
        <v>7914</v>
      </c>
      <c r="C3251" s="8">
        <v>30893282</v>
      </c>
      <c r="D3251" s="8">
        <v>5</v>
      </c>
      <c r="E3251" s="11">
        <v>43111</v>
      </c>
      <c r="F3251" s="8" t="s">
        <v>57</v>
      </c>
      <c r="G3251" s="11">
        <v>43115</v>
      </c>
      <c r="H3251" s="8" t="s">
        <v>25</v>
      </c>
      <c r="J3251" s="8" t="s">
        <v>25</v>
      </c>
      <c r="N3251" s="8" t="s">
        <v>58</v>
      </c>
      <c r="O3251" s="8" t="s">
        <v>59</v>
      </c>
      <c r="P3251" s="8" t="s">
        <v>59</v>
      </c>
      <c r="R3251" s="8">
        <v>0</v>
      </c>
      <c r="S3251" s="8">
        <v>0</v>
      </c>
      <c r="T3251" s="8">
        <v>1</v>
      </c>
      <c r="U3251" s="8">
        <v>2</v>
      </c>
      <c r="AG3251" s="8" t="str">
        <f t="shared" si="201"/>
        <v/>
      </c>
      <c r="AI3251" s="8" t="str">
        <f t="shared" si="202"/>
        <v/>
      </c>
      <c r="AJ3251" s="8" t="str">
        <f t="shared" si="203"/>
        <v/>
      </c>
      <c r="AL3251" s="8" t="str">
        <f t="shared" si="204"/>
        <v/>
      </c>
    </row>
    <row r="3252" spans="1:38" x14ac:dyDescent="0.25">
      <c r="A3252" s="8" t="s">
        <v>7915</v>
      </c>
      <c r="B3252" s="8" t="s">
        <v>7916</v>
      </c>
      <c r="C3252" s="8">
        <v>30933601</v>
      </c>
      <c r="D3252" s="8">
        <v>4</v>
      </c>
      <c r="E3252" s="11">
        <v>43115</v>
      </c>
      <c r="F3252" s="8" t="s">
        <v>57</v>
      </c>
      <c r="G3252" s="11">
        <v>43115</v>
      </c>
      <c r="H3252" s="8" t="s">
        <v>25</v>
      </c>
      <c r="J3252" s="8" t="s">
        <v>25</v>
      </c>
      <c r="N3252" s="8" t="s">
        <v>58</v>
      </c>
      <c r="O3252" s="8" t="s">
        <v>59</v>
      </c>
      <c r="P3252" s="8" t="s">
        <v>59</v>
      </c>
      <c r="R3252" s="8">
        <v>0</v>
      </c>
      <c r="S3252" s="8">
        <v>0</v>
      </c>
      <c r="T3252" s="8">
        <v>1</v>
      </c>
      <c r="U3252" s="8">
        <v>2</v>
      </c>
      <c r="AG3252" s="8" t="str">
        <f t="shared" si="201"/>
        <v/>
      </c>
      <c r="AI3252" s="8" t="str">
        <f t="shared" si="202"/>
        <v/>
      </c>
      <c r="AJ3252" s="8" t="str">
        <f t="shared" si="203"/>
        <v/>
      </c>
      <c r="AL3252" s="8" t="str">
        <f t="shared" si="204"/>
        <v/>
      </c>
    </row>
    <row r="3253" spans="1:38" x14ac:dyDescent="0.25">
      <c r="A3253" s="8" t="s">
        <v>6091</v>
      </c>
      <c r="B3253" s="8" t="s">
        <v>139</v>
      </c>
      <c r="C3253" s="8">
        <v>30917383</v>
      </c>
      <c r="D3253" s="8">
        <v>5</v>
      </c>
      <c r="E3253" s="11">
        <v>43112</v>
      </c>
      <c r="F3253" s="8" t="s">
        <v>57</v>
      </c>
      <c r="G3253" s="11">
        <v>43112</v>
      </c>
      <c r="H3253" s="8" t="s">
        <v>25</v>
      </c>
      <c r="J3253" s="8" t="s">
        <v>25</v>
      </c>
      <c r="N3253" s="8" t="s">
        <v>58</v>
      </c>
      <c r="O3253" s="8" t="s">
        <v>59</v>
      </c>
      <c r="P3253" s="8" t="s">
        <v>59</v>
      </c>
      <c r="R3253" s="8">
        <v>0</v>
      </c>
      <c r="S3253" s="8">
        <v>0</v>
      </c>
      <c r="T3253" s="8">
        <v>1</v>
      </c>
      <c r="U3253" s="8">
        <v>2</v>
      </c>
      <c r="AG3253" s="8" t="str">
        <f t="shared" si="201"/>
        <v/>
      </c>
      <c r="AI3253" s="8" t="str">
        <f t="shared" si="202"/>
        <v/>
      </c>
      <c r="AJ3253" s="8" t="str">
        <f t="shared" si="203"/>
        <v/>
      </c>
      <c r="AL3253" s="8" t="str">
        <f t="shared" si="204"/>
        <v/>
      </c>
    </row>
    <row r="3254" spans="1:38" x14ac:dyDescent="0.25">
      <c r="A3254" s="8" t="s">
        <v>4404</v>
      </c>
      <c r="B3254" s="8" t="s">
        <v>4405</v>
      </c>
      <c r="C3254" s="8">
        <v>30845100</v>
      </c>
      <c r="D3254" s="8">
        <v>5</v>
      </c>
      <c r="E3254" s="11">
        <v>43109</v>
      </c>
      <c r="F3254" s="8" t="s">
        <v>57</v>
      </c>
      <c r="G3254" s="11">
        <v>43111</v>
      </c>
      <c r="H3254" s="8" t="s">
        <v>25</v>
      </c>
      <c r="J3254" s="8" t="s">
        <v>25</v>
      </c>
      <c r="N3254" s="8" t="s">
        <v>58</v>
      </c>
      <c r="O3254" s="8" t="s">
        <v>59</v>
      </c>
      <c r="P3254" s="8" t="s">
        <v>59</v>
      </c>
      <c r="R3254" s="8">
        <v>0</v>
      </c>
      <c r="S3254" s="8">
        <v>0</v>
      </c>
      <c r="T3254" s="8">
        <v>1</v>
      </c>
      <c r="U3254" s="8">
        <v>2</v>
      </c>
      <c r="AG3254" s="8" t="str">
        <f t="shared" si="201"/>
        <v/>
      </c>
      <c r="AI3254" s="8" t="str">
        <f t="shared" si="202"/>
        <v/>
      </c>
      <c r="AJ3254" s="8" t="str">
        <f t="shared" si="203"/>
        <v/>
      </c>
      <c r="AL3254" s="8" t="str">
        <f t="shared" si="204"/>
        <v/>
      </c>
    </row>
    <row r="3255" spans="1:38" x14ac:dyDescent="0.25">
      <c r="A3255" s="8" t="s">
        <v>4406</v>
      </c>
      <c r="B3255" s="8" t="s">
        <v>4407</v>
      </c>
      <c r="C3255" s="8">
        <v>30853475</v>
      </c>
      <c r="D3255" s="8">
        <v>5</v>
      </c>
      <c r="E3255" s="11">
        <v>43109</v>
      </c>
      <c r="F3255" s="8" t="s">
        <v>57</v>
      </c>
      <c r="G3255" s="11">
        <v>43111</v>
      </c>
      <c r="H3255" s="8" t="s">
        <v>25</v>
      </c>
      <c r="J3255" s="8" t="s">
        <v>25</v>
      </c>
      <c r="N3255" s="8" t="s">
        <v>58</v>
      </c>
      <c r="O3255" s="8" t="s">
        <v>59</v>
      </c>
      <c r="P3255" s="8" t="s">
        <v>59</v>
      </c>
      <c r="R3255" s="8">
        <v>0</v>
      </c>
      <c r="S3255" s="8">
        <v>0</v>
      </c>
      <c r="T3255" s="8">
        <v>1</v>
      </c>
      <c r="U3255" s="8">
        <v>2</v>
      </c>
      <c r="AG3255" s="8" t="str">
        <f t="shared" si="201"/>
        <v/>
      </c>
      <c r="AI3255" s="8" t="str">
        <f t="shared" si="202"/>
        <v/>
      </c>
      <c r="AJ3255" s="8" t="str">
        <f t="shared" si="203"/>
        <v/>
      </c>
      <c r="AL3255" s="8" t="str">
        <f t="shared" si="204"/>
        <v/>
      </c>
    </row>
    <row r="3256" spans="1:38" x14ac:dyDescent="0.25">
      <c r="A3256" s="8" t="s">
        <v>7917</v>
      </c>
      <c r="B3256" s="8" t="s">
        <v>7918</v>
      </c>
      <c r="C3256" s="8">
        <v>30898927</v>
      </c>
      <c r="D3256" s="8">
        <v>5</v>
      </c>
      <c r="E3256" s="11">
        <v>43111</v>
      </c>
      <c r="F3256" s="8" t="s">
        <v>57</v>
      </c>
      <c r="G3256" s="11">
        <v>43115</v>
      </c>
      <c r="H3256" s="8" t="s">
        <v>25</v>
      </c>
      <c r="J3256" s="8" t="s">
        <v>25</v>
      </c>
      <c r="N3256" s="8" t="s">
        <v>58</v>
      </c>
      <c r="O3256" s="8" t="s">
        <v>59</v>
      </c>
      <c r="P3256" s="8" t="s">
        <v>59</v>
      </c>
      <c r="R3256" s="8">
        <v>0</v>
      </c>
      <c r="S3256" s="8">
        <v>0</v>
      </c>
      <c r="T3256" s="8">
        <v>1</v>
      </c>
      <c r="U3256" s="8">
        <v>2</v>
      </c>
      <c r="AG3256" s="8" t="str">
        <f t="shared" si="201"/>
        <v/>
      </c>
      <c r="AI3256" s="8" t="str">
        <f t="shared" si="202"/>
        <v/>
      </c>
      <c r="AJ3256" s="8" t="str">
        <f t="shared" si="203"/>
        <v/>
      </c>
      <c r="AL3256" s="8" t="str">
        <f t="shared" si="204"/>
        <v/>
      </c>
    </row>
    <row r="3257" spans="1:38" x14ac:dyDescent="0.25">
      <c r="A3257" s="8" t="s">
        <v>7919</v>
      </c>
      <c r="B3257" s="8" t="s">
        <v>7920</v>
      </c>
      <c r="C3257" s="8">
        <v>30906396</v>
      </c>
      <c r="D3257" s="8">
        <v>5</v>
      </c>
      <c r="E3257" s="11">
        <v>43112</v>
      </c>
      <c r="F3257" s="8" t="s">
        <v>57</v>
      </c>
      <c r="G3257" s="11">
        <v>43115</v>
      </c>
      <c r="H3257" s="8" t="s">
        <v>25</v>
      </c>
      <c r="J3257" s="8" t="s">
        <v>25</v>
      </c>
      <c r="N3257" s="8" t="s">
        <v>58</v>
      </c>
      <c r="O3257" s="8" t="s">
        <v>59</v>
      </c>
      <c r="P3257" s="8" t="s">
        <v>59</v>
      </c>
      <c r="R3257" s="8">
        <v>0</v>
      </c>
      <c r="S3257" s="8">
        <v>0</v>
      </c>
      <c r="T3257" s="8">
        <v>1</v>
      </c>
      <c r="U3257" s="8">
        <v>2</v>
      </c>
      <c r="AG3257" s="8" t="str">
        <f t="shared" si="201"/>
        <v/>
      </c>
      <c r="AI3257" s="8" t="str">
        <f t="shared" si="202"/>
        <v/>
      </c>
      <c r="AJ3257" s="8" t="str">
        <f t="shared" si="203"/>
        <v/>
      </c>
      <c r="AL3257" s="8" t="str">
        <f t="shared" si="204"/>
        <v/>
      </c>
    </row>
    <row r="3258" spans="1:38" x14ac:dyDescent="0.25">
      <c r="A3258" s="8" t="s">
        <v>7921</v>
      </c>
      <c r="B3258" s="8" t="s">
        <v>7922</v>
      </c>
      <c r="C3258" s="8">
        <v>30890387</v>
      </c>
      <c r="D3258" s="8">
        <v>5</v>
      </c>
      <c r="E3258" s="11">
        <v>43111</v>
      </c>
      <c r="F3258" s="8" t="s">
        <v>57</v>
      </c>
      <c r="G3258" s="11">
        <v>43115</v>
      </c>
      <c r="H3258" s="8" t="s">
        <v>25</v>
      </c>
      <c r="J3258" s="8" t="s">
        <v>25</v>
      </c>
      <c r="N3258" s="8" t="s">
        <v>58</v>
      </c>
      <c r="O3258" s="8" t="s">
        <v>59</v>
      </c>
      <c r="P3258" s="8" t="s">
        <v>59</v>
      </c>
      <c r="R3258" s="8">
        <v>0</v>
      </c>
      <c r="S3258" s="8">
        <v>0</v>
      </c>
      <c r="T3258" s="8">
        <v>1</v>
      </c>
      <c r="U3258" s="8">
        <v>2</v>
      </c>
      <c r="AG3258" s="8" t="str">
        <f t="shared" si="201"/>
        <v/>
      </c>
      <c r="AI3258" s="8" t="str">
        <f t="shared" si="202"/>
        <v/>
      </c>
      <c r="AJ3258" s="8" t="str">
        <f t="shared" si="203"/>
        <v/>
      </c>
      <c r="AL3258" s="8" t="str">
        <f t="shared" si="204"/>
        <v/>
      </c>
    </row>
    <row r="3259" spans="1:38" x14ac:dyDescent="0.25">
      <c r="A3259" s="8" t="s">
        <v>2956</v>
      </c>
      <c r="B3259" s="8" t="s">
        <v>2957</v>
      </c>
      <c r="C3259" s="8">
        <v>30815796</v>
      </c>
      <c r="D3259" s="8">
        <v>4</v>
      </c>
      <c r="E3259" s="11">
        <v>43108</v>
      </c>
      <c r="F3259" s="8" t="s">
        <v>57</v>
      </c>
      <c r="G3259" s="11">
        <v>43110</v>
      </c>
      <c r="H3259" s="8" t="s">
        <v>25</v>
      </c>
      <c r="J3259" s="8" t="s">
        <v>25</v>
      </c>
      <c r="N3259" s="8" t="s">
        <v>58</v>
      </c>
      <c r="O3259" s="8" t="s">
        <v>59</v>
      </c>
      <c r="P3259" s="8" t="s">
        <v>59</v>
      </c>
      <c r="R3259" s="8">
        <v>0</v>
      </c>
      <c r="S3259" s="8">
        <v>0</v>
      </c>
      <c r="T3259" s="8">
        <v>1</v>
      </c>
      <c r="U3259" s="8">
        <v>2</v>
      </c>
      <c r="AG3259" s="8" t="str">
        <f t="shared" si="201"/>
        <v/>
      </c>
      <c r="AI3259" s="8" t="str">
        <f t="shared" si="202"/>
        <v/>
      </c>
      <c r="AJ3259" s="8" t="str">
        <f t="shared" si="203"/>
        <v/>
      </c>
      <c r="AL3259" s="8" t="str">
        <f t="shared" si="204"/>
        <v/>
      </c>
    </row>
    <row r="3260" spans="1:38" x14ac:dyDescent="0.25">
      <c r="A3260" s="8" t="s">
        <v>7923</v>
      </c>
      <c r="B3260" s="8" t="s">
        <v>7924</v>
      </c>
      <c r="C3260" s="8">
        <v>30917772</v>
      </c>
      <c r="D3260" s="8">
        <v>5</v>
      </c>
      <c r="E3260" s="11">
        <v>43112</v>
      </c>
      <c r="F3260" s="8" t="s">
        <v>57</v>
      </c>
      <c r="G3260" s="11">
        <v>43115</v>
      </c>
      <c r="H3260" s="8" t="s">
        <v>25</v>
      </c>
      <c r="J3260" s="8" t="s">
        <v>25</v>
      </c>
      <c r="N3260" s="8" t="s">
        <v>58</v>
      </c>
      <c r="O3260" s="8" t="s">
        <v>59</v>
      </c>
      <c r="P3260" s="8" t="s">
        <v>59</v>
      </c>
      <c r="R3260" s="8">
        <v>0</v>
      </c>
      <c r="S3260" s="8">
        <v>0</v>
      </c>
      <c r="T3260" s="8">
        <v>1</v>
      </c>
      <c r="U3260" s="8">
        <v>2</v>
      </c>
      <c r="AG3260" s="8" t="str">
        <f t="shared" si="201"/>
        <v/>
      </c>
      <c r="AI3260" s="8" t="str">
        <f t="shared" si="202"/>
        <v/>
      </c>
      <c r="AJ3260" s="8" t="str">
        <f t="shared" si="203"/>
        <v/>
      </c>
      <c r="AL3260" s="8" t="str">
        <f t="shared" si="204"/>
        <v/>
      </c>
    </row>
    <row r="3261" spans="1:38" x14ac:dyDescent="0.25">
      <c r="A3261" s="8" t="s">
        <v>7925</v>
      </c>
      <c r="B3261" s="8" t="s">
        <v>7926</v>
      </c>
      <c r="C3261" s="8">
        <v>30891768</v>
      </c>
      <c r="D3261" s="8">
        <v>5</v>
      </c>
      <c r="E3261" s="11">
        <v>43111</v>
      </c>
      <c r="F3261" s="8" t="s">
        <v>57</v>
      </c>
      <c r="G3261" s="11">
        <v>43115</v>
      </c>
      <c r="H3261" s="8" t="s">
        <v>25</v>
      </c>
      <c r="J3261" s="8" t="s">
        <v>25</v>
      </c>
      <c r="N3261" s="8" t="s">
        <v>58</v>
      </c>
      <c r="O3261" s="8" t="s">
        <v>59</v>
      </c>
      <c r="P3261" s="8" t="s">
        <v>59</v>
      </c>
      <c r="R3261" s="8">
        <v>0</v>
      </c>
      <c r="S3261" s="8">
        <v>0</v>
      </c>
      <c r="T3261" s="8">
        <v>1</v>
      </c>
      <c r="U3261" s="8">
        <v>2</v>
      </c>
      <c r="AG3261" s="8" t="str">
        <f t="shared" si="201"/>
        <v/>
      </c>
      <c r="AI3261" s="8" t="str">
        <f t="shared" si="202"/>
        <v/>
      </c>
      <c r="AJ3261" s="8" t="str">
        <f t="shared" si="203"/>
        <v/>
      </c>
      <c r="AL3261" s="8" t="str">
        <f t="shared" si="204"/>
        <v/>
      </c>
    </row>
    <row r="3262" spans="1:38" x14ac:dyDescent="0.25">
      <c r="A3262" s="8" t="s">
        <v>7927</v>
      </c>
      <c r="B3262" s="8" t="s">
        <v>7928</v>
      </c>
      <c r="C3262" s="8">
        <v>30893421</v>
      </c>
      <c r="D3262" s="8">
        <v>5</v>
      </c>
      <c r="E3262" s="11">
        <v>43111</v>
      </c>
      <c r="F3262" s="8" t="s">
        <v>57</v>
      </c>
      <c r="G3262" s="11">
        <v>43115</v>
      </c>
      <c r="H3262" s="8" t="s">
        <v>25</v>
      </c>
      <c r="J3262" s="8" t="s">
        <v>25</v>
      </c>
      <c r="N3262" s="8" t="s">
        <v>58</v>
      </c>
      <c r="O3262" s="8" t="s">
        <v>59</v>
      </c>
      <c r="P3262" s="8" t="s">
        <v>59</v>
      </c>
      <c r="R3262" s="8">
        <v>0</v>
      </c>
      <c r="S3262" s="8">
        <v>0</v>
      </c>
      <c r="T3262" s="8">
        <v>1</v>
      </c>
      <c r="U3262" s="8">
        <v>2</v>
      </c>
      <c r="AG3262" s="8" t="str">
        <f t="shared" si="201"/>
        <v/>
      </c>
      <c r="AI3262" s="8" t="str">
        <f t="shared" si="202"/>
        <v/>
      </c>
      <c r="AJ3262" s="8" t="str">
        <f t="shared" si="203"/>
        <v/>
      </c>
      <c r="AL3262" s="8" t="str">
        <f t="shared" si="204"/>
        <v/>
      </c>
    </row>
    <row r="3263" spans="1:38" x14ac:dyDescent="0.25">
      <c r="A3263" s="8" t="s">
        <v>6092</v>
      </c>
      <c r="B3263" s="8" t="s">
        <v>6093</v>
      </c>
      <c r="C3263" s="8">
        <v>30875597</v>
      </c>
      <c r="D3263" s="8">
        <v>5</v>
      </c>
      <c r="E3263" s="11">
        <v>43110</v>
      </c>
      <c r="F3263" s="8" t="s">
        <v>57</v>
      </c>
      <c r="G3263" s="11">
        <v>43112</v>
      </c>
      <c r="H3263" s="8" t="s">
        <v>25</v>
      </c>
      <c r="J3263" s="8" t="s">
        <v>25</v>
      </c>
      <c r="N3263" s="8" t="s">
        <v>58</v>
      </c>
      <c r="O3263" s="8" t="s">
        <v>59</v>
      </c>
      <c r="P3263" s="8" t="s">
        <v>59</v>
      </c>
      <c r="R3263" s="8">
        <v>0</v>
      </c>
      <c r="S3263" s="8">
        <v>0</v>
      </c>
      <c r="T3263" s="8">
        <v>1</v>
      </c>
      <c r="U3263" s="8">
        <v>2</v>
      </c>
      <c r="AG3263" s="8" t="str">
        <f t="shared" si="201"/>
        <v/>
      </c>
      <c r="AI3263" s="8" t="str">
        <f t="shared" si="202"/>
        <v/>
      </c>
      <c r="AJ3263" s="8" t="str">
        <f t="shared" si="203"/>
        <v/>
      </c>
      <c r="AL3263" s="8" t="str">
        <f t="shared" si="204"/>
        <v/>
      </c>
    </row>
    <row r="3264" spans="1:38" x14ac:dyDescent="0.25">
      <c r="A3264" s="8" t="s">
        <v>4408</v>
      </c>
      <c r="B3264" s="8" t="s">
        <v>4409</v>
      </c>
      <c r="C3264" s="8">
        <v>30831605</v>
      </c>
      <c r="D3264" s="8">
        <v>5</v>
      </c>
      <c r="E3264" s="11">
        <v>43109</v>
      </c>
      <c r="F3264" s="8" t="s">
        <v>58</v>
      </c>
      <c r="G3264" s="11">
        <v>43111</v>
      </c>
      <c r="H3264" s="8" t="s">
        <v>25</v>
      </c>
      <c r="I3264" s="11">
        <v>43112</v>
      </c>
      <c r="J3264" s="8" t="s">
        <v>25</v>
      </c>
      <c r="N3264" s="8" t="s">
        <v>58</v>
      </c>
      <c r="O3264" s="8" t="s">
        <v>59</v>
      </c>
      <c r="P3264" s="8" t="s">
        <v>59</v>
      </c>
      <c r="R3264" s="8">
        <v>0</v>
      </c>
      <c r="S3264" s="8">
        <v>0</v>
      </c>
      <c r="T3264" s="8">
        <v>1</v>
      </c>
      <c r="U3264" s="8">
        <v>2</v>
      </c>
      <c r="X3264" s="8">
        <v>5</v>
      </c>
      <c r="AG3264" s="8" t="str">
        <f t="shared" si="201"/>
        <v/>
      </c>
      <c r="AI3264" s="8" t="str">
        <f t="shared" si="202"/>
        <v/>
      </c>
      <c r="AJ3264" s="8" t="str">
        <f t="shared" si="203"/>
        <v/>
      </c>
      <c r="AL3264" s="8" t="str">
        <f t="shared" si="204"/>
        <v/>
      </c>
    </row>
    <row r="3265" spans="1:38" x14ac:dyDescent="0.25">
      <c r="A3265" s="8" t="s">
        <v>7929</v>
      </c>
      <c r="B3265" s="8" t="s">
        <v>7930</v>
      </c>
      <c r="C3265" s="8">
        <v>30890242</v>
      </c>
      <c r="D3265" s="8">
        <v>5</v>
      </c>
      <c r="E3265" s="11">
        <v>43111</v>
      </c>
      <c r="F3265" s="8" t="s">
        <v>57</v>
      </c>
      <c r="G3265" s="11">
        <v>43115</v>
      </c>
      <c r="H3265" s="8" t="s">
        <v>25</v>
      </c>
      <c r="J3265" s="8" t="s">
        <v>25</v>
      </c>
      <c r="N3265" s="8" t="s">
        <v>58</v>
      </c>
      <c r="O3265" s="8" t="s">
        <v>59</v>
      </c>
      <c r="P3265" s="8" t="s">
        <v>59</v>
      </c>
      <c r="R3265" s="8">
        <v>0</v>
      </c>
      <c r="S3265" s="8">
        <v>0</v>
      </c>
      <c r="T3265" s="8">
        <v>1</v>
      </c>
      <c r="U3265" s="8">
        <v>2</v>
      </c>
      <c r="AG3265" s="8" t="str">
        <f t="shared" si="201"/>
        <v/>
      </c>
      <c r="AI3265" s="8" t="str">
        <f t="shared" si="202"/>
        <v/>
      </c>
      <c r="AJ3265" s="8" t="str">
        <f t="shared" si="203"/>
        <v/>
      </c>
      <c r="AL3265" s="8" t="str">
        <f t="shared" si="204"/>
        <v/>
      </c>
    </row>
    <row r="3266" spans="1:38" x14ac:dyDescent="0.25">
      <c r="A3266" s="8" t="s">
        <v>7931</v>
      </c>
      <c r="B3266" s="8" t="s">
        <v>7932</v>
      </c>
      <c r="C3266" s="8">
        <v>30890672</v>
      </c>
      <c r="D3266" s="8">
        <v>5</v>
      </c>
      <c r="E3266" s="11">
        <v>43111</v>
      </c>
      <c r="F3266" s="8" t="s">
        <v>57</v>
      </c>
      <c r="G3266" s="11">
        <v>43115</v>
      </c>
      <c r="H3266" s="8" t="s">
        <v>25</v>
      </c>
      <c r="J3266" s="8" t="s">
        <v>25</v>
      </c>
      <c r="N3266" s="8" t="s">
        <v>58</v>
      </c>
      <c r="O3266" s="8" t="s">
        <v>59</v>
      </c>
      <c r="P3266" s="8" t="s">
        <v>59</v>
      </c>
      <c r="R3266" s="8">
        <v>0</v>
      </c>
      <c r="S3266" s="8">
        <v>0</v>
      </c>
      <c r="T3266" s="8">
        <v>1</v>
      </c>
      <c r="U3266" s="8">
        <v>2</v>
      </c>
      <c r="AG3266" s="8" t="str">
        <f t="shared" si="201"/>
        <v/>
      </c>
      <c r="AI3266" s="8" t="str">
        <f t="shared" si="202"/>
        <v/>
      </c>
      <c r="AJ3266" s="8" t="str">
        <f t="shared" si="203"/>
        <v/>
      </c>
      <c r="AL3266" s="8" t="str">
        <f t="shared" si="204"/>
        <v/>
      </c>
    </row>
    <row r="3267" spans="1:38" x14ac:dyDescent="0.25">
      <c r="A3267" s="8" t="s">
        <v>7933</v>
      </c>
      <c r="B3267" s="8" t="s">
        <v>7934</v>
      </c>
      <c r="C3267" s="8">
        <v>30904063</v>
      </c>
      <c r="D3267" s="8">
        <v>5</v>
      </c>
      <c r="E3267" s="11">
        <v>43111</v>
      </c>
      <c r="F3267" s="8" t="s">
        <v>58</v>
      </c>
      <c r="G3267" s="11">
        <v>43115</v>
      </c>
      <c r="H3267" s="8" t="s">
        <v>25</v>
      </c>
      <c r="I3267" s="11">
        <v>43115</v>
      </c>
      <c r="J3267" s="8" t="s">
        <v>25</v>
      </c>
      <c r="N3267" s="8" t="s">
        <v>58</v>
      </c>
      <c r="O3267" s="8" t="s">
        <v>59</v>
      </c>
      <c r="P3267" s="8" t="s">
        <v>59</v>
      </c>
      <c r="R3267" s="8">
        <v>0</v>
      </c>
      <c r="S3267" s="8">
        <v>0</v>
      </c>
      <c r="T3267" s="8">
        <v>1</v>
      </c>
      <c r="U3267" s="8">
        <v>2</v>
      </c>
      <c r="X3267" s="8">
        <v>5</v>
      </c>
      <c r="AG3267" s="8" t="str">
        <f t="shared" ref="AG3267:AG3330" si="205">IF(AND(U3267="",G3267&lt;&gt;"",NOT(OR(R3267,S3267))),IF(NETWORKDAYS.INTL(G3267,TODAY(),11)&lt;5,"En Plazo",IF(NETWORKDAYS.INTL(G3267,TODAY(),11)=5,"Riesgo Incumplimiento","FALTA_02")),"")</f>
        <v/>
      </c>
      <c r="AI3267" s="8" t="str">
        <f t="shared" ref="AI3267:AI3330" si="206">IF(AND(O3267&lt;&gt;"B1",F3267="Rejected"),IF(W3267="","FALTA_04",""),"")</f>
        <v/>
      </c>
      <c r="AJ3267" s="8" t="str">
        <f t="shared" ref="AJ3267:AJ3330" si="207">IF(AND(X3267="",I3267&lt;&gt;"",NOT(OR(R3267,S3267))),IF(NETWORKDAYS.INTL(G3267,TODAY(),11)&lt;=1,"En Plazo",IF(OR(AND(X3267="",O3267&lt;&gt;"M1"),AND(O3267="M1",(OR(Q3267="S - S",Q3267="S - T",)))),"FALTA_05","")),"")</f>
        <v/>
      </c>
      <c r="AL3267" s="8" t="str">
        <f t="shared" ref="AL3267:AL3330" si="208">IF(AND(O3267="B1",F3267="Rejected"),IF(Z3267="","FALTA_07",""),"")</f>
        <v/>
      </c>
    </row>
    <row r="3268" spans="1:38" x14ac:dyDescent="0.25">
      <c r="A3268" s="8" t="s">
        <v>6094</v>
      </c>
      <c r="B3268" s="8" t="s">
        <v>6095</v>
      </c>
      <c r="C3268" s="8">
        <v>30856643</v>
      </c>
      <c r="D3268" s="8">
        <v>5</v>
      </c>
      <c r="E3268" s="11">
        <v>43110</v>
      </c>
      <c r="F3268" s="8" t="s">
        <v>58</v>
      </c>
      <c r="G3268" s="11">
        <v>43112</v>
      </c>
      <c r="H3268" s="8" t="s">
        <v>25</v>
      </c>
      <c r="I3268" s="11">
        <v>43115</v>
      </c>
      <c r="J3268" s="8" t="s">
        <v>25</v>
      </c>
      <c r="N3268" s="8" t="s">
        <v>58</v>
      </c>
      <c r="O3268" s="8" t="s">
        <v>59</v>
      </c>
      <c r="P3268" s="8" t="s">
        <v>59</v>
      </c>
      <c r="R3268" s="8">
        <v>0</v>
      </c>
      <c r="S3268" s="8">
        <v>0</v>
      </c>
      <c r="T3268" s="8">
        <v>1</v>
      </c>
      <c r="U3268" s="8">
        <v>2</v>
      </c>
      <c r="X3268" s="8">
        <v>5</v>
      </c>
      <c r="AG3268" s="8" t="str">
        <f t="shared" si="205"/>
        <v/>
      </c>
      <c r="AI3268" s="8" t="str">
        <f t="shared" si="206"/>
        <v/>
      </c>
      <c r="AJ3268" s="8" t="str">
        <f t="shared" si="207"/>
        <v/>
      </c>
      <c r="AL3268" s="8" t="str">
        <f t="shared" si="208"/>
        <v/>
      </c>
    </row>
    <row r="3269" spans="1:38" x14ac:dyDescent="0.25">
      <c r="A3269" s="8" t="s">
        <v>6096</v>
      </c>
      <c r="B3269" s="8" t="s">
        <v>6097</v>
      </c>
      <c r="C3269" s="8">
        <v>30858817</v>
      </c>
      <c r="D3269" s="8">
        <v>5</v>
      </c>
      <c r="E3269" s="11">
        <v>43110</v>
      </c>
      <c r="F3269" s="8" t="s">
        <v>58</v>
      </c>
      <c r="G3269" s="11">
        <v>43112</v>
      </c>
      <c r="H3269" s="8" t="s">
        <v>25</v>
      </c>
      <c r="I3269" s="11">
        <v>43115</v>
      </c>
      <c r="J3269" s="8" t="s">
        <v>25</v>
      </c>
      <c r="N3269" s="8" t="s">
        <v>58</v>
      </c>
      <c r="O3269" s="8" t="s">
        <v>59</v>
      </c>
      <c r="P3269" s="8" t="s">
        <v>59</v>
      </c>
      <c r="R3269" s="8">
        <v>0</v>
      </c>
      <c r="S3269" s="8">
        <v>0</v>
      </c>
      <c r="T3269" s="8">
        <v>1</v>
      </c>
      <c r="U3269" s="8">
        <v>2</v>
      </c>
      <c r="X3269" s="8">
        <v>5</v>
      </c>
      <c r="AG3269" s="8" t="str">
        <f t="shared" si="205"/>
        <v/>
      </c>
      <c r="AI3269" s="8" t="str">
        <f t="shared" si="206"/>
        <v/>
      </c>
      <c r="AJ3269" s="8" t="str">
        <f t="shared" si="207"/>
        <v/>
      </c>
      <c r="AL3269" s="8" t="str">
        <f t="shared" si="208"/>
        <v/>
      </c>
    </row>
    <row r="3270" spans="1:38" x14ac:dyDescent="0.25">
      <c r="A3270" s="8" t="s">
        <v>2958</v>
      </c>
      <c r="B3270" s="8" t="s">
        <v>2959</v>
      </c>
      <c r="C3270" s="8">
        <v>30820075</v>
      </c>
      <c r="D3270" s="8">
        <v>4</v>
      </c>
      <c r="E3270" s="11">
        <v>43108</v>
      </c>
      <c r="F3270" s="8" t="s">
        <v>58</v>
      </c>
      <c r="G3270" s="11">
        <v>43110</v>
      </c>
      <c r="H3270" s="8" t="s">
        <v>25</v>
      </c>
      <c r="I3270" s="11">
        <v>43115</v>
      </c>
      <c r="J3270" s="8" t="s">
        <v>145</v>
      </c>
      <c r="N3270" s="8" t="s">
        <v>58</v>
      </c>
      <c r="O3270" s="8" t="s">
        <v>59</v>
      </c>
      <c r="P3270" s="8" t="s">
        <v>59</v>
      </c>
      <c r="R3270" s="8">
        <v>0</v>
      </c>
      <c r="S3270" s="8">
        <v>0</v>
      </c>
      <c r="T3270" s="8">
        <v>1</v>
      </c>
      <c r="U3270" s="8">
        <v>2</v>
      </c>
      <c r="X3270" s="8">
        <v>5</v>
      </c>
      <c r="AG3270" s="8" t="str">
        <f t="shared" si="205"/>
        <v/>
      </c>
      <c r="AI3270" s="8" t="str">
        <f t="shared" si="206"/>
        <v/>
      </c>
      <c r="AJ3270" s="8" t="str">
        <f t="shared" si="207"/>
        <v/>
      </c>
      <c r="AL3270" s="8" t="str">
        <f t="shared" si="208"/>
        <v/>
      </c>
    </row>
    <row r="3271" spans="1:38" x14ac:dyDescent="0.25">
      <c r="A3271" s="8" t="s">
        <v>7935</v>
      </c>
      <c r="B3271" s="8" t="s">
        <v>7936</v>
      </c>
      <c r="C3271" s="8">
        <v>30904103</v>
      </c>
      <c r="D3271" s="8">
        <v>5</v>
      </c>
      <c r="E3271" s="11">
        <v>43111</v>
      </c>
      <c r="F3271" s="8" t="s">
        <v>57</v>
      </c>
      <c r="G3271" s="11">
        <v>43115</v>
      </c>
      <c r="H3271" s="8" t="s">
        <v>25</v>
      </c>
      <c r="J3271" s="8" t="s">
        <v>25</v>
      </c>
      <c r="N3271" s="8" t="s">
        <v>58</v>
      </c>
      <c r="O3271" s="8" t="s">
        <v>59</v>
      </c>
      <c r="P3271" s="8" t="s">
        <v>59</v>
      </c>
      <c r="R3271" s="8">
        <v>0</v>
      </c>
      <c r="S3271" s="8">
        <v>0</v>
      </c>
      <c r="T3271" s="8">
        <v>1</v>
      </c>
      <c r="U3271" s="8">
        <v>2</v>
      </c>
      <c r="AG3271" s="8" t="str">
        <f t="shared" si="205"/>
        <v/>
      </c>
      <c r="AI3271" s="8" t="str">
        <f t="shared" si="206"/>
        <v/>
      </c>
      <c r="AJ3271" s="8" t="str">
        <f t="shared" si="207"/>
        <v/>
      </c>
      <c r="AL3271" s="8" t="str">
        <f t="shared" si="208"/>
        <v/>
      </c>
    </row>
    <row r="3272" spans="1:38" x14ac:dyDescent="0.25">
      <c r="A3272" s="8" t="s">
        <v>6098</v>
      </c>
      <c r="B3272" s="8" t="s">
        <v>6099</v>
      </c>
      <c r="C3272" s="8">
        <v>30862016</v>
      </c>
      <c r="D3272" s="8">
        <v>5</v>
      </c>
      <c r="E3272" s="11">
        <v>43110</v>
      </c>
      <c r="F3272" s="8" t="s">
        <v>57</v>
      </c>
      <c r="G3272" s="11">
        <v>43112</v>
      </c>
      <c r="H3272" s="8" t="s">
        <v>25</v>
      </c>
      <c r="J3272" s="8" t="s">
        <v>25</v>
      </c>
      <c r="N3272" s="8" t="s">
        <v>58</v>
      </c>
      <c r="O3272" s="8" t="s">
        <v>59</v>
      </c>
      <c r="P3272" s="8" t="s">
        <v>59</v>
      </c>
      <c r="R3272" s="8">
        <v>0</v>
      </c>
      <c r="S3272" s="8">
        <v>0</v>
      </c>
      <c r="T3272" s="8">
        <v>1</v>
      </c>
      <c r="U3272" s="8">
        <v>2</v>
      </c>
      <c r="AG3272" s="8" t="str">
        <f t="shared" si="205"/>
        <v/>
      </c>
      <c r="AI3272" s="8" t="str">
        <f t="shared" si="206"/>
        <v/>
      </c>
      <c r="AJ3272" s="8" t="str">
        <f t="shared" si="207"/>
        <v/>
      </c>
      <c r="AL3272" s="8" t="str">
        <f t="shared" si="208"/>
        <v/>
      </c>
    </row>
    <row r="3273" spans="1:38" x14ac:dyDescent="0.25">
      <c r="A3273" s="8" t="s">
        <v>6100</v>
      </c>
      <c r="B3273" s="8" t="s">
        <v>6101</v>
      </c>
      <c r="C3273" s="8">
        <v>30874184</v>
      </c>
      <c r="D3273" s="8">
        <v>5</v>
      </c>
      <c r="E3273" s="11">
        <v>43110</v>
      </c>
      <c r="F3273" s="8" t="s">
        <v>57</v>
      </c>
      <c r="G3273" s="11">
        <v>43112</v>
      </c>
      <c r="H3273" s="8" t="s">
        <v>25</v>
      </c>
      <c r="J3273" s="8" t="s">
        <v>25</v>
      </c>
      <c r="N3273" s="8" t="s">
        <v>58</v>
      </c>
      <c r="O3273" s="8" t="s">
        <v>59</v>
      </c>
      <c r="P3273" s="8" t="s">
        <v>59</v>
      </c>
      <c r="R3273" s="8">
        <v>0</v>
      </c>
      <c r="S3273" s="8">
        <v>0</v>
      </c>
      <c r="T3273" s="8">
        <v>1</v>
      </c>
      <c r="U3273" s="8">
        <v>2</v>
      </c>
      <c r="AG3273" s="8" t="str">
        <f t="shared" si="205"/>
        <v/>
      </c>
      <c r="AI3273" s="8" t="str">
        <f t="shared" si="206"/>
        <v/>
      </c>
      <c r="AJ3273" s="8" t="str">
        <f t="shared" si="207"/>
        <v/>
      </c>
      <c r="AL3273" s="8" t="str">
        <f t="shared" si="208"/>
        <v/>
      </c>
    </row>
    <row r="3274" spans="1:38" x14ac:dyDescent="0.25">
      <c r="A3274" s="8" t="s">
        <v>6102</v>
      </c>
      <c r="B3274" s="8" t="s">
        <v>6103</v>
      </c>
      <c r="C3274" s="8">
        <v>30864646</v>
      </c>
      <c r="D3274" s="8">
        <v>5</v>
      </c>
      <c r="E3274" s="11">
        <v>43110</v>
      </c>
      <c r="F3274" s="8" t="s">
        <v>57</v>
      </c>
      <c r="G3274" s="11">
        <v>43112</v>
      </c>
      <c r="H3274" s="8" t="s">
        <v>25</v>
      </c>
      <c r="J3274" s="8" t="s">
        <v>25</v>
      </c>
      <c r="N3274" s="8" t="s">
        <v>58</v>
      </c>
      <c r="O3274" s="8" t="s">
        <v>59</v>
      </c>
      <c r="P3274" s="8" t="s">
        <v>59</v>
      </c>
      <c r="R3274" s="8">
        <v>0</v>
      </c>
      <c r="S3274" s="8">
        <v>0</v>
      </c>
      <c r="T3274" s="8">
        <v>1</v>
      </c>
      <c r="U3274" s="8">
        <v>2</v>
      </c>
      <c r="AG3274" s="8" t="str">
        <f t="shared" si="205"/>
        <v/>
      </c>
      <c r="AI3274" s="8" t="str">
        <f t="shared" si="206"/>
        <v/>
      </c>
      <c r="AJ3274" s="8" t="str">
        <f t="shared" si="207"/>
        <v/>
      </c>
      <c r="AL3274" s="8" t="str">
        <f t="shared" si="208"/>
        <v/>
      </c>
    </row>
    <row r="3275" spans="1:38" x14ac:dyDescent="0.25">
      <c r="A3275" s="8" t="s">
        <v>6104</v>
      </c>
      <c r="B3275" s="8" t="s">
        <v>6105</v>
      </c>
      <c r="C3275" s="8">
        <v>30864540</v>
      </c>
      <c r="D3275" s="8">
        <v>5</v>
      </c>
      <c r="E3275" s="11">
        <v>43110</v>
      </c>
      <c r="F3275" s="8" t="s">
        <v>57</v>
      </c>
      <c r="G3275" s="11">
        <v>43112</v>
      </c>
      <c r="H3275" s="8" t="s">
        <v>25</v>
      </c>
      <c r="J3275" s="8" t="s">
        <v>25</v>
      </c>
      <c r="N3275" s="8" t="s">
        <v>58</v>
      </c>
      <c r="O3275" s="8" t="s">
        <v>59</v>
      </c>
      <c r="P3275" s="8" t="s">
        <v>59</v>
      </c>
      <c r="R3275" s="8">
        <v>0</v>
      </c>
      <c r="S3275" s="8">
        <v>0</v>
      </c>
      <c r="T3275" s="8">
        <v>1</v>
      </c>
      <c r="U3275" s="8">
        <v>2</v>
      </c>
      <c r="AG3275" s="8" t="str">
        <f t="shared" si="205"/>
        <v/>
      </c>
      <c r="AI3275" s="8" t="str">
        <f t="shared" si="206"/>
        <v/>
      </c>
      <c r="AJ3275" s="8" t="str">
        <f t="shared" si="207"/>
        <v/>
      </c>
      <c r="AL3275" s="8" t="str">
        <f t="shared" si="208"/>
        <v/>
      </c>
    </row>
    <row r="3276" spans="1:38" x14ac:dyDescent="0.25">
      <c r="A3276" s="8" t="s">
        <v>7937</v>
      </c>
      <c r="B3276" s="8" t="s">
        <v>7938</v>
      </c>
      <c r="C3276" s="8">
        <v>30893225</v>
      </c>
      <c r="D3276" s="8">
        <v>5</v>
      </c>
      <c r="E3276" s="11">
        <v>43111</v>
      </c>
      <c r="F3276" s="8" t="s">
        <v>57</v>
      </c>
      <c r="G3276" s="11">
        <v>43115</v>
      </c>
      <c r="H3276" s="8" t="s">
        <v>25</v>
      </c>
      <c r="J3276" s="8" t="s">
        <v>25</v>
      </c>
      <c r="N3276" s="8" t="s">
        <v>58</v>
      </c>
      <c r="O3276" s="8" t="s">
        <v>59</v>
      </c>
      <c r="P3276" s="8" t="s">
        <v>59</v>
      </c>
      <c r="R3276" s="8">
        <v>0</v>
      </c>
      <c r="S3276" s="8">
        <v>0</v>
      </c>
      <c r="T3276" s="8">
        <v>1</v>
      </c>
      <c r="U3276" s="8">
        <v>2</v>
      </c>
      <c r="AG3276" s="8" t="str">
        <f t="shared" si="205"/>
        <v/>
      </c>
      <c r="AI3276" s="8" t="str">
        <f t="shared" si="206"/>
        <v/>
      </c>
      <c r="AJ3276" s="8" t="str">
        <f t="shared" si="207"/>
        <v/>
      </c>
      <c r="AL3276" s="8" t="str">
        <f t="shared" si="208"/>
        <v/>
      </c>
    </row>
    <row r="3277" spans="1:38" x14ac:dyDescent="0.25">
      <c r="A3277" s="8" t="s">
        <v>6106</v>
      </c>
      <c r="B3277" s="8" t="s">
        <v>6107</v>
      </c>
      <c r="C3277" s="8">
        <v>30921787</v>
      </c>
      <c r="D3277" s="8">
        <v>5</v>
      </c>
      <c r="E3277" s="11">
        <v>43112</v>
      </c>
      <c r="F3277" s="8" t="s">
        <v>57</v>
      </c>
      <c r="G3277" s="11">
        <v>43112</v>
      </c>
      <c r="H3277" s="8" t="s">
        <v>25</v>
      </c>
      <c r="J3277" s="8" t="s">
        <v>25</v>
      </c>
      <c r="N3277" s="8" t="s">
        <v>58</v>
      </c>
      <c r="O3277" s="8" t="s">
        <v>59</v>
      </c>
      <c r="P3277" s="8" t="s">
        <v>59</v>
      </c>
      <c r="R3277" s="8">
        <v>0</v>
      </c>
      <c r="S3277" s="8">
        <v>0</v>
      </c>
      <c r="T3277" s="8">
        <v>1</v>
      </c>
      <c r="U3277" s="8">
        <v>2</v>
      </c>
      <c r="AG3277" s="8" t="str">
        <f t="shared" si="205"/>
        <v/>
      </c>
      <c r="AI3277" s="8" t="str">
        <f t="shared" si="206"/>
        <v/>
      </c>
      <c r="AJ3277" s="8" t="str">
        <f t="shared" si="207"/>
        <v/>
      </c>
      <c r="AL3277" s="8" t="str">
        <f t="shared" si="208"/>
        <v/>
      </c>
    </row>
    <row r="3278" spans="1:38" x14ac:dyDescent="0.25">
      <c r="A3278" s="8" t="s">
        <v>7939</v>
      </c>
      <c r="B3278" s="8" t="s">
        <v>7940</v>
      </c>
      <c r="C3278" s="8">
        <v>30910151</v>
      </c>
      <c r="D3278" s="8">
        <v>5</v>
      </c>
      <c r="E3278" s="11">
        <v>43112</v>
      </c>
      <c r="F3278" s="8" t="s">
        <v>57</v>
      </c>
      <c r="G3278" s="11">
        <v>43115</v>
      </c>
      <c r="H3278" s="8" t="s">
        <v>25</v>
      </c>
      <c r="J3278" s="8" t="s">
        <v>25</v>
      </c>
      <c r="N3278" s="8" t="s">
        <v>58</v>
      </c>
      <c r="O3278" s="8" t="s">
        <v>59</v>
      </c>
      <c r="P3278" s="8" t="s">
        <v>59</v>
      </c>
      <c r="R3278" s="8">
        <v>0</v>
      </c>
      <c r="S3278" s="8">
        <v>0</v>
      </c>
      <c r="T3278" s="8">
        <v>1</v>
      </c>
      <c r="U3278" s="8">
        <v>2</v>
      </c>
      <c r="AG3278" s="8" t="str">
        <f t="shared" si="205"/>
        <v/>
      </c>
      <c r="AI3278" s="8" t="str">
        <f t="shared" si="206"/>
        <v/>
      </c>
      <c r="AJ3278" s="8" t="str">
        <f t="shared" si="207"/>
        <v/>
      </c>
      <c r="AL3278" s="8" t="str">
        <f t="shared" si="208"/>
        <v/>
      </c>
    </row>
    <row r="3279" spans="1:38" x14ac:dyDescent="0.25">
      <c r="A3279" s="8" t="s">
        <v>7941</v>
      </c>
      <c r="B3279" s="8" t="s">
        <v>7942</v>
      </c>
      <c r="C3279" s="8">
        <v>30929398</v>
      </c>
      <c r="D3279" s="8">
        <v>5</v>
      </c>
      <c r="E3279" s="11">
        <v>43115</v>
      </c>
      <c r="F3279" s="8" t="s">
        <v>57</v>
      </c>
      <c r="G3279" s="11">
        <v>43115</v>
      </c>
      <c r="H3279" s="8" t="s">
        <v>25</v>
      </c>
      <c r="J3279" s="8" t="s">
        <v>25</v>
      </c>
      <c r="N3279" s="8" t="s">
        <v>58</v>
      </c>
      <c r="O3279" s="8" t="s">
        <v>59</v>
      </c>
      <c r="P3279" s="8" t="s">
        <v>59</v>
      </c>
      <c r="R3279" s="8">
        <v>0</v>
      </c>
      <c r="S3279" s="8">
        <v>0</v>
      </c>
      <c r="T3279" s="8">
        <v>1</v>
      </c>
      <c r="U3279" s="8">
        <v>2</v>
      </c>
      <c r="AG3279" s="8" t="str">
        <f t="shared" si="205"/>
        <v/>
      </c>
      <c r="AI3279" s="8" t="str">
        <f t="shared" si="206"/>
        <v/>
      </c>
      <c r="AJ3279" s="8" t="str">
        <f t="shared" si="207"/>
        <v/>
      </c>
      <c r="AL3279" s="8" t="str">
        <f t="shared" si="208"/>
        <v/>
      </c>
    </row>
    <row r="3280" spans="1:38" x14ac:dyDescent="0.25">
      <c r="A3280" s="8" t="s">
        <v>7943</v>
      </c>
      <c r="B3280" s="8" t="s">
        <v>7944</v>
      </c>
      <c r="C3280" s="8">
        <v>30893516</v>
      </c>
      <c r="D3280" s="8">
        <v>5</v>
      </c>
      <c r="E3280" s="11">
        <v>43111</v>
      </c>
      <c r="F3280" s="8" t="s">
        <v>58</v>
      </c>
      <c r="G3280" s="11">
        <v>43115</v>
      </c>
      <c r="H3280" s="8" t="s">
        <v>25</v>
      </c>
      <c r="I3280" s="11">
        <v>43115</v>
      </c>
      <c r="J3280" s="8" t="s">
        <v>25</v>
      </c>
      <c r="N3280" s="8" t="s">
        <v>58</v>
      </c>
      <c r="O3280" s="8" t="s">
        <v>59</v>
      </c>
      <c r="P3280" s="8" t="s">
        <v>59</v>
      </c>
      <c r="R3280" s="8">
        <v>0</v>
      </c>
      <c r="S3280" s="8">
        <v>0</v>
      </c>
      <c r="T3280" s="8">
        <v>1</v>
      </c>
      <c r="U3280" s="8">
        <v>2</v>
      </c>
      <c r="X3280" s="8">
        <v>5</v>
      </c>
      <c r="AG3280" s="8" t="str">
        <f t="shared" si="205"/>
        <v/>
      </c>
      <c r="AI3280" s="8" t="str">
        <f t="shared" si="206"/>
        <v/>
      </c>
      <c r="AJ3280" s="8" t="str">
        <f t="shared" si="207"/>
        <v/>
      </c>
      <c r="AL3280" s="8" t="str">
        <f t="shared" si="208"/>
        <v/>
      </c>
    </row>
    <row r="3281" spans="1:38" x14ac:dyDescent="0.25">
      <c r="A3281" s="8" t="s">
        <v>6108</v>
      </c>
      <c r="B3281" s="8" t="s">
        <v>6109</v>
      </c>
      <c r="C3281" s="8">
        <v>30909204</v>
      </c>
      <c r="D3281" s="8">
        <v>5</v>
      </c>
      <c r="E3281" s="11">
        <v>43112</v>
      </c>
      <c r="F3281" s="8" t="s">
        <v>57</v>
      </c>
      <c r="G3281" s="11">
        <v>43112</v>
      </c>
      <c r="H3281" s="8" t="s">
        <v>25</v>
      </c>
      <c r="J3281" s="8" t="s">
        <v>25</v>
      </c>
      <c r="N3281" s="8" t="s">
        <v>58</v>
      </c>
      <c r="O3281" s="8" t="s">
        <v>59</v>
      </c>
      <c r="P3281" s="8" t="s">
        <v>59</v>
      </c>
      <c r="R3281" s="8">
        <v>0</v>
      </c>
      <c r="S3281" s="8">
        <v>0</v>
      </c>
      <c r="T3281" s="8">
        <v>1</v>
      </c>
      <c r="U3281" s="8">
        <v>2</v>
      </c>
      <c r="AG3281" s="8" t="str">
        <f t="shared" si="205"/>
        <v/>
      </c>
      <c r="AI3281" s="8" t="str">
        <f t="shared" si="206"/>
        <v/>
      </c>
      <c r="AJ3281" s="8" t="str">
        <f t="shared" si="207"/>
        <v/>
      </c>
      <c r="AL3281" s="8" t="str">
        <f t="shared" si="208"/>
        <v/>
      </c>
    </row>
    <row r="3282" spans="1:38" x14ac:dyDescent="0.25">
      <c r="A3282" s="8" t="s">
        <v>4410</v>
      </c>
      <c r="B3282" s="8" t="s">
        <v>4411</v>
      </c>
      <c r="C3282" s="8">
        <v>30845112</v>
      </c>
      <c r="D3282" s="8">
        <v>5</v>
      </c>
      <c r="E3282" s="11">
        <v>43109</v>
      </c>
      <c r="F3282" s="8" t="s">
        <v>58</v>
      </c>
      <c r="G3282" s="11">
        <v>43111</v>
      </c>
      <c r="H3282" s="8" t="s">
        <v>25</v>
      </c>
      <c r="I3282" s="11">
        <v>43112</v>
      </c>
      <c r="J3282" s="8" t="s">
        <v>25</v>
      </c>
      <c r="N3282" s="8" t="s">
        <v>58</v>
      </c>
      <c r="O3282" s="8" t="s">
        <v>59</v>
      </c>
      <c r="P3282" s="8" t="s">
        <v>59</v>
      </c>
      <c r="R3282" s="8">
        <v>0</v>
      </c>
      <c r="S3282" s="8">
        <v>0</v>
      </c>
      <c r="T3282" s="8">
        <v>1</v>
      </c>
      <c r="U3282" s="8">
        <v>2</v>
      </c>
      <c r="X3282" s="8">
        <v>5</v>
      </c>
      <c r="AG3282" s="8" t="str">
        <f t="shared" si="205"/>
        <v/>
      </c>
      <c r="AI3282" s="8" t="str">
        <f t="shared" si="206"/>
        <v/>
      </c>
      <c r="AJ3282" s="8" t="str">
        <f t="shared" si="207"/>
        <v/>
      </c>
      <c r="AL3282" s="8" t="str">
        <f t="shared" si="208"/>
        <v/>
      </c>
    </row>
    <row r="3283" spans="1:38" x14ac:dyDescent="0.25">
      <c r="A3283" s="8" t="s">
        <v>6110</v>
      </c>
      <c r="B3283" s="8" t="s">
        <v>6111</v>
      </c>
      <c r="C3283" s="8">
        <v>30873081</v>
      </c>
      <c r="D3283" s="8">
        <v>5</v>
      </c>
      <c r="E3283" s="11">
        <v>43110</v>
      </c>
      <c r="F3283" s="8" t="s">
        <v>58</v>
      </c>
      <c r="G3283" s="11">
        <v>43112</v>
      </c>
      <c r="H3283" s="8" t="s">
        <v>25</v>
      </c>
      <c r="I3283" s="11">
        <v>43112</v>
      </c>
      <c r="J3283" s="8" t="s">
        <v>25</v>
      </c>
      <c r="N3283" s="8" t="s">
        <v>58</v>
      </c>
      <c r="O3283" s="8" t="s">
        <v>59</v>
      </c>
      <c r="P3283" s="8" t="s">
        <v>59</v>
      </c>
      <c r="R3283" s="8">
        <v>0</v>
      </c>
      <c r="S3283" s="8">
        <v>0</v>
      </c>
      <c r="T3283" s="8">
        <v>1</v>
      </c>
      <c r="U3283" s="8">
        <v>2</v>
      </c>
      <c r="X3283" s="8">
        <v>5</v>
      </c>
      <c r="AG3283" s="8" t="str">
        <f t="shared" si="205"/>
        <v/>
      </c>
      <c r="AI3283" s="8" t="str">
        <f t="shared" si="206"/>
        <v/>
      </c>
      <c r="AJ3283" s="8" t="str">
        <f t="shared" si="207"/>
        <v/>
      </c>
      <c r="AL3283" s="8" t="str">
        <f t="shared" si="208"/>
        <v/>
      </c>
    </row>
    <row r="3284" spans="1:38" x14ac:dyDescent="0.25">
      <c r="A3284" s="8" t="s">
        <v>6112</v>
      </c>
      <c r="B3284" s="8" t="s">
        <v>6113</v>
      </c>
      <c r="C3284" s="8">
        <v>30873999</v>
      </c>
      <c r="D3284" s="8">
        <v>5</v>
      </c>
      <c r="E3284" s="11">
        <v>43110</v>
      </c>
      <c r="F3284" s="8" t="s">
        <v>57</v>
      </c>
      <c r="G3284" s="11">
        <v>43112</v>
      </c>
      <c r="H3284" s="8" t="s">
        <v>25</v>
      </c>
      <c r="J3284" s="8" t="s">
        <v>25</v>
      </c>
      <c r="N3284" s="8" t="s">
        <v>58</v>
      </c>
      <c r="O3284" s="8" t="s">
        <v>59</v>
      </c>
      <c r="P3284" s="8" t="s">
        <v>59</v>
      </c>
      <c r="R3284" s="8">
        <v>0</v>
      </c>
      <c r="S3284" s="8">
        <v>0</v>
      </c>
      <c r="T3284" s="8">
        <v>1</v>
      </c>
      <c r="U3284" s="8">
        <v>2</v>
      </c>
      <c r="AG3284" s="8" t="str">
        <f t="shared" si="205"/>
        <v/>
      </c>
      <c r="AI3284" s="8" t="str">
        <f t="shared" si="206"/>
        <v/>
      </c>
      <c r="AJ3284" s="8" t="str">
        <f t="shared" si="207"/>
        <v/>
      </c>
      <c r="AL3284" s="8" t="str">
        <f t="shared" si="208"/>
        <v/>
      </c>
    </row>
    <row r="3285" spans="1:38" x14ac:dyDescent="0.25">
      <c r="A3285" s="8" t="s">
        <v>6114</v>
      </c>
      <c r="B3285" s="8" t="s">
        <v>6115</v>
      </c>
      <c r="C3285" s="8">
        <v>30850049</v>
      </c>
      <c r="D3285" s="8">
        <v>5</v>
      </c>
      <c r="E3285" s="11">
        <v>43109</v>
      </c>
      <c r="F3285" s="8" t="s">
        <v>57</v>
      </c>
      <c r="G3285" s="11">
        <v>43112</v>
      </c>
      <c r="H3285" s="8" t="s">
        <v>25</v>
      </c>
      <c r="J3285" s="8" t="s">
        <v>25</v>
      </c>
      <c r="N3285" s="8" t="s">
        <v>58</v>
      </c>
      <c r="O3285" s="8" t="s">
        <v>59</v>
      </c>
      <c r="P3285" s="8" t="s">
        <v>59</v>
      </c>
      <c r="R3285" s="8">
        <v>0</v>
      </c>
      <c r="S3285" s="8">
        <v>0</v>
      </c>
      <c r="T3285" s="8">
        <v>1</v>
      </c>
      <c r="U3285" s="8">
        <v>2</v>
      </c>
      <c r="AG3285" s="8" t="str">
        <f t="shared" si="205"/>
        <v/>
      </c>
      <c r="AI3285" s="8" t="str">
        <f t="shared" si="206"/>
        <v/>
      </c>
      <c r="AJ3285" s="8" t="str">
        <f t="shared" si="207"/>
        <v/>
      </c>
      <c r="AL3285" s="8" t="str">
        <f t="shared" si="208"/>
        <v/>
      </c>
    </row>
    <row r="3286" spans="1:38" x14ac:dyDescent="0.25">
      <c r="A3286" s="8" t="s">
        <v>4412</v>
      </c>
      <c r="B3286" s="8" t="s">
        <v>4413</v>
      </c>
      <c r="C3286" s="8">
        <v>30841720</v>
      </c>
      <c r="D3286" s="8">
        <v>5</v>
      </c>
      <c r="E3286" s="11">
        <v>43109</v>
      </c>
      <c r="F3286" s="8" t="s">
        <v>57</v>
      </c>
      <c r="G3286" s="11">
        <v>43111</v>
      </c>
      <c r="H3286" s="8" t="s">
        <v>25</v>
      </c>
      <c r="J3286" s="8" t="s">
        <v>25</v>
      </c>
      <c r="N3286" s="8" t="s">
        <v>58</v>
      </c>
      <c r="O3286" s="8" t="s">
        <v>59</v>
      </c>
      <c r="P3286" s="8" t="s">
        <v>59</v>
      </c>
      <c r="R3286" s="8">
        <v>0</v>
      </c>
      <c r="S3286" s="8">
        <v>0</v>
      </c>
      <c r="T3286" s="8">
        <v>1</v>
      </c>
      <c r="U3286" s="8">
        <v>2</v>
      </c>
      <c r="AG3286" s="8" t="str">
        <f t="shared" si="205"/>
        <v/>
      </c>
      <c r="AI3286" s="8" t="str">
        <f t="shared" si="206"/>
        <v/>
      </c>
      <c r="AJ3286" s="8" t="str">
        <f t="shared" si="207"/>
        <v/>
      </c>
      <c r="AL3286" s="8" t="str">
        <f t="shared" si="208"/>
        <v/>
      </c>
    </row>
    <row r="3287" spans="1:38" x14ac:dyDescent="0.25">
      <c r="A3287" s="8" t="s">
        <v>6116</v>
      </c>
      <c r="B3287" s="8" t="s">
        <v>6117</v>
      </c>
      <c r="C3287" s="8">
        <v>30871978</v>
      </c>
      <c r="D3287" s="8">
        <v>5</v>
      </c>
      <c r="E3287" s="11">
        <v>43110</v>
      </c>
      <c r="F3287" s="8" t="s">
        <v>57</v>
      </c>
      <c r="G3287" s="11">
        <v>43112</v>
      </c>
      <c r="H3287" s="8" t="s">
        <v>25</v>
      </c>
      <c r="J3287" s="8" t="s">
        <v>25</v>
      </c>
      <c r="N3287" s="8" t="s">
        <v>58</v>
      </c>
      <c r="O3287" s="8" t="s">
        <v>59</v>
      </c>
      <c r="P3287" s="8" t="s">
        <v>59</v>
      </c>
      <c r="R3287" s="8">
        <v>0</v>
      </c>
      <c r="S3287" s="8">
        <v>0</v>
      </c>
      <c r="T3287" s="8">
        <v>1</v>
      </c>
      <c r="U3287" s="8">
        <v>2</v>
      </c>
      <c r="AG3287" s="8" t="str">
        <f t="shared" si="205"/>
        <v/>
      </c>
      <c r="AI3287" s="8" t="str">
        <f t="shared" si="206"/>
        <v/>
      </c>
      <c r="AJ3287" s="8" t="str">
        <f t="shared" si="207"/>
        <v/>
      </c>
      <c r="AL3287" s="8" t="str">
        <f t="shared" si="208"/>
        <v/>
      </c>
    </row>
    <row r="3288" spans="1:38" x14ac:dyDescent="0.25">
      <c r="A3288" s="8" t="s">
        <v>2960</v>
      </c>
      <c r="B3288" s="8" t="s">
        <v>2961</v>
      </c>
      <c r="C3288" s="8">
        <v>30821052</v>
      </c>
      <c r="D3288" s="8">
        <v>5</v>
      </c>
      <c r="E3288" s="11">
        <v>43108</v>
      </c>
      <c r="F3288" s="8" t="s">
        <v>58</v>
      </c>
      <c r="G3288" s="11">
        <v>43110</v>
      </c>
      <c r="H3288" s="8" t="s">
        <v>25</v>
      </c>
      <c r="I3288" s="11">
        <v>43112</v>
      </c>
      <c r="J3288" s="8" t="s">
        <v>25</v>
      </c>
      <c r="N3288" s="8" t="s">
        <v>58</v>
      </c>
      <c r="O3288" s="8" t="s">
        <v>59</v>
      </c>
      <c r="P3288" s="8" t="s">
        <v>59</v>
      </c>
      <c r="R3288" s="8">
        <v>0</v>
      </c>
      <c r="S3288" s="8">
        <v>0</v>
      </c>
      <c r="T3288" s="8">
        <v>1</v>
      </c>
      <c r="U3288" s="8">
        <v>2</v>
      </c>
      <c r="X3288" s="8">
        <v>5</v>
      </c>
      <c r="AG3288" s="8" t="str">
        <f t="shared" si="205"/>
        <v/>
      </c>
      <c r="AI3288" s="8" t="str">
        <f t="shared" si="206"/>
        <v/>
      </c>
      <c r="AJ3288" s="8" t="str">
        <f t="shared" si="207"/>
        <v/>
      </c>
      <c r="AL3288" s="8" t="str">
        <f t="shared" si="208"/>
        <v/>
      </c>
    </row>
    <row r="3289" spans="1:38" x14ac:dyDescent="0.25">
      <c r="A3289" s="8" t="s">
        <v>2962</v>
      </c>
      <c r="B3289" s="8" t="s">
        <v>2963</v>
      </c>
      <c r="C3289" s="8">
        <v>30863146</v>
      </c>
      <c r="D3289" s="8">
        <v>5</v>
      </c>
      <c r="E3289" s="11">
        <v>43110</v>
      </c>
      <c r="F3289" s="8" t="s">
        <v>58</v>
      </c>
      <c r="G3289" s="11">
        <v>43110</v>
      </c>
      <c r="H3289" s="8" t="s">
        <v>25</v>
      </c>
      <c r="I3289" s="11">
        <v>43115</v>
      </c>
      <c r="J3289" s="8" t="s">
        <v>145</v>
      </c>
      <c r="N3289" s="8" t="s">
        <v>58</v>
      </c>
      <c r="O3289" s="8" t="s">
        <v>59</v>
      </c>
      <c r="P3289" s="8" t="s">
        <v>59</v>
      </c>
      <c r="R3289" s="8">
        <v>0</v>
      </c>
      <c r="S3289" s="8">
        <v>0</v>
      </c>
      <c r="T3289" s="8">
        <v>1</v>
      </c>
      <c r="U3289" s="8">
        <v>2</v>
      </c>
      <c r="X3289" s="8">
        <v>5</v>
      </c>
      <c r="AG3289" s="8" t="str">
        <f t="shared" si="205"/>
        <v/>
      </c>
      <c r="AI3289" s="8" t="str">
        <f t="shared" si="206"/>
        <v/>
      </c>
      <c r="AJ3289" s="8" t="str">
        <f t="shared" si="207"/>
        <v/>
      </c>
      <c r="AL3289" s="8" t="str">
        <f t="shared" si="208"/>
        <v/>
      </c>
    </row>
    <row r="3290" spans="1:38" x14ac:dyDescent="0.25">
      <c r="A3290" s="8" t="s">
        <v>7945</v>
      </c>
      <c r="B3290" s="8" t="s">
        <v>7946</v>
      </c>
      <c r="C3290" s="8">
        <v>30898851</v>
      </c>
      <c r="D3290" s="8">
        <v>5</v>
      </c>
      <c r="E3290" s="11">
        <v>43111</v>
      </c>
      <c r="F3290" s="8" t="s">
        <v>57</v>
      </c>
      <c r="G3290" s="11">
        <v>43115</v>
      </c>
      <c r="H3290" s="8" t="s">
        <v>25</v>
      </c>
      <c r="J3290" s="8" t="s">
        <v>25</v>
      </c>
      <c r="N3290" s="8" t="s">
        <v>58</v>
      </c>
      <c r="O3290" s="8" t="s">
        <v>59</v>
      </c>
      <c r="P3290" s="8" t="s">
        <v>59</v>
      </c>
      <c r="R3290" s="8">
        <v>0</v>
      </c>
      <c r="S3290" s="8">
        <v>0</v>
      </c>
      <c r="T3290" s="8">
        <v>1</v>
      </c>
      <c r="U3290" s="8">
        <v>2</v>
      </c>
      <c r="AG3290" s="8" t="str">
        <f t="shared" si="205"/>
        <v/>
      </c>
      <c r="AI3290" s="8" t="str">
        <f t="shared" si="206"/>
        <v/>
      </c>
      <c r="AJ3290" s="8" t="str">
        <f t="shared" si="207"/>
        <v/>
      </c>
      <c r="AL3290" s="8" t="str">
        <f t="shared" si="208"/>
        <v/>
      </c>
    </row>
    <row r="3291" spans="1:38" x14ac:dyDescent="0.25">
      <c r="A3291" s="8" t="s">
        <v>2964</v>
      </c>
      <c r="B3291" s="8" t="s">
        <v>2965</v>
      </c>
      <c r="C3291" s="8">
        <v>30824111</v>
      </c>
      <c r="D3291" s="8">
        <v>5</v>
      </c>
      <c r="E3291" s="11">
        <v>43108</v>
      </c>
      <c r="F3291" s="8" t="s">
        <v>57</v>
      </c>
      <c r="G3291" s="11">
        <v>43110</v>
      </c>
      <c r="H3291" s="8" t="s">
        <v>25</v>
      </c>
      <c r="J3291" s="8" t="s">
        <v>25</v>
      </c>
      <c r="N3291" s="8" t="s">
        <v>58</v>
      </c>
      <c r="O3291" s="8" t="s">
        <v>59</v>
      </c>
      <c r="P3291" s="8" t="s">
        <v>59</v>
      </c>
      <c r="R3291" s="8">
        <v>0</v>
      </c>
      <c r="S3291" s="8">
        <v>0</v>
      </c>
      <c r="T3291" s="8">
        <v>1</v>
      </c>
      <c r="U3291" s="8">
        <v>2</v>
      </c>
      <c r="AG3291" s="8" t="str">
        <f t="shared" si="205"/>
        <v/>
      </c>
      <c r="AI3291" s="8" t="str">
        <f t="shared" si="206"/>
        <v/>
      </c>
      <c r="AJ3291" s="8" t="str">
        <f t="shared" si="207"/>
        <v/>
      </c>
      <c r="AL3291" s="8" t="str">
        <f t="shared" si="208"/>
        <v/>
      </c>
    </row>
    <row r="3292" spans="1:38" x14ac:dyDescent="0.25">
      <c r="A3292" s="8" t="s">
        <v>2966</v>
      </c>
      <c r="B3292" s="8" t="s">
        <v>2967</v>
      </c>
      <c r="C3292" s="8">
        <v>30823511</v>
      </c>
      <c r="D3292" s="8">
        <v>5</v>
      </c>
      <c r="E3292" s="11">
        <v>43108</v>
      </c>
      <c r="F3292" s="8" t="s">
        <v>57</v>
      </c>
      <c r="G3292" s="11">
        <v>43110</v>
      </c>
      <c r="H3292" s="8" t="s">
        <v>25</v>
      </c>
      <c r="J3292" s="8" t="s">
        <v>25</v>
      </c>
      <c r="N3292" s="8" t="s">
        <v>58</v>
      </c>
      <c r="O3292" s="8" t="s">
        <v>59</v>
      </c>
      <c r="P3292" s="8" t="s">
        <v>59</v>
      </c>
      <c r="R3292" s="8">
        <v>0</v>
      </c>
      <c r="S3292" s="8">
        <v>0</v>
      </c>
      <c r="T3292" s="8">
        <v>1</v>
      </c>
      <c r="U3292" s="8">
        <v>2</v>
      </c>
      <c r="AG3292" s="8" t="str">
        <f t="shared" si="205"/>
        <v/>
      </c>
      <c r="AI3292" s="8" t="str">
        <f t="shared" si="206"/>
        <v/>
      </c>
      <c r="AJ3292" s="8" t="str">
        <f t="shared" si="207"/>
        <v/>
      </c>
      <c r="AL3292" s="8" t="str">
        <f t="shared" si="208"/>
        <v/>
      </c>
    </row>
    <row r="3293" spans="1:38" x14ac:dyDescent="0.25">
      <c r="A3293" s="8" t="s">
        <v>7947</v>
      </c>
      <c r="B3293" s="8" t="s">
        <v>7948</v>
      </c>
      <c r="C3293" s="8">
        <v>30930513</v>
      </c>
      <c r="D3293" s="8">
        <v>5</v>
      </c>
      <c r="E3293" s="11">
        <v>43115</v>
      </c>
      <c r="F3293" s="8" t="s">
        <v>57</v>
      </c>
      <c r="G3293" s="11">
        <v>43115</v>
      </c>
      <c r="H3293" s="8" t="s">
        <v>25</v>
      </c>
      <c r="J3293" s="8" t="s">
        <v>25</v>
      </c>
      <c r="N3293" s="8" t="s">
        <v>58</v>
      </c>
      <c r="O3293" s="8" t="s">
        <v>59</v>
      </c>
      <c r="P3293" s="8" t="s">
        <v>59</v>
      </c>
      <c r="R3293" s="8">
        <v>0</v>
      </c>
      <c r="S3293" s="8">
        <v>0</v>
      </c>
      <c r="T3293" s="8">
        <v>1</v>
      </c>
      <c r="U3293" s="8">
        <v>2</v>
      </c>
      <c r="AG3293" s="8" t="str">
        <f t="shared" si="205"/>
        <v/>
      </c>
      <c r="AI3293" s="8" t="str">
        <f t="shared" si="206"/>
        <v/>
      </c>
      <c r="AJ3293" s="8" t="str">
        <f t="shared" si="207"/>
        <v/>
      </c>
      <c r="AL3293" s="8" t="str">
        <f t="shared" si="208"/>
        <v/>
      </c>
    </row>
    <row r="3294" spans="1:38" x14ac:dyDescent="0.25">
      <c r="A3294" s="8" t="s">
        <v>4414</v>
      </c>
      <c r="B3294" s="8" t="s">
        <v>4415</v>
      </c>
      <c r="C3294" s="8">
        <v>30839543</v>
      </c>
      <c r="D3294" s="8">
        <v>5</v>
      </c>
      <c r="E3294" s="11">
        <v>43109</v>
      </c>
      <c r="F3294" s="8" t="s">
        <v>57</v>
      </c>
      <c r="G3294" s="11">
        <v>43111</v>
      </c>
      <c r="H3294" s="8" t="s">
        <v>25</v>
      </c>
      <c r="J3294" s="8" t="s">
        <v>25</v>
      </c>
      <c r="N3294" s="8" t="s">
        <v>58</v>
      </c>
      <c r="O3294" s="8" t="s">
        <v>59</v>
      </c>
      <c r="P3294" s="8" t="s">
        <v>59</v>
      </c>
      <c r="R3294" s="8">
        <v>0</v>
      </c>
      <c r="S3294" s="8">
        <v>0</v>
      </c>
      <c r="T3294" s="8">
        <v>1</v>
      </c>
      <c r="U3294" s="8">
        <v>2</v>
      </c>
      <c r="AG3294" s="8" t="str">
        <f t="shared" si="205"/>
        <v/>
      </c>
      <c r="AI3294" s="8" t="str">
        <f t="shared" si="206"/>
        <v/>
      </c>
      <c r="AJ3294" s="8" t="str">
        <f t="shared" si="207"/>
        <v/>
      </c>
      <c r="AL3294" s="8" t="str">
        <f t="shared" si="208"/>
        <v/>
      </c>
    </row>
    <row r="3295" spans="1:38" x14ac:dyDescent="0.25">
      <c r="A3295" s="8" t="s">
        <v>2968</v>
      </c>
      <c r="B3295" s="8" t="s">
        <v>2969</v>
      </c>
      <c r="C3295" s="8">
        <v>30813644</v>
      </c>
      <c r="D3295" s="8">
        <v>5</v>
      </c>
      <c r="E3295" s="11">
        <v>43108</v>
      </c>
      <c r="F3295" s="8" t="s">
        <v>57</v>
      </c>
      <c r="G3295" s="11">
        <v>43110</v>
      </c>
      <c r="H3295" s="8" t="s">
        <v>25</v>
      </c>
      <c r="J3295" s="8" t="s">
        <v>25</v>
      </c>
      <c r="N3295" s="8" t="s">
        <v>58</v>
      </c>
      <c r="O3295" s="8" t="s">
        <v>59</v>
      </c>
      <c r="P3295" s="8" t="s">
        <v>59</v>
      </c>
      <c r="R3295" s="8">
        <v>0</v>
      </c>
      <c r="S3295" s="8">
        <v>0</v>
      </c>
      <c r="T3295" s="8">
        <v>1</v>
      </c>
      <c r="U3295" s="8">
        <v>2</v>
      </c>
      <c r="AG3295" s="8" t="str">
        <f t="shared" si="205"/>
        <v/>
      </c>
      <c r="AI3295" s="8" t="str">
        <f t="shared" si="206"/>
        <v/>
      </c>
      <c r="AJ3295" s="8" t="str">
        <f t="shared" si="207"/>
        <v/>
      </c>
      <c r="AL3295" s="8" t="str">
        <f t="shared" si="208"/>
        <v/>
      </c>
    </row>
    <row r="3296" spans="1:38" x14ac:dyDescent="0.25">
      <c r="A3296" s="8" t="s">
        <v>6118</v>
      </c>
      <c r="B3296" s="8" t="s">
        <v>6119</v>
      </c>
      <c r="C3296" s="8">
        <v>30871038</v>
      </c>
      <c r="D3296" s="8">
        <v>5</v>
      </c>
      <c r="E3296" s="11">
        <v>43110</v>
      </c>
      <c r="F3296" s="8" t="s">
        <v>57</v>
      </c>
      <c r="G3296" s="11">
        <v>43112</v>
      </c>
      <c r="H3296" s="8" t="s">
        <v>25</v>
      </c>
      <c r="J3296" s="8" t="s">
        <v>25</v>
      </c>
      <c r="N3296" s="8" t="s">
        <v>58</v>
      </c>
      <c r="O3296" s="8" t="s">
        <v>59</v>
      </c>
      <c r="P3296" s="8" t="s">
        <v>59</v>
      </c>
      <c r="R3296" s="8">
        <v>0</v>
      </c>
      <c r="S3296" s="8">
        <v>0</v>
      </c>
      <c r="T3296" s="8">
        <v>1</v>
      </c>
      <c r="U3296" s="8">
        <v>2</v>
      </c>
      <c r="AG3296" s="8" t="str">
        <f t="shared" si="205"/>
        <v/>
      </c>
      <c r="AI3296" s="8" t="str">
        <f t="shared" si="206"/>
        <v/>
      </c>
      <c r="AJ3296" s="8" t="str">
        <f t="shared" si="207"/>
        <v/>
      </c>
      <c r="AL3296" s="8" t="str">
        <f t="shared" si="208"/>
        <v/>
      </c>
    </row>
    <row r="3297" spans="1:38" x14ac:dyDescent="0.25">
      <c r="A3297" s="8" t="s">
        <v>2970</v>
      </c>
      <c r="B3297" s="8" t="s">
        <v>2971</v>
      </c>
      <c r="C3297" s="8">
        <v>30822214</v>
      </c>
      <c r="D3297" s="8">
        <v>5</v>
      </c>
      <c r="E3297" s="11">
        <v>43108</v>
      </c>
      <c r="F3297" s="8" t="s">
        <v>58</v>
      </c>
      <c r="G3297" s="11">
        <v>43110</v>
      </c>
      <c r="H3297" s="8" t="s">
        <v>25</v>
      </c>
      <c r="I3297" s="11">
        <v>43111</v>
      </c>
      <c r="J3297" s="8" t="s">
        <v>25</v>
      </c>
      <c r="N3297" s="8" t="s">
        <v>58</v>
      </c>
      <c r="O3297" s="8" t="s">
        <v>59</v>
      </c>
      <c r="P3297" s="8" t="s">
        <v>59</v>
      </c>
      <c r="R3297" s="8">
        <v>0</v>
      </c>
      <c r="S3297" s="8">
        <v>0</v>
      </c>
      <c r="T3297" s="8">
        <v>1</v>
      </c>
      <c r="U3297" s="8">
        <v>2</v>
      </c>
      <c r="X3297" s="8">
        <v>5</v>
      </c>
      <c r="AG3297" s="8" t="str">
        <f t="shared" si="205"/>
        <v/>
      </c>
      <c r="AI3297" s="8" t="str">
        <f t="shared" si="206"/>
        <v/>
      </c>
      <c r="AJ3297" s="8" t="str">
        <f t="shared" si="207"/>
        <v/>
      </c>
      <c r="AL3297" s="8" t="str">
        <f t="shared" si="208"/>
        <v/>
      </c>
    </row>
    <row r="3298" spans="1:38" x14ac:dyDescent="0.25">
      <c r="A3298" s="8" t="s">
        <v>6120</v>
      </c>
      <c r="B3298" s="8" t="s">
        <v>6121</v>
      </c>
      <c r="C3298" s="8">
        <v>30899184</v>
      </c>
      <c r="D3298" s="8">
        <v>5</v>
      </c>
      <c r="E3298" s="11">
        <v>43111</v>
      </c>
      <c r="F3298" s="8" t="s">
        <v>57</v>
      </c>
      <c r="G3298" s="11">
        <v>43112</v>
      </c>
      <c r="H3298" s="8" t="s">
        <v>25</v>
      </c>
      <c r="J3298" s="8" t="s">
        <v>25</v>
      </c>
      <c r="N3298" s="8" t="s">
        <v>58</v>
      </c>
      <c r="O3298" s="8" t="s">
        <v>59</v>
      </c>
      <c r="P3298" s="8" t="s">
        <v>59</v>
      </c>
      <c r="R3298" s="8">
        <v>0</v>
      </c>
      <c r="S3298" s="8">
        <v>0</v>
      </c>
      <c r="T3298" s="8">
        <v>1</v>
      </c>
      <c r="U3298" s="8">
        <v>2</v>
      </c>
      <c r="AG3298" s="8" t="str">
        <f t="shared" si="205"/>
        <v/>
      </c>
      <c r="AI3298" s="8" t="str">
        <f t="shared" si="206"/>
        <v/>
      </c>
      <c r="AJ3298" s="8" t="str">
        <f t="shared" si="207"/>
        <v/>
      </c>
      <c r="AL3298" s="8" t="str">
        <f t="shared" si="208"/>
        <v/>
      </c>
    </row>
    <row r="3299" spans="1:38" x14ac:dyDescent="0.25">
      <c r="A3299" s="8" t="s">
        <v>7949</v>
      </c>
      <c r="B3299" s="8" t="s">
        <v>7950</v>
      </c>
      <c r="C3299" s="8">
        <v>30914912</v>
      </c>
      <c r="D3299" s="8">
        <v>2</v>
      </c>
      <c r="E3299" s="11">
        <v>43112</v>
      </c>
      <c r="F3299" s="8" t="s">
        <v>57</v>
      </c>
      <c r="G3299" s="11">
        <v>43115</v>
      </c>
      <c r="H3299" s="8" t="s">
        <v>25</v>
      </c>
      <c r="J3299" s="8" t="s">
        <v>25</v>
      </c>
      <c r="N3299" s="8" t="s">
        <v>58</v>
      </c>
      <c r="O3299" s="8" t="s">
        <v>59</v>
      </c>
      <c r="P3299" s="8" t="s">
        <v>59</v>
      </c>
      <c r="R3299" s="8">
        <v>0</v>
      </c>
      <c r="S3299" s="8">
        <v>0</v>
      </c>
      <c r="T3299" s="8">
        <v>1</v>
      </c>
      <c r="U3299" s="8">
        <v>2</v>
      </c>
      <c r="AG3299" s="8" t="str">
        <f t="shared" si="205"/>
        <v/>
      </c>
      <c r="AI3299" s="8" t="str">
        <f t="shared" si="206"/>
        <v/>
      </c>
      <c r="AJ3299" s="8" t="str">
        <f t="shared" si="207"/>
        <v/>
      </c>
      <c r="AL3299" s="8" t="str">
        <f t="shared" si="208"/>
        <v/>
      </c>
    </row>
    <row r="3300" spans="1:38" x14ac:dyDescent="0.25">
      <c r="A3300" s="8" t="s">
        <v>7951</v>
      </c>
      <c r="B3300" s="8" t="s">
        <v>7952</v>
      </c>
      <c r="C3300" s="8">
        <v>30894019</v>
      </c>
      <c r="D3300" s="8">
        <v>5</v>
      </c>
      <c r="E3300" s="11">
        <v>43111</v>
      </c>
      <c r="F3300" s="8" t="s">
        <v>57</v>
      </c>
      <c r="G3300" s="11">
        <v>43115</v>
      </c>
      <c r="H3300" s="8" t="s">
        <v>25</v>
      </c>
      <c r="J3300" s="8" t="s">
        <v>25</v>
      </c>
      <c r="N3300" s="8" t="s">
        <v>58</v>
      </c>
      <c r="O3300" s="8" t="s">
        <v>59</v>
      </c>
      <c r="P3300" s="8" t="s">
        <v>59</v>
      </c>
      <c r="R3300" s="8">
        <v>0</v>
      </c>
      <c r="S3300" s="8">
        <v>0</v>
      </c>
      <c r="T3300" s="8">
        <v>1</v>
      </c>
      <c r="U3300" s="8">
        <v>2</v>
      </c>
      <c r="AG3300" s="8" t="str">
        <f t="shared" si="205"/>
        <v/>
      </c>
      <c r="AI3300" s="8" t="str">
        <f t="shared" si="206"/>
        <v/>
      </c>
      <c r="AJ3300" s="8" t="str">
        <f t="shared" si="207"/>
        <v/>
      </c>
      <c r="AL3300" s="8" t="str">
        <f t="shared" si="208"/>
        <v/>
      </c>
    </row>
    <row r="3301" spans="1:38" x14ac:dyDescent="0.25">
      <c r="A3301" s="8" t="s">
        <v>6122</v>
      </c>
      <c r="B3301" s="8" t="s">
        <v>6123</v>
      </c>
      <c r="C3301" s="8">
        <v>30868878</v>
      </c>
      <c r="D3301" s="8">
        <v>5</v>
      </c>
      <c r="E3301" s="11">
        <v>43110</v>
      </c>
      <c r="F3301" s="8" t="s">
        <v>57</v>
      </c>
      <c r="G3301" s="11">
        <v>43112</v>
      </c>
      <c r="H3301" s="8" t="s">
        <v>25</v>
      </c>
      <c r="J3301" s="8" t="s">
        <v>25</v>
      </c>
      <c r="N3301" s="8" t="s">
        <v>58</v>
      </c>
      <c r="O3301" s="8" t="s">
        <v>59</v>
      </c>
      <c r="P3301" s="8" t="s">
        <v>59</v>
      </c>
      <c r="R3301" s="8">
        <v>0</v>
      </c>
      <c r="S3301" s="8">
        <v>0</v>
      </c>
      <c r="T3301" s="8">
        <v>1</v>
      </c>
      <c r="U3301" s="8">
        <v>2</v>
      </c>
      <c r="AG3301" s="8" t="str">
        <f t="shared" si="205"/>
        <v/>
      </c>
      <c r="AI3301" s="8" t="str">
        <f t="shared" si="206"/>
        <v/>
      </c>
      <c r="AJ3301" s="8" t="str">
        <f t="shared" si="207"/>
        <v/>
      </c>
      <c r="AL3301" s="8" t="str">
        <f t="shared" si="208"/>
        <v/>
      </c>
    </row>
    <row r="3302" spans="1:38" x14ac:dyDescent="0.25">
      <c r="A3302" s="8" t="s">
        <v>643</v>
      </c>
      <c r="B3302" s="8" t="s">
        <v>644</v>
      </c>
      <c r="C3302" s="8">
        <v>30810578</v>
      </c>
      <c r="D3302" s="8">
        <v>3</v>
      </c>
      <c r="E3302" s="11">
        <v>43108</v>
      </c>
      <c r="F3302" s="8" t="s">
        <v>57</v>
      </c>
      <c r="G3302" s="11">
        <v>43108</v>
      </c>
      <c r="H3302" s="8" t="s">
        <v>25</v>
      </c>
      <c r="J3302" s="8" t="s">
        <v>856</v>
      </c>
      <c r="N3302" s="8" t="s">
        <v>58</v>
      </c>
      <c r="O3302" s="8" t="s">
        <v>59</v>
      </c>
      <c r="P3302" s="8" t="s">
        <v>59</v>
      </c>
      <c r="R3302" s="8">
        <v>0</v>
      </c>
      <c r="S3302" s="8">
        <v>0</v>
      </c>
      <c r="T3302" s="8">
        <v>1</v>
      </c>
      <c r="U3302" s="8">
        <v>2</v>
      </c>
      <c r="AG3302" s="8" t="str">
        <f t="shared" si="205"/>
        <v/>
      </c>
      <c r="AI3302" s="8" t="str">
        <f t="shared" si="206"/>
        <v/>
      </c>
      <c r="AJ3302" s="8" t="str">
        <f t="shared" si="207"/>
        <v/>
      </c>
      <c r="AL3302" s="8" t="str">
        <f t="shared" si="208"/>
        <v/>
      </c>
    </row>
    <row r="3303" spans="1:38" x14ac:dyDescent="0.25">
      <c r="A3303" s="8" t="s">
        <v>7953</v>
      </c>
      <c r="B3303" s="8" t="s">
        <v>7954</v>
      </c>
      <c r="C3303" s="8">
        <v>30933909</v>
      </c>
      <c r="D3303" s="8">
        <v>4</v>
      </c>
      <c r="E3303" s="11">
        <v>43115</v>
      </c>
      <c r="F3303" s="8" t="s">
        <v>57</v>
      </c>
      <c r="G3303" s="11">
        <v>43115</v>
      </c>
      <c r="H3303" s="8" t="s">
        <v>25</v>
      </c>
      <c r="J3303" s="8" t="s">
        <v>25</v>
      </c>
      <c r="N3303" s="8" t="s">
        <v>58</v>
      </c>
      <c r="O3303" s="8" t="s">
        <v>59</v>
      </c>
      <c r="P3303" s="8" t="s">
        <v>59</v>
      </c>
      <c r="R3303" s="8">
        <v>0</v>
      </c>
      <c r="S3303" s="8">
        <v>0</v>
      </c>
      <c r="T3303" s="8">
        <v>1</v>
      </c>
      <c r="U3303" s="8">
        <v>2</v>
      </c>
      <c r="AG3303" s="8" t="str">
        <f t="shared" si="205"/>
        <v/>
      </c>
      <c r="AI3303" s="8" t="str">
        <f t="shared" si="206"/>
        <v/>
      </c>
      <c r="AJ3303" s="8" t="str">
        <f t="shared" si="207"/>
        <v/>
      </c>
      <c r="AL3303" s="8" t="str">
        <f t="shared" si="208"/>
        <v/>
      </c>
    </row>
    <row r="3304" spans="1:38" x14ac:dyDescent="0.25">
      <c r="A3304" s="8" t="s">
        <v>2972</v>
      </c>
      <c r="B3304" s="8" t="s">
        <v>2973</v>
      </c>
      <c r="C3304" s="8">
        <v>30816843</v>
      </c>
      <c r="D3304" s="8">
        <v>5</v>
      </c>
      <c r="E3304" s="11">
        <v>43108</v>
      </c>
      <c r="F3304" s="8" t="s">
        <v>58</v>
      </c>
      <c r="G3304" s="11">
        <v>43110</v>
      </c>
      <c r="H3304" s="8" t="s">
        <v>25</v>
      </c>
      <c r="I3304" s="11">
        <v>43110</v>
      </c>
      <c r="J3304" s="8" t="s">
        <v>25</v>
      </c>
      <c r="N3304" s="8" t="s">
        <v>58</v>
      </c>
      <c r="O3304" s="8" t="s">
        <v>59</v>
      </c>
      <c r="P3304" s="8" t="s">
        <v>59</v>
      </c>
      <c r="R3304" s="8">
        <v>0</v>
      </c>
      <c r="S3304" s="8">
        <v>0</v>
      </c>
      <c r="T3304" s="8">
        <v>1</v>
      </c>
      <c r="U3304" s="8">
        <v>2</v>
      </c>
      <c r="X3304" s="8">
        <v>5</v>
      </c>
      <c r="AG3304" s="8" t="str">
        <f t="shared" si="205"/>
        <v/>
      </c>
      <c r="AI3304" s="8" t="str">
        <f t="shared" si="206"/>
        <v/>
      </c>
      <c r="AJ3304" s="8" t="str">
        <f t="shared" si="207"/>
        <v/>
      </c>
      <c r="AL3304" s="8" t="str">
        <f t="shared" si="208"/>
        <v/>
      </c>
    </row>
    <row r="3305" spans="1:38" x14ac:dyDescent="0.25">
      <c r="A3305" s="8" t="s">
        <v>2974</v>
      </c>
      <c r="B3305" s="8" t="s">
        <v>2975</v>
      </c>
      <c r="C3305" s="8">
        <v>30817045</v>
      </c>
      <c r="D3305" s="8">
        <v>5</v>
      </c>
      <c r="E3305" s="11">
        <v>43108</v>
      </c>
      <c r="F3305" s="8" t="s">
        <v>58</v>
      </c>
      <c r="G3305" s="11">
        <v>43110</v>
      </c>
      <c r="H3305" s="8" t="s">
        <v>25</v>
      </c>
      <c r="I3305" s="11">
        <v>43110</v>
      </c>
      <c r="J3305" s="8" t="s">
        <v>25</v>
      </c>
      <c r="N3305" s="8" t="s">
        <v>58</v>
      </c>
      <c r="O3305" s="8" t="s">
        <v>59</v>
      </c>
      <c r="P3305" s="8" t="s">
        <v>59</v>
      </c>
      <c r="R3305" s="8">
        <v>0</v>
      </c>
      <c r="S3305" s="8">
        <v>0</v>
      </c>
      <c r="T3305" s="8">
        <v>1</v>
      </c>
      <c r="U3305" s="8">
        <v>2</v>
      </c>
      <c r="X3305" s="8">
        <v>5</v>
      </c>
      <c r="AG3305" s="8" t="str">
        <f t="shared" si="205"/>
        <v/>
      </c>
      <c r="AI3305" s="8" t="str">
        <f t="shared" si="206"/>
        <v/>
      </c>
      <c r="AJ3305" s="8" t="str">
        <f t="shared" si="207"/>
        <v/>
      </c>
      <c r="AL3305" s="8" t="str">
        <f t="shared" si="208"/>
        <v/>
      </c>
    </row>
    <row r="3306" spans="1:38" x14ac:dyDescent="0.25">
      <c r="A3306" s="8" t="s">
        <v>7955</v>
      </c>
      <c r="B3306" s="8" t="s">
        <v>7956</v>
      </c>
      <c r="C3306" s="8">
        <v>30925802</v>
      </c>
      <c r="D3306" s="8">
        <v>4</v>
      </c>
      <c r="E3306" s="11">
        <v>43113</v>
      </c>
      <c r="F3306" s="8" t="s">
        <v>57</v>
      </c>
      <c r="G3306" s="11">
        <v>43115</v>
      </c>
      <c r="H3306" s="8" t="s">
        <v>25</v>
      </c>
      <c r="J3306" s="8" t="s">
        <v>25</v>
      </c>
      <c r="N3306" s="8" t="s">
        <v>58</v>
      </c>
      <c r="O3306" s="8" t="s">
        <v>59</v>
      </c>
      <c r="P3306" s="8" t="s">
        <v>59</v>
      </c>
      <c r="R3306" s="8">
        <v>0</v>
      </c>
      <c r="S3306" s="8">
        <v>0</v>
      </c>
      <c r="T3306" s="8">
        <v>1</v>
      </c>
      <c r="U3306" s="8">
        <v>2</v>
      </c>
      <c r="AG3306" s="8" t="str">
        <f t="shared" si="205"/>
        <v/>
      </c>
      <c r="AI3306" s="8" t="str">
        <f t="shared" si="206"/>
        <v/>
      </c>
      <c r="AJ3306" s="8" t="str">
        <f t="shared" si="207"/>
        <v/>
      </c>
      <c r="AL3306" s="8" t="str">
        <f t="shared" si="208"/>
        <v/>
      </c>
    </row>
    <row r="3307" spans="1:38" x14ac:dyDescent="0.25">
      <c r="A3307" s="8" t="s">
        <v>2976</v>
      </c>
      <c r="B3307" s="8" t="s">
        <v>2977</v>
      </c>
      <c r="C3307" s="8">
        <v>30873900</v>
      </c>
      <c r="D3307" s="8">
        <v>4</v>
      </c>
      <c r="E3307" s="11">
        <v>43110</v>
      </c>
      <c r="F3307" s="8" t="s">
        <v>58</v>
      </c>
      <c r="G3307" s="11">
        <v>43110</v>
      </c>
      <c r="H3307" s="8" t="s">
        <v>25</v>
      </c>
      <c r="I3307" s="11">
        <v>43112</v>
      </c>
      <c r="J3307" s="8" t="s">
        <v>25</v>
      </c>
      <c r="N3307" s="8" t="s">
        <v>58</v>
      </c>
      <c r="O3307" s="8" t="s">
        <v>59</v>
      </c>
      <c r="P3307" s="8" t="s">
        <v>59</v>
      </c>
      <c r="R3307" s="8">
        <v>0</v>
      </c>
      <c r="S3307" s="8">
        <v>0</v>
      </c>
      <c r="T3307" s="8">
        <v>1</v>
      </c>
      <c r="U3307" s="8">
        <v>2</v>
      </c>
      <c r="X3307" s="8">
        <v>5</v>
      </c>
      <c r="AG3307" s="8" t="str">
        <f t="shared" si="205"/>
        <v/>
      </c>
      <c r="AI3307" s="8" t="str">
        <f t="shared" si="206"/>
        <v/>
      </c>
      <c r="AJ3307" s="8" t="str">
        <f t="shared" si="207"/>
        <v/>
      </c>
      <c r="AL3307" s="8" t="str">
        <f t="shared" si="208"/>
        <v/>
      </c>
    </row>
    <row r="3308" spans="1:38" x14ac:dyDescent="0.25">
      <c r="A3308" s="8" t="s">
        <v>645</v>
      </c>
      <c r="B3308" s="8" t="s">
        <v>646</v>
      </c>
      <c r="C3308" s="8">
        <v>30812184</v>
      </c>
      <c r="D3308" s="8">
        <v>4</v>
      </c>
      <c r="E3308" s="11">
        <v>43108</v>
      </c>
      <c r="F3308" s="8" t="s">
        <v>57</v>
      </c>
      <c r="G3308" s="11">
        <v>43108</v>
      </c>
      <c r="H3308" s="8" t="s">
        <v>25</v>
      </c>
      <c r="J3308" s="8" t="s">
        <v>25</v>
      </c>
      <c r="N3308" s="8" t="s">
        <v>58</v>
      </c>
      <c r="O3308" s="8" t="s">
        <v>59</v>
      </c>
      <c r="P3308" s="8" t="s">
        <v>59</v>
      </c>
      <c r="R3308" s="8">
        <v>0</v>
      </c>
      <c r="S3308" s="8">
        <v>0</v>
      </c>
      <c r="T3308" s="8">
        <v>1</v>
      </c>
      <c r="U3308" s="8">
        <v>2</v>
      </c>
      <c r="AG3308" s="8" t="str">
        <f t="shared" si="205"/>
        <v/>
      </c>
      <c r="AI3308" s="8" t="str">
        <f t="shared" si="206"/>
        <v/>
      </c>
      <c r="AJ3308" s="8" t="str">
        <f t="shared" si="207"/>
        <v/>
      </c>
      <c r="AL3308" s="8" t="str">
        <f t="shared" si="208"/>
        <v/>
      </c>
    </row>
    <row r="3309" spans="1:38" x14ac:dyDescent="0.25">
      <c r="A3309" s="8" t="s">
        <v>4416</v>
      </c>
      <c r="B3309" s="8" t="s">
        <v>4417</v>
      </c>
      <c r="C3309" s="8">
        <v>30843869</v>
      </c>
      <c r="D3309" s="8">
        <v>4</v>
      </c>
      <c r="E3309" s="11">
        <v>43109</v>
      </c>
      <c r="F3309" s="8" t="s">
        <v>57</v>
      </c>
      <c r="G3309" s="11">
        <v>43111</v>
      </c>
      <c r="H3309" s="8" t="s">
        <v>25</v>
      </c>
      <c r="J3309" s="8" t="s">
        <v>25</v>
      </c>
      <c r="N3309" s="8" t="s">
        <v>58</v>
      </c>
      <c r="O3309" s="8" t="s">
        <v>59</v>
      </c>
      <c r="P3309" s="8" t="s">
        <v>59</v>
      </c>
      <c r="R3309" s="8">
        <v>0</v>
      </c>
      <c r="S3309" s="8">
        <v>0</v>
      </c>
      <c r="T3309" s="8">
        <v>1</v>
      </c>
      <c r="U3309" s="8">
        <v>2</v>
      </c>
      <c r="AG3309" s="8" t="str">
        <f t="shared" si="205"/>
        <v/>
      </c>
      <c r="AI3309" s="8" t="str">
        <f t="shared" si="206"/>
        <v/>
      </c>
      <c r="AJ3309" s="8" t="str">
        <f t="shared" si="207"/>
        <v/>
      </c>
      <c r="AL3309" s="8" t="str">
        <f t="shared" si="208"/>
        <v/>
      </c>
    </row>
    <row r="3310" spans="1:38" x14ac:dyDescent="0.25">
      <c r="A3310" s="8" t="s">
        <v>6124</v>
      </c>
      <c r="B3310" s="8" t="s">
        <v>6125</v>
      </c>
      <c r="C3310" s="8">
        <v>30866844</v>
      </c>
      <c r="D3310" s="8">
        <v>4</v>
      </c>
      <c r="E3310" s="11">
        <v>43110</v>
      </c>
      <c r="F3310" s="8" t="s">
        <v>57</v>
      </c>
      <c r="G3310" s="11">
        <v>43112</v>
      </c>
      <c r="H3310" s="8" t="s">
        <v>25</v>
      </c>
      <c r="J3310" s="8" t="s">
        <v>25</v>
      </c>
      <c r="N3310" s="8" t="s">
        <v>58</v>
      </c>
      <c r="O3310" s="8" t="s">
        <v>59</v>
      </c>
      <c r="P3310" s="8" t="s">
        <v>59</v>
      </c>
      <c r="R3310" s="8">
        <v>0</v>
      </c>
      <c r="S3310" s="8">
        <v>0</v>
      </c>
      <c r="T3310" s="8">
        <v>1</v>
      </c>
      <c r="U3310" s="8">
        <v>2</v>
      </c>
      <c r="AG3310" s="8" t="str">
        <f t="shared" si="205"/>
        <v/>
      </c>
      <c r="AI3310" s="8" t="str">
        <f t="shared" si="206"/>
        <v/>
      </c>
      <c r="AJ3310" s="8" t="str">
        <f t="shared" si="207"/>
        <v/>
      </c>
      <c r="AL3310" s="8" t="str">
        <f t="shared" si="208"/>
        <v/>
      </c>
    </row>
    <row r="3311" spans="1:38" x14ac:dyDescent="0.25">
      <c r="A3311" s="8" t="s">
        <v>647</v>
      </c>
      <c r="B3311" s="8" t="s">
        <v>648</v>
      </c>
      <c r="C3311" s="8">
        <v>30814417</v>
      </c>
      <c r="D3311" s="8">
        <v>3</v>
      </c>
      <c r="E3311" s="11">
        <v>43108</v>
      </c>
      <c r="F3311" s="8" t="s">
        <v>58</v>
      </c>
      <c r="G3311" s="11">
        <v>43108</v>
      </c>
      <c r="H3311" s="8" t="s">
        <v>25</v>
      </c>
      <c r="I3311" s="11">
        <v>43111</v>
      </c>
      <c r="J3311" s="8" t="s">
        <v>25</v>
      </c>
      <c r="N3311" s="8" t="s">
        <v>58</v>
      </c>
      <c r="O3311" s="8" t="s">
        <v>59</v>
      </c>
      <c r="P3311" s="8" t="s">
        <v>59</v>
      </c>
      <c r="R3311" s="8">
        <v>0</v>
      </c>
      <c r="S3311" s="8">
        <v>0</v>
      </c>
      <c r="T3311" s="8">
        <v>1</v>
      </c>
      <c r="U3311" s="8">
        <v>2</v>
      </c>
      <c r="X3311" s="8">
        <v>5</v>
      </c>
      <c r="AG3311" s="8" t="str">
        <f t="shared" si="205"/>
        <v/>
      </c>
      <c r="AI3311" s="8" t="str">
        <f t="shared" si="206"/>
        <v/>
      </c>
      <c r="AJ3311" s="8" t="str">
        <f t="shared" si="207"/>
        <v/>
      </c>
      <c r="AL3311" s="8" t="str">
        <f t="shared" si="208"/>
        <v/>
      </c>
    </row>
    <row r="3312" spans="1:38" x14ac:dyDescent="0.25">
      <c r="A3312" s="8" t="s">
        <v>6126</v>
      </c>
      <c r="B3312" s="8" t="s">
        <v>6127</v>
      </c>
      <c r="C3312" s="8">
        <v>30874554</v>
      </c>
      <c r="D3312" s="8">
        <v>4</v>
      </c>
      <c r="E3312" s="11">
        <v>43110</v>
      </c>
      <c r="F3312" s="8" t="s">
        <v>57</v>
      </c>
      <c r="G3312" s="11">
        <v>43112</v>
      </c>
      <c r="H3312" s="8" t="s">
        <v>25</v>
      </c>
      <c r="J3312" s="8" t="s">
        <v>25</v>
      </c>
      <c r="N3312" s="8" t="s">
        <v>58</v>
      </c>
      <c r="O3312" s="8" t="s">
        <v>59</v>
      </c>
      <c r="P3312" s="8" t="s">
        <v>59</v>
      </c>
      <c r="R3312" s="8">
        <v>0</v>
      </c>
      <c r="S3312" s="8">
        <v>0</v>
      </c>
      <c r="T3312" s="8">
        <v>1</v>
      </c>
      <c r="U3312" s="8">
        <v>2</v>
      </c>
      <c r="AG3312" s="8" t="str">
        <f t="shared" si="205"/>
        <v/>
      </c>
      <c r="AI3312" s="8" t="str">
        <f t="shared" si="206"/>
        <v/>
      </c>
      <c r="AJ3312" s="8" t="str">
        <f t="shared" si="207"/>
        <v/>
      </c>
      <c r="AL3312" s="8" t="str">
        <f t="shared" si="208"/>
        <v/>
      </c>
    </row>
    <row r="3313" spans="1:38" x14ac:dyDescent="0.25">
      <c r="A3313" s="8" t="s">
        <v>2978</v>
      </c>
      <c r="B3313" s="8" t="s">
        <v>2979</v>
      </c>
      <c r="C3313" s="8">
        <v>30809055</v>
      </c>
      <c r="D3313" s="8">
        <v>4</v>
      </c>
      <c r="E3313" s="11">
        <v>43108</v>
      </c>
      <c r="F3313" s="8" t="s">
        <v>57</v>
      </c>
      <c r="G3313" s="11">
        <v>43110</v>
      </c>
      <c r="H3313" s="8" t="s">
        <v>25</v>
      </c>
      <c r="J3313" s="8" t="s">
        <v>25</v>
      </c>
      <c r="N3313" s="8" t="s">
        <v>58</v>
      </c>
      <c r="O3313" s="8" t="s">
        <v>59</v>
      </c>
      <c r="P3313" s="8" t="s">
        <v>59</v>
      </c>
      <c r="R3313" s="8">
        <v>0</v>
      </c>
      <c r="S3313" s="8">
        <v>0</v>
      </c>
      <c r="T3313" s="8">
        <v>1</v>
      </c>
      <c r="U3313" s="8">
        <v>2</v>
      </c>
      <c r="AG3313" s="8" t="str">
        <f t="shared" si="205"/>
        <v/>
      </c>
      <c r="AI3313" s="8" t="str">
        <f t="shared" si="206"/>
        <v/>
      </c>
      <c r="AJ3313" s="8" t="str">
        <f t="shared" si="207"/>
        <v/>
      </c>
      <c r="AL3313" s="8" t="str">
        <f t="shared" si="208"/>
        <v/>
      </c>
    </row>
    <row r="3314" spans="1:38" x14ac:dyDescent="0.25">
      <c r="A3314" s="8" t="s">
        <v>6128</v>
      </c>
      <c r="B3314" s="8" t="s">
        <v>6129</v>
      </c>
      <c r="C3314" s="8">
        <v>30872748</v>
      </c>
      <c r="D3314" s="8">
        <v>5</v>
      </c>
      <c r="E3314" s="11">
        <v>43110</v>
      </c>
      <c r="F3314" s="8" t="s">
        <v>57</v>
      </c>
      <c r="G3314" s="11">
        <v>43112</v>
      </c>
      <c r="H3314" s="8" t="s">
        <v>25</v>
      </c>
      <c r="J3314" s="8" t="s">
        <v>25</v>
      </c>
      <c r="N3314" s="8" t="s">
        <v>58</v>
      </c>
      <c r="O3314" s="8" t="s">
        <v>59</v>
      </c>
      <c r="P3314" s="8" t="s">
        <v>59</v>
      </c>
      <c r="R3314" s="8">
        <v>0</v>
      </c>
      <c r="S3314" s="8">
        <v>0</v>
      </c>
      <c r="T3314" s="8">
        <v>1</v>
      </c>
      <c r="U3314" s="8">
        <v>2</v>
      </c>
      <c r="AG3314" s="8" t="str">
        <f t="shared" si="205"/>
        <v/>
      </c>
      <c r="AI3314" s="8" t="str">
        <f t="shared" si="206"/>
        <v/>
      </c>
      <c r="AJ3314" s="8" t="str">
        <f t="shared" si="207"/>
        <v/>
      </c>
      <c r="AL3314" s="8" t="str">
        <f t="shared" si="208"/>
        <v/>
      </c>
    </row>
    <row r="3315" spans="1:38" x14ac:dyDescent="0.25">
      <c r="A3315" s="8" t="s">
        <v>7957</v>
      </c>
      <c r="B3315" s="8" t="s">
        <v>7958</v>
      </c>
      <c r="C3315" s="8">
        <v>30891536</v>
      </c>
      <c r="D3315" s="8">
        <v>4</v>
      </c>
      <c r="E3315" s="11">
        <v>43111</v>
      </c>
      <c r="F3315" s="8" t="s">
        <v>57</v>
      </c>
      <c r="G3315" s="11">
        <v>43115</v>
      </c>
      <c r="H3315" s="8" t="s">
        <v>25</v>
      </c>
      <c r="J3315" s="8" t="s">
        <v>25</v>
      </c>
      <c r="N3315" s="8" t="s">
        <v>58</v>
      </c>
      <c r="O3315" s="8" t="s">
        <v>59</v>
      </c>
      <c r="P3315" s="8" t="s">
        <v>59</v>
      </c>
      <c r="R3315" s="8">
        <v>0</v>
      </c>
      <c r="S3315" s="8">
        <v>0</v>
      </c>
      <c r="T3315" s="8">
        <v>1</v>
      </c>
      <c r="U3315" s="8">
        <v>2</v>
      </c>
      <c r="AG3315" s="8" t="str">
        <f t="shared" si="205"/>
        <v/>
      </c>
      <c r="AI3315" s="8" t="str">
        <f t="shared" si="206"/>
        <v/>
      </c>
      <c r="AJ3315" s="8" t="str">
        <f t="shared" si="207"/>
        <v/>
      </c>
      <c r="AL3315" s="8" t="str">
        <f t="shared" si="208"/>
        <v/>
      </c>
    </row>
    <row r="3316" spans="1:38" x14ac:dyDescent="0.25">
      <c r="A3316" s="8" t="s">
        <v>2980</v>
      </c>
      <c r="B3316" s="8" t="s">
        <v>2981</v>
      </c>
      <c r="C3316" s="8">
        <v>30836186</v>
      </c>
      <c r="D3316" s="8">
        <v>3</v>
      </c>
      <c r="E3316" s="11">
        <v>43109</v>
      </c>
      <c r="F3316" s="8" t="s">
        <v>57</v>
      </c>
      <c r="G3316" s="11">
        <v>43110</v>
      </c>
      <c r="H3316" s="8" t="s">
        <v>25</v>
      </c>
      <c r="J3316" s="8" t="s">
        <v>25</v>
      </c>
      <c r="N3316" s="8" t="s">
        <v>58</v>
      </c>
      <c r="O3316" s="8" t="s">
        <v>59</v>
      </c>
      <c r="P3316" s="8" t="s">
        <v>59</v>
      </c>
      <c r="R3316" s="8">
        <v>0</v>
      </c>
      <c r="S3316" s="8">
        <v>0</v>
      </c>
      <c r="T3316" s="8">
        <v>1</v>
      </c>
      <c r="U3316" s="8">
        <v>2</v>
      </c>
      <c r="AG3316" s="8" t="str">
        <f t="shared" si="205"/>
        <v/>
      </c>
      <c r="AI3316" s="8" t="str">
        <f t="shared" si="206"/>
        <v/>
      </c>
      <c r="AJ3316" s="8" t="str">
        <f t="shared" si="207"/>
        <v/>
      </c>
      <c r="AL3316" s="8" t="str">
        <f t="shared" si="208"/>
        <v/>
      </c>
    </row>
    <row r="3317" spans="1:38" x14ac:dyDescent="0.25">
      <c r="A3317" s="8" t="s">
        <v>6130</v>
      </c>
      <c r="B3317" s="8" t="s">
        <v>114</v>
      </c>
      <c r="C3317" s="8">
        <v>30909489</v>
      </c>
      <c r="D3317" s="8">
        <v>3</v>
      </c>
      <c r="E3317" s="11">
        <v>43112</v>
      </c>
      <c r="F3317" s="8" t="s">
        <v>57</v>
      </c>
      <c r="G3317" s="11">
        <v>43112</v>
      </c>
      <c r="H3317" s="8" t="s">
        <v>25</v>
      </c>
      <c r="J3317" s="8" t="s">
        <v>25</v>
      </c>
      <c r="N3317" s="8" t="s">
        <v>58</v>
      </c>
      <c r="O3317" s="8" t="s">
        <v>59</v>
      </c>
      <c r="P3317" s="8" t="s">
        <v>59</v>
      </c>
      <c r="R3317" s="8">
        <v>0</v>
      </c>
      <c r="S3317" s="8">
        <v>0</v>
      </c>
      <c r="T3317" s="8">
        <v>1</v>
      </c>
      <c r="U3317" s="8">
        <v>2</v>
      </c>
      <c r="AG3317" s="8" t="str">
        <f t="shared" si="205"/>
        <v/>
      </c>
      <c r="AI3317" s="8" t="str">
        <f t="shared" si="206"/>
        <v/>
      </c>
      <c r="AJ3317" s="8" t="str">
        <f t="shared" si="207"/>
        <v/>
      </c>
      <c r="AL3317" s="8" t="str">
        <f t="shared" si="208"/>
        <v/>
      </c>
    </row>
    <row r="3318" spans="1:38" x14ac:dyDescent="0.25">
      <c r="A3318" s="8" t="s">
        <v>4418</v>
      </c>
      <c r="B3318" s="8" t="s">
        <v>4419</v>
      </c>
      <c r="C3318" s="8">
        <v>30840421</v>
      </c>
      <c r="D3318" s="8">
        <v>5</v>
      </c>
      <c r="E3318" s="11">
        <v>43109</v>
      </c>
      <c r="F3318" s="8" t="s">
        <v>57</v>
      </c>
      <c r="G3318" s="11">
        <v>43111</v>
      </c>
      <c r="H3318" s="8" t="s">
        <v>25</v>
      </c>
      <c r="J3318" s="8" t="s">
        <v>25</v>
      </c>
      <c r="N3318" s="8" t="s">
        <v>58</v>
      </c>
      <c r="O3318" s="8" t="s">
        <v>59</v>
      </c>
      <c r="P3318" s="8" t="s">
        <v>59</v>
      </c>
      <c r="R3318" s="8">
        <v>0</v>
      </c>
      <c r="S3318" s="8">
        <v>0</v>
      </c>
      <c r="T3318" s="8">
        <v>1</v>
      </c>
      <c r="U3318" s="8">
        <v>2</v>
      </c>
      <c r="AG3318" s="8" t="str">
        <f t="shared" si="205"/>
        <v/>
      </c>
      <c r="AI3318" s="8" t="str">
        <f t="shared" si="206"/>
        <v/>
      </c>
      <c r="AJ3318" s="8" t="str">
        <f t="shared" si="207"/>
        <v/>
      </c>
      <c r="AL3318" s="8" t="str">
        <f t="shared" si="208"/>
        <v/>
      </c>
    </row>
    <row r="3319" spans="1:38" x14ac:dyDescent="0.25">
      <c r="A3319" s="8" t="s">
        <v>6131</v>
      </c>
      <c r="B3319" s="8" t="s">
        <v>6132</v>
      </c>
      <c r="C3319" s="8">
        <v>30917169</v>
      </c>
      <c r="D3319" s="8">
        <v>5</v>
      </c>
      <c r="E3319" s="11">
        <v>43112</v>
      </c>
      <c r="F3319" s="8" t="s">
        <v>57</v>
      </c>
      <c r="G3319" s="11">
        <v>43112</v>
      </c>
      <c r="H3319" s="8" t="s">
        <v>25</v>
      </c>
      <c r="J3319" s="8" t="s">
        <v>25</v>
      </c>
      <c r="N3319" s="8" t="s">
        <v>58</v>
      </c>
      <c r="O3319" s="8" t="s">
        <v>59</v>
      </c>
      <c r="P3319" s="8" t="s">
        <v>59</v>
      </c>
      <c r="R3319" s="8">
        <v>0</v>
      </c>
      <c r="S3319" s="8">
        <v>0</v>
      </c>
      <c r="T3319" s="8">
        <v>1</v>
      </c>
      <c r="U3319" s="8">
        <v>2</v>
      </c>
      <c r="AG3319" s="8" t="str">
        <f t="shared" si="205"/>
        <v/>
      </c>
      <c r="AI3319" s="8" t="str">
        <f t="shared" si="206"/>
        <v/>
      </c>
      <c r="AJ3319" s="8" t="str">
        <f t="shared" si="207"/>
        <v/>
      </c>
      <c r="AL3319" s="8" t="str">
        <f t="shared" si="208"/>
        <v/>
      </c>
    </row>
    <row r="3320" spans="1:38" x14ac:dyDescent="0.25">
      <c r="A3320" s="8" t="s">
        <v>4420</v>
      </c>
      <c r="B3320" s="8" t="s">
        <v>4421</v>
      </c>
      <c r="C3320" s="8">
        <v>30832812</v>
      </c>
      <c r="D3320" s="8">
        <v>5</v>
      </c>
      <c r="E3320" s="11">
        <v>43109</v>
      </c>
      <c r="F3320" s="8" t="s">
        <v>61</v>
      </c>
      <c r="G3320" s="11">
        <v>43111</v>
      </c>
      <c r="H3320" s="8" t="s">
        <v>25</v>
      </c>
      <c r="J3320" s="8" t="s">
        <v>25</v>
      </c>
      <c r="K3320" s="11">
        <v>43112</v>
      </c>
      <c r="N3320" s="8" t="s">
        <v>58</v>
      </c>
      <c r="O3320" s="8" t="s">
        <v>59</v>
      </c>
      <c r="P3320" s="8" t="s">
        <v>59</v>
      </c>
      <c r="R3320" s="8">
        <v>0</v>
      </c>
      <c r="S3320" s="8">
        <v>0</v>
      </c>
      <c r="T3320" s="8">
        <v>1</v>
      </c>
      <c r="U3320" s="8">
        <v>2</v>
      </c>
      <c r="Y3320" s="8">
        <v>6</v>
      </c>
      <c r="Z3320" s="8">
        <v>7</v>
      </c>
      <c r="AG3320" s="8" t="str">
        <f t="shared" si="205"/>
        <v/>
      </c>
      <c r="AI3320" s="8" t="str">
        <f t="shared" si="206"/>
        <v/>
      </c>
      <c r="AJ3320" s="8" t="str">
        <f t="shared" si="207"/>
        <v/>
      </c>
      <c r="AL3320" s="8" t="str">
        <f t="shared" si="208"/>
        <v/>
      </c>
    </row>
    <row r="3321" spans="1:38" x14ac:dyDescent="0.25">
      <c r="A3321" s="8" t="s">
        <v>6133</v>
      </c>
      <c r="B3321" s="8" t="s">
        <v>6134</v>
      </c>
      <c r="C3321" s="8">
        <v>30866229</v>
      </c>
      <c r="D3321" s="8">
        <v>5</v>
      </c>
      <c r="E3321" s="11">
        <v>43110</v>
      </c>
      <c r="F3321" s="8" t="s">
        <v>57</v>
      </c>
      <c r="G3321" s="11">
        <v>43112</v>
      </c>
      <c r="H3321" s="8" t="s">
        <v>25</v>
      </c>
      <c r="J3321" s="8" t="s">
        <v>25</v>
      </c>
      <c r="N3321" s="8" t="s">
        <v>58</v>
      </c>
      <c r="O3321" s="8" t="s">
        <v>59</v>
      </c>
      <c r="P3321" s="8" t="s">
        <v>59</v>
      </c>
      <c r="R3321" s="8">
        <v>0</v>
      </c>
      <c r="S3321" s="8">
        <v>0</v>
      </c>
      <c r="T3321" s="8">
        <v>1</v>
      </c>
      <c r="U3321" s="8">
        <v>2</v>
      </c>
      <c r="AG3321" s="8" t="str">
        <f t="shared" si="205"/>
        <v/>
      </c>
      <c r="AI3321" s="8" t="str">
        <f t="shared" si="206"/>
        <v/>
      </c>
      <c r="AJ3321" s="8" t="str">
        <f t="shared" si="207"/>
        <v/>
      </c>
      <c r="AL3321" s="8" t="str">
        <f t="shared" si="208"/>
        <v/>
      </c>
    </row>
    <row r="3322" spans="1:38" x14ac:dyDescent="0.25">
      <c r="A3322" s="8" t="s">
        <v>4422</v>
      </c>
      <c r="B3322" s="8" t="s">
        <v>140</v>
      </c>
      <c r="C3322" s="8">
        <v>30893512</v>
      </c>
      <c r="D3322" s="8">
        <v>5</v>
      </c>
      <c r="E3322" s="11">
        <v>43111</v>
      </c>
      <c r="F3322" s="8" t="s">
        <v>57</v>
      </c>
      <c r="G3322" s="11">
        <v>43111</v>
      </c>
      <c r="H3322" s="8" t="s">
        <v>25</v>
      </c>
      <c r="J3322" s="8" t="s">
        <v>25</v>
      </c>
      <c r="N3322" s="8" t="s">
        <v>58</v>
      </c>
      <c r="O3322" s="8" t="s">
        <v>59</v>
      </c>
      <c r="P3322" s="8" t="s">
        <v>59</v>
      </c>
      <c r="R3322" s="8">
        <v>0</v>
      </c>
      <c r="S3322" s="8">
        <v>0</v>
      </c>
      <c r="T3322" s="8">
        <v>1</v>
      </c>
      <c r="U3322" s="8">
        <v>2</v>
      </c>
      <c r="AG3322" s="8" t="str">
        <f t="shared" si="205"/>
        <v/>
      </c>
      <c r="AI3322" s="8" t="str">
        <f t="shared" si="206"/>
        <v/>
      </c>
      <c r="AJ3322" s="8" t="str">
        <f t="shared" si="207"/>
        <v/>
      </c>
      <c r="AL3322" s="8" t="str">
        <f t="shared" si="208"/>
        <v/>
      </c>
    </row>
    <row r="3323" spans="1:38" x14ac:dyDescent="0.25">
      <c r="A3323" s="8" t="s">
        <v>6135</v>
      </c>
      <c r="B3323" s="8" t="s">
        <v>6136</v>
      </c>
      <c r="C3323" s="8">
        <v>30887859</v>
      </c>
      <c r="D3323" s="8">
        <v>3</v>
      </c>
      <c r="E3323" s="11">
        <v>43111</v>
      </c>
      <c r="F3323" s="8" t="s">
        <v>57</v>
      </c>
      <c r="G3323" s="11">
        <v>43112</v>
      </c>
      <c r="H3323" s="8" t="s">
        <v>25</v>
      </c>
      <c r="J3323" s="8" t="s">
        <v>25</v>
      </c>
      <c r="N3323" s="8" t="s">
        <v>58</v>
      </c>
      <c r="O3323" s="8" t="s">
        <v>59</v>
      </c>
      <c r="P3323" s="8" t="s">
        <v>59</v>
      </c>
      <c r="R3323" s="8">
        <v>0</v>
      </c>
      <c r="S3323" s="8">
        <v>0</v>
      </c>
      <c r="T3323" s="8">
        <v>1</v>
      </c>
      <c r="U3323" s="8">
        <v>2</v>
      </c>
      <c r="AG3323" s="8" t="str">
        <f t="shared" si="205"/>
        <v/>
      </c>
      <c r="AI3323" s="8" t="str">
        <f t="shared" si="206"/>
        <v/>
      </c>
      <c r="AJ3323" s="8" t="str">
        <f t="shared" si="207"/>
        <v/>
      </c>
      <c r="AL3323" s="8" t="str">
        <f t="shared" si="208"/>
        <v/>
      </c>
    </row>
    <row r="3324" spans="1:38" x14ac:dyDescent="0.25">
      <c r="A3324" s="8" t="s">
        <v>6137</v>
      </c>
      <c r="B3324" s="8" t="s">
        <v>6138</v>
      </c>
      <c r="C3324" s="8">
        <v>30869292</v>
      </c>
      <c r="D3324" s="8">
        <v>4</v>
      </c>
      <c r="E3324" s="11">
        <v>43110</v>
      </c>
      <c r="F3324" s="8" t="s">
        <v>57</v>
      </c>
      <c r="G3324" s="11">
        <v>43112</v>
      </c>
      <c r="H3324" s="8" t="s">
        <v>25</v>
      </c>
      <c r="J3324" s="8" t="s">
        <v>25</v>
      </c>
      <c r="N3324" s="8" t="s">
        <v>58</v>
      </c>
      <c r="O3324" s="8" t="s">
        <v>59</v>
      </c>
      <c r="P3324" s="8" t="s">
        <v>59</v>
      </c>
      <c r="R3324" s="8">
        <v>0</v>
      </c>
      <c r="S3324" s="8">
        <v>0</v>
      </c>
      <c r="T3324" s="8">
        <v>1</v>
      </c>
      <c r="U3324" s="8">
        <v>2</v>
      </c>
      <c r="AG3324" s="8" t="str">
        <f t="shared" si="205"/>
        <v/>
      </c>
      <c r="AI3324" s="8" t="str">
        <f t="shared" si="206"/>
        <v/>
      </c>
      <c r="AJ3324" s="8" t="str">
        <f t="shared" si="207"/>
        <v/>
      </c>
      <c r="AL3324" s="8" t="str">
        <f t="shared" si="208"/>
        <v/>
      </c>
    </row>
    <row r="3325" spans="1:38" x14ac:dyDescent="0.25">
      <c r="A3325" s="8" t="s">
        <v>649</v>
      </c>
      <c r="B3325" s="8" t="s">
        <v>650</v>
      </c>
      <c r="C3325" s="8">
        <v>30817670</v>
      </c>
      <c r="D3325" s="8">
        <v>4</v>
      </c>
      <c r="E3325" s="11">
        <v>43108</v>
      </c>
      <c r="F3325" s="8" t="s">
        <v>58</v>
      </c>
      <c r="G3325" s="11">
        <v>43108</v>
      </c>
      <c r="H3325" s="8" t="s">
        <v>25</v>
      </c>
      <c r="I3325" s="11">
        <v>43112</v>
      </c>
      <c r="J3325" s="8" t="s">
        <v>145</v>
      </c>
      <c r="N3325" s="8" t="s">
        <v>58</v>
      </c>
      <c r="O3325" s="8" t="s">
        <v>59</v>
      </c>
      <c r="P3325" s="8" t="s">
        <v>59</v>
      </c>
      <c r="R3325" s="8">
        <v>0</v>
      </c>
      <c r="S3325" s="8">
        <v>0</v>
      </c>
      <c r="T3325" s="8">
        <v>1</v>
      </c>
      <c r="U3325" s="8">
        <v>2</v>
      </c>
      <c r="X3325" s="8">
        <v>5</v>
      </c>
      <c r="AG3325" s="8" t="str">
        <f t="shared" si="205"/>
        <v/>
      </c>
      <c r="AI3325" s="8" t="str">
        <f t="shared" si="206"/>
        <v/>
      </c>
      <c r="AJ3325" s="8" t="str">
        <f t="shared" si="207"/>
        <v/>
      </c>
      <c r="AL3325" s="8" t="str">
        <f t="shared" si="208"/>
        <v/>
      </c>
    </row>
    <row r="3326" spans="1:38" x14ac:dyDescent="0.25">
      <c r="A3326" s="8" t="s">
        <v>6139</v>
      </c>
      <c r="B3326" s="8" t="s">
        <v>6140</v>
      </c>
      <c r="C3326" s="8">
        <v>30861047</v>
      </c>
      <c r="D3326" s="8">
        <v>5</v>
      </c>
      <c r="E3326" s="11">
        <v>43110</v>
      </c>
      <c r="F3326" s="8" t="s">
        <v>57</v>
      </c>
      <c r="G3326" s="11">
        <v>43112</v>
      </c>
      <c r="H3326" s="8" t="s">
        <v>25</v>
      </c>
      <c r="J3326" s="8" t="s">
        <v>25</v>
      </c>
      <c r="N3326" s="8" t="s">
        <v>58</v>
      </c>
      <c r="O3326" s="8" t="s">
        <v>59</v>
      </c>
      <c r="P3326" s="8" t="s">
        <v>59</v>
      </c>
      <c r="R3326" s="8">
        <v>0</v>
      </c>
      <c r="S3326" s="8">
        <v>0</v>
      </c>
      <c r="T3326" s="8">
        <v>1</v>
      </c>
      <c r="U3326" s="8">
        <v>2</v>
      </c>
      <c r="AG3326" s="8" t="str">
        <f t="shared" si="205"/>
        <v/>
      </c>
      <c r="AI3326" s="8" t="str">
        <f t="shared" si="206"/>
        <v/>
      </c>
      <c r="AJ3326" s="8" t="str">
        <f t="shared" si="207"/>
        <v/>
      </c>
      <c r="AL3326" s="8" t="str">
        <f t="shared" si="208"/>
        <v/>
      </c>
    </row>
    <row r="3327" spans="1:38" x14ac:dyDescent="0.25">
      <c r="A3327" s="8" t="s">
        <v>6141</v>
      </c>
      <c r="B3327" s="8" t="s">
        <v>6142</v>
      </c>
      <c r="C3327" s="8">
        <v>30926274</v>
      </c>
      <c r="D3327" s="8">
        <v>5</v>
      </c>
      <c r="E3327" s="11">
        <v>43113</v>
      </c>
      <c r="F3327" s="8" t="s">
        <v>57</v>
      </c>
      <c r="G3327" s="11">
        <v>43113</v>
      </c>
      <c r="H3327" s="8" t="s">
        <v>25</v>
      </c>
      <c r="J3327" s="8" t="s">
        <v>25</v>
      </c>
      <c r="N3327" s="8" t="s">
        <v>58</v>
      </c>
      <c r="O3327" s="8" t="s">
        <v>59</v>
      </c>
      <c r="P3327" s="8" t="s">
        <v>59</v>
      </c>
      <c r="R3327" s="8">
        <v>0</v>
      </c>
      <c r="S3327" s="8">
        <v>0</v>
      </c>
      <c r="T3327" s="8">
        <v>1</v>
      </c>
      <c r="U3327" s="8">
        <v>2</v>
      </c>
      <c r="AG3327" s="8" t="str">
        <f t="shared" si="205"/>
        <v/>
      </c>
      <c r="AI3327" s="8" t="str">
        <f t="shared" si="206"/>
        <v/>
      </c>
      <c r="AJ3327" s="8" t="str">
        <f t="shared" si="207"/>
        <v/>
      </c>
      <c r="AL3327" s="8" t="str">
        <f t="shared" si="208"/>
        <v/>
      </c>
    </row>
    <row r="3328" spans="1:38" x14ac:dyDescent="0.25">
      <c r="A3328" s="8" t="s">
        <v>651</v>
      </c>
      <c r="B3328" s="8" t="s">
        <v>652</v>
      </c>
      <c r="C3328" s="8">
        <v>30825386</v>
      </c>
      <c r="D3328" s="8">
        <v>4</v>
      </c>
      <c r="E3328" s="11">
        <v>43108</v>
      </c>
      <c r="F3328" s="8" t="s">
        <v>57</v>
      </c>
      <c r="G3328" s="11">
        <v>43108</v>
      </c>
      <c r="H3328" s="8" t="s">
        <v>25</v>
      </c>
      <c r="J3328" s="8" t="s">
        <v>25</v>
      </c>
      <c r="N3328" s="8" t="s">
        <v>58</v>
      </c>
      <c r="O3328" s="8" t="s">
        <v>59</v>
      </c>
      <c r="P3328" s="8" t="s">
        <v>59</v>
      </c>
      <c r="R3328" s="8">
        <v>0</v>
      </c>
      <c r="S3328" s="8">
        <v>0</v>
      </c>
      <c r="T3328" s="8">
        <v>1</v>
      </c>
      <c r="U3328" s="8">
        <v>2</v>
      </c>
      <c r="AG3328" s="8" t="str">
        <f t="shared" si="205"/>
        <v/>
      </c>
      <c r="AI3328" s="8" t="str">
        <f t="shared" si="206"/>
        <v/>
      </c>
      <c r="AJ3328" s="8" t="str">
        <f t="shared" si="207"/>
        <v/>
      </c>
      <c r="AL3328" s="8" t="str">
        <f t="shared" si="208"/>
        <v/>
      </c>
    </row>
    <row r="3329" spans="1:38" x14ac:dyDescent="0.25">
      <c r="A3329" s="8" t="s">
        <v>6143</v>
      </c>
      <c r="B3329" s="8" t="s">
        <v>6144</v>
      </c>
      <c r="C3329" s="8">
        <v>30872607</v>
      </c>
      <c r="D3329" s="8">
        <v>5</v>
      </c>
      <c r="E3329" s="11">
        <v>43110</v>
      </c>
      <c r="F3329" s="8" t="s">
        <v>58</v>
      </c>
      <c r="G3329" s="11">
        <v>43112</v>
      </c>
      <c r="H3329" s="8" t="s">
        <v>25</v>
      </c>
      <c r="I3329" s="11">
        <v>43115</v>
      </c>
      <c r="J3329" s="8" t="s">
        <v>25</v>
      </c>
      <c r="N3329" s="8" t="s">
        <v>58</v>
      </c>
      <c r="O3329" s="8" t="s">
        <v>59</v>
      </c>
      <c r="P3329" s="8" t="s">
        <v>59</v>
      </c>
      <c r="R3329" s="8">
        <v>0</v>
      </c>
      <c r="S3329" s="8">
        <v>0</v>
      </c>
      <c r="T3329" s="8">
        <v>1</v>
      </c>
      <c r="U3329" s="8">
        <v>2</v>
      </c>
      <c r="X3329" s="8">
        <v>5</v>
      </c>
      <c r="AG3329" s="8" t="str">
        <f t="shared" si="205"/>
        <v/>
      </c>
      <c r="AI3329" s="8" t="str">
        <f t="shared" si="206"/>
        <v/>
      </c>
      <c r="AJ3329" s="8" t="str">
        <f t="shared" si="207"/>
        <v/>
      </c>
      <c r="AL3329" s="8" t="str">
        <f t="shared" si="208"/>
        <v/>
      </c>
    </row>
    <row r="3330" spans="1:38" x14ac:dyDescent="0.25">
      <c r="A3330" s="8" t="s">
        <v>6145</v>
      </c>
      <c r="B3330" s="8" t="s">
        <v>6146</v>
      </c>
      <c r="C3330" s="8">
        <v>30872741</v>
      </c>
      <c r="D3330" s="8">
        <v>3</v>
      </c>
      <c r="E3330" s="11">
        <v>43110</v>
      </c>
      <c r="F3330" s="8" t="s">
        <v>57</v>
      </c>
      <c r="G3330" s="11">
        <v>43112</v>
      </c>
      <c r="H3330" s="8" t="s">
        <v>25</v>
      </c>
      <c r="J3330" s="8" t="s">
        <v>25</v>
      </c>
      <c r="N3330" s="8" t="s">
        <v>58</v>
      </c>
      <c r="O3330" s="8" t="s">
        <v>59</v>
      </c>
      <c r="P3330" s="8" t="s">
        <v>59</v>
      </c>
      <c r="R3330" s="8">
        <v>0</v>
      </c>
      <c r="S3330" s="8">
        <v>0</v>
      </c>
      <c r="T3330" s="8">
        <v>1</v>
      </c>
      <c r="U3330" s="8">
        <v>2</v>
      </c>
      <c r="AG3330" s="8" t="str">
        <f t="shared" si="205"/>
        <v/>
      </c>
      <c r="AI3330" s="8" t="str">
        <f t="shared" si="206"/>
        <v/>
      </c>
      <c r="AJ3330" s="8" t="str">
        <f t="shared" si="207"/>
        <v/>
      </c>
      <c r="AL3330" s="8" t="str">
        <f t="shared" si="208"/>
        <v/>
      </c>
    </row>
    <row r="3331" spans="1:38" x14ac:dyDescent="0.25">
      <c r="A3331" s="8" t="s">
        <v>7959</v>
      </c>
      <c r="B3331" s="8" t="s">
        <v>7960</v>
      </c>
      <c r="C3331" s="8">
        <v>30945326</v>
      </c>
      <c r="D3331" s="8">
        <v>5</v>
      </c>
      <c r="E3331" s="11">
        <v>43115</v>
      </c>
      <c r="F3331" s="8" t="s">
        <v>57</v>
      </c>
      <c r="G3331" s="11">
        <v>43115</v>
      </c>
      <c r="H3331" s="8" t="s">
        <v>25</v>
      </c>
      <c r="J3331" s="8" t="s">
        <v>25</v>
      </c>
      <c r="N3331" s="8" t="s">
        <v>58</v>
      </c>
      <c r="O3331" s="8" t="s">
        <v>59</v>
      </c>
      <c r="P3331" s="8" t="s">
        <v>59</v>
      </c>
      <c r="R3331" s="8">
        <v>0</v>
      </c>
      <c r="S3331" s="8">
        <v>0</v>
      </c>
      <c r="T3331" s="8">
        <v>1</v>
      </c>
      <c r="U3331" s="8">
        <v>2</v>
      </c>
      <c r="AG3331" s="8" t="str">
        <f t="shared" ref="AG3331:AG3394" si="209">IF(AND(U3331="",G3331&lt;&gt;"",NOT(OR(R3331,S3331))),IF(NETWORKDAYS.INTL(G3331,TODAY(),11)&lt;5,"En Plazo",IF(NETWORKDAYS.INTL(G3331,TODAY(),11)=5,"Riesgo Incumplimiento","FALTA_02")),"")</f>
        <v/>
      </c>
      <c r="AI3331" s="8" t="str">
        <f t="shared" ref="AI3331:AI3394" si="210">IF(AND(O3331&lt;&gt;"B1",F3331="Rejected"),IF(W3331="","FALTA_04",""),"")</f>
        <v/>
      </c>
      <c r="AJ3331" s="8" t="str">
        <f t="shared" ref="AJ3331:AJ3394" si="211">IF(AND(X3331="",I3331&lt;&gt;"",NOT(OR(R3331,S3331))),IF(NETWORKDAYS.INTL(G3331,TODAY(),11)&lt;=1,"En Plazo",IF(OR(AND(X3331="",O3331&lt;&gt;"M1"),AND(O3331="M1",(OR(Q3331="S - S",Q3331="S - T",)))),"FALTA_05","")),"")</f>
        <v/>
      </c>
      <c r="AL3331" s="8" t="str">
        <f t="shared" ref="AL3331:AL3394" si="212">IF(AND(O3331="B1",F3331="Rejected"),IF(Z3331="","FALTA_07",""),"")</f>
        <v/>
      </c>
    </row>
    <row r="3332" spans="1:38" x14ac:dyDescent="0.25">
      <c r="A3332" s="8" t="s">
        <v>2982</v>
      </c>
      <c r="B3332" s="8" t="s">
        <v>2983</v>
      </c>
      <c r="C3332" s="8">
        <v>30858640</v>
      </c>
      <c r="D3332" s="8">
        <v>3</v>
      </c>
      <c r="E3332" s="11">
        <v>43110</v>
      </c>
      <c r="F3332" s="8" t="s">
        <v>58</v>
      </c>
      <c r="G3332" s="11">
        <v>43110</v>
      </c>
      <c r="H3332" s="8" t="s">
        <v>25</v>
      </c>
      <c r="I3332" s="11">
        <v>43112</v>
      </c>
      <c r="J3332" s="8" t="s">
        <v>25</v>
      </c>
      <c r="N3332" s="8" t="s">
        <v>58</v>
      </c>
      <c r="O3332" s="8" t="s">
        <v>59</v>
      </c>
      <c r="P3332" s="8" t="s">
        <v>59</v>
      </c>
      <c r="R3332" s="8">
        <v>0</v>
      </c>
      <c r="S3332" s="8">
        <v>0</v>
      </c>
      <c r="T3332" s="8">
        <v>1</v>
      </c>
      <c r="U3332" s="8">
        <v>2</v>
      </c>
      <c r="X3332" s="8">
        <v>5</v>
      </c>
      <c r="AG3332" s="8" t="str">
        <f t="shared" si="209"/>
        <v/>
      </c>
      <c r="AI3332" s="8" t="str">
        <f t="shared" si="210"/>
        <v/>
      </c>
      <c r="AJ3332" s="8" t="str">
        <f t="shared" si="211"/>
        <v/>
      </c>
      <c r="AL3332" s="8" t="str">
        <f t="shared" si="212"/>
        <v/>
      </c>
    </row>
    <row r="3333" spans="1:38" x14ac:dyDescent="0.25">
      <c r="A3333" s="8" t="s">
        <v>4423</v>
      </c>
      <c r="B3333" s="8" t="s">
        <v>4424</v>
      </c>
      <c r="C3333" s="8">
        <v>30858639</v>
      </c>
      <c r="D3333" s="8">
        <v>4</v>
      </c>
      <c r="E3333" s="11">
        <v>43110</v>
      </c>
      <c r="F3333" s="8" t="s">
        <v>58</v>
      </c>
      <c r="G3333" s="11">
        <v>43111</v>
      </c>
      <c r="H3333" s="8" t="s">
        <v>25</v>
      </c>
      <c r="I3333" s="11">
        <v>43112</v>
      </c>
      <c r="J3333" s="8" t="s">
        <v>25</v>
      </c>
      <c r="N3333" s="8" t="s">
        <v>58</v>
      </c>
      <c r="O3333" s="8" t="s">
        <v>59</v>
      </c>
      <c r="P3333" s="8" t="s">
        <v>59</v>
      </c>
      <c r="R3333" s="8">
        <v>0</v>
      </c>
      <c r="S3333" s="8">
        <v>0</v>
      </c>
      <c r="T3333" s="8">
        <v>1</v>
      </c>
      <c r="U3333" s="8">
        <v>2</v>
      </c>
      <c r="X3333" s="8">
        <v>5</v>
      </c>
      <c r="AG3333" s="8" t="str">
        <f t="shared" si="209"/>
        <v/>
      </c>
      <c r="AI3333" s="8" t="str">
        <f t="shared" si="210"/>
        <v/>
      </c>
      <c r="AJ3333" s="8" t="str">
        <f t="shared" si="211"/>
        <v/>
      </c>
      <c r="AL3333" s="8" t="str">
        <f t="shared" si="212"/>
        <v/>
      </c>
    </row>
    <row r="3334" spans="1:38" x14ac:dyDescent="0.25">
      <c r="A3334" s="8" t="s">
        <v>1456</v>
      </c>
      <c r="B3334" s="8" t="s">
        <v>1457</v>
      </c>
      <c r="C3334" s="8">
        <v>30815419</v>
      </c>
      <c r="D3334" s="8">
        <v>3</v>
      </c>
      <c r="E3334" s="11">
        <v>43108</v>
      </c>
      <c r="F3334" s="8" t="s">
        <v>57</v>
      </c>
      <c r="G3334" s="11">
        <v>43109</v>
      </c>
      <c r="H3334" s="8" t="s">
        <v>25</v>
      </c>
      <c r="J3334" s="8" t="s">
        <v>25</v>
      </c>
      <c r="N3334" s="8" t="s">
        <v>58</v>
      </c>
      <c r="O3334" s="8" t="s">
        <v>59</v>
      </c>
      <c r="P3334" s="8" t="s">
        <v>59</v>
      </c>
      <c r="R3334" s="8">
        <v>0</v>
      </c>
      <c r="S3334" s="8">
        <v>0</v>
      </c>
      <c r="T3334" s="8">
        <v>1</v>
      </c>
      <c r="U3334" s="8">
        <v>2</v>
      </c>
      <c r="AG3334" s="8" t="str">
        <f t="shared" si="209"/>
        <v/>
      </c>
      <c r="AI3334" s="8" t="str">
        <f t="shared" si="210"/>
        <v/>
      </c>
      <c r="AJ3334" s="8" t="str">
        <f t="shared" si="211"/>
        <v/>
      </c>
      <c r="AL3334" s="8" t="str">
        <f t="shared" si="212"/>
        <v/>
      </c>
    </row>
    <row r="3335" spans="1:38" x14ac:dyDescent="0.25">
      <c r="A3335" s="8" t="s">
        <v>7961</v>
      </c>
      <c r="B3335" s="8" t="s">
        <v>7962</v>
      </c>
      <c r="C3335" s="8">
        <v>30931843</v>
      </c>
      <c r="D3335" s="8">
        <v>5</v>
      </c>
      <c r="E3335" s="11">
        <v>43115</v>
      </c>
      <c r="F3335" s="8" t="s">
        <v>57</v>
      </c>
      <c r="G3335" s="11">
        <v>43115</v>
      </c>
      <c r="H3335" s="8" t="s">
        <v>25</v>
      </c>
      <c r="J3335" s="8" t="s">
        <v>25</v>
      </c>
      <c r="N3335" s="8" t="s">
        <v>58</v>
      </c>
      <c r="O3335" s="8" t="s">
        <v>59</v>
      </c>
      <c r="P3335" s="8" t="s">
        <v>59</v>
      </c>
      <c r="R3335" s="8">
        <v>0</v>
      </c>
      <c r="S3335" s="8">
        <v>0</v>
      </c>
      <c r="T3335" s="8">
        <v>1</v>
      </c>
      <c r="U3335" s="8">
        <v>2</v>
      </c>
      <c r="AG3335" s="8" t="str">
        <f t="shared" si="209"/>
        <v/>
      </c>
      <c r="AI3335" s="8" t="str">
        <f t="shared" si="210"/>
        <v/>
      </c>
      <c r="AJ3335" s="8" t="str">
        <f t="shared" si="211"/>
        <v/>
      </c>
      <c r="AL3335" s="8" t="str">
        <f t="shared" si="212"/>
        <v/>
      </c>
    </row>
    <row r="3336" spans="1:38" x14ac:dyDescent="0.25">
      <c r="A3336" s="8" t="s">
        <v>7963</v>
      </c>
      <c r="B3336" s="8" t="s">
        <v>7964</v>
      </c>
      <c r="C3336" s="8">
        <v>30914611</v>
      </c>
      <c r="D3336" s="8">
        <v>5</v>
      </c>
      <c r="E3336" s="11">
        <v>43112</v>
      </c>
      <c r="F3336" s="8" t="s">
        <v>57</v>
      </c>
      <c r="G3336" s="11">
        <v>43115</v>
      </c>
      <c r="H3336" s="8" t="s">
        <v>25</v>
      </c>
      <c r="J3336" s="8" t="s">
        <v>25</v>
      </c>
      <c r="N3336" s="8" t="s">
        <v>58</v>
      </c>
      <c r="O3336" s="8" t="s">
        <v>59</v>
      </c>
      <c r="P3336" s="8" t="s">
        <v>59</v>
      </c>
      <c r="R3336" s="8">
        <v>0</v>
      </c>
      <c r="S3336" s="8">
        <v>0</v>
      </c>
      <c r="T3336" s="8">
        <v>1</v>
      </c>
      <c r="U3336" s="8">
        <v>2</v>
      </c>
      <c r="AG3336" s="8" t="str">
        <f t="shared" si="209"/>
        <v/>
      </c>
      <c r="AI3336" s="8" t="str">
        <f t="shared" si="210"/>
        <v/>
      </c>
      <c r="AJ3336" s="8" t="str">
        <f t="shared" si="211"/>
        <v/>
      </c>
      <c r="AL3336" s="8" t="str">
        <f t="shared" si="212"/>
        <v/>
      </c>
    </row>
    <row r="3337" spans="1:38" x14ac:dyDescent="0.25">
      <c r="A3337" s="8" t="s">
        <v>4425</v>
      </c>
      <c r="B3337" s="8" t="s">
        <v>4426</v>
      </c>
      <c r="C3337" s="8">
        <v>30852137</v>
      </c>
      <c r="D3337" s="8">
        <v>5</v>
      </c>
      <c r="E3337" s="11">
        <v>43109</v>
      </c>
      <c r="F3337" s="8" t="s">
        <v>58</v>
      </c>
      <c r="G3337" s="11">
        <v>43111</v>
      </c>
      <c r="H3337" s="8" t="s">
        <v>25</v>
      </c>
      <c r="I3337" s="11">
        <v>43115</v>
      </c>
      <c r="J3337" s="8" t="s">
        <v>25</v>
      </c>
      <c r="N3337" s="8" t="s">
        <v>58</v>
      </c>
      <c r="O3337" s="8" t="s">
        <v>59</v>
      </c>
      <c r="P3337" s="8" t="s">
        <v>59</v>
      </c>
      <c r="R3337" s="8">
        <v>0</v>
      </c>
      <c r="S3337" s="8">
        <v>0</v>
      </c>
      <c r="T3337" s="8">
        <v>1</v>
      </c>
      <c r="U3337" s="8">
        <v>2</v>
      </c>
      <c r="X3337" s="8">
        <v>5</v>
      </c>
      <c r="AG3337" s="8" t="str">
        <f t="shared" si="209"/>
        <v/>
      </c>
      <c r="AI3337" s="8" t="str">
        <f t="shared" si="210"/>
        <v/>
      </c>
      <c r="AJ3337" s="8" t="str">
        <f t="shared" si="211"/>
        <v/>
      </c>
      <c r="AL3337" s="8" t="str">
        <f t="shared" si="212"/>
        <v/>
      </c>
    </row>
    <row r="3338" spans="1:38" x14ac:dyDescent="0.25">
      <c r="A3338" s="8" t="s">
        <v>2984</v>
      </c>
      <c r="B3338" s="8" t="s">
        <v>2985</v>
      </c>
      <c r="C3338" s="8">
        <v>30852073</v>
      </c>
      <c r="D3338" s="8">
        <v>5</v>
      </c>
      <c r="E3338" s="11">
        <v>43109</v>
      </c>
      <c r="F3338" s="8" t="s">
        <v>57</v>
      </c>
      <c r="G3338" s="11">
        <v>43110</v>
      </c>
      <c r="H3338" s="8" t="s">
        <v>25</v>
      </c>
      <c r="J3338" s="8" t="s">
        <v>25</v>
      </c>
      <c r="N3338" s="8" t="s">
        <v>58</v>
      </c>
      <c r="O3338" s="8" t="s">
        <v>59</v>
      </c>
      <c r="P3338" s="8" t="s">
        <v>59</v>
      </c>
      <c r="R3338" s="8">
        <v>0</v>
      </c>
      <c r="S3338" s="8">
        <v>0</v>
      </c>
      <c r="T3338" s="8">
        <v>1</v>
      </c>
      <c r="U3338" s="8">
        <v>2</v>
      </c>
      <c r="AG3338" s="8" t="str">
        <f t="shared" si="209"/>
        <v/>
      </c>
      <c r="AI3338" s="8" t="str">
        <f t="shared" si="210"/>
        <v/>
      </c>
      <c r="AJ3338" s="8" t="str">
        <f t="shared" si="211"/>
        <v/>
      </c>
      <c r="AL3338" s="8" t="str">
        <f t="shared" si="212"/>
        <v/>
      </c>
    </row>
    <row r="3339" spans="1:38" x14ac:dyDescent="0.25">
      <c r="A3339" s="8" t="s">
        <v>6147</v>
      </c>
      <c r="B3339" s="8" t="s">
        <v>6148</v>
      </c>
      <c r="C3339" s="8">
        <v>30875090</v>
      </c>
      <c r="D3339" s="8">
        <v>5</v>
      </c>
      <c r="E3339" s="11">
        <v>43110</v>
      </c>
      <c r="F3339" s="8" t="s">
        <v>57</v>
      </c>
      <c r="G3339" s="11">
        <v>43112</v>
      </c>
      <c r="H3339" s="8" t="s">
        <v>25</v>
      </c>
      <c r="J3339" s="8" t="s">
        <v>25</v>
      </c>
      <c r="N3339" s="8" t="s">
        <v>58</v>
      </c>
      <c r="O3339" s="8" t="s">
        <v>59</v>
      </c>
      <c r="P3339" s="8" t="s">
        <v>59</v>
      </c>
      <c r="R3339" s="8">
        <v>0</v>
      </c>
      <c r="S3339" s="8">
        <v>0</v>
      </c>
      <c r="T3339" s="8">
        <v>1</v>
      </c>
      <c r="U3339" s="8">
        <v>2</v>
      </c>
      <c r="AG3339" s="8" t="str">
        <f t="shared" si="209"/>
        <v/>
      </c>
      <c r="AI3339" s="8" t="str">
        <f t="shared" si="210"/>
        <v/>
      </c>
      <c r="AJ3339" s="8" t="str">
        <f t="shared" si="211"/>
        <v/>
      </c>
      <c r="AL3339" s="8" t="str">
        <f t="shared" si="212"/>
        <v/>
      </c>
    </row>
    <row r="3340" spans="1:38" x14ac:dyDescent="0.25">
      <c r="A3340" s="8" t="s">
        <v>6149</v>
      </c>
      <c r="B3340" s="8" t="s">
        <v>6150</v>
      </c>
      <c r="C3340" s="8">
        <v>30869443</v>
      </c>
      <c r="D3340" s="8">
        <v>5</v>
      </c>
      <c r="E3340" s="11">
        <v>43110</v>
      </c>
      <c r="F3340" s="8" t="s">
        <v>57</v>
      </c>
      <c r="G3340" s="11">
        <v>43112</v>
      </c>
      <c r="H3340" s="8" t="s">
        <v>25</v>
      </c>
      <c r="J3340" s="8" t="s">
        <v>25</v>
      </c>
      <c r="N3340" s="8" t="s">
        <v>58</v>
      </c>
      <c r="O3340" s="8" t="s">
        <v>59</v>
      </c>
      <c r="P3340" s="8" t="s">
        <v>59</v>
      </c>
      <c r="R3340" s="8">
        <v>0</v>
      </c>
      <c r="S3340" s="8">
        <v>0</v>
      </c>
      <c r="T3340" s="8">
        <v>1</v>
      </c>
      <c r="U3340" s="8">
        <v>2</v>
      </c>
      <c r="AG3340" s="8" t="str">
        <f t="shared" si="209"/>
        <v/>
      </c>
      <c r="AI3340" s="8" t="str">
        <f t="shared" si="210"/>
        <v/>
      </c>
      <c r="AJ3340" s="8" t="str">
        <f t="shared" si="211"/>
        <v/>
      </c>
      <c r="AL3340" s="8" t="str">
        <f t="shared" si="212"/>
        <v/>
      </c>
    </row>
    <row r="3341" spans="1:38" x14ac:dyDescent="0.25">
      <c r="A3341" s="8" t="s">
        <v>6151</v>
      </c>
      <c r="B3341" s="8" t="s">
        <v>6152</v>
      </c>
      <c r="C3341" s="8">
        <v>30868781</v>
      </c>
      <c r="D3341" s="8">
        <v>5</v>
      </c>
      <c r="E3341" s="11">
        <v>43110</v>
      </c>
      <c r="F3341" s="8" t="s">
        <v>57</v>
      </c>
      <c r="G3341" s="11">
        <v>43112</v>
      </c>
      <c r="H3341" s="8" t="s">
        <v>25</v>
      </c>
      <c r="J3341" s="8" t="s">
        <v>25</v>
      </c>
      <c r="N3341" s="8" t="s">
        <v>58</v>
      </c>
      <c r="O3341" s="8" t="s">
        <v>59</v>
      </c>
      <c r="P3341" s="8" t="s">
        <v>59</v>
      </c>
      <c r="R3341" s="8">
        <v>0</v>
      </c>
      <c r="S3341" s="8">
        <v>0</v>
      </c>
      <c r="T3341" s="8">
        <v>1</v>
      </c>
      <c r="U3341" s="8">
        <v>2</v>
      </c>
      <c r="AG3341" s="8" t="str">
        <f t="shared" si="209"/>
        <v/>
      </c>
      <c r="AI3341" s="8" t="str">
        <f t="shared" si="210"/>
        <v/>
      </c>
      <c r="AJ3341" s="8" t="str">
        <f t="shared" si="211"/>
        <v/>
      </c>
      <c r="AL3341" s="8" t="str">
        <f t="shared" si="212"/>
        <v/>
      </c>
    </row>
    <row r="3342" spans="1:38" x14ac:dyDescent="0.25">
      <c r="A3342" s="8" t="s">
        <v>6153</v>
      </c>
      <c r="B3342" s="8" t="s">
        <v>6154</v>
      </c>
      <c r="C3342" s="8">
        <v>30868322</v>
      </c>
      <c r="D3342" s="8">
        <v>5</v>
      </c>
      <c r="E3342" s="11">
        <v>43110</v>
      </c>
      <c r="F3342" s="8" t="s">
        <v>57</v>
      </c>
      <c r="G3342" s="11">
        <v>43112</v>
      </c>
      <c r="H3342" s="8" t="s">
        <v>25</v>
      </c>
      <c r="J3342" s="8" t="s">
        <v>25</v>
      </c>
      <c r="N3342" s="8" t="s">
        <v>58</v>
      </c>
      <c r="O3342" s="8" t="s">
        <v>59</v>
      </c>
      <c r="P3342" s="8" t="s">
        <v>59</v>
      </c>
      <c r="R3342" s="8">
        <v>0</v>
      </c>
      <c r="S3342" s="8">
        <v>0</v>
      </c>
      <c r="T3342" s="8">
        <v>1</v>
      </c>
      <c r="U3342" s="8">
        <v>2</v>
      </c>
      <c r="AG3342" s="8" t="str">
        <f t="shared" si="209"/>
        <v/>
      </c>
      <c r="AI3342" s="8" t="str">
        <f t="shared" si="210"/>
        <v/>
      </c>
      <c r="AJ3342" s="8" t="str">
        <f t="shared" si="211"/>
        <v/>
      </c>
      <c r="AL3342" s="8" t="str">
        <f t="shared" si="212"/>
        <v/>
      </c>
    </row>
    <row r="3343" spans="1:38" x14ac:dyDescent="0.25">
      <c r="A3343" s="8" t="s">
        <v>2986</v>
      </c>
      <c r="B3343" s="8" t="s">
        <v>2987</v>
      </c>
      <c r="C3343" s="8">
        <v>30821596</v>
      </c>
      <c r="D3343" s="8">
        <v>5</v>
      </c>
      <c r="E3343" s="11">
        <v>43108</v>
      </c>
      <c r="F3343" s="8" t="s">
        <v>60</v>
      </c>
      <c r="G3343" s="11">
        <v>43110</v>
      </c>
      <c r="H3343" s="8" t="s">
        <v>25</v>
      </c>
      <c r="J3343" s="8" t="s">
        <v>25</v>
      </c>
      <c r="L3343" s="8" t="s">
        <v>1662</v>
      </c>
      <c r="N3343" s="8" t="s">
        <v>58</v>
      </c>
      <c r="O3343" s="8" t="s">
        <v>59</v>
      </c>
      <c r="P3343" s="8" t="s">
        <v>59</v>
      </c>
      <c r="R3343" s="8">
        <v>0</v>
      </c>
      <c r="S3343" s="8">
        <v>0</v>
      </c>
      <c r="T3343" s="8">
        <v>1</v>
      </c>
      <c r="U3343" s="8">
        <v>2</v>
      </c>
      <c r="W3343" s="8">
        <v>4</v>
      </c>
      <c r="AG3343" s="8" t="str">
        <f t="shared" si="209"/>
        <v/>
      </c>
      <c r="AI3343" s="8" t="str">
        <f t="shared" si="210"/>
        <v/>
      </c>
      <c r="AJ3343" s="8" t="str">
        <f t="shared" si="211"/>
        <v/>
      </c>
      <c r="AL3343" s="8" t="str">
        <f t="shared" si="212"/>
        <v/>
      </c>
    </row>
    <row r="3344" spans="1:38" x14ac:dyDescent="0.25">
      <c r="A3344" s="8" t="s">
        <v>2988</v>
      </c>
      <c r="B3344" s="8" t="s">
        <v>2989</v>
      </c>
      <c r="C3344" s="8">
        <v>30875754</v>
      </c>
      <c r="D3344" s="8">
        <v>4</v>
      </c>
      <c r="E3344" s="11">
        <v>43110</v>
      </c>
      <c r="F3344" s="8" t="s">
        <v>57</v>
      </c>
      <c r="G3344" s="11">
        <v>43110</v>
      </c>
      <c r="H3344" s="8" t="s">
        <v>25</v>
      </c>
      <c r="J3344" s="8" t="s">
        <v>25</v>
      </c>
      <c r="N3344" s="8" t="s">
        <v>58</v>
      </c>
      <c r="O3344" s="8" t="s">
        <v>59</v>
      </c>
      <c r="P3344" s="8" t="s">
        <v>59</v>
      </c>
      <c r="R3344" s="8">
        <v>0</v>
      </c>
      <c r="S3344" s="8">
        <v>0</v>
      </c>
      <c r="T3344" s="8">
        <v>1</v>
      </c>
      <c r="U3344" s="8">
        <v>2</v>
      </c>
      <c r="AG3344" s="8" t="str">
        <f t="shared" si="209"/>
        <v/>
      </c>
      <c r="AI3344" s="8" t="str">
        <f t="shared" si="210"/>
        <v/>
      </c>
      <c r="AJ3344" s="8" t="str">
        <f t="shared" si="211"/>
        <v/>
      </c>
      <c r="AL3344" s="8" t="str">
        <f t="shared" si="212"/>
        <v/>
      </c>
    </row>
    <row r="3345" spans="1:38" x14ac:dyDescent="0.25">
      <c r="A3345" s="8" t="s">
        <v>7965</v>
      </c>
      <c r="B3345" s="8" t="s">
        <v>7966</v>
      </c>
      <c r="C3345" s="8">
        <v>30942328</v>
      </c>
      <c r="D3345" s="8">
        <v>5</v>
      </c>
      <c r="E3345" s="11">
        <v>43115</v>
      </c>
      <c r="F3345" s="8" t="s">
        <v>57</v>
      </c>
      <c r="G3345" s="11">
        <v>43115</v>
      </c>
      <c r="H3345" s="8" t="s">
        <v>25</v>
      </c>
      <c r="J3345" s="8" t="s">
        <v>25</v>
      </c>
      <c r="N3345" s="8" t="s">
        <v>58</v>
      </c>
      <c r="O3345" s="8" t="s">
        <v>59</v>
      </c>
      <c r="P3345" s="8" t="s">
        <v>59</v>
      </c>
      <c r="R3345" s="8">
        <v>0</v>
      </c>
      <c r="S3345" s="8">
        <v>0</v>
      </c>
      <c r="T3345" s="8">
        <v>1</v>
      </c>
      <c r="U3345" s="8">
        <v>2</v>
      </c>
      <c r="AG3345" s="8" t="str">
        <f t="shared" si="209"/>
        <v/>
      </c>
      <c r="AI3345" s="8" t="str">
        <f t="shared" si="210"/>
        <v/>
      </c>
      <c r="AJ3345" s="8" t="str">
        <f t="shared" si="211"/>
        <v/>
      </c>
      <c r="AL3345" s="8" t="str">
        <f t="shared" si="212"/>
        <v/>
      </c>
    </row>
    <row r="3346" spans="1:38" x14ac:dyDescent="0.25">
      <c r="A3346" s="8" t="s">
        <v>4427</v>
      </c>
      <c r="B3346" s="8" t="s">
        <v>4428</v>
      </c>
      <c r="C3346" s="8">
        <v>30847857</v>
      </c>
      <c r="D3346" s="8">
        <v>5</v>
      </c>
      <c r="E3346" s="11">
        <v>43109</v>
      </c>
      <c r="F3346" s="8" t="s">
        <v>58</v>
      </c>
      <c r="G3346" s="11">
        <v>43111</v>
      </c>
      <c r="H3346" s="8" t="s">
        <v>25</v>
      </c>
      <c r="I3346" s="11">
        <v>43112</v>
      </c>
      <c r="J3346" s="8" t="s">
        <v>25</v>
      </c>
      <c r="N3346" s="8" t="s">
        <v>58</v>
      </c>
      <c r="O3346" s="8" t="s">
        <v>59</v>
      </c>
      <c r="P3346" s="8" t="s">
        <v>59</v>
      </c>
      <c r="R3346" s="8">
        <v>0</v>
      </c>
      <c r="S3346" s="8">
        <v>0</v>
      </c>
      <c r="T3346" s="8">
        <v>1</v>
      </c>
      <c r="U3346" s="8">
        <v>2</v>
      </c>
      <c r="X3346" s="8">
        <v>5</v>
      </c>
      <c r="AG3346" s="8" t="str">
        <f t="shared" si="209"/>
        <v/>
      </c>
      <c r="AI3346" s="8" t="str">
        <f t="shared" si="210"/>
        <v/>
      </c>
      <c r="AJ3346" s="8" t="str">
        <f t="shared" si="211"/>
        <v/>
      </c>
      <c r="AL3346" s="8" t="str">
        <f t="shared" si="212"/>
        <v/>
      </c>
    </row>
    <row r="3347" spans="1:38" x14ac:dyDescent="0.25">
      <c r="A3347" s="8" t="s">
        <v>6155</v>
      </c>
      <c r="B3347" s="8" t="s">
        <v>6156</v>
      </c>
      <c r="C3347" s="8">
        <v>30870020</v>
      </c>
      <c r="D3347" s="8">
        <v>4</v>
      </c>
      <c r="E3347" s="11">
        <v>43110</v>
      </c>
      <c r="F3347" s="8" t="s">
        <v>58</v>
      </c>
      <c r="G3347" s="11">
        <v>43112</v>
      </c>
      <c r="H3347" s="8" t="s">
        <v>25</v>
      </c>
      <c r="I3347" s="11">
        <v>43115</v>
      </c>
      <c r="J3347" s="8" t="s">
        <v>25</v>
      </c>
      <c r="N3347" s="8" t="s">
        <v>58</v>
      </c>
      <c r="O3347" s="8" t="s">
        <v>59</v>
      </c>
      <c r="P3347" s="8" t="s">
        <v>59</v>
      </c>
      <c r="R3347" s="8">
        <v>0</v>
      </c>
      <c r="S3347" s="8">
        <v>0</v>
      </c>
      <c r="T3347" s="8">
        <v>1</v>
      </c>
      <c r="U3347" s="8">
        <v>2</v>
      </c>
      <c r="X3347" s="8">
        <v>5</v>
      </c>
      <c r="AG3347" s="8" t="str">
        <f t="shared" si="209"/>
        <v/>
      </c>
      <c r="AI3347" s="8" t="str">
        <f t="shared" si="210"/>
        <v/>
      </c>
      <c r="AJ3347" s="8" t="str">
        <f t="shared" si="211"/>
        <v/>
      </c>
      <c r="AL3347" s="8" t="str">
        <f t="shared" si="212"/>
        <v/>
      </c>
    </row>
    <row r="3348" spans="1:38" x14ac:dyDescent="0.25">
      <c r="A3348" s="8" t="s">
        <v>6157</v>
      </c>
      <c r="B3348" s="8" t="s">
        <v>6158</v>
      </c>
      <c r="C3348" s="8">
        <v>30888678</v>
      </c>
      <c r="D3348" s="8">
        <v>4</v>
      </c>
      <c r="E3348" s="11">
        <v>43111</v>
      </c>
      <c r="F3348" s="8" t="s">
        <v>57</v>
      </c>
      <c r="G3348" s="11">
        <v>43112</v>
      </c>
      <c r="H3348" s="8" t="s">
        <v>25</v>
      </c>
      <c r="J3348" s="8" t="s">
        <v>25</v>
      </c>
      <c r="N3348" s="8" t="s">
        <v>58</v>
      </c>
      <c r="O3348" s="8" t="s">
        <v>59</v>
      </c>
      <c r="P3348" s="8" t="s">
        <v>59</v>
      </c>
      <c r="R3348" s="8">
        <v>0</v>
      </c>
      <c r="S3348" s="8">
        <v>0</v>
      </c>
      <c r="T3348" s="8">
        <v>1</v>
      </c>
      <c r="U3348" s="8">
        <v>2</v>
      </c>
      <c r="AG3348" s="8" t="str">
        <f t="shared" si="209"/>
        <v/>
      </c>
      <c r="AI3348" s="8" t="str">
        <f t="shared" si="210"/>
        <v/>
      </c>
      <c r="AJ3348" s="8" t="str">
        <f t="shared" si="211"/>
        <v/>
      </c>
      <c r="AL3348" s="8" t="str">
        <f t="shared" si="212"/>
        <v/>
      </c>
    </row>
    <row r="3349" spans="1:38" x14ac:dyDescent="0.25">
      <c r="A3349" s="8" t="s">
        <v>653</v>
      </c>
      <c r="B3349" s="8" t="s">
        <v>654</v>
      </c>
      <c r="C3349" s="8">
        <v>30820308</v>
      </c>
      <c r="D3349" s="8">
        <v>5</v>
      </c>
      <c r="E3349" s="11">
        <v>43108</v>
      </c>
      <c r="F3349" s="8" t="s">
        <v>60</v>
      </c>
      <c r="G3349" s="11">
        <v>43108</v>
      </c>
      <c r="H3349" s="8" t="s">
        <v>25</v>
      </c>
      <c r="J3349" s="8" t="s">
        <v>856</v>
      </c>
      <c r="L3349" s="8" t="s">
        <v>6525</v>
      </c>
      <c r="N3349" s="8" t="s">
        <v>58</v>
      </c>
      <c r="O3349" s="8" t="s">
        <v>59</v>
      </c>
      <c r="P3349" s="8" t="s">
        <v>59</v>
      </c>
      <c r="R3349" s="8">
        <v>0</v>
      </c>
      <c r="S3349" s="8">
        <v>0</v>
      </c>
      <c r="T3349" s="8">
        <v>1</v>
      </c>
      <c r="U3349" s="8">
        <v>2</v>
      </c>
      <c r="W3349" s="8">
        <v>4</v>
      </c>
      <c r="AG3349" s="8" t="str">
        <f t="shared" si="209"/>
        <v/>
      </c>
      <c r="AI3349" s="8" t="str">
        <f t="shared" si="210"/>
        <v/>
      </c>
      <c r="AJ3349" s="8" t="str">
        <f t="shared" si="211"/>
        <v/>
      </c>
      <c r="AL3349" s="8" t="str">
        <f t="shared" si="212"/>
        <v/>
      </c>
    </row>
    <row r="3350" spans="1:38" x14ac:dyDescent="0.25">
      <c r="A3350" s="8" t="s">
        <v>6159</v>
      </c>
      <c r="B3350" s="8" t="s">
        <v>6160</v>
      </c>
      <c r="C3350" s="8">
        <v>30894291</v>
      </c>
      <c r="D3350" s="8">
        <v>4</v>
      </c>
      <c r="E3350" s="11">
        <v>43111</v>
      </c>
      <c r="F3350" s="8" t="s">
        <v>57</v>
      </c>
      <c r="G3350" s="11">
        <v>43112</v>
      </c>
      <c r="H3350" s="8" t="s">
        <v>25</v>
      </c>
      <c r="J3350" s="8" t="s">
        <v>25</v>
      </c>
      <c r="N3350" s="8" t="s">
        <v>58</v>
      </c>
      <c r="O3350" s="8" t="s">
        <v>59</v>
      </c>
      <c r="P3350" s="8" t="s">
        <v>59</v>
      </c>
      <c r="R3350" s="8">
        <v>0</v>
      </c>
      <c r="S3350" s="8">
        <v>0</v>
      </c>
      <c r="T3350" s="8">
        <v>1</v>
      </c>
      <c r="U3350" s="8">
        <v>2</v>
      </c>
      <c r="AG3350" s="8" t="str">
        <f t="shared" si="209"/>
        <v/>
      </c>
      <c r="AI3350" s="8" t="str">
        <f t="shared" si="210"/>
        <v/>
      </c>
      <c r="AJ3350" s="8" t="str">
        <f t="shared" si="211"/>
        <v/>
      </c>
      <c r="AL3350" s="8" t="str">
        <f t="shared" si="212"/>
        <v/>
      </c>
    </row>
    <row r="3351" spans="1:38" x14ac:dyDescent="0.25">
      <c r="A3351" s="8" t="s">
        <v>2990</v>
      </c>
      <c r="B3351" s="8" t="s">
        <v>2991</v>
      </c>
      <c r="C3351" s="8">
        <v>30820229</v>
      </c>
      <c r="D3351" s="8">
        <v>5</v>
      </c>
      <c r="E3351" s="11">
        <v>43108</v>
      </c>
      <c r="F3351" s="8" t="s">
        <v>57</v>
      </c>
      <c r="G3351" s="11">
        <v>43110</v>
      </c>
      <c r="H3351" s="8" t="s">
        <v>25</v>
      </c>
      <c r="J3351" s="8" t="s">
        <v>25</v>
      </c>
      <c r="N3351" s="8" t="s">
        <v>58</v>
      </c>
      <c r="O3351" s="8" t="s">
        <v>59</v>
      </c>
      <c r="P3351" s="8" t="s">
        <v>59</v>
      </c>
      <c r="R3351" s="8">
        <v>0</v>
      </c>
      <c r="S3351" s="8">
        <v>0</v>
      </c>
      <c r="T3351" s="8">
        <v>1</v>
      </c>
      <c r="U3351" s="8">
        <v>2</v>
      </c>
      <c r="AG3351" s="8" t="str">
        <f t="shared" si="209"/>
        <v/>
      </c>
      <c r="AI3351" s="8" t="str">
        <f t="shared" si="210"/>
        <v/>
      </c>
      <c r="AJ3351" s="8" t="str">
        <f t="shared" si="211"/>
        <v/>
      </c>
      <c r="AL3351" s="8" t="str">
        <f t="shared" si="212"/>
        <v/>
      </c>
    </row>
    <row r="3352" spans="1:38" x14ac:dyDescent="0.25">
      <c r="A3352" s="8" t="s">
        <v>6161</v>
      </c>
      <c r="B3352" s="8" t="s">
        <v>6162</v>
      </c>
      <c r="C3352" s="8">
        <v>30888624</v>
      </c>
      <c r="D3352" s="8">
        <v>4</v>
      </c>
      <c r="E3352" s="11">
        <v>43111</v>
      </c>
      <c r="F3352" s="8" t="s">
        <v>57</v>
      </c>
      <c r="G3352" s="11">
        <v>43112</v>
      </c>
      <c r="H3352" s="8" t="s">
        <v>25</v>
      </c>
      <c r="J3352" s="8" t="s">
        <v>25</v>
      </c>
      <c r="N3352" s="8" t="s">
        <v>58</v>
      </c>
      <c r="O3352" s="8" t="s">
        <v>59</v>
      </c>
      <c r="P3352" s="8" t="s">
        <v>59</v>
      </c>
      <c r="R3352" s="8">
        <v>0</v>
      </c>
      <c r="S3352" s="8">
        <v>0</v>
      </c>
      <c r="T3352" s="8">
        <v>1</v>
      </c>
      <c r="U3352" s="8">
        <v>2</v>
      </c>
      <c r="AG3352" s="8" t="str">
        <f t="shared" si="209"/>
        <v/>
      </c>
      <c r="AI3352" s="8" t="str">
        <f t="shared" si="210"/>
        <v/>
      </c>
      <c r="AJ3352" s="8" t="str">
        <f t="shared" si="211"/>
        <v/>
      </c>
      <c r="AL3352" s="8" t="str">
        <f t="shared" si="212"/>
        <v/>
      </c>
    </row>
    <row r="3353" spans="1:38" x14ac:dyDescent="0.25">
      <c r="A3353" s="8" t="s">
        <v>6163</v>
      </c>
      <c r="B3353" s="8" t="s">
        <v>6164</v>
      </c>
      <c r="C3353" s="8">
        <v>30866710</v>
      </c>
      <c r="D3353" s="8">
        <v>5</v>
      </c>
      <c r="E3353" s="11">
        <v>43110</v>
      </c>
      <c r="F3353" s="8" t="s">
        <v>57</v>
      </c>
      <c r="G3353" s="11">
        <v>43112</v>
      </c>
      <c r="H3353" s="8" t="s">
        <v>25</v>
      </c>
      <c r="J3353" s="8" t="s">
        <v>25</v>
      </c>
      <c r="N3353" s="8" t="s">
        <v>58</v>
      </c>
      <c r="O3353" s="8" t="s">
        <v>59</v>
      </c>
      <c r="P3353" s="8" t="s">
        <v>59</v>
      </c>
      <c r="R3353" s="8">
        <v>0</v>
      </c>
      <c r="S3353" s="8">
        <v>0</v>
      </c>
      <c r="T3353" s="8">
        <v>1</v>
      </c>
      <c r="U3353" s="8">
        <v>2</v>
      </c>
      <c r="AG3353" s="8" t="str">
        <f t="shared" si="209"/>
        <v/>
      </c>
      <c r="AI3353" s="8" t="str">
        <f t="shared" si="210"/>
        <v/>
      </c>
      <c r="AJ3353" s="8" t="str">
        <f t="shared" si="211"/>
        <v/>
      </c>
      <c r="AL3353" s="8" t="str">
        <f t="shared" si="212"/>
        <v/>
      </c>
    </row>
    <row r="3354" spans="1:38" x14ac:dyDescent="0.25">
      <c r="A3354" s="8" t="s">
        <v>2992</v>
      </c>
      <c r="B3354" s="8" t="s">
        <v>2993</v>
      </c>
      <c r="C3354" s="8">
        <v>30823246</v>
      </c>
      <c r="D3354" s="8">
        <v>5</v>
      </c>
      <c r="E3354" s="11">
        <v>43108</v>
      </c>
      <c r="F3354" s="8" t="s">
        <v>60</v>
      </c>
      <c r="G3354" s="11">
        <v>43110</v>
      </c>
      <c r="H3354" s="8" t="s">
        <v>25</v>
      </c>
      <c r="J3354" s="8" t="s">
        <v>145</v>
      </c>
      <c r="L3354" s="8" t="s">
        <v>6525</v>
      </c>
      <c r="N3354" s="8" t="s">
        <v>58</v>
      </c>
      <c r="O3354" s="8" t="s">
        <v>59</v>
      </c>
      <c r="P3354" s="8" t="s">
        <v>59</v>
      </c>
      <c r="R3354" s="8">
        <v>0</v>
      </c>
      <c r="S3354" s="8">
        <v>0</v>
      </c>
      <c r="T3354" s="8">
        <v>1</v>
      </c>
      <c r="U3354" s="8">
        <v>2</v>
      </c>
      <c r="W3354" s="8">
        <v>4</v>
      </c>
      <c r="AG3354" s="8" t="str">
        <f t="shared" si="209"/>
        <v/>
      </c>
      <c r="AI3354" s="8" t="str">
        <f t="shared" si="210"/>
        <v/>
      </c>
      <c r="AJ3354" s="8" t="str">
        <f t="shared" si="211"/>
        <v/>
      </c>
      <c r="AL3354" s="8" t="str">
        <f t="shared" si="212"/>
        <v/>
      </c>
    </row>
    <row r="3355" spans="1:38" x14ac:dyDescent="0.25">
      <c r="A3355" s="8" t="s">
        <v>6165</v>
      </c>
      <c r="B3355" s="8" t="s">
        <v>6166</v>
      </c>
      <c r="C3355" s="8">
        <v>30912833</v>
      </c>
      <c r="D3355" s="8">
        <v>5</v>
      </c>
      <c r="E3355" s="11">
        <v>43112</v>
      </c>
      <c r="F3355" s="8" t="s">
        <v>57</v>
      </c>
      <c r="G3355" s="11">
        <v>43112</v>
      </c>
      <c r="H3355" s="8" t="s">
        <v>25</v>
      </c>
      <c r="J3355" s="8" t="s">
        <v>25</v>
      </c>
      <c r="N3355" s="8" t="s">
        <v>58</v>
      </c>
      <c r="O3355" s="8" t="s">
        <v>59</v>
      </c>
      <c r="P3355" s="8" t="s">
        <v>59</v>
      </c>
      <c r="R3355" s="8">
        <v>0</v>
      </c>
      <c r="S3355" s="8">
        <v>0</v>
      </c>
      <c r="T3355" s="8">
        <v>1</v>
      </c>
      <c r="U3355" s="8">
        <v>2</v>
      </c>
      <c r="AG3355" s="8" t="str">
        <f t="shared" si="209"/>
        <v/>
      </c>
      <c r="AI3355" s="8" t="str">
        <f t="shared" si="210"/>
        <v/>
      </c>
      <c r="AJ3355" s="8" t="str">
        <f t="shared" si="211"/>
        <v/>
      </c>
      <c r="AL3355" s="8" t="str">
        <f t="shared" si="212"/>
        <v/>
      </c>
    </row>
    <row r="3356" spans="1:38" x14ac:dyDescent="0.25">
      <c r="A3356" s="8" t="s">
        <v>6167</v>
      </c>
      <c r="B3356" s="8" t="s">
        <v>6168</v>
      </c>
      <c r="C3356" s="8">
        <v>30876531</v>
      </c>
      <c r="D3356" s="8">
        <v>5</v>
      </c>
      <c r="E3356" s="11">
        <v>43110</v>
      </c>
      <c r="F3356" s="8" t="s">
        <v>57</v>
      </c>
      <c r="G3356" s="11">
        <v>43112</v>
      </c>
      <c r="H3356" s="8" t="s">
        <v>25</v>
      </c>
      <c r="J3356" s="8" t="s">
        <v>25</v>
      </c>
      <c r="N3356" s="8" t="s">
        <v>58</v>
      </c>
      <c r="O3356" s="8" t="s">
        <v>59</v>
      </c>
      <c r="P3356" s="8" t="s">
        <v>59</v>
      </c>
      <c r="R3356" s="8">
        <v>0</v>
      </c>
      <c r="S3356" s="8">
        <v>0</v>
      </c>
      <c r="T3356" s="8">
        <v>1</v>
      </c>
      <c r="U3356" s="8">
        <v>2</v>
      </c>
      <c r="AG3356" s="8" t="str">
        <f t="shared" si="209"/>
        <v/>
      </c>
      <c r="AI3356" s="8" t="str">
        <f t="shared" si="210"/>
        <v/>
      </c>
      <c r="AJ3356" s="8" t="str">
        <f t="shared" si="211"/>
        <v/>
      </c>
      <c r="AL3356" s="8" t="str">
        <f t="shared" si="212"/>
        <v/>
      </c>
    </row>
    <row r="3357" spans="1:38" x14ac:dyDescent="0.25">
      <c r="A3357" s="8" t="s">
        <v>2994</v>
      </c>
      <c r="B3357" s="8" t="s">
        <v>2995</v>
      </c>
      <c r="C3357" s="8">
        <v>30823746</v>
      </c>
      <c r="D3357" s="8">
        <v>5</v>
      </c>
      <c r="E3357" s="11">
        <v>43108</v>
      </c>
      <c r="F3357" s="8" t="s">
        <v>57</v>
      </c>
      <c r="G3357" s="11">
        <v>43110</v>
      </c>
      <c r="H3357" s="8" t="s">
        <v>25</v>
      </c>
      <c r="J3357" s="8" t="s">
        <v>25</v>
      </c>
      <c r="N3357" s="8" t="s">
        <v>58</v>
      </c>
      <c r="O3357" s="8" t="s">
        <v>59</v>
      </c>
      <c r="P3357" s="8" t="s">
        <v>59</v>
      </c>
      <c r="R3357" s="8">
        <v>0</v>
      </c>
      <c r="S3357" s="8">
        <v>0</v>
      </c>
      <c r="T3357" s="8">
        <v>1</v>
      </c>
      <c r="U3357" s="8">
        <v>2</v>
      </c>
      <c r="AG3357" s="8" t="str">
        <f t="shared" si="209"/>
        <v/>
      </c>
      <c r="AI3357" s="8" t="str">
        <f t="shared" si="210"/>
        <v/>
      </c>
      <c r="AJ3357" s="8" t="str">
        <f t="shared" si="211"/>
        <v/>
      </c>
      <c r="AL3357" s="8" t="str">
        <f t="shared" si="212"/>
        <v/>
      </c>
    </row>
    <row r="3358" spans="1:38" x14ac:dyDescent="0.25">
      <c r="A3358" s="8" t="s">
        <v>4429</v>
      </c>
      <c r="B3358" s="8" t="s">
        <v>4430</v>
      </c>
      <c r="C3358" s="8">
        <v>30846183</v>
      </c>
      <c r="D3358" s="8">
        <v>5</v>
      </c>
      <c r="E3358" s="11">
        <v>43109</v>
      </c>
      <c r="F3358" s="8" t="s">
        <v>58</v>
      </c>
      <c r="G3358" s="11">
        <v>43111</v>
      </c>
      <c r="H3358" s="8" t="s">
        <v>25</v>
      </c>
      <c r="I3358" s="11">
        <v>43112</v>
      </c>
      <c r="J3358" s="8" t="s">
        <v>25</v>
      </c>
      <c r="N3358" s="8" t="s">
        <v>58</v>
      </c>
      <c r="O3358" s="8" t="s">
        <v>59</v>
      </c>
      <c r="P3358" s="8" t="s">
        <v>59</v>
      </c>
      <c r="R3358" s="8">
        <v>0</v>
      </c>
      <c r="S3358" s="8">
        <v>0</v>
      </c>
      <c r="T3358" s="8">
        <v>1</v>
      </c>
      <c r="U3358" s="8">
        <v>2</v>
      </c>
      <c r="X3358" s="8">
        <v>5</v>
      </c>
      <c r="AG3358" s="8" t="str">
        <f t="shared" si="209"/>
        <v/>
      </c>
      <c r="AI3358" s="8" t="str">
        <f t="shared" si="210"/>
        <v/>
      </c>
      <c r="AJ3358" s="8" t="str">
        <f t="shared" si="211"/>
        <v/>
      </c>
      <c r="AL3358" s="8" t="str">
        <f t="shared" si="212"/>
        <v/>
      </c>
    </row>
    <row r="3359" spans="1:38" x14ac:dyDescent="0.25">
      <c r="A3359" s="8" t="s">
        <v>7967</v>
      </c>
      <c r="B3359" s="8" t="s">
        <v>7968</v>
      </c>
      <c r="C3359" s="8">
        <v>30897751</v>
      </c>
      <c r="D3359" s="8">
        <v>5</v>
      </c>
      <c r="E3359" s="11">
        <v>43111</v>
      </c>
      <c r="F3359" s="8" t="s">
        <v>57</v>
      </c>
      <c r="G3359" s="11">
        <v>43115</v>
      </c>
      <c r="H3359" s="8" t="s">
        <v>25</v>
      </c>
      <c r="J3359" s="8" t="s">
        <v>25</v>
      </c>
      <c r="N3359" s="8" t="s">
        <v>58</v>
      </c>
      <c r="O3359" s="8" t="s">
        <v>59</v>
      </c>
      <c r="P3359" s="8" t="s">
        <v>59</v>
      </c>
      <c r="R3359" s="8">
        <v>0</v>
      </c>
      <c r="S3359" s="8">
        <v>0</v>
      </c>
      <c r="T3359" s="8">
        <v>1</v>
      </c>
      <c r="U3359" s="8">
        <v>2</v>
      </c>
      <c r="AG3359" s="8" t="str">
        <f t="shared" si="209"/>
        <v/>
      </c>
      <c r="AI3359" s="8" t="str">
        <f t="shared" si="210"/>
        <v/>
      </c>
      <c r="AJ3359" s="8" t="str">
        <f t="shared" si="211"/>
        <v/>
      </c>
      <c r="AL3359" s="8" t="str">
        <f t="shared" si="212"/>
        <v/>
      </c>
    </row>
    <row r="3360" spans="1:38" x14ac:dyDescent="0.25">
      <c r="A3360" s="8" t="s">
        <v>7969</v>
      </c>
      <c r="B3360" s="8" t="s">
        <v>7970</v>
      </c>
      <c r="C3360" s="8">
        <v>30897433</v>
      </c>
      <c r="D3360" s="8">
        <v>5</v>
      </c>
      <c r="E3360" s="11">
        <v>43111</v>
      </c>
      <c r="F3360" s="8" t="s">
        <v>57</v>
      </c>
      <c r="G3360" s="11">
        <v>43115</v>
      </c>
      <c r="H3360" s="8" t="s">
        <v>25</v>
      </c>
      <c r="J3360" s="8" t="s">
        <v>25</v>
      </c>
      <c r="N3360" s="8" t="s">
        <v>58</v>
      </c>
      <c r="O3360" s="8" t="s">
        <v>59</v>
      </c>
      <c r="P3360" s="8" t="s">
        <v>59</v>
      </c>
      <c r="R3360" s="8">
        <v>0</v>
      </c>
      <c r="S3360" s="8">
        <v>0</v>
      </c>
      <c r="T3360" s="8">
        <v>1</v>
      </c>
      <c r="U3360" s="8">
        <v>2</v>
      </c>
      <c r="Y3360" s="8">
        <v>6</v>
      </c>
      <c r="Z3360" s="8">
        <v>7</v>
      </c>
      <c r="AG3360" s="8" t="str">
        <f t="shared" si="209"/>
        <v/>
      </c>
      <c r="AI3360" s="8" t="str">
        <f t="shared" si="210"/>
        <v/>
      </c>
      <c r="AJ3360" s="8" t="str">
        <f t="shared" si="211"/>
        <v/>
      </c>
      <c r="AL3360" s="8" t="str">
        <f t="shared" si="212"/>
        <v/>
      </c>
    </row>
    <row r="3361" spans="1:38" x14ac:dyDescent="0.25">
      <c r="A3361" s="8" t="s">
        <v>2996</v>
      </c>
      <c r="B3361" s="8" t="s">
        <v>2997</v>
      </c>
      <c r="C3361" s="8">
        <v>30818132</v>
      </c>
      <c r="D3361" s="8">
        <v>5</v>
      </c>
      <c r="E3361" s="11">
        <v>43108</v>
      </c>
      <c r="F3361" s="8" t="s">
        <v>58</v>
      </c>
      <c r="G3361" s="11">
        <v>43110</v>
      </c>
      <c r="H3361" s="8" t="s">
        <v>25</v>
      </c>
      <c r="I3361" s="11">
        <v>43112</v>
      </c>
      <c r="J3361" s="8" t="s">
        <v>25</v>
      </c>
      <c r="N3361" s="8" t="s">
        <v>58</v>
      </c>
      <c r="O3361" s="8" t="s">
        <v>59</v>
      </c>
      <c r="P3361" s="8" t="s">
        <v>59</v>
      </c>
      <c r="R3361" s="8">
        <v>0</v>
      </c>
      <c r="S3361" s="8">
        <v>0</v>
      </c>
      <c r="T3361" s="8">
        <v>1</v>
      </c>
      <c r="U3361" s="8">
        <v>2</v>
      </c>
      <c r="X3361" s="8">
        <v>5</v>
      </c>
      <c r="AG3361" s="8" t="str">
        <f t="shared" si="209"/>
        <v/>
      </c>
      <c r="AI3361" s="8" t="str">
        <f t="shared" si="210"/>
        <v/>
      </c>
      <c r="AJ3361" s="8" t="str">
        <f t="shared" si="211"/>
        <v/>
      </c>
      <c r="AL3361" s="8" t="str">
        <f t="shared" si="212"/>
        <v/>
      </c>
    </row>
    <row r="3362" spans="1:38" x14ac:dyDescent="0.25">
      <c r="A3362" s="8" t="s">
        <v>7971</v>
      </c>
      <c r="B3362" s="8" t="s">
        <v>7972</v>
      </c>
      <c r="C3362" s="8">
        <v>30883067</v>
      </c>
      <c r="D3362" s="8">
        <v>5</v>
      </c>
      <c r="E3362" s="11">
        <v>43111</v>
      </c>
      <c r="F3362" s="8" t="s">
        <v>57</v>
      </c>
      <c r="G3362" s="11">
        <v>43115</v>
      </c>
      <c r="H3362" s="8" t="s">
        <v>25</v>
      </c>
      <c r="J3362" s="8" t="s">
        <v>25</v>
      </c>
      <c r="N3362" s="8" t="s">
        <v>58</v>
      </c>
      <c r="O3362" s="8" t="s">
        <v>59</v>
      </c>
      <c r="P3362" s="8" t="s">
        <v>59</v>
      </c>
      <c r="R3362" s="8">
        <v>0</v>
      </c>
      <c r="S3362" s="8">
        <v>0</v>
      </c>
      <c r="T3362" s="8">
        <v>1</v>
      </c>
      <c r="U3362" s="8">
        <v>2</v>
      </c>
      <c r="AG3362" s="8" t="str">
        <f t="shared" si="209"/>
        <v/>
      </c>
      <c r="AI3362" s="8" t="str">
        <f t="shared" si="210"/>
        <v/>
      </c>
      <c r="AJ3362" s="8" t="str">
        <f t="shared" si="211"/>
        <v/>
      </c>
      <c r="AL3362" s="8" t="str">
        <f t="shared" si="212"/>
        <v/>
      </c>
    </row>
    <row r="3363" spans="1:38" x14ac:dyDescent="0.25">
      <c r="A3363" s="8" t="s">
        <v>7973</v>
      </c>
      <c r="B3363" s="8" t="s">
        <v>7974</v>
      </c>
      <c r="C3363" s="8">
        <v>30900872</v>
      </c>
      <c r="D3363" s="8">
        <v>5</v>
      </c>
      <c r="E3363" s="11">
        <v>43111</v>
      </c>
      <c r="F3363" s="8" t="s">
        <v>57</v>
      </c>
      <c r="G3363" s="11">
        <v>43115</v>
      </c>
      <c r="H3363" s="8" t="s">
        <v>25</v>
      </c>
      <c r="J3363" s="8" t="s">
        <v>25</v>
      </c>
      <c r="N3363" s="8" t="s">
        <v>58</v>
      </c>
      <c r="O3363" s="8" t="s">
        <v>59</v>
      </c>
      <c r="P3363" s="8" t="s">
        <v>59</v>
      </c>
      <c r="R3363" s="8">
        <v>0</v>
      </c>
      <c r="S3363" s="8">
        <v>0</v>
      </c>
      <c r="T3363" s="8">
        <v>1</v>
      </c>
      <c r="U3363" s="8">
        <v>2</v>
      </c>
      <c r="AG3363" s="8" t="str">
        <f t="shared" si="209"/>
        <v/>
      </c>
      <c r="AI3363" s="8" t="str">
        <f t="shared" si="210"/>
        <v/>
      </c>
      <c r="AJ3363" s="8" t="str">
        <f t="shared" si="211"/>
        <v/>
      </c>
      <c r="AL3363" s="8" t="str">
        <f t="shared" si="212"/>
        <v/>
      </c>
    </row>
    <row r="3364" spans="1:38" x14ac:dyDescent="0.25">
      <c r="A3364" s="8" t="s">
        <v>6169</v>
      </c>
      <c r="B3364" s="8" t="s">
        <v>6170</v>
      </c>
      <c r="C3364" s="8">
        <v>30868993</v>
      </c>
      <c r="D3364" s="8">
        <v>5</v>
      </c>
      <c r="E3364" s="11">
        <v>43110</v>
      </c>
      <c r="F3364" s="8" t="s">
        <v>57</v>
      </c>
      <c r="G3364" s="11">
        <v>43112</v>
      </c>
      <c r="H3364" s="8" t="s">
        <v>25</v>
      </c>
      <c r="J3364" s="8" t="s">
        <v>25</v>
      </c>
      <c r="N3364" s="8" t="s">
        <v>58</v>
      </c>
      <c r="O3364" s="8" t="s">
        <v>59</v>
      </c>
      <c r="P3364" s="8" t="s">
        <v>59</v>
      </c>
      <c r="R3364" s="8">
        <v>0</v>
      </c>
      <c r="S3364" s="8">
        <v>0</v>
      </c>
      <c r="T3364" s="8">
        <v>1</v>
      </c>
      <c r="U3364" s="8">
        <v>2</v>
      </c>
      <c r="AG3364" s="8" t="str">
        <f t="shared" si="209"/>
        <v/>
      </c>
      <c r="AI3364" s="8" t="str">
        <f t="shared" si="210"/>
        <v/>
      </c>
      <c r="AJ3364" s="8" t="str">
        <f t="shared" si="211"/>
        <v/>
      </c>
      <c r="AL3364" s="8" t="str">
        <f t="shared" si="212"/>
        <v/>
      </c>
    </row>
    <row r="3365" spans="1:38" x14ac:dyDescent="0.25">
      <c r="A3365" s="8" t="s">
        <v>4431</v>
      </c>
      <c r="B3365" s="8" t="s">
        <v>4432</v>
      </c>
      <c r="C3365" s="8">
        <v>30837255</v>
      </c>
      <c r="D3365" s="8">
        <v>4</v>
      </c>
      <c r="E3365" s="11">
        <v>43109</v>
      </c>
      <c r="F3365" s="8" t="s">
        <v>57</v>
      </c>
      <c r="G3365" s="11">
        <v>43111</v>
      </c>
      <c r="H3365" s="8" t="s">
        <v>25</v>
      </c>
      <c r="J3365" s="8" t="s">
        <v>25</v>
      </c>
      <c r="N3365" s="8" t="s">
        <v>58</v>
      </c>
      <c r="O3365" s="8" t="s">
        <v>59</v>
      </c>
      <c r="P3365" s="8" t="s">
        <v>59</v>
      </c>
      <c r="R3365" s="8">
        <v>0</v>
      </c>
      <c r="S3365" s="8">
        <v>0</v>
      </c>
      <c r="T3365" s="8">
        <v>1</v>
      </c>
      <c r="U3365" s="8">
        <v>2</v>
      </c>
      <c r="AG3365" s="8" t="str">
        <f t="shared" si="209"/>
        <v/>
      </c>
      <c r="AI3365" s="8" t="str">
        <f t="shared" si="210"/>
        <v/>
      </c>
      <c r="AJ3365" s="8" t="str">
        <f t="shared" si="211"/>
        <v/>
      </c>
      <c r="AL3365" s="8" t="str">
        <f t="shared" si="212"/>
        <v/>
      </c>
    </row>
    <row r="3366" spans="1:38" x14ac:dyDescent="0.25">
      <c r="A3366" s="8" t="s">
        <v>2998</v>
      </c>
      <c r="B3366" s="8" t="s">
        <v>2999</v>
      </c>
      <c r="C3366" s="8">
        <v>30841518</v>
      </c>
      <c r="D3366" s="8">
        <v>5</v>
      </c>
      <c r="E3366" s="11">
        <v>43109</v>
      </c>
      <c r="F3366" s="8" t="s">
        <v>57</v>
      </c>
      <c r="G3366" s="11">
        <v>43110</v>
      </c>
      <c r="H3366" s="8" t="s">
        <v>25</v>
      </c>
      <c r="J3366" s="8" t="s">
        <v>25</v>
      </c>
      <c r="N3366" s="8" t="s">
        <v>58</v>
      </c>
      <c r="O3366" s="8" t="s">
        <v>59</v>
      </c>
      <c r="P3366" s="8" t="s">
        <v>59</v>
      </c>
      <c r="R3366" s="8">
        <v>0</v>
      </c>
      <c r="S3366" s="8">
        <v>0</v>
      </c>
      <c r="T3366" s="8">
        <v>1</v>
      </c>
      <c r="U3366" s="8">
        <v>2</v>
      </c>
      <c r="AG3366" s="8" t="str">
        <f t="shared" si="209"/>
        <v/>
      </c>
      <c r="AI3366" s="8" t="str">
        <f t="shared" si="210"/>
        <v/>
      </c>
      <c r="AJ3366" s="8" t="str">
        <f t="shared" si="211"/>
        <v/>
      </c>
      <c r="AL3366" s="8" t="str">
        <f t="shared" si="212"/>
        <v/>
      </c>
    </row>
    <row r="3367" spans="1:38" x14ac:dyDescent="0.25">
      <c r="A3367" s="8" t="s">
        <v>4433</v>
      </c>
      <c r="B3367" s="8" t="s">
        <v>4434</v>
      </c>
      <c r="C3367" s="8">
        <v>30838831</v>
      </c>
      <c r="D3367" s="8">
        <v>4</v>
      </c>
      <c r="E3367" s="11">
        <v>43109</v>
      </c>
      <c r="F3367" s="8" t="s">
        <v>57</v>
      </c>
      <c r="G3367" s="11">
        <v>43111</v>
      </c>
      <c r="H3367" s="8" t="s">
        <v>25</v>
      </c>
      <c r="J3367" s="8" t="s">
        <v>25</v>
      </c>
      <c r="N3367" s="8" t="s">
        <v>58</v>
      </c>
      <c r="O3367" s="8" t="s">
        <v>59</v>
      </c>
      <c r="P3367" s="8" t="s">
        <v>59</v>
      </c>
      <c r="R3367" s="8">
        <v>0</v>
      </c>
      <c r="S3367" s="8">
        <v>0</v>
      </c>
      <c r="T3367" s="8">
        <v>1</v>
      </c>
      <c r="U3367" s="8">
        <v>2</v>
      </c>
      <c r="AG3367" s="8" t="str">
        <f t="shared" si="209"/>
        <v/>
      </c>
      <c r="AI3367" s="8" t="str">
        <f t="shared" si="210"/>
        <v/>
      </c>
      <c r="AJ3367" s="8" t="str">
        <f t="shared" si="211"/>
        <v/>
      </c>
      <c r="AL3367" s="8" t="str">
        <f t="shared" si="212"/>
        <v/>
      </c>
    </row>
    <row r="3368" spans="1:38" x14ac:dyDescent="0.25">
      <c r="A3368" s="8" t="s">
        <v>7975</v>
      </c>
      <c r="B3368" s="8" t="s">
        <v>7976</v>
      </c>
      <c r="C3368" s="8">
        <v>30912131</v>
      </c>
      <c r="D3368" s="8">
        <v>5</v>
      </c>
      <c r="E3368" s="11">
        <v>43112</v>
      </c>
      <c r="F3368" s="8" t="s">
        <v>57</v>
      </c>
      <c r="G3368" s="11">
        <v>43115</v>
      </c>
      <c r="H3368" s="8" t="s">
        <v>25</v>
      </c>
      <c r="J3368" s="8" t="s">
        <v>25</v>
      </c>
      <c r="N3368" s="8" t="s">
        <v>58</v>
      </c>
      <c r="O3368" s="8" t="s">
        <v>59</v>
      </c>
      <c r="P3368" s="8" t="s">
        <v>59</v>
      </c>
      <c r="R3368" s="8">
        <v>0</v>
      </c>
      <c r="S3368" s="8">
        <v>0</v>
      </c>
      <c r="T3368" s="8">
        <v>1</v>
      </c>
      <c r="U3368" s="8">
        <v>2</v>
      </c>
      <c r="AG3368" s="8" t="str">
        <f t="shared" si="209"/>
        <v/>
      </c>
      <c r="AI3368" s="8" t="str">
        <f t="shared" si="210"/>
        <v/>
      </c>
      <c r="AJ3368" s="8" t="str">
        <f t="shared" si="211"/>
        <v/>
      </c>
      <c r="AL3368" s="8" t="str">
        <f t="shared" si="212"/>
        <v/>
      </c>
    </row>
    <row r="3369" spans="1:38" x14ac:dyDescent="0.25">
      <c r="A3369" s="8" t="s">
        <v>6171</v>
      </c>
      <c r="B3369" s="8" t="s">
        <v>6172</v>
      </c>
      <c r="C3369" s="8">
        <v>30898089</v>
      </c>
      <c r="D3369" s="8">
        <v>5</v>
      </c>
      <c r="E3369" s="11">
        <v>43111</v>
      </c>
      <c r="F3369" s="8" t="s">
        <v>57</v>
      </c>
      <c r="G3369" s="11">
        <v>43112</v>
      </c>
      <c r="H3369" s="8" t="s">
        <v>25</v>
      </c>
      <c r="J3369" s="8" t="s">
        <v>25</v>
      </c>
      <c r="N3369" s="8" t="s">
        <v>58</v>
      </c>
      <c r="O3369" s="8" t="s">
        <v>59</v>
      </c>
      <c r="P3369" s="8" t="s">
        <v>59</v>
      </c>
      <c r="R3369" s="8">
        <v>0</v>
      </c>
      <c r="S3369" s="8">
        <v>0</v>
      </c>
      <c r="T3369" s="8">
        <v>1</v>
      </c>
      <c r="U3369" s="8">
        <v>2</v>
      </c>
      <c r="AG3369" s="8" t="str">
        <f t="shared" si="209"/>
        <v/>
      </c>
      <c r="AI3369" s="8" t="str">
        <f t="shared" si="210"/>
        <v/>
      </c>
      <c r="AJ3369" s="8" t="str">
        <f t="shared" si="211"/>
        <v/>
      </c>
      <c r="AL3369" s="8" t="str">
        <f t="shared" si="212"/>
        <v/>
      </c>
    </row>
    <row r="3370" spans="1:38" x14ac:dyDescent="0.25">
      <c r="A3370" s="8" t="s">
        <v>4435</v>
      </c>
      <c r="B3370" s="8" t="s">
        <v>4436</v>
      </c>
      <c r="C3370" s="8">
        <v>30850388</v>
      </c>
      <c r="D3370" s="8">
        <v>5</v>
      </c>
      <c r="E3370" s="11">
        <v>43109</v>
      </c>
      <c r="F3370" s="8" t="s">
        <v>57</v>
      </c>
      <c r="G3370" s="11">
        <v>43111</v>
      </c>
      <c r="H3370" s="8" t="s">
        <v>25</v>
      </c>
      <c r="J3370" s="8" t="s">
        <v>25</v>
      </c>
      <c r="N3370" s="8" t="s">
        <v>58</v>
      </c>
      <c r="O3370" s="8" t="s">
        <v>59</v>
      </c>
      <c r="P3370" s="8" t="s">
        <v>59</v>
      </c>
      <c r="R3370" s="8">
        <v>0</v>
      </c>
      <c r="S3370" s="8">
        <v>0</v>
      </c>
      <c r="T3370" s="8">
        <v>1</v>
      </c>
      <c r="U3370" s="8">
        <v>2</v>
      </c>
      <c r="AG3370" s="8" t="str">
        <f t="shared" si="209"/>
        <v/>
      </c>
      <c r="AI3370" s="8" t="str">
        <f t="shared" si="210"/>
        <v/>
      </c>
      <c r="AJ3370" s="8" t="str">
        <f t="shared" si="211"/>
        <v/>
      </c>
      <c r="AL3370" s="8" t="str">
        <f t="shared" si="212"/>
        <v/>
      </c>
    </row>
    <row r="3371" spans="1:38" x14ac:dyDescent="0.25">
      <c r="A3371" s="8" t="s">
        <v>6173</v>
      </c>
      <c r="B3371" s="8" t="s">
        <v>6174</v>
      </c>
      <c r="C3371" s="8">
        <v>30890551</v>
      </c>
      <c r="D3371" s="8">
        <v>5</v>
      </c>
      <c r="E3371" s="11">
        <v>43111</v>
      </c>
      <c r="F3371" s="8" t="s">
        <v>57</v>
      </c>
      <c r="G3371" s="11">
        <v>43112</v>
      </c>
      <c r="H3371" s="8" t="s">
        <v>25</v>
      </c>
      <c r="J3371" s="8" t="s">
        <v>25</v>
      </c>
      <c r="N3371" s="8" t="s">
        <v>58</v>
      </c>
      <c r="O3371" s="8" t="s">
        <v>59</v>
      </c>
      <c r="P3371" s="8" t="s">
        <v>59</v>
      </c>
      <c r="R3371" s="8">
        <v>0</v>
      </c>
      <c r="S3371" s="8">
        <v>0</v>
      </c>
      <c r="T3371" s="8">
        <v>1</v>
      </c>
      <c r="U3371" s="8">
        <v>2</v>
      </c>
      <c r="AG3371" s="8" t="str">
        <f t="shared" si="209"/>
        <v/>
      </c>
      <c r="AI3371" s="8" t="str">
        <f t="shared" si="210"/>
        <v/>
      </c>
      <c r="AJ3371" s="8" t="str">
        <f t="shared" si="211"/>
        <v/>
      </c>
      <c r="AL3371" s="8" t="str">
        <f t="shared" si="212"/>
        <v/>
      </c>
    </row>
    <row r="3372" spans="1:38" x14ac:dyDescent="0.25">
      <c r="A3372" s="8" t="s">
        <v>7977</v>
      </c>
      <c r="B3372" s="8" t="s">
        <v>7978</v>
      </c>
      <c r="C3372" s="8">
        <v>30913085</v>
      </c>
      <c r="D3372" s="8">
        <v>3</v>
      </c>
      <c r="E3372" s="11">
        <v>43112</v>
      </c>
      <c r="F3372" s="8" t="s">
        <v>57</v>
      </c>
      <c r="G3372" s="11">
        <v>43115</v>
      </c>
      <c r="H3372" s="8" t="s">
        <v>25</v>
      </c>
      <c r="J3372" s="8" t="s">
        <v>25</v>
      </c>
      <c r="N3372" s="8" t="s">
        <v>58</v>
      </c>
      <c r="O3372" s="8" t="s">
        <v>59</v>
      </c>
      <c r="P3372" s="8" t="s">
        <v>59</v>
      </c>
      <c r="R3372" s="8">
        <v>0</v>
      </c>
      <c r="S3372" s="8">
        <v>0</v>
      </c>
      <c r="T3372" s="8">
        <v>1</v>
      </c>
      <c r="U3372" s="8">
        <v>2</v>
      </c>
      <c r="AG3372" s="8" t="str">
        <f t="shared" si="209"/>
        <v/>
      </c>
      <c r="AI3372" s="8" t="str">
        <f t="shared" si="210"/>
        <v/>
      </c>
      <c r="AJ3372" s="8" t="str">
        <f t="shared" si="211"/>
        <v/>
      </c>
      <c r="AL3372" s="8" t="str">
        <f t="shared" si="212"/>
        <v/>
      </c>
    </row>
    <row r="3373" spans="1:38" x14ac:dyDescent="0.25">
      <c r="A3373" s="8" t="s">
        <v>7979</v>
      </c>
      <c r="B3373" s="8" t="s">
        <v>7980</v>
      </c>
      <c r="C3373" s="8">
        <v>30915359</v>
      </c>
      <c r="D3373" s="8">
        <v>5</v>
      </c>
      <c r="E3373" s="11">
        <v>43112</v>
      </c>
      <c r="F3373" s="8" t="s">
        <v>57</v>
      </c>
      <c r="G3373" s="11">
        <v>43115</v>
      </c>
      <c r="H3373" s="8" t="s">
        <v>25</v>
      </c>
      <c r="J3373" s="8" t="s">
        <v>25</v>
      </c>
      <c r="N3373" s="8" t="s">
        <v>58</v>
      </c>
      <c r="O3373" s="8" t="s">
        <v>59</v>
      </c>
      <c r="P3373" s="8" t="s">
        <v>59</v>
      </c>
      <c r="R3373" s="8">
        <v>0</v>
      </c>
      <c r="S3373" s="8">
        <v>0</v>
      </c>
      <c r="T3373" s="8">
        <v>1</v>
      </c>
      <c r="U3373" s="8">
        <v>2</v>
      </c>
      <c r="AG3373" s="8" t="str">
        <f t="shared" si="209"/>
        <v/>
      </c>
      <c r="AI3373" s="8" t="str">
        <f t="shared" si="210"/>
        <v/>
      </c>
      <c r="AJ3373" s="8" t="str">
        <f t="shared" si="211"/>
        <v/>
      </c>
      <c r="AL3373" s="8" t="str">
        <f t="shared" si="212"/>
        <v/>
      </c>
    </row>
    <row r="3374" spans="1:38" x14ac:dyDescent="0.25">
      <c r="A3374" s="8" t="s">
        <v>3000</v>
      </c>
      <c r="B3374" s="8" t="s">
        <v>3001</v>
      </c>
      <c r="C3374" s="8">
        <v>30819838</v>
      </c>
      <c r="D3374" s="8">
        <v>5</v>
      </c>
      <c r="E3374" s="11">
        <v>43108</v>
      </c>
      <c r="F3374" s="8" t="s">
        <v>57</v>
      </c>
      <c r="G3374" s="11">
        <v>43110</v>
      </c>
      <c r="H3374" s="8" t="s">
        <v>25</v>
      </c>
      <c r="J3374" s="8" t="s">
        <v>25</v>
      </c>
      <c r="N3374" s="8" t="s">
        <v>58</v>
      </c>
      <c r="O3374" s="8" t="s">
        <v>59</v>
      </c>
      <c r="P3374" s="8" t="s">
        <v>59</v>
      </c>
      <c r="R3374" s="8">
        <v>0</v>
      </c>
      <c r="S3374" s="8">
        <v>0</v>
      </c>
      <c r="T3374" s="8">
        <v>1</v>
      </c>
      <c r="U3374" s="8">
        <v>2</v>
      </c>
      <c r="AG3374" s="8" t="str">
        <f t="shared" si="209"/>
        <v/>
      </c>
      <c r="AI3374" s="8" t="str">
        <f t="shared" si="210"/>
        <v/>
      </c>
      <c r="AJ3374" s="8" t="str">
        <f t="shared" si="211"/>
        <v/>
      </c>
      <c r="AL3374" s="8" t="str">
        <f t="shared" si="212"/>
        <v/>
      </c>
    </row>
    <row r="3375" spans="1:38" x14ac:dyDescent="0.25">
      <c r="A3375" s="8" t="s">
        <v>4437</v>
      </c>
      <c r="B3375" s="8" t="s">
        <v>4438</v>
      </c>
      <c r="C3375" s="8">
        <v>30849896</v>
      </c>
      <c r="D3375" s="8">
        <v>5</v>
      </c>
      <c r="E3375" s="11">
        <v>43109</v>
      </c>
      <c r="F3375" s="8" t="s">
        <v>57</v>
      </c>
      <c r="G3375" s="11">
        <v>43111</v>
      </c>
      <c r="H3375" s="8" t="s">
        <v>25</v>
      </c>
      <c r="J3375" s="8" t="s">
        <v>25</v>
      </c>
      <c r="N3375" s="8" t="s">
        <v>58</v>
      </c>
      <c r="O3375" s="8" t="s">
        <v>59</v>
      </c>
      <c r="P3375" s="8" t="s">
        <v>59</v>
      </c>
      <c r="R3375" s="8">
        <v>0</v>
      </c>
      <c r="S3375" s="8">
        <v>0</v>
      </c>
      <c r="T3375" s="8">
        <v>1</v>
      </c>
      <c r="U3375" s="8">
        <v>2</v>
      </c>
      <c r="AG3375" s="8" t="str">
        <f t="shared" si="209"/>
        <v/>
      </c>
      <c r="AI3375" s="8" t="str">
        <f t="shared" si="210"/>
        <v/>
      </c>
      <c r="AJ3375" s="8" t="str">
        <f t="shared" si="211"/>
        <v/>
      </c>
      <c r="AL3375" s="8" t="str">
        <f t="shared" si="212"/>
        <v/>
      </c>
    </row>
    <row r="3376" spans="1:38" x14ac:dyDescent="0.25">
      <c r="A3376" s="8" t="s">
        <v>3002</v>
      </c>
      <c r="B3376" s="8" t="s">
        <v>3003</v>
      </c>
      <c r="C3376" s="8">
        <v>30841495</v>
      </c>
      <c r="D3376" s="8">
        <v>5</v>
      </c>
      <c r="E3376" s="11">
        <v>43109</v>
      </c>
      <c r="F3376" s="8" t="s">
        <v>58</v>
      </c>
      <c r="G3376" s="11">
        <v>43110</v>
      </c>
      <c r="H3376" s="8" t="s">
        <v>25</v>
      </c>
      <c r="I3376" s="11">
        <v>43110</v>
      </c>
      <c r="J3376" s="8" t="s">
        <v>25</v>
      </c>
      <c r="N3376" s="8" t="s">
        <v>58</v>
      </c>
      <c r="O3376" s="8" t="s">
        <v>59</v>
      </c>
      <c r="P3376" s="8" t="s">
        <v>59</v>
      </c>
      <c r="R3376" s="8">
        <v>0</v>
      </c>
      <c r="S3376" s="8">
        <v>0</v>
      </c>
      <c r="T3376" s="8">
        <v>1</v>
      </c>
      <c r="U3376" s="8">
        <v>2</v>
      </c>
      <c r="X3376" s="8">
        <v>5</v>
      </c>
      <c r="AG3376" s="8" t="str">
        <f t="shared" si="209"/>
        <v/>
      </c>
      <c r="AI3376" s="8" t="str">
        <f t="shared" si="210"/>
        <v/>
      </c>
      <c r="AJ3376" s="8" t="str">
        <f t="shared" si="211"/>
        <v/>
      </c>
      <c r="AL3376" s="8" t="str">
        <f t="shared" si="212"/>
        <v/>
      </c>
    </row>
    <row r="3377" spans="1:38" x14ac:dyDescent="0.25">
      <c r="A3377" s="8" t="s">
        <v>4439</v>
      </c>
      <c r="B3377" s="8" t="s">
        <v>4440</v>
      </c>
      <c r="C3377" s="8">
        <v>30832628</v>
      </c>
      <c r="D3377" s="8">
        <v>5</v>
      </c>
      <c r="E3377" s="11">
        <v>43109</v>
      </c>
      <c r="F3377" s="8" t="s">
        <v>58</v>
      </c>
      <c r="G3377" s="11">
        <v>43111</v>
      </c>
      <c r="H3377" s="8" t="s">
        <v>25</v>
      </c>
      <c r="I3377" s="11">
        <v>43115</v>
      </c>
      <c r="J3377" s="8" t="s">
        <v>25</v>
      </c>
      <c r="N3377" s="8" t="s">
        <v>58</v>
      </c>
      <c r="O3377" s="8" t="s">
        <v>59</v>
      </c>
      <c r="P3377" s="8" t="s">
        <v>59</v>
      </c>
      <c r="R3377" s="8">
        <v>0</v>
      </c>
      <c r="S3377" s="8">
        <v>0</v>
      </c>
      <c r="T3377" s="8">
        <v>1</v>
      </c>
      <c r="U3377" s="8">
        <v>2</v>
      </c>
      <c r="X3377" s="8">
        <v>5</v>
      </c>
      <c r="AG3377" s="8" t="str">
        <f t="shared" si="209"/>
        <v/>
      </c>
      <c r="AI3377" s="8" t="str">
        <f t="shared" si="210"/>
        <v/>
      </c>
      <c r="AJ3377" s="8" t="str">
        <f t="shared" si="211"/>
        <v/>
      </c>
      <c r="AL3377" s="8" t="str">
        <f t="shared" si="212"/>
        <v/>
      </c>
    </row>
    <row r="3378" spans="1:38" x14ac:dyDescent="0.25">
      <c r="A3378" s="8" t="s">
        <v>6175</v>
      </c>
      <c r="B3378" s="8" t="s">
        <v>6176</v>
      </c>
      <c r="C3378" s="8">
        <v>30918361</v>
      </c>
      <c r="D3378" s="8">
        <v>4</v>
      </c>
      <c r="E3378" s="11">
        <v>43112</v>
      </c>
      <c r="F3378" s="8" t="s">
        <v>57</v>
      </c>
      <c r="G3378" s="11">
        <v>43112</v>
      </c>
      <c r="H3378" s="8" t="s">
        <v>25</v>
      </c>
      <c r="J3378" s="8" t="s">
        <v>25</v>
      </c>
      <c r="N3378" s="8" t="s">
        <v>58</v>
      </c>
      <c r="O3378" s="8" t="s">
        <v>59</v>
      </c>
      <c r="P3378" s="8" t="s">
        <v>59</v>
      </c>
      <c r="R3378" s="8">
        <v>0</v>
      </c>
      <c r="S3378" s="8">
        <v>0</v>
      </c>
      <c r="T3378" s="8">
        <v>1</v>
      </c>
      <c r="U3378" s="8">
        <v>2</v>
      </c>
      <c r="AG3378" s="8" t="str">
        <f t="shared" si="209"/>
        <v/>
      </c>
      <c r="AI3378" s="8" t="str">
        <f t="shared" si="210"/>
        <v/>
      </c>
      <c r="AJ3378" s="8" t="str">
        <f t="shared" si="211"/>
        <v/>
      </c>
      <c r="AL3378" s="8" t="str">
        <f t="shared" si="212"/>
        <v/>
      </c>
    </row>
    <row r="3379" spans="1:38" x14ac:dyDescent="0.25">
      <c r="A3379" s="8" t="s">
        <v>7981</v>
      </c>
      <c r="B3379" s="8" t="s">
        <v>7982</v>
      </c>
      <c r="C3379" s="8">
        <v>30900313</v>
      </c>
      <c r="D3379" s="8">
        <v>4</v>
      </c>
      <c r="E3379" s="11">
        <v>43111</v>
      </c>
      <c r="F3379" s="8" t="s">
        <v>57</v>
      </c>
      <c r="G3379" s="11">
        <v>43115</v>
      </c>
      <c r="H3379" s="8" t="s">
        <v>25</v>
      </c>
      <c r="J3379" s="8" t="s">
        <v>25</v>
      </c>
      <c r="N3379" s="8" t="s">
        <v>58</v>
      </c>
      <c r="O3379" s="8" t="s">
        <v>59</v>
      </c>
      <c r="P3379" s="8" t="s">
        <v>59</v>
      </c>
      <c r="R3379" s="8">
        <v>0</v>
      </c>
      <c r="S3379" s="8">
        <v>0</v>
      </c>
      <c r="T3379" s="8">
        <v>1</v>
      </c>
      <c r="U3379" s="8">
        <v>2</v>
      </c>
      <c r="AG3379" s="8" t="str">
        <f t="shared" si="209"/>
        <v/>
      </c>
      <c r="AI3379" s="8" t="str">
        <f t="shared" si="210"/>
        <v/>
      </c>
      <c r="AJ3379" s="8" t="str">
        <f t="shared" si="211"/>
        <v/>
      </c>
      <c r="AL3379" s="8" t="str">
        <f t="shared" si="212"/>
        <v/>
      </c>
    </row>
    <row r="3380" spans="1:38" x14ac:dyDescent="0.25">
      <c r="A3380" s="8" t="s">
        <v>6177</v>
      </c>
      <c r="B3380" s="8" t="s">
        <v>6178</v>
      </c>
      <c r="C3380" s="8">
        <v>30898637</v>
      </c>
      <c r="D3380" s="8">
        <v>4</v>
      </c>
      <c r="E3380" s="11">
        <v>43111</v>
      </c>
      <c r="F3380" s="8" t="s">
        <v>57</v>
      </c>
      <c r="G3380" s="11">
        <v>43112</v>
      </c>
      <c r="H3380" s="8" t="s">
        <v>25</v>
      </c>
      <c r="J3380" s="8" t="s">
        <v>25</v>
      </c>
      <c r="N3380" s="8" t="s">
        <v>58</v>
      </c>
      <c r="O3380" s="8" t="s">
        <v>59</v>
      </c>
      <c r="P3380" s="8" t="s">
        <v>59</v>
      </c>
      <c r="R3380" s="8">
        <v>0</v>
      </c>
      <c r="S3380" s="8">
        <v>0</v>
      </c>
      <c r="T3380" s="8">
        <v>1</v>
      </c>
      <c r="U3380" s="8">
        <v>2</v>
      </c>
      <c r="AG3380" s="8" t="str">
        <f t="shared" si="209"/>
        <v/>
      </c>
      <c r="AI3380" s="8" t="str">
        <f t="shared" si="210"/>
        <v/>
      </c>
      <c r="AJ3380" s="8" t="str">
        <f t="shared" si="211"/>
        <v/>
      </c>
      <c r="AL3380" s="8" t="str">
        <f t="shared" si="212"/>
        <v/>
      </c>
    </row>
    <row r="3381" spans="1:38" x14ac:dyDescent="0.25">
      <c r="A3381" s="8" t="s">
        <v>4441</v>
      </c>
      <c r="B3381" s="8" t="s">
        <v>4442</v>
      </c>
      <c r="C3381" s="8">
        <v>30838046</v>
      </c>
      <c r="D3381" s="8">
        <v>5</v>
      </c>
      <c r="E3381" s="11">
        <v>43109</v>
      </c>
      <c r="F3381" s="8" t="s">
        <v>58</v>
      </c>
      <c r="G3381" s="11">
        <v>43111</v>
      </c>
      <c r="H3381" s="8" t="s">
        <v>25</v>
      </c>
      <c r="I3381" s="11">
        <v>43115</v>
      </c>
      <c r="J3381" s="8" t="s">
        <v>25</v>
      </c>
      <c r="N3381" s="8" t="s">
        <v>58</v>
      </c>
      <c r="O3381" s="8" t="s">
        <v>59</v>
      </c>
      <c r="P3381" s="8" t="s">
        <v>59</v>
      </c>
      <c r="R3381" s="8">
        <v>0</v>
      </c>
      <c r="S3381" s="8">
        <v>0</v>
      </c>
      <c r="T3381" s="8">
        <v>1</v>
      </c>
      <c r="U3381" s="8">
        <v>2</v>
      </c>
      <c r="X3381" s="8">
        <v>5</v>
      </c>
      <c r="AG3381" s="8" t="str">
        <f t="shared" si="209"/>
        <v/>
      </c>
      <c r="AI3381" s="8" t="str">
        <f t="shared" si="210"/>
        <v/>
      </c>
      <c r="AJ3381" s="8" t="str">
        <f t="shared" si="211"/>
        <v/>
      </c>
      <c r="AL3381" s="8" t="str">
        <f t="shared" si="212"/>
        <v/>
      </c>
    </row>
    <row r="3382" spans="1:38" x14ac:dyDescent="0.25">
      <c r="A3382" s="8" t="s">
        <v>7983</v>
      </c>
      <c r="B3382" s="8" t="s">
        <v>7984</v>
      </c>
      <c r="C3382" s="8">
        <v>30944706</v>
      </c>
      <c r="D3382" s="8">
        <v>5</v>
      </c>
      <c r="E3382" s="11">
        <v>43115</v>
      </c>
      <c r="F3382" s="8" t="s">
        <v>57</v>
      </c>
      <c r="G3382" s="11">
        <v>43115</v>
      </c>
      <c r="H3382" s="8" t="s">
        <v>25</v>
      </c>
      <c r="J3382" s="8" t="s">
        <v>25</v>
      </c>
      <c r="N3382" s="8" t="s">
        <v>58</v>
      </c>
      <c r="O3382" s="8" t="s">
        <v>59</v>
      </c>
      <c r="P3382" s="8" t="s">
        <v>59</v>
      </c>
      <c r="R3382" s="8">
        <v>0</v>
      </c>
      <c r="S3382" s="8">
        <v>0</v>
      </c>
      <c r="T3382" s="8">
        <v>1</v>
      </c>
      <c r="U3382" s="8">
        <v>2</v>
      </c>
      <c r="AG3382" s="8" t="str">
        <f t="shared" si="209"/>
        <v/>
      </c>
      <c r="AI3382" s="8" t="str">
        <f t="shared" si="210"/>
        <v/>
      </c>
      <c r="AJ3382" s="8" t="str">
        <f t="shared" si="211"/>
        <v/>
      </c>
      <c r="AL3382" s="8" t="str">
        <f t="shared" si="212"/>
        <v/>
      </c>
    </row>
    <row r="3383" spans="1:38" x14ac:dyDescent="0.25">
      <c r="A3383" s="8" t="s">
        <v>6179</v>
      </c>
      <c r="B3383" s="8" t="s">
        <v>6180</v>
      </c>
      <c r="C3383" s="8">
        <v>30898416</v>
      </c>
      <c r="D3383" s="8">
        <v>5</v>
      </c>
      <c r="E3383" s="11">
        <v>43111</v>
      </c>
      <c r="F3383" s="8" t="s">
        <v>57</v>
      </c>
      <c r="G3383" s="11">
        <v>43112</v>
      </c>
      <c r="H3383" s="8" t="s">
        <v>25</v>
      </c>
      <c r="J3383" s="8" t="s">
        <v>25</v>
      </c>
      <c r="N3383" s="8" t="s">
        <v>58</v>
      </c>
      <c r="O3383" s="8" t="s">
        <v>59</v>
      </c>
      <c r="P3383" s="8" t="s">
        <v>59</v>
      </c>
      <c r="R3383" s="8">
        <v>0</v>
      </c>
      <c r="S3383" s="8">
        <v>0</v>
      </c>
      <c r="T3383" s="8">
        <v>1</v>
      </c>
      <c r="U3383" s="8">
        <v>2</v>
      </c>
      <c r="AG3383" s="8" t="str">
        <f t="shared" si="209"/>
        <v/>
      </c>
      <c r="AI3383" s="8" t="str">
        <f t="shared" si="210"/>
        <v/>
      </c>
      <c r="AJ3383" s="8" t="str">
        <f t="shared" si="211"/>
        <v/>
      </c>
      <c r="AL3383" s="8" t="str">
        <f t="shared" si="212"/>
        <v/>
      </c>
    </row>
    <row r="3384" spans="1:38" x14ac:dyDescent="0.25">
      <c r="A3384" s="8" t="s">
        <v>6181</v>
      </c>
      <c r="B3384" s="8" t="s">
        <v>6182</v>
      </c>
      <c r="C3384" s="8">
        <v>30860941</v>
      </c>
      <c r="D3384" s="8">
        <v>5</v>
      </c>
      <c r="E3384" s="11">
        <v>43110</v>
      </c>
      <c r="F3384" s="8" t="s">
        <v>58</v>
      </c>
      <c r="G3384" s="11">
        <v>43112</v>
      </c>
      <c r="H3384" s="8" t="s">
        <v>25</v>
      </c>
      <c r="I3384" s="11">
        <v>43115</v>
      </c>
      <c r="J3384" s="8" t="s">
        <v>25</v>
      </c>
      <c r="N3384" s="8" t="s">
        <v>58</v>
      </c>
      <c r="O3384" s="8" t="s">
        <v>59</v>
      </c>
      <c r="P3384" s="8" t="s">
        <v>59</v>
      </c>
      <c r="R3384" s="8">
        <v>0</v>
      </c>
      <c r="S3384" s="8">
        <v>0</v>
      </c>
      <c r="T3384" s="8">
        <v>1</v>
      </c>
      <c r="U3384" s="8">
        <v>2</v>
      </c>
      <c r="X3384" s="8">
        <v>5</v>
      </c>
      <c r="AG3384" s="8" t="str">
        <f t="shared" si="209"/>
        <v/>
      </c>
      <c r="AI3384" s="8" t="str">
        <f t="shared" si="210"/>
        <v/>
      </c>
      <c r="AJ3384" s="8" t="str">
        <f t="shared" si="211"/>
        <v/>
      </c>
      <c r="AL3384" s="8" t="str">
        <f t="shared" si="212"/>
        <v/>
      </c>
    </row>
    <row r="3385" spans="1:38" x14ac:dyDescent="0.25">
      <c r="A3385" s="8" t="s">
        <v>3004</v>
      </c>
      <c r="B3385" s="8" t="s">
        <v>3005</v>
      </c>
      <c r="C3385" s="8">
        <v>30818412</v>
      </c>
      <c r="D3385" s="8">
        <v>5</v>
      </c>
      <c r="E3385" s="11">
        <v>43108</v>
      </c>
      <c r="F3385" s="8" t="s">
        <v>57</v>
      </c>
      <c r="G3385" s="11">
        <v>43110</v>
      </c>
      <c r="H3385" s="8" t="s">
        <v>25</v>
      </c>
      <c r="J3385" s="8" t="s">
        <v>25</v>
      </c>
      <c r="N3385" s="8" t="s">
        <v>58</v>
      </c>
      <c r="O3385" s="8" t="s">
        <v>59</v>
      </c>
      <c r="P3385" s="8" t="s">
        <v>59</v>
      </c>
      <c r="R3385" s="8">
        <v>0</v>
      </c>
      <c r="S3385" s="8">
        <v>0</v>
      </c>
      <c r="T3385" s="8">
        <v>1</v>
      </c>
      <c r="U3385" s="8">
        <v>2</v>
      </c>
      <c r="AG3385" s="8" t="str">
        <f t="shared" si="209"/>
        <v/>
      </c>
      <c r="AI3385" s="8" t="str">
        <f t="shared" si="210"/>
        <v/>
      </c>
      <c r="AJ3385" s="8" t="str">
        <f t="shared" si="211"/>
        <v/>
      </c>
      <c r="AL3385" s="8" t="str">
        <f t="shared" si="212"/>
        <v/>
      </c>
    </row>
    <row r="3386" spans="1:38" x14ac:dyDescent="0.25">
      <c r="A3386" s="8" t="s">
        <v>4443</v>
      </c>
      <c r="B3386" s="8" t="s">
        <v>4444</v>
      </c>
      <c r="C3386" s="8">
        <v>30894903</v>
      </c>
      <c r="D3386" s="8">
        <v>5</v>
      </c>
      <c r="E3386" s="11">
        <v>43111</v>
      </c>
      <c r="F3386" s="8" t="s">
        <v>57</v>
      </c>
      <c r="G3386" s="11">
        <v>43111</v>
      </c>
      <c r="H3386" s="8" t="s">
        <v>25</v>
      </c>
      <c r="J3386" s="8" t="s">
        <v>25</v>
      </c>
      <c r="N3386" s="8" t="s">
        <v>58</v>
      </c>
      <c r="O3386" s="8" t="s">
        <v>59</v>
      </c>
      <c r="P3386" s="8" t="s">
        <v>59</v>
      </c>
      <c r="R3386" s="8">
        <v>0</v>
      </c>
      <c r="S3386" s="8">
        <v>0</v>
      </c>
      <c r="T3386" s="8">
        <v>1</v>
      </c>
      <c r="U3386" s="8">
        <v>2</v>
      </c>
      <c r="AG3386" s="8" t="str">
        <f t="shared" si="209"/>
        <v/>
      </c>
      <c r="AI3386" s="8" t="str">
        <f t="shared" si="210"/>
        <v/>
      </c>
      <c r="AJ3386" s="8" t="str">
        <f t="shared" si="211"/>
        <v/>
      </c>
      <c r="AL3386" s="8" t="str">
        <f t="shared" si="212"/>
        <v/>
      </c>
    </row>
    <row r="3387" spans="1:38" x14ac:dyDescent="0.25">
      <c r="A3387" s="8" t="s">
        <v>3006</v>
      </c>
      <c r="B3387" s="8" t="s">
        <v>3007</v>
      </c>
      <c r="C3387" s="8">
        <v>30813447</v>
      </c>
      <c r="D3387" s="8">
        <v>5</v>
      </c>
      <c r="E3387" s="11">
        <v>43108</v>
      </c>
      <c r="F3387" s="8" t="s">
        <v>57</v>
      </c>
      <c r="G3387" s="11">
        <v>43110</v>
      </c>
      <c r="H3387" s="8" t="s">
        <v>25</v>
      </c>
      <c r="J3387" s="8" t="s">
        <v>25</v>
      </c>
      <c r="N3387" s="8" t="s">
        <v>58</v>
      </c>
      <c r="O3387" s="8" t="s">
        <v>59</v>
      </c>
      <c r="P3387" s="8" t="s">
        <v>59</v>
      </c>
      <c r="R3387" s="8">
        <v>0</v>
      </c>
      <c r="S3387" s="8">
        <v>0</v>
      </c>
      <c r="T3387" s="8">
        <v>1</v>
      </c>
      <c r="U3387" s="8">
        <v>2</v>
      </c>
      <c r="AG3387" s="8" t="str">
        <f t="shared" si="209"/>
        <v/>
      </c>
      <c r="AI3387" s="8" t="str">
        <f t="shared" si="210"/>
        <v/>
      </c>
      <c r="AJ3387" s="8" t="str">
        <f t="shared" si="211"/>
        <v/>
      </c>
      <c r="AL3387" s="8" t="str">
        <f t="shared" si="212"/>
        <v/>
      </c>
    </row>
    <row r="3388" spans="1:38" x14ac:dyDescent="0.25">
      <c r="A3388" s="8" t="s">
        <v>6183</v>
      </c>
      <c r="B3388" s="8" t="s">
        <v>6184</v>
      </c>
      <c r="C3388" s="8">
        <v>30866824</v>
      </c>
      <c r="D3388" s="8">
        <v>5</v>
      </c>
      <c r="E3388" s="11">
        <v>43110</v>
      </c>
      <c r="F3388" s="8" t="s">
        <v>57</v>
      </c>
      <c r="G3388" s="11">
        <v>43112</v>
      </c>
      <c r="H3388" s="8" t="s">
        <v>25</v>
      </c>
      <c r="J3388" s="8" t="s">
        <v>25</v>
      </c>
      <c r="N3388" s="8" t="s">
        <v>58</v>
      </c>
      <c r="O3388" s="8" t="s">
        <v>59</v>
      </c>
      <c r="P3388" s="8" t="s">
        <v>59</v>
      </c>
      <c r="R3388" s="8">
        <v>0</v>
      </c>
      <c r="S3388" s="8">
        <v>0</v>
      </c>
      <c r="T3388" s="8">
        <v>1</v>
      </c>
      <c r="U3388" s="8">
        <v>2</v>
      </c>
      <c r="AG3388" s="8" t="str">
        <f t="shared" si="209"/>
        <v/>
      </c>
      <c r="AI3388" s="8" t="str">
        <f t="shared" si="210"/>
        <v/>
      </c>
      <c r="AJ3388" s="8" t="str">
        <f t="shared" si="211"/>
        <v/>
      </c>
      <c r="AL3388" s="8" t="str">
        <f t="shared" si="212"/>
        <v/>
      </c>
    </row>
    <row r="3389" spans="1:38" x14ac:dyDescent="0.25">
      <c r="A3389" s="8" t="s">
        <v>7985</v>
      </c>
      <c r="B3389" s="8" t="s">
        <v>7986</v>
      </c>
      <c r="C3389" s="8">
        <v>30920008</v>
      </c>
      <c r="D3389" s="8">
        <v>3</v>
      </c>
      <c r="E3389" s="11">
        <v>43112</v>
      </c>
      <c r="F3389" s="8" t="s">
        <v>57</v>
      </c>
      <c r="G3389" s="11">
        <v>43115</v>
      </c>
      <c r="H3389" s="8" t="s">
        <v>25</v>
      </c>
      <c r="J3389" s="8" t="s">
        <v>25</v>
      </c>
      <c r="N3389" s="8" t="s">
        <v>58</v>
      </c>
      <c r="O3389" s="8" t="s">
        <v>59</v>
      </c>
      <c r="P3389" s="8" t="s">
        <v>59</v>
      </c>
      <c r="R3389" s="8">
        <v>0</v>
      </c>
      <c r="S3389" s="8">
        <v>0</v>
      </c>
      <c r="T3389" s="8">
        <v>1</v>
      </c>
      <c r="U3389" s="8">
        <v>2</v>
      </c>
      <c r="AG3389" s="8" t="str">
        <f t="shared" si="209"/>
        <v/>
      </c>
      <c r="AI3389" s="8" t="str">
        <f t="shared" si="210"/>
        <v/>
      </c>
      <c r="AJ3389" s="8" t="str">
        <f t="shared" si="211"/>
        <v/>
      </c>
      <c r="AL3389" s="8" t="str">
        <f t="shared" si="212"/>
        <v/>
      </c>
    </row>
    <row r="3390" spans="1:38" x14ac:dyDescent="0.25">
      <c r="A3390" s="8" t="s">
        <v>3008</v>
      </c>
      <c r="B3390" s="8" t="s">
        <v>3009</v>
      </c>
      <c r="C3390" s="8">
        <v>30875929</v>
      </c>
      <c r="D3390" s="8">
        <v>5</v>
      </c>
      <c r="E3390" s="11">
        <v>43110</v>
      </c>
      <c r="F3390" s="8" t="s">
        <v>58</v>
      </c>
      <c r="G3390" s="11">
        <v>43110</v>
      </c>
      <c r="H3390" s="8" t="s">
        <v>25</v>
      </c>
      <c r="I3390" s="11">
        <v>43115</v>
      </c>
      <c r="J3390" s="8" t="s">
        <v>145</v>
      </c>
      <c r="N3390" s="8" t="s">
        <v>58</v>
      </c>
      <c r="O3390" s="8" t="s">
        <v>59</v>
      </c>
      <c r="P3390" s="8" t="s">
        <v>59</v>
      </c>
      <c r="R3390" s="8">
        <v>0</v>
      </c>
      <c r="S3390" s="8">
        <v>0</v>
      </c>
      <c r="T3390" s="8">
        <v>1</v>
      </c>
      <c r="U3390" s="8">
        <v>2</v>
      </c>
      <c r="X3390" s="8">
        <v>5</v>
      </c>
      <c r="AG3390" s="8" t="str">
        <f t="shared" si="209"/>
        <v/>
      </c>
      <c r="AI3390" s="8" t="str">
        <f t="shared" si="210"/>
        <v/>
      </c>
      <c r="AJ3390" s="8" t="str">
        <f t="shared" si="211"/>
        <v/>
      </c>
      <c r="AL3390" s="8" t="str">
        <f t="shared" si="212"/>
        <v/>
      </c>
    </row>
    <row r="3391" spans="1:38" x14ac:dyDescent="0.25">
      <c r="A3391" s="8" t="s">
        <v>6185</v>
      </c>
      <c r="B3391" s="8" t="s">
        <v>6186</v>
      </c>
      <c r="C3391" s="8">
        <v>30860177</v>
      </c>
      <c r="D3391" s="8">
        <v>5</v>
      </c>
      <c r="E3391" s="11">
        <v>43110</v>
      </c>
      <c r="F3391" s="8" t="s">
        <v>57</v>
      </c>
      <c r="G3391" s="11">
        <v>43112</v>
      </c>
      <c r="H3391" s="8" t="s">
        <v>25</v>
      </c>
      <c r="J3391" s="8" t="s">
        <v>25</v>
      </c>
      <c r="N3391" s="8" t="s">
        <v>58</v>
      </c>
      <c r="O3391" s="8" t="s">
        <v>59</v>
      </c>
      <c r="P3391" s="8" t="s">
        <v>59</v>
      </c>
      <c r="R3391" s="8">
        <v>0</v>
      </c>
      <c r="S3391" s="8">
        <v>0</v>
      </c>
      <c r="T3391" s="8">
        <v>1</v>
      </c>
      <c r="U3391" s="8">
        <v>2</v>
      </c>
      <c r="AG3391" s="8" t="str">
        <f t="shared" si="209"/>
        <v/>
      </c>
      <c r="AI3391" s="8" t="str">
        <f t="shared" si="210"/>
        <v/>
      </c>
      <c r="AJ3391" s="8" t="str">
        <f t="shared" si="211"/>
        <v/>
      </c>
      <c r="AL3391" s="8" t="str">
        <f t="shared" si="212"/>
        <v/>
      </c>
    </row>
    <row r="3392" spans="1:38" x14ac:dyDescent="0.25">
      <c r="A3392" s="8" t="s">
        <v>3010</v>
      </c>
      <c r="B3392" s="8" t="s">
        <v>3011</v>
      </c>
      <c r="C3392" s="8">
        <v>30861092</v>
      </c>
      <c r="D3392" s="8">
        <v>5</v>
      </c>
      <c r="E3392" s="11">
        <v>43110</v>
      </c>
      <c r="F3392" s="8" t="s">
        <v>58</v>
      </c>
      <c r="G3392" s="11">
        <v>43110</v>
      </c>
      <c r="H3392" s="8" t="s">
        <v>25</v>
      </c>
      <c r="I3392" s="11">
        <v>43112</v>
      </c>
      <c r="J3392" s="8" t="s">
        <v>25</v>
      </c>
      <c r="N3392" s="8" t="s">
        <v>58</v>
      </c>
      <c r="O3392" s="8" t="s">
        <v>59</v>
      </c>
      <c r="P3392" s="8" t="s">
        <v>59</v>
      </c>
      <c r="R3392" s="8">
        <v>0</v>
      </c>
      <c r="S3392" s="8">
        <v>0</v>
      </c>
      <c r="T3392" s="8">
        <v>1</v>
      </c>
      <c r="U3392" s="8">
        <v>2</v>
      </c>
      <c r="X3392" s="8">
        <v>5</v>
      </c>
      <c r="AG3392" s="8" t="str">
        <f t="shared" si="209"/>
        <v/>
      </c>
      <c r="AI3392" s="8" t="str">
        <f t="shared" si="210"/>
        <v/>
      </c>
      <c r="AJ3392" s="8" t="str">
        <f t="shared" si="211"/>
        <v/>
      </c>
      <c r="AL3392" s="8" t="str">
        <f t="shared" si="212"/>
        <v/>
      </c>
    </row>
    <row r="3393" spans="1:38" x14ac:dyDescent="0.25">
      <c r="A3393" s="8" t="s">
        <v>1458</v>
      </c>
      <c r="B3393" s="8" t="s">
        <v>1459</v>
      </c>
      <c r="C3393" s="8">
        <v>30841499</v>
      </c>
      <c r="D3393" s="8">
        <v>5</v>
      </c>
      <c r="E3393" s="11">
        <v>43109</v>
      </c>
      <c r="F3393" s="8" t="s">
        <v>57</v>
      </c>
      <c r="G3393" s="11">
        <v>43109</v>
      </c>
      <c r="H3393" s="8" t="s">
        <v>25</v>
      </c>
      <c r="J3393" s="8" t="s">
        <v>25</v>
      </c>
      <c r="N3393" s="8" t="s">
        <v>58</v>
      </c>
      <c r="O3393" s="8" t="s">
        <v>59</v>
      </c>
      <c r="P3393" s="8" t="s">
        <v>59</v>
      </c>
      <c r="R3393" s="8">
        <v>0</v>
      </c>
      <c r="S3393" s="8">
        <v>0</v>
      </c>
      <c r="T3393" s="8">
        <v>1</v>
      </c>
      <c r="U3393" s="8">
        <v>2</v>
      </c>
      <c r="AG3393" s="8" t="str">
        <f t="shared" si="209"/>
        <v/>
      </c>
      <c r="AI3393" s="8" t="str">
        <f t="shared" si="210"/>
        <v/>
      </c>
      <c r="AJ3393" s="8" t="str">
        <f t="shared" si="211"/>
        <v/>
      </c>
      <c r="AL3393" s="8" t="str">
        <f t="shared" si="212"/>
        <v/>
      </c>
    </row>
    <row r="3394" spans="1:38" x14ac:dyDescent="0.25">
      <c r="A3394" s="8" t="s">
        <v>6187</v>
      </c>
      <c r="B3394" s="8" t="s">
        <v>6188</v>
      </c>
      <c r="C3394" s="8">
        <v>30866813</v>
      </c>
      <c r="D3394" s="8">
        <v>4</v>
      </c>
      <c r="E3394" s="11">
        <v>43110</v>
      </c>
      <c r="F3394" s="8" t="s">
        <v>57</v>
      </c>
      <c r="G3394" s="11">
        <v>43112</v>
      </c>
      <c r="H3394" s="8" t="s">
        <v>25</v>
      </c>
      <c r="J3394" s="8" t="s">
        <v>25</v>
      </c>
      <c r="N3394" s="8" t="s">
        <v>58</v>
      </c>
      <c r="O3394" s="8" t="s">
        <v>59</v>
      </c>
      <c r="P3394" s="8" t="s">
        <v>59</v>
      </c>
      <c r="R3394" s="8">
        <v>0</v>
      </c>
      <c r="S3394" s="8">
        <v>0</v>
      </c>
      <c r="T3394" s="8">
        <v>1</v>
      </c>
      <c r="U3394" s="8">
        <v>2</v>
      </c>
      <c r="AG3394" s="8" t="str">
        <f t="shared" si="209"/>
        <v/>
      </c>
      <c r="AI3394" s="8" t="str">
        <f t="shared" si="210"/>
        <v/>
      </c>
      <c r="AJ3394" s="8" t="str">
        <f t="shared" si="211"/>
        <v/>
      </c>
      <c r="AL3394" s="8" t="str">
        <f t="shared" si="212"/>
        <v/>
      </c>
    </row>
    <row r="3395" spans="1:38" x14ac:dyDescent="0.25">
      <c r="A3395" s="8" t="s">
        <v>4445</v>
      </c>
      <c r="B3395" s="8" t="s">
        <v>4446</v>
      </c>
      <c r="C3395" s="8">
        <v>30842273</v>
      </c>
      <c r="D3395" s="8">
        <v>5</v>
      </c>
      <c r="E3395" s="11">
        <v>43109</v>
      </c>
      <c r="F3395" s="8" t="s">
        <v>57</v>
      </c>
      <c r="G3395" s="11">
        <v>43111</v>
      </c>
      <c r="H3395" s="8" t="s">
        <v>25</v>
      </c>
      <c r="J3395" s="8" t="s">
        <v>25</v>
      </c>
      <c r="N3395" s="8" t="s">
        <v>58</v>
      </c>
      <c r="O3395" s="8" t="s">
        <v>59</v>
      </c>
      <c r="P3395" s="8" t="s">
        <v>59</v>
      </c>
      <c r="R3395" s="8">
        <v>0</v>
      </c>
      <c r="S3395" s="8">
        <v>0</v>
      </c>
      <c r="T3395" s="8">
        <v>1</v>
      </c>
      <c r="U3395" s="8">
        <v>2</v>
      </c>
      <c r="AG3395" s="8" t="str">
        <f t="shared" ref="AG3395:AG3458" si="213">IF(AND(U3395="",G3395&lt;&gt;"",NOT(OR(R3395,S3395))),IF(NETWORKDAYS.INTL(G3395,TODAY(),11)&lt;5,"En Plazo",IF(NETWORKDAYS.INTL(G3395,TODAY(),11)=5,"Riesgo Incumplimiento","FALTA_02")),"")</f>
        <v/>
      </c>
      <c r="AI3395" s="8" t="str">
        <f t="shared" ref="AI3395:AI3458" si="214">IF(AND(O3395&lt;&gt;"B1",F3395="Rejected"),IF(W3395="","FALTA_04",""),"")</f>
        <v/>
      </c>
      <c r="AJ3395" s="8" t="str">
        <f t="shared" ref="AJ3395:AJ3458" si="215">IF(AND(X3395="",I3395&lt;&gt;"",NOT(OR(R3395,S3395))),IF(NETWORKDAYS.INTL(G3395,TODAY(),11)&lt;=1,"En Plazo",IF(OR(AND(X3395="",O3395&lt;&gt;"M1"),AND(O3395="M1",(OR(Q3395="S - S",Q3395="S - T",)))),"FALTA_05","")),"")</f>
        <v/>
      </c>
      <c r="AL3395" s="8" t="str">
        <f t="shared" ref="AL3395:AL3458" si="216">IF(AND(O3395="B1",F3395="Rejected"),IF(Z3395="","FALTA_07",""),"")</f>
        <v/>
      </c>
    </row>
    <row r="3396" spans="1:38" x14ac:dyDescent="0.25">
      <c r="A3396" s="8" t="s">
        <v>3012</v>
      </c>
      <c r="B3396" s="8" t="s">
        <v>3013</v>
      </c>
      <c r="C3396" s="8">
        <v>30823903</v>
      </c>
      <c r="D3396" s="8">
        <v>5</v>
      </c>
      <c r="E3396" s="11">
        <v>43108</v>
      </c>
      <c r="F3396" s="8" t="s">
        <v>57</v>
      </c>
      <c r="G3396" s="11">
        <v>43110</v>
      </c>
      <c r="H3396" s="8" t="s">
        <v>25</v>
      </c>
      <c r="J3396" s="8" t="s">
        <v>25</v>
      </c>
      <c r="N3396" s="8" t="s">
        <v>58</v>
      </c>
      <c r="O3396" s="8" t="s">
        <v>59</v>
      </c>
      <c r="P3396" s="8" t="s">
        <v>59</v>
      </c>
      <c r="R3396" s="8">
        <v>0</v>
      </c>
      <c r="S3396" s="8">
        <v>0</v>
      </c>
      <c r="T3396" s="8">
        <v>1</v>
      </c>
      <c r="U3396" s="8">
        <v>2</v>
      </c>
      <c r="AG3396" s="8" t="str">
        <f t="shared" si="213"/>
        <v/>
      </c>
      <c r="AI3396" s="8" t="str">
        <f t="shared" si="214"/>
        <v/>
      </c>
      <c r="AJ3396" s="8" t="str">
        <f t="shared" si="215"/>
        <v/>
      </c>
      <c r="AL3396" s="8" t="str">
        <f t="shared" si="216"/>
        <v/>
      </c>
    </row>
    <row r="3397" spans="1:38" x14ac:dyDescent="0.25">
      <c r="A3397" s="8" t="s">
        <v>6189</v>
      </c>
      <c r="B3397" s="8" t="s">
        <v>6190</v>
      </c>
      <c r="C3397" s="8">
        <v>30872514</v>
      </c>
      <c r="D3397" s="8">
        <v>5</v>
      </c>
      <c r="E3397" s="11">
        <v>43110</v>
      </c>
      <c r="F3397" s="8" t="s">
        <v>57</v>
      </c>
      <c r="G3397" s="11">
        <v>43112</v>
      </c>
      <c r="H3397" s="8" t="s">
        <v>25</v>
      </c>
      <c r="J3397" s="8" t="s">
        <v>25</v>
      </c>
      <c r="N3397" s="8" t="s">
        <v>58</v>
      </c>
      <c r="O3397" s="8" t="s">
        <v>59</v>
      </c>
      <c r="P3397" s="8" t="s">
        <v>59</v>
      </c>
      <c r="R3397" s="8">
        <v>0</v>
      </c>
      <c r="S3397" s="8">
        <v>0</v>
      </c>
      <c r="T3397" s="8">
        <v>1</v>
      </c>
      <c r="U3397" s="8">
        <v>2</v>
      </c>
      <c r="AG3397" s="8" t="str">
        <f t="shared" si="213"/>
        <v/>
      </c>
      <c r="AI3397" s="8" t="str">
        <f t="shared" si="214"/>
        <v/>
      </c>
      <c r="AJ3397" s="8" t="str">
        <f t="shared" si="215"/>
        <v/>
      </c>
      <c r="AL3397" s="8" t="str">
        <f t="shared" si="216"/>
        <v/>
      </c>
    </row>
    <row r="3398" spans="1:38" x14ac:dyDescent="0.25">
      <c r="A3398" s="8" t="s">
        <v>6191</v>
      </c>
      <c r="B3398" s="8" t="s">
        <v>6192</v>
      </c>
      <c r="C3398" s="8">
        <v>30862953</v>
      </c>
      <c r="D3398" s="8">
        <v>5</v>
      </c>
      <c r="E3398" s="11">
        <v>43110</v>
      </c>
      <c r="F3398" s="8" t="s">
        <v>57</v>
      </c>
      <c r="G3398" s="11">
        <v>43112</v>
      </c>
      <c r="H3398" s="8" t="s">
        <v>25</v>
      </c>
      <c r="J3398" s="8" t="s">
        <v>25</v>
      </c>
      <c r="N3398" s="8" t="s">
        <v>58</v>
      </c>
      <c r="O3398" s="8" t="s">
        <v>59</v>
      </c>
      <c r="P3398" s="8" t="s">
        <v>59</v>
      </c>
      <c r="R3398" s="8">
        <v>0</v>
      </c>
      <c r="S3398" s="8">
        <v>0</v>
      </c>
      <c r="T3398" s="8">
        <v>1</v>
      </c>
      <c r="U3398" s="8">
        <v>2</v>
      </c>
      <c r="AG3398" s="8" t="str">
        <f t="shared" si="213"/>
        <v/>
      </c>
      <c r="AI3398" s="8" t="str">
        <f t="shared" si="214"/>
        <v/>
      </c>
      <c r="AJ3398" s="8" t="str">
        <f t="shared" si="215"/>
        <v/>
      </c>
      <c r="AL3398" s="8" t="str">
        <f t="shared" si="216"/>
        <v/>
      </c>
    </row>
    <row r="3399" spans="1:38" x14ac:dyDescent="0.25">
      <c r="A3399" s="8" t="s">
        <v>6193</v>
      </c>
      <c r="B3399" s="8" t="s">
        <v>6194</v>
      </c>
      <c r="C3399" s="8">
        <v>30866526</v>
      </c>
      <c r="D3399" s="8">
        <v>5</v>
      </c>
      <c r="E3399" s="11">
        <v>43110</v>
      </c>
      <c r="F3399" s="8" t="s">
        <v>58</v>
      </c>
      <c r="G3399" s="11">
        <v>43112</v>
      </c>
      <c r="H3399" s="8" t="s">
        <v>25</v>
      </c>
      <c r="I3399" s="11">
        <v>43115</v>
      </c>
      <c r="J3399" s="8" t="s">
        <v>25</v>
      </c>
      <c r="N3399" s="8" t="s">
        <v>58</v>
      </c>
      <c r="O3399" s="8" t="s">
        <v>59</v>
      </c>
      <c r="P3399" s="8" t="s">
        <v>59</v>
      </c>
      <c r="R3399" s="8">
        <v>0</v>
      </c>
      <c r="S3399" s="8">
        <v>0</v>
      </c>
      <c r="T3399" s="8">
        <v>1</v>
      </c>
      <c r="U3399" s="8">
        <v>2</v>
      </c>
      <c r="X3399" s="8">
        <v>5</v>
      </c>
      <c r="AG3399" s="8" t="str">
        <f t="shared" si="213"/>
        <v/>
      </c>
      <c r="AI3399" s="8" t="str">
        <f t="shared" si="214"/>
        <v/>
      </c>
      <c r="AJ3399" s="8" t="str">
        <f t="shared" si="215"/>
        <v/>
      </c>
      <c r="AL3399" s="8" t="str">
        <f t="shared" si="216"/>
        <v/>
      </c>
    </row>
    <row r="3400" spans="1:38" x14ac:dyDescent="0.25">
      <c r="A3400" s="8" t="s">
        <v>4447</v>
      </c>
      <c r="B3400" s="8" t="s">
        <v>4448</v>
      </c>
      <c r="C3400" s="8">
        <v>30836484</v>
      </c>
      <c r="D3400" s="8">
        <v>5</v>
      </c>
      <c r="E3400" s="11">
        <v>43109</v>
      </c>
      <c r="F3400" s="8" t="s">
        <v>57</v>
      </c>
      <c r="G3400" s="11">
        <v>43111</v>
      </c>
      <c r="H3400" s="8" t="s">
        <v>25</v>
      </c>
      <c r="J3400" s="8" t="s">
        <v>25</v>
      </c>
      <c r="N3400" s="8" t="s">
        <v>58</v>
      </c>
      <c r="O3400" s="8" t="s">
        <v>59</v>
      </c>
      <c r="P3400" s="8" t="s">
        <v>59</v>
      </c>
      <c r="R3400" s="8">
        <v>0</v>
      </c>
      <c r="S3400" s="8">
        <v>0</v>
      </c>
      <c r="T3400" s="8">
        <v>1</v>
      </c>
      <c r="U3400" s="8">
        <v>2</v>
      </c>
      <c r="AG3400" s="8" t="str">
        <f t="shared" si="213"/>
        <v/>
      </c>
      <c r="AI3400" s="8" t="str">
        <f t="shared" si="214"/>
        <v/>
      </c>
      <c r="AJ3400" s="8" t="str">
        <f t="shared" si="215"/>
        <v/>
      </c>
      <c r="AL3400" s="8" t="str">
        <f t="shared" si="216"/>
        <v/>
      </c>
    </row>
    <row r="3401" spans="1:38" x14ac:dyDescent="0.25">
      <c r="A3401" s="8" t="s">
        <v>6195</v>
      </c>
      <c r="B3401" s="8" t="s">
        <v>6196</v>
      </c>
      <c r="C3401" s="8">
        <v>30873576</v>
      </c>
      <c r="D3401" s="8">
        <v>5</v>
      </c>
      <c r="E3401" s="11">
        <v>43110</v>
      </c>
      <c r="F3401" s="8" t="s">
        <v>58</v>
      </c>
      <c r="G3401" s="11">
        <v>43112</v>
      </c>
      <c r="H3401" s="8" t="s">
        <v>25</v>
      </c>
      <c r="I3401" s="11">
        <v>43115</v>
      </c>
      <c r="J3401" s="8" t="s">
        <v>25</v>
      </c>
      <c r="N3401" s="8" t="s">
        <v>58</v>
      </c>
      <c r="O3401" s="8" t="s">
        <v>59</v>
      </c>
      <c r="P3401" s="8" t="s">
        <v>59</v>
      </c>
      <c r="R3401" s="8">
        <v>0</v>
      </c>
      <c r="S3401" s="8">
        <v>0</v>
      </c>
      <c r="T3401" s="8">
        <v>1</v>
      </c>
      <c r="U3401" s="8">
        <v>2</v>
      </c>
      <c r="X3401" s="8">
        <v>5</v>
      </c>
      <c r="AG3401" s="8" t="str">
        <f t="shared" si="213"/>
        <v/>
      </c>
      <c r="AI3401" s="8" t="str">
        <f t="shared" si="214"/>
        <v/>
      </c>
      <c r="AJ3401" s="8" t="str">
        <f t="shared" si="215"/>
        <v/>
      </c>
      <c r="AL3401" s="8" t="str">
        <f t="shared" si="216"/>
        <v/>
      </c>
    </row>
    <row r="3402" spans="1:38" x14ac:dyDescent="0.25">
      <c r="A3402" s="8" t="s">
        <v>7987</v>
      </c>
      <c r="B3402" s="8" t="s">
        <v>7988</v>
      </c>
      <c r="C3402" s="8">
        <v>30940726</v>
      </c>
      <c r="D3402" s="8">
        <v>5</v>
      </c>
      <c r="E3402" s="11">
        <v>43115</v>
      </c>
      <c r="F3402" s="8" t="s">
        <v>57</v>
      </c>
      <c r="G3402" s="11">
        <v>43115</v>
      </c>
      <c r="H3402" s="8" t="s">
        <v>25</v>
      </c>
      <c r="J3402" s="8" t="s">
        <v>25</v>
      </c>
      <c r="N3402" s="8" t="s">
        <v>58</v>
      </c>
      <c r="O3402" s="8" t="s">
        <v>59</v>
      </c>
      <c r="P3402" s="8" t="s">
        <v>59</v>
      </c>
      <c r="R3402" s="8">
        <v>0</v>
      </c>
      <c r="S3402" s="8">
        <v>0</v>
      </c>
      <c r="T3402" s="8">
        <v>1</v>
      </c>
      <c r="U3402" s="8">
        <v>2</v>
      </c>
      <c r="AG3402" s="8" t="str">
        <f t="shared" si="213"/>
        <v/>
      </c>
      <c r="AI3402" s="8" t="str">
        <f t="shared" si="214"/>
        <v/>
      </c>
      <c r="AJ3402" s="8" t="str">
        <f t="shared" si="215"/>
        <v/>
      </c>
      <c r="AL3402" s="8" t="str">
        <f t="shared" si="216"/>
        <v/>
      </c>
    </row>
    <row r="3403" spans="1:38" x14ac:dyDescent="0.25">
      <c r="A3403" s="8" t="s">
        <v>6197</v>
      </c>
      <c r="B3403" s="8" t="s">
        <v>6198</v>
      </c>
      <c r="C3403" s="8">
        <v>30872102</v>
      </c>
      <c r="D3403" s="8">
        <v>5</v>
      </c>
      <c r="E3403" s="11">
        <v>43110</v>
      </c>
      <c r="F3403" s="8" t="s">
        <v>58</v>
      </c>
      <c r="G3403" s="11">
        <v>43112</v>
      </c>
      <c r="H3403" s="8" t="s">
        <v>25</v>
      </c>
      <c r="I3403" s="11">
        <v>43115</v>
      </c>
      <c r="J3403" s="8" t="s">
        <v>25</v>
      </c>
      <c r="N3403" s="8" t="s">
        <v>58</v>
      </c>
      <c r="O3403" s="8" t="s">
        <v>59</v>
      </c>
      <c r="P3403" s="8" t="s">
        <v>59</v>
      </c>
      <c r="R3403" s="8">
        <v>0</v>
      </c>
      <c r="S3403" s="8">
        <v>0</v>
      </c>
      <c r="T3403" s="8">
        <v>1</v>
      </c>
      <c r="U3403" s="8">
        <v>2</v>
      </c>
      <c r="X3403" s="8">
        <v>5</v>
      </c>
      <c r="AG3403" s="8" t="str">
        <f t="shared" si="213"/>
        <v/>
      </c>
      <c r="AI3403" s="8" t="str">
        <f t="shared" si="214"/>
        <v/>
      </c>
      <c r="AJ3403" s="8" t="str">
        <f t="shared" si="215"/>
        <v/>
      </c>
      <c r="AL3403" s="8" t="str">
        <f t="shared" si="216"/>
        <v/>
      </c>
    </row>
    <row r="3404" spans="1:38" x14ac:dyDescent="0.25">
      <c r="A3404" s="8" t="s">
        <v>4449</v>
      </c>
      <c r="B3404" s="8" t="s">
        <v>4450</v>
      </c>
      <c r="C3404" s="8">
        <v>30844328</v>
      </c>
      <c r="D3404" s="8">
        <v>4</v>
      </c>
      <c r="E3404" s="11">
        <v>43109</v>
      </c>
      <c r="F3404" s="8" t="s">
        <v>57</v>
      </c>
      <c r="G3404" s="11">
        <v>43111</v>
      </c>
      <c r="H3404" s="8" t="s">
        <v>25</v>
      </c>
      <c r="J3404" s="8" t="s">
        <v>25</v>
      </c>
      <c r="N3404" s="8" t="s">
        <v>58</v>
      </c>
      <c r="O3404" s="8" t="s">
        <v>59</v>
      </c>
      <c r="P3404" s="8" t="s">
        <v>59</v>
      </c>
      <c r="R3404" s="8">
        <v>0</v>
      </c>
      <c r="S3404" s="8">
        <v>0</v>
      </c>
      <c r="T3404" s="8">
        <v>1</v>
      </c>
      <c r="U3404" s="8">
        <v>2</v>
      </c>
      <c r="AG3404" s="8" t="str">
        <f t="shared" si="213"/>
        <v/>
      </c>
      <c r="AI3404" s="8" t="str">
        <f t="shared" si="214"/>
        <v/>
      </c>
      <c r="AJ3404" s="8" t="str">
        <f t="shared" si="215"/>
        <v/>
      </c>
      <c r="AL3404" s="8" t="str">
        <f t="shared" si="216"/>
        <v/>
      </c>
    </row>
    <row r="3405" spans="1:38" x14ac:dyDescent="0.25">
      <c r="A3405" s="8" t="s">
        <v>7989</v>
      </c>
      <c r="B3405" s="8" t="s">
        <v>7990</v>
      </c>
      <c r="C3405" s="8">
        <v>30881126</v>
      </c>
      <c r="D3405" s="8">
        <v>5</v>
      </c>
      <c r="E3405" s="11">
        <v>43111</v>
      </c>
      <c r="F3405" s="8" t="s">
        <v>57</v>
      </c>
      <c r="G3405" s="11">
        <v>43115</v>
      </c>
      <c r="H3405" s="8" t="s">
        <v>25</v>
      </c>
      <c r="J3405" s="8" t="s">
        <v>25</v>
      </c>
      <c r="N3405" s="8" t="s">
        <v>58</v>
      </c>
      <c r="O3405" s="8" t="s">
        <v>59</v>
      </c>
      <c r="P3405" s="8" t="s">
        <v>59</v>
      </c>
      <c r="R3405" s="8">
        <v>0</v>
      </c>
      <c r="S3405" s="8">
        <v>0</v>
      </c>
      <c r="T3405" s="8">
        <v>1</v>
      </c>
      <c r="U3405" s="8">
        <v>2</v>
      </c>
      <c r="AG3405" s="8" t="str">
        <f t="shared" si="213"/>
        <v/>
      </c>
      <c r="AI3405" s="8" t="str">
        <f t="shared" si="214"/>
        <v/>
      </c>
      <c r="AJ3405" s="8" t="str">
        <f t="shared" si="215"/>
        <v/>
      </c>
      <c r="AL3405" s="8" t="str">
        <f t="shared" si="216"/>
        <v/>
      </c>
    </row>
    <row r="3406" spans="1:38" x14ac:dyDescent="0.25">
      <c r="A3406" s="8" t="s">
        <v>6199</v>
      </c>
      <c r="B3406" s="8" t="s">
        <v>6200</v>
      </c>
      <c r="C3406" s="8">
        <v>30863416</v>
      </c>
      <c r="D3406" s="8">
        <v>5</v>
      </c>
      <c r="E3406" s="11">
        <v>43110</v>
      </c>
      <c r="F3406" s="8" t="s">
        <v>57</v>
      </c>
      <c r="G3406" s="11">
        <v>43112</v>
      </c>
      <c r="H3406" s="8" t="s">
        <v>25</v>
      </c>
      <c r="J3406" s="8" t="s">
        <v>25</v>
      </c>
      <c r="N3406" s="8" t="s">
        <v>58</v>
      </c>
      <c r="O3406" s="8" t="s">
        <v>59</v>
      </c>
      <c r="P3406" s="8" t="s">
        <v>59</v>
      </c>
      <c r="R3406" s="8">
        <v>0</v>
      </c>
      <c r="S3406" s="8">
        <v>0</v>
      </c>
      <c r="T3406" s="8">
        <v>1</v>
      </c>
      <c r="U3406" s="8">
        <v>2</v>
      </c>
      <c r="AG3406" s="8" t="str">
        <f t="shared" si="213"/>
        <v/>
      </c>
      <c r="AI3406" s="8" t="str">
        <f t="shared" si="214"/>
        <v/>
      </c>
      <c r="AJ3406" s="8" t="str">
        <f t="shared" si="215"/>
        <v/>
      </c>
      <c r="AL3406" s="8" t="str">
        <f t="shared" si="216"/>
        <v/>
      </c>
    </row>
    <row r="3407" spans="1:38" x14ac:dyDescent="0.25">
      <c r="A3407" s="8" t="s">
        <v>6201</v>
      </c>
      <c r="B3407" s="8" t="s">
        <v>6202</v>
      </c>
      <c r="C3407" s="8">
        <v>30892243</v>
      </c>
      <c r="D3407" s="8">
        <v>5</v>
      </c>
      <c r="E3407" s="11">
        <v>43111</v>
      </c>
      <c r="F3407" s="8" t="s">
        <v>57</v>
      </c>
      <c r="G3407" s="11">
        <v>43112</v>
      </c>
      <c r="H3407" s="8" t="s">
        <v>25</v>
      </c>
      <c r="J3407" s="8" t="s">
        <v>25</v>
      </c>
      <c r="N3407" s="8" t="s">
        <v>58</v>
      </c>
      <c r="O3407" s="8" t="s">
        <v>59</v>
      </c>
      <c r="P3407" s="8" t="s">
        <v>59</v>
      </c>
      <c r="R3407" s="8">
        <v>0</v>
      </c>
      <c r="S3407" s="8">
        <v>0</v>
      </c>
      <c r="T3407" s="8">
        <v>1</v>
      </c>
      <c r="U3407" s="8">
        <v>2</v>
      </c>
      <c r="AG3407" s="8" t="str">
        <f t="shared" si="213"/>
        <v/>
      </c>
      <c r="AI3407" s="8" t="str">
        <f t="shared" si="214"/>
        <v/>
      </c>
      <c r="AJ3407" s="8" t="str">
        <f t="shared" si="215"/>
        <v/>
      </c>
      <c r="AL3407" s="8" t="str">
        <f t="shared" si="216"/>
        <v/>
      </c>
    </row>
    <row r="3408" spans="1:38" x14ac:dyDescent="0.25">
      <c r="A3408" s="8" t="s">
        <v>3014</v>
      </c>
      <c r="B3408" s="8" t="s">
        <v>3015</v>
      </c>
      <c r="C3408" s="8">
        <v>30818798</v>
      </c>
      <c r="D3408" s="8">
        <v>5</v>
      </c>
      <c r="E3408" s="11">
        <v>43108</v>
      </c>
      <c r="F3408" s="8" t="s">
        <v>57</v>
      </c>
      <c r="G3408" s="11">
        <v>43110</v>
      </c>
      <c r="H3408" s="8" t="s">
        <v>25</v>
      </c>
      <c r="J3408" s="8" t="s">
        <v>25</v>
      </c>
      <c r="N3408" s="8" t="s">
        <v>58</v>
      </c>
      <c r="O3408" s="8" t="s">
        <v>59</v>
      </c>
      <c r="P3408" s="8" t="s">
        <v>59</v>
      </c>
      <c r="R3408" s="8">
        <v>0</v>
      </c>
      <c r="S3408" s="8">
        <v>0</v>
      </c>
      <c r="T3408" s="8">
        <v>1</v>
      </c>
      <c r="U3408" s="8">
        <v>2</v>
      </c>
      <c r="AG3408" s="8" t="str">
        <f t="shared" si="213"/>
        <v/>
      </c>
      <c r="AI3408" s="8" t="str">
        <f t="shared" si="214"/>
        <v/>
      </c>
      <c r="AJ3408" s="8" t="str">
        <f t="shared" si="215"/>
        <v/>
      </c>
      <c r="AL3408" s="8" t="str">
        <f t="shared" si="216"/>
        <v/>
      </c>
    </row>
    <row r="3409" spans="1:38" x14ac:dyDescent="0.25">
      <c r="A3409" s="8" t="s">
        <v>7991</v>
      </c>
      <c r="B3409" s="8" t="s">
        <v>7992</v>
      </c>
      <c r="C3409" s="8">
        <v>30943311</v>
      </c>
      <c r="D3409" s="8">
        <v>5</v>
      </c>
      <c r="E3409" s="11">
        <v>43115</v>
      </c>
      <c r="F3409" s="8" t="s">
        <v>57</v>
      </c>
      <c r="G3409" s="11">
        <v>43115</v>
      </c>
      <c r="H3409" s="8" t="s">
        <v>25</v>
      </c>
      <c r="J3409" s="8" t="s">
        <v>25</v>
      </c>
      <c r="N3409" s="8" t="s">
        <v>58</v>
      </c>
      <c r="O3409" s="8" t="s">
        <v>59</v>
      </c>
      <c r="P3409" s="8" t="s">
        <v>59</v>
      </c>
      <c r="R3409" s="8">
        <v>0</v>
      </c>
      <c r="S3409" s="8">
        <v>0</v>
      </c>
      <c r="T3409" s="8">
        <v>1</v>
      </c>
      <c r="U3409" s="8">
        <v>2</v>
      </c>
      <c r="AG3409" s="8" t="str">
        <f t="shared" si="213"/>
        <v/>
      </c>
      <c r="AI3409" s="8" t="str">
        <f t="shared" si="214"/>
        <v/>
      </c>
      <c r="AJ3409" s="8" t="str">
        <f t="shared" si="215"/>
        <v/>
      </c>
      <c r="AL3409" s="8" t="str">
        <f t="shared" si="216"/>
        <v/>
      </c>
    </row>
    <row r="3410" spans="1:38" x14ac:dyDescent="0.25">
      <c r="A3410" s="8" t="s">
        <v>6203</v>
      </c>
      <c r="B3410" s="8" t="s">
        <v>6204</v>
      </c>
      <c r="C3410" s="8">
        <v>30902578</v>
      </c>
      <c r="D3410" s="8">
        <v>5</v>
      </c>
      <c r="E3410" s="11">
        <v>43111</v>
      </c>
      <c r="F3410" s="8" t="s">
        <v>57</v>
      </c>
      <c r="G3410" s="11">
        <v>43112</v>
      </c>
      <c r="H3410" s="8" t="s">
        <v>25</v>
      </c>
      <c r="J3410" s="8" t="s">
        <v>25</v>
      </c>
      <c r="N3410" s="8" t="s">
        <v>58</v>
      </c>
      <c r="O3410" s="8" t="s">
        <v>59</v>
      </c>
      <c r="P3410" s="8" t="s">
        <v>59</v>
      </c>
      <c r="R3410" s="8">
        <v>0</v>
      </c>
      <c r="S3410" s="8">
        <v>0</v>
      </c>
      <c r="T3410" s="8">
        <v>1</v>
      </c>
      <c r="U3410" s="8">
        <v>2</v>
      </c>
      <c r="AG3410" s="8" t="str">
        <f t="shared" si="213"/>
        <v/>
      </c>
      <c r="AI3410" s="8" t="str">
        <f t="shared" si="214"/>
        <v/>
      </c>
      <c r="AJ3410" s="8" t="str">
        <f t="shared" si="215"/>
        <v/>
      </c>
      <c r="AL3410" s="8" t="str">
        <f t="shared" si="216"/>
        <v/>
      </c>
    </row>
    <row r="3411" spans="1:38" x14ac:dyDescent="0.25">
      <c r="A3411" s="8" t="s">
        <v>7993</v>
      </c>
      <c r="B3411" s="8" t="s">
        <v>7994</v>
      </c>
      <c r="C3411" s="8">
        <v>30910957</v>
      </c>
      <c r="D3411" s="8">
        <v>5</v>
      </c>
      <c r="E3411" s="11">
        <v>43112</v>
      </c>
      <c r="F3411" s="8" t="s">
        <v>57</v>
      </c>
      <c r="G3411" s="11">
        <v>43115</v>
      </c>
      <c r="H3411" s="8" t="s">
        <v>25</v>
      </c>
      <c r="J3411" s="8" t="s">
        <v>25</v>
      </c>
      <c r="N3411" s="8" t="s">
        <v>58</v>
      </c>
      <c r="O3411" s="8" t="s">
        <v>59</v>
      </c>
      <c r="P3411" s="8" t="s">
        <v>59</v>
      </c>
      <c r="R3411" s="8">
        <v>0</v>
      </c>
      <c r="S3411" s="8">
        <v>0</v>
      </c>
      <c r="T3411" s="8">
        <v>1</v>
      </c>
      <c r="U3411" s="8">
        <v>2</v>
      </c>
      <c r="AG3411" s="8" t="str">
        <f t="shared" si="213"/>
        <v/>
      </c>
      <c r="AI3411" s="8" t="str">
        <f t="shared" si="214"/>
        <v/>
      </c>
      <c r="AJ3411" s="8" t="str">
        <f t="shared" si="215"/>
        <v/>
      </c>
      <c r="AL3411" s="8" t="str">
        <f t="shared" si="216"/>
        <v/>
      </c>
    </row>
    <row r="3412" spans="1:38" x14ac:dyDescent="0.25">
      <c r="A3412" s="8" t="s">
        <v>7995</v>
      </c>
      <c r="B3412" s="8" t="s">
        <v>7996</v>
      </c>
      <c r="C3412" s="8">
        <v>30887041</v>
      </c>
      <c r="D3412" s="8">
        <v>5</v>
      </c>
      <c r="E3412" s="11">
        <v>43111</v>
      </c>
      <c r="F3412" s="8" t="s">
        <v>57</v>
      </c>
      <c r="G3412" s="11">
        <v>43115</v>
      </c>
      <c r="H3412" s="8" t="s">
        <v>25</v>
      </c>
      <c r="J3412" s="8" t="s">
        <v>25</v>
      </c>
      <c r="N3412" s="8" t="s">
        <v>58</v>
      </c>
      <c r="O3412" s="8" t="s">
        <v>59</v>
      </c>
      <c r="P3412" s="8" t="s">
        <v>59</v>
      </c>
      <c r="R3412" s="8">
        <v>0</v>
      </c>
      <c r="S3412" s="8">
        <v>0</v>
      </c>
      <c r="T3412" s="8">
        <v>1</v>
      </c>
      <c r="U3412" s="8">
        <v>2</v>
      </c>
      <c r="AG3412" s="8" t="str">
        <f t="shared" si="213"/>
        <v/>
      </c>
      <c r="AI3412" s="8" t="str">
        <f t="shared" si="214"/>
        <v/>
      </c>
      <c r="AJ3412" s="8" t="str">
        <f t="shared" si="215"/>
        <v/>
      </c>
      <c r="AL3412" s="8" t="str">
        <f t="shared" si="216"/>
        <v/>
      </c>
    </row>
    <row r="3413" spans="1:38" x14ac:dyDescent="0.25">
      <c r="A3413" s="8" t="s">
        <v>3016</v>
      </c>
      <c r="B3413" s="8" t="s">
        <v>3017</v>
      </c>
      <c r="C3413" s="8">
        <v>30816701</v>
      </c>
      <c r="D3413" s="8">
        <v>5</v>
      </c>
      <c r="E3413" s="11">
        <v>43108</v>
      </c>
      <c r="F3413" s="8" t="s">
        <v>57</v>
      </c>
      <c r="G3413" s="11">
        <v>43110</v>
      </c>
      <c r="H3413" s="8" t="s">
        <v>25</v>
      </c>
      <c r="J3413" s="8" t="s">
        <v>25</v>
      </c>
      <c r="N3413" s="8" t="s">
        <v>58</v>
      </c>
      <c r="O3413" s="8" t="s">
        <v>59</v>
      </c>
      <c r="P3413" s="8" t="s">
        <v>59</v>
      </c>
      <c r="R3413" s="8">
        <v>0</v>
      </c>
      <c r="S3413" s="8">
        <v>0</v>
      </c>
      <c r="T3413" s="8">
        <v>1</v>
      </c>
      <c r="U3413" s="8">
        <v>2</v>
      </c>
      <c r="AG3413" s="8" t="str">
        <f t="shared" si="213"/>
        <v/>
      </c>
      <c r="AI3413" s="8" t="str">
        <f t="shared" si="214"/>
        <v/>
      </c>
      <c r="AJ3413" s="8" t="str">
        <f t="shared" si="215"/>
        <v/>
      </c>
      <c r="AL3413" s="8" t="str">
        <f t="shared" si="216"/>
        <v/>
      </c>
    </row>
    <row r="3414" spans="1:38" x14ac:dyDescent="0.25">
      <c r="A3414" s="8" t="s">
        <v>3018</v>
      </c>
      <c r="B3414" s="8" t="s">
        <v>3019</v>
      </c>
      <c r="C3414" s="8">
        <v>30828582</v>
      </c>
      <c r="D3414" s="8">
        <v>5</v>
      </c>
      <c r="E3414" s="11">
        <v>43108</v>
      </c>
      <c r="F3414" s="8" t="s">
        <v>57</v>
      </c>
      <c r="G3414" s="11">
        <v>43110</v>
      </c>
      <c r="H3414" s="8" t="s">
        <v>25</v>
      </c>
      <c r="J3414" s="8" t="s">
        <v>25</v>
      </c>
      <c r="N3414" s="8" t="s">
        <v>58</v>
      </c>
      <c r="O3414" s="8" t="s">
        <v>59</v>
      </c>
      <c r="P3414" s="8" t="s">
        <v>59</v>
      </c>
      <c r="R3414" s="8">
        <v>0</v>
      </c>
      <c r="S3414" s="8">
        <v>0</v>
      </c>
      <c r="T3414" s="8">
        <v>1</v>
      </c>
      <c r="U3414" s="8">
        <v>2</v>
      </c>
      <c r="AG3414" s="8" t="str">
        <f t="shared" si="213"/>
        <v/>
      </c>
      <c r="AI3414" s="8" t="str">
        <f t="shared" si="214"/>
        <v/>
      </c>
      <c r="AJ3414" s="8" t="str">
        <f t="shared" si="215"/>
        <v/>
      </c>
      <c r="AL3414" s="8" t="str">
        <f t="shared" si="216"/>
        <v/>
      </c>
    </row>
    <row r="3415" spans="1:38" x14ac:dyDescent="0.25">
      <c r="A3415" s="8" t="s">
        <v>4451</v>
      </c>
      <c r="B3415" s="8" t="s">
        <v>4452</v>
      </c>
      <c r="C3415" s="8">
        <v>30837523</v>
      </c>
      <c r="D3415" s="8">
        <v>4</v>
      </c>
      <c r="E3415" s="11">
        <v>43109</v>
      </c>
      <c r="F3415" s="8" t="s">
        <v>58</v>
      </c>
      <c r="G3415" s="11">
        <v>43111</v>
      </c>
      <c r="H3415" s="8" t="s">
        <v>25</v>
      </c>
      <c r="I3415" s="11">
        <v>43112</v>
      </c>
      <c r="J3415" s="8" t="s">
        <v>25</v>
      </c>
      <c r="N3415" s="8" t="s">
        <v>58</v>
      </c>
      <c r="O3415" s="8" t="s">
        <v>59</v>
      </c>
      <c r="P3415" s="8" t="s">
        <v>59</v>
      </c>
      <c r="R3415" s="8">
        <v>0</v>
      </c>
      <c r="S3415" s="8">
        <v>0</v>
      </c>
      <c r="T3415" s="8">
        <v>1</v>
      </c>
      <c r="U3415" s="8">
        <v>2</v>
      </c>
      <c r="X3415" s="8">
        <v>5</v>
      </c>
      <c r="AG3415" s="8" t="str">
        <f t="shared" si="213"/>
        <v/>
      </c>
      <c r="AI3415" s="8" t="str">
        <f t="shared" si="214"/>
        <v/>
      </c>
      <c r="AJ3415" s="8" t="str">
        <f t="shared" si="215"/>
        <v/>
      </c>
      <c r="AL3415" s="8" t="str">
        <f t="shared" si="216"/>
        <v/>
      </c>
    </row>
    <row r="3416" spans="1:38" x14ac:dyDescent="0.25">
      <c r="A3416" s="8" t="s">
        <v>6205</v>
      </c>
      <c r="B3416" s="8" t="s">
        <v>6206</v>
      </c>
      <c r="C3416" s="8">
        <v>30865682</v>
      </c>
      <c r="D3416" s="8">
        <v>5</v>
      </c>
      <c r="E3416" s="11">
        <v>43110</v>
      </c>
      <c r="F3416" s="8" t="s">
        <v>57</v>
      </c>
      <c r="G3416" s="11">
        <v>43112</v>
      </c>
      <c r="H3416" s="8" t="s">
        <v>25</v>
      </c>
      <c r="J3416" s="8" t="s">
        <v>25</v>
      </c>
      <c r="N3416" s="8" t="s">
        <v>58</v>
      </c>
      <c r="O3416" s="8" t="s">
        <v>59</v>
      </c>
      <c r="P3416" s="8" t="s">
        <v>59</v>
      </c>
      <c r="R3416" s="8">
        <v>0</v>
      </c>
      <c r="S3416" s="8">
        <v>0</v>
      </c>
      <c r="T3416" s="8">
        <v>1</v>
      </c>
      <c r="U3416" s="8">
        <v>2</v>
      </c>
      <c r="AG3416" s="8" t="str">
        <f t="shared" si="213"/>
        <v/>
      </c>
      <c r="AI3416" s="8" t="str">
        <f t="shared" si="214"/>
        <v/>
      </c>
      <c r="AJ3416" s="8" t="str">
        <f t="shared" si="215"/>
        <v/>
      </c>
      <c r="AL3416" s="8" t="str">
        <f t="shared" si="216"/>
        <v/>
      </c>
    </row>
    <row r="3417" spans="1:38" x14ac:dyDescent="0.25">
      <c r="A3417" s="8" t="s">
        <v>7997</v>
      </c>
      <c r="B3417" s="8" t="s">
        <v>7998</v>
      </c>
      <c r="C3417" s="8">
        <v>30887094</v>
      </c>
      <c r="D3417" s="8">
        <v>5</v>
      </c>
      <c r="E3417" s="11">
        <v>43111</v>
      </c>
      <c r="F3417" s="8" t="s">
        <v>57</v>
      </c>
      <c r="G3417" s="11">
        <v>43115</v>
      </c>
      <c r="H3417" s="8" t="s">
        <v>25</v>
      </c>
      <c r="J3417" s="8" t="s">
        <v>25</v>
      </c>
      <c r="N3417" s="8" t="s">
        <v>58</v>
      </c>
      <c r="O3417" s="8" t="s">
        <v>59</v>
      </c>
      <c r="P3417" s="8" t="s">
        <v>59</v>
      </c>
      <c r="R3417" s="8">
        <v>0</v>
      </c>
      <c r="S3417" s="8">
        <v>0</v>
      </c>
      <c r="T3417" s="8">
        <v>1</v>
      </c>
      <c r="U3417" s="8">
        <v>2</v>
      </c>
      <c r="AG3417" s="8" t="str">
        <f t="shared" si="213"/>
        <v/>
      </c>
      <c r="AI3417" s="8" t="str">
        <f t="shared" si="214"/>
        <v/>
      </c>
      <c r="AJ3417" s="8" t="str">
        <f t="shared" si="215"/>
        <v/>
      </c>
      <c r="AL3417" s="8" t="str">
        <f t="shared" si="216"/>
        <v/>
      </c>
    </row>
    <row r="3418" spans="1:38" x14ac:dyDescent="0.25">
      <c r="A3418" s="8" t="s">
        <v>3020</v>
      </c>
      <c r="B3418" s="8" t="s">
        <v>3021</v>
      </c>
      <c r="C3418" s="8">
        <v>30822251</v>
      </c>
      <c r="D3418" s="8">
        <v>5</v>
      </c>
      <c r="E3418" s="11">
        <v>43108</v>
      </c>
      <c r="F3418" s="8" t="s">
        <v>57</v>
      </c>
      <c r="G3418" s="11">
        <v>43110</v>
      </c>
      <c r="H3418" s="8" t="s">
        <v>25</v>
      </c>
      <c r="J3418" s="8" t="s">
        <v>25</v>
      </c>
      <c r="N3418" s="8" t="s">
        <v>58</v>
      </c>
      <c r="O3418" s="8" t="s">
        <v>59</v>
      </c>
      <c r="P3418" s="8" t="s">
        <v>59</v>
      </c>
      <c r="R3418" s="8">
        <v>0</v>
      </c>
      <c r="S3418" s="8">
        <v>0</v>
      </c>
      <c r="T3418" s="8">
        <v>1</v>
      </c>
      <c r="U3418" s="8">
        <v>2</v>
      </c>
      <c r="AG3418" s="8" t="str">
        <f t="shared" si="213"/>
        <v/>
      </c>
      <c r="AI3418" s="8" t="str">
        <f t="shared" si="214"/>
        <v/>
      </c>
      <c r="AJ3418" s="8" t="str">
        <f t="shared" si="215"/>
        <v/>
      </c>
      <c r="AL3418" s="8" t="str">
        <f t="shared" si="216"/>
        <v/>
      </c>
    </row>
    <row r="3419" spans="1:38" x14ac:dyDescent="0.25">
      <c r="A3419" s="8" t="s">
        <v>6207</v>
      </c>
      <c r="B3419" s="8" t="s">
        <v>6208</v>
      </c>
      <c r="C3419" s="8">
        <v>30856606</v>
      </c>
      <c r="D3419" s="8">
        <v>5</v>
      </c>
      <c r="E3419" s="11">
        <v>43110</v>
      </c>
      <c r="F3419" s="8" t="s">
        <v>57</v>
      </c>
      <c r="G3419" s="11">
        <v>43112</v>
      </c>
      <c r="H3419" s="8" t="s">
        <v>25</v>
      </c>
      <c r="J3419" s="8" t="s">
        <v>25</v>
      </c>
      <c r="N3419" s="8" t="s">
        <v>58</v>
      </c>
      <c r="O3419" s="8" t="s">
        <v>59</v>
      </c>
      <c r="P3419" s="8" t="s">
        <v>59</v>
      </c>
      <c r="R3419" s="8">
        <v>0</v>
      </c>
      <c r="S3419" s="8">
        <v>0</v>
      </c>
      <c r="T3419" s="8">
        <v>1</v>
      </c>
      <c r="U3419" s="8">
        <v>2</v>
      </c>
      <c r="AG3419" s="8" t="str">
        <f t="shared" si="213"/>
        <v/>
      </c>
      <c r="AI3419" s="8" t="str">
        <f t="shared" si="214"/>
        <v/>
      </c>
      <c r="AJ3419" s="8" t="str">
        <f t="shared" si="215"/>
        <v/>
      </c>
      <c r="AL3419" s="8" t="str">
        <f t="shared" si="216"/>
        <v/>
      </c>
    </row>
    <row r="3420" spans="1:38" x14ac:dyDescent="0.25">
      <c r="A3420" s="8" t="s">
        <v>7999</v>
      </c>
      <c r="B3420" s="8" t="s">
        <v>8000</v>
      </c>
      <c r="C3420" s="8">
        <v>30919112</v>
      </c>
      <c r="D3420" s="8">
        <v>5</v>
      </c>
      <c r="E3420" s="11">
        <v>43112</v>
      </c>
      <c r="F3420" s="8" t="s">
        <v>58</v>
      </c>
      <c r="G3420" s="11">
        <v>43115</v>
      </c>
      <c r="H3420" s="8" t="s">
        <v>25</v>
      </c>
      <c r="I3420" s="11">
        <v>43115</v>
      </c>
      <c r="J3420" s="8" t="s">
        <v>25</v>
      </c>
      <c r="N3420" s="8" t="s">
        <v>58</v>
      </c>
      <c r="O3420" s="8" t="s">
        <v>59</v>
      </c>
      <c r="P3420" s="8" t="s">
        <v>59</v>
      </c>
      <c r="R3420" s="8">
        <v>0</v>
      </c>
      <c r="S3420" s="8">
        <v>0</v>
      </c>
      <c r="T3420" s="8">
        <v>1</v>
      </c>
      <c r="U3420" s="8">
        <v>2</v>
      </c>
      <c r="X3420" s="8">
        <v>5</v>
      </c>
      <c r="AG3420" s="8" t="str">
        <f t="shared" si="213"/>
        <v/>
      </c>
      <c r="AI3420" s="8" t="str">
        <f t="shared" si="214"/>
        <v/>
      </c>
      <c r="AJ3420" s="8" t="str">
        <f t="shared" si="215"/>
        <v/>
      </c>
      <c r="AL3420" s="8" t="str">
        <f t="shared" si="216"/>
        <v/>
      </c>
    </row>
    <row r="3421" spans="1:38" x14ac:dyDescent="0.25">
      <c r="A3421" s="8" t="s">
        <v>8001</v>
      </c>
      <c r="B3421" s="8" t="s">
        <v>8002</v>
      </c>
      <c r="C3421" s="8">
        <v>30893620</v>
      </c>
      <c r="D3421" s="8">
        <v>5</v>
      </c>
      <c r="E3421" s="11">
        <v>43111</v>
      </c>
      <c r="F3421" s="8" t="s">
        <v>57</v>
      </c>
      <c r="G3421" s="11">
        <v>43115</v>
      </c>
      <c r="H3421" s="8" t="s">
        <v>25</v>
      </c>
      <c r="J3421" s="8" t="s">
        <v>25</v>
      </c>
      <c r="N3421" s="8" t="s">
        <v>58</v>
      </c>
      <c r="O3421" s="8" t="s">
        <v>59</v>
      </c>
      <c r="P3421" s="8" t="s">
        <v>59</v>
      </c>
      <c r="R3421" s="8">
        <v>0</v>
      </c>
      <c r="S3421" s="8">
        <v>0</v>
      </c>
      <c r="T3421" s="8">
        <v>1</v>
      </c>
      <c r="U3421" s="8">
        <v>2</v>
      </c>
      <c r="AG3421" s="8" t="str">
        <f t="shared" si="213"/>
        <v/>
      </c>
      <c r="AI3421" s="8" t="str">
        <f t="shared" si="214"/>
        <v/>
      </c>
      <c r="AJ3421" s="8" t="str">
        <f t="shared" si="215"/>
        <v/>
      </c>
      <c r="AL3421" s="8" t="str">
        <f t="shared" si="216"/>
        <v/>
      </c>
    </row>
    <row r="3422" spans="1:38" x14ac:dyDescent="0.25">
      <c r="A3422" s="8" t="s">
        <v>655</v>
      </c>
      <c r="B3422" s="8" t="s">
        <v>656</v>
      </c>
      <c r="C3422" s="8">
        <v>30815168</v>
      </c>
      <c r="D3422" s="8">
        <v>5</v>
      </c>
      <c r="E3422" s="11">
        <v>43108</v>
      </c>
      <c r="F3422" s="8" t="s">
        <v>58</v>
      </c>
      <c r="G3422" s="11">
        <v>43108</v>
      </c>
      <c r="H3422" s="8" t="s">
        <v>25</v>
      </c>
      <c r="I3422" s="11">
        <v>43110</v>
      </c>
      <c r="J3422" s="8" t="s">
        <v>25</v>
      </c>
      <c r="N3422" s="8" t="s">
        <v>58</v>
      </c>
      <c r="O3422" s="8" t="s">
        <v>59</v>
      </c>
      <c r="P3422" s="8" t="s">
        <v>59</v>
      </c>
      <c r="R3422" s="8">
        <v>0</v>
      </c>
      <c r="S3422" s="8">
        <v>0</v>
      </c>
      <c r="T3422" s="8">
        <v>1</v>
      </c>
      <c r="U3422" s="8">
        <v>2</v>
      </c>
      <c r="X3422" s="8">
        <v>5</v>
      </c>
      <c r="AG3422" s="8" t="str">
        <f t="shared" si="213"/>
        <v/>
      </c>
      <c r="AI3422" s="8" t="str">
        <f t="shared" si="214"/>
        <v/>
      </c>
      <c r="AJ3422" s="8" t="str">
        <f t="shared" si="215"/>
        <v/>
      </c>
      <c r="AL3422" s="8" t="str">
        <f t="shared" si="216"/>
        <v/>
      </c>
    </row>
    <row r="3423" spans="1:38" x14ac:dyDescent="0.25">
      <c r="A3423" s="8" t="s">
        <v>6209</v>
      </c>
      <c r="B3423" s="8" t="s">
        <v>6210</v>
      </c>
      <c r="C3423" s="8">
        <v>30905889</v>
      </c>
      <c r="D3423" s="8">
        <v>5</v>
      </c>
      <c r="E3423" s="11">
        <v>43112</v>
      </c>
      <c r="F3423" s="8" t="s">
        <v>57</v>
      </c>
      <c r="G3423" s="11">
        <v>43112</v>
      </c>
      <c r="H3423" s="8" t="s">
        <v>25</v>
      </c>
      <c r="J3423" s="8" t="s">
        <v>25</v>
      </c>
      <c r="N3423" s="8" t="s">
        <v>58</v>
      </c>
      <c r="O3423" s="8" t="s">
        <v>59</v>
      </c>
      <c r="P3423" s="8" t="s">
        <v>59</v>
      </c>
      <c r="R3423" s="8">
        <v>0</v>
      </c>
      <c r="S3423" s="8">
        <v>0</v>
      </c>
      <c r="T3423" s="8">
        <v>1</v>
      </c>
      <c r="U3423" s="8">
        <v>2</v>
      </c>
      <c r="AG3423" s="8" t="str">
        <f t="shared" si="213"/>
        <v/>
      </c>
      <c r="AI3423" s="8" t="str">
        <f t="shared" si="214"/>
        <v/>
      </c>
      <c r="AJ3423" s="8" t="str">
        <f t="shared" si="215"/>
        <v/>
      </c>
      <c r="AL3423" s="8" t="str">
        <f t="shared" si="216"/>
        <v/>
      </c>
    </row>
    <row r="3424" spans="1:38" x14ac:dyDescent="0.25">
      <c r="A3424" s="8" t="s">
        <v>8003</v>
      </c>
      <c r="B3424" s="8" t="s">
        <v>8004</v>
      </c>
      <c r="C3424" s="8">
        <v>30897635</v>
      </c>
      <c r="D3424" s="8">
        <v>5</v>
      </c>
      <c r="E3424" s="11">
        <v>43111</v>
      </c>
      <c r="F3424" s="8" t="s">
        <v>58</v>
      </c>
      <c r="G3424" s="11">
        <v>43115</v>
      </c>
      <c r="H3424" s="8" t="s">
        <v>25</v>
      </c>
      <c r="I3424" s="11">
        <v>43115</v>
      </c>
      <c r="J3424" s="8" t="s">
        <v>25</v>
      </c>
      <c r="N3424" s="8" t="s">
        <v>58</v>
      </c>
      <c r="O3424" s="8" t="s">
        <v>59</v>
      </c>
      <c r="P3424" s="8" t="s">
        <v>59</v>
      </c>
      <c r="R3424" s="8">
        <v>0</v>
      </c>
      <c r="S3424" s="8">
        <v>0</v>
      </c>
      <c r="T3424" s="8">
        <v>1</v>
      </c>
      <c r="U3424" s="8">
        <v>2</v>
      </c>
      <c r="X3424" s="8">
        <v>5</v>
      </c>
      <c r="AG3424" s="8" t="str">
        <f t="shared" si="213"/>
        <v/>
      </c>
      <c r="AI3424" s="8" t="str">
        <f t="shared" si="214"/>
        <v/>
      </c>
      <c r="AJ3424" s="8" t="str">
        <f t="shared" si="215"/>
        <v/>
      </c>
      <c r="AL3424" s="8" t="str">
        <f t="shared" si="216"/>
        <v/>
      </c>
    </row>
    <row r="3425" spans="1:38" x14ac:dyDescent="0.25">
      <c r="A3425" s="8" t="s">
        <v>4453</v>
      </c>
      <c r="B3425" s="8" t="s">
        <v>4454</v>
      </c>
      <c r="C3425" s="8">
        <v>30849181</v>
      </c>
      <c r="D3425" s="8">
        <v>5</v>
      </c>
      <c r="E3425" s="11">
        <v>43109</v>
      </c>
      <c r="F3425" s="8" t="s">
        <v>58</v>
      </c>
      <c r="G3425" s="11">
        <v>43111</v>
      </c>
      <c r="H3425" s="8" t="s">
        <v>25</v>
      </c>
      <c r="I3425" s="11">
        <v>43111</v>
      </c>
      <c r="J3425" s="8" t="s">
        <v>25</v>
      </c>
      <c r="N3425" s="8" t="s">
        <v>58</v>
      </c>
      <c r="O3425" s="8" t="s">
        <v>59</v>
      </c>
      <c r="P3425" s="8" t="s">
        <v>59</v>
      </c>
      <c r="R3425" s="8">
        <v>0</v>
      </c>
      <c r="S3425" s="8">
        <v>0</v>
      </c>
      <c r="T3425" s="8">
        <v>1</v>
      </c>
      <c r="U3425" s="8">
        <v>2</v>
      </c>
      <c r="X3425" s="8">
        <v>5</v>
      </c>
      <c r="AG3425" s="8" t="str">
        <f t="shared" si="213"/>
        <v/>
      </c>
      <c r="AI3425" s="8" t="str">
        <f t="shared" si="214"/>
        <v/>
      </c>
      <c r="AJ3425" s="8" t="str">
        <f t="shared" si="215"/>
        <v/>
      </c>
      <c r="AL3425" s="8" t="str">
        <f t="shared" si="216"/>
        <v/>
      </c>
    </row>
    <row r="3426" spans="1:38" x14ac:dyDescent="0.25">
      <c r="A3426" s="8" t="s">
        <v>4455</v>
      </c>
      <c r="B3426" s="8" t="s">
        <v>4456</v>
      </c>
      <c r="C3426" s="8">
        <v>30836096</v>
      </c>
      <c r="D3426" s="8">
        <v>5</v>
      </c>
      <c r="E3426" s="11">
        <v>43109</v>
      </c>
      <c r="F3426" s="8" t="s">
        <v>58</v>
      </c>
      <c r="G3426" s="11">
        <v>43111</v>
      </c>
      <c r="H3426" s="8" t="s">
        <v>25</v>
      </c>
      <c r="I3426" s="11">
        <v>43115</v>
      </c>
      <c r="J3426" s="8" t="s">
        <v>25</v>
      </c>
      <c r="N3426" s="8" t="s">
        <v>58</v>
      </c>
      <c r="O3426" s="8" t="s">
        <v>59</v>
      </c>
      <c r="P3426" s="8" t="s">
        <v>59</v>
      </c>
      <c r="R3426" s="8">
        <v>0</v>
      </c>
      <c r="S3426" s="8">
        <v>0</v>
      </c>
      <c r="T3426" s="8">
        <v>1</v>
      </c>
      <c r="U3426" s="8">
        <v>2</v>
      </c>
      <c r="X3426" s="8">
        <v>5</v>
      </c>
      <c r="AG3426" s="8" t="str">
        <f t="shared" si="213"/>
        <v/>
      </c>
      <c r="AI3426" s="8" t="str">
        <f t="shared" si="214"/>
        <v/>
      </c>
      <c r="AJ3426" s="8" t="str">
        <f t="shared" si="215"/>
        <v/>
      </c>
      <c r="AL3426" s="8" t="str">
        <f t="shared" si="216"/>
        <v/>
      </c>
    </row>
    <row r="3427" spans="1:38" x14ac:dyDescent="0.25">
      <c r="A3427" s="8" t="s">
        <v>657</v>
      </c>
      <c r="B3427" s="8" t="s">
        <v>658</v>
      </c>
      <c r="C3427" s="8">
        <v>30822698</v>
      </c>
      <c r="D3427" s="8">
        <v>5</v>
      </c>
      <c r="E3427" s="11">
        <v>43108</v>
      </c>
      <c r="F3427" s="8" t="s">
        <v>57</v>
      </c>
      <c r="G3427" s="11">
        <v>43108</v>
      </c>
      <c r="H3427" s="8" t="s">
        <v>25</v>
      </c>
      <c r="J3427" s="8" t="s">
        <v>25</v>
      </c>
      <c r="N3427" s="8" t="s">
        <v>58</v>
      </c>
      <c r="O3427" s="8" t="s">
        <v>59</v>
      </c>
      <c r="P3427" s="8" t="s">
        <v>59</v>
      </c>
      <c r="R3427" s="8">
        <v>0</v>
      </c>
      <c r="S3427" s="8">
        <v>0</v>
      </c>
      <c r="T3427" s="8">
        <v>1</v>
      </c>
      <c r="U3427" s="8">
        <v>2</v>
      </c>
      <c r="AG3427" s="8" t="str">
        <f t="shared" si="213"/>
        <v/>
      </c>
      <c r="AI3427" s="8" t="str">
        <f t="shared" si="214"/>
        <v/>
      </c>
      <c r="AJ3427" s="8" t="str">
        <f t="shared" si="215"/>
        <v/>
      </c>
      <c r="AL3427" s="8" t="str">
        <f t="shared" si="216"/>
        <v/>
      </c>
    </row>
    <row r="3428" spans="1:38" x14ac:dyDescent="0.25">
      <c r="A3428" s="8" t="s">
        <v>8005</v>
      </c>
      <c r="B3428" s="8" t="s">
        <v>8006</v>
      </c>
      <c r="C3428" s="8">
        <v>30899459</v>
      </c>
      <c r="D3428" s="8">
        <v>5</v>
      </c>
      <c r="E3428" s="11">
        <v>43111</v>
      </c>
      <c r="F3428" s="8" t="s">
        <v>57</v>
      </c>
      <c r="G3428" s="11">
        <v>43115</v>
      </c>
      <c r="H3428" s="8" t="s">
        <v>25</v>
      </c>
      <c r="J3428" s="8" t="s">
        <v>25</v>
      </c>
      <c r="N3428" s="8" t="s">
        <v>58</v>
      </c>
      <c r="O3428" s="8" t="s">
        <v>59</v>
      </c>
      <c r="P3428" s="8" t="s">
        <v>59</v>
      </c>
      <c r="R3428" s="8">
        <v>0</v>
      </c>
      <c r="S3428" s="8">
        <v>0</v>
      </c>
      <c r="T3428" s="8">
        <v>1</v>
      </c>
      <c r="U3428" s="8">
        <v>2</v>
      </c>
      <c r="AG3428" s="8" t="str">
        <f t="shared" si="213"/>
        <v/>
      </c>
      <c r="AI3428" s="8" t="str">
        <f t="shared" si="214"/>
        <v/>
      </c>
      <c r="AJ3428" s="8" t="str">
        <f t="shared" si="215"/>
        <v/>
      </c>
      <c r="AL3428" s="8" t="str">
        <f t="shared" si="216"/>
        <v/>
      </c>
    </row>
    <row r="3429" spans="1:38" x14ac:dyDescent="0.25">
      <c r="A3429" s="8" t="s">
        <v>6211</v>
      </c>
      <c r="B3429" s="8" t="s">
        <v>6212</v>
      </c>
      <c r="C3429" s="8">
        <v>30861653</v>
      </c>
      <c r="D3429" s="8">
        <v>5</v>
      </c>
      <c r="E3429" s="11">
        <v>43110</v>
      </c>
      <c r="F3429" s="8" t="s">
        <v>58</v>
      </c>
      <c r="G3429" s="11">
        <v>43112</v>
      </c>
      <c r="H3429" s="8" t="s">
        <v>25</v>
      </c>
      <c r="I3429" s="11">
        <v>43112</v>
      </c>
      <c r="J3429" s="8" t="s">
        <v>25</v>
      </c>
      <c r="N3429" s="8" t="s">
        <v>58</v>
      </c>
      <c r="O3429" s="8" t="s">
        <v>59</v>
      </c>
      <c r="P3429" s="8" t="s">
        <v>59</v>
      </c>
      <c r="R3429" s="8">
        <v>0</v>
      </c>
      <c r="S3429" s="8">
        <v>0</v>
      </c>
      <c r="T3429" s="8">
        <v>1</v>
      </c>
      <c r="U3429" s="8">
        <v>2</v>
      </c>
      <c r="X3429" s="8">
        <v>5</v>
      </c>
      <c r="AG3429" s="8" t="str">
        <f t="shared" si="213"/>
        <v/>
      </c>
      <c r="AI3429" s="8" t="str">
        <f t="shared" si="214"/>
        <v/>
      </c>
      <c r="AJ3429" s="8" t="str">
        <f t="shared" si="215"/>
        <v/>
      </c>
      <c r="AL3429" s="8" t="str">
        <f t="shared" si="216"/>
        <v/>
      </c>
    </row>
    <row r="3430" spans="1:38" x14ac:dyDescent="0.25">
      <c r="A3430" s="8" t="s">
        <v>4457</v>
      </c>
      <c r="B3430" s="8" t="s">
        <v>4458</v>
      </c>
      <c r="C3430" s="8">
        <v>30852810</v>
      </c>
      <c r="D3430" s="8">
        <v>5</v>
      </c>
      <c r="E3430" s="11">
        <v>43109</v>
      </c>
      <c r="F3430" s="8" t="s">
        <v>58</v>
      </c>
      <c r="G3430" s="11">
        <v>43111</v>
      </c>
      <c r="H3430" s="8" t="s">
        <v>25</v>
      </c>
      <c r="I3430" s="11">
        <v>43115</v>
      </c>
      <c r="J3430" s="8" t="s">
        <v>25</v>
      </c>
      <c r="N3430" s="8" t="s">
        <v>58</v>
      </c>
      <c r="O3430" s="8" t="s">
        <v>59</v>
      </c>
      <c r="P3430" s="8" t="s">
        <v>59</v>
      </c>
      <c r="R3430" s="8">
        <v>0</v>
      </c>
      <c r="S3430" s="8">
        <v>0</v>
      </c>
      <c r="T3430" s="8">
        <v>1</v>
      </c>
      <c r="U3430" s="8">
        <v>2</v>
      </c>
      <c r="X3430" s="8">
        <v>5</v>
      </c>
      <c r="AG3430" s="8" t="str">
        <f t="shared" si="213"/>
        <v/>
      </c>
      <c r="AI3430" s="8" t="str">
        <f t="shared" si="214"/>
        <v/>
      </c>
      <c r="AJ3430" s="8" t="str">
        <f t="shared" si="215"/>
        <v/>
      </c>
      <c r="AL3430" s="8" t="str">
        <f t="shared" si="216"/>
        <v/>
      </c>
    </row>
    <row r="3431" spans="1:38" x14ac:dyDescent="0.25">
      <c r="A3431" s="8" t="s">
        <v>3022</v>
      </c>
      <c r="B3431" s="8" t="s">
        <v>3023</v>
      </c>
      <c r="C3431" s="8">
        <v>30828291</v>
      </c>
      <c r="D3431" s="8">
        <v>5</v>
      </c>
      <c r="E3431" s="11">
        <v>43108</v>
      </c>
      <c r="F3431" s="8" t="s">
        <v>58</v>
      </c>
      <c r="G3431" s="11">
        <v>43110</v>
      </c>
      <c r="H3431" s="8" t="s">
        <v>25</v>
      </c>
      <c r="I3431" s="11">
        <v>43110</v>
      </c>
      <c r="J3431" s="8" t="s">
        <v>25</v>
      </c>
      <c r="N3431" s="8" t="s">
        <v>58</v>
      </c>
      <c r="O3431" s="8" t="s">
        <v>59</v>
      </c>
      <c r="P3431" s="8" t="s">
        <v>59</v>
      </c>
      <c r="R3431" s="8">
        <v>0</v>
      </c>
      <c r="S3431" s="8">
        <v>0</v>
      </c>
      <c r="T3431" s="8">
        <v>1</v>
      </c>
      <c r="U3431" s="8">
        <v>2</v>
      </c>
      <c r="X3431" s="8">
        <v>5</v>
      </c>
      <c r="AG3431" s="8" t="str">
        <f t="shared" si="213"/>
        <v/>
      </c>
      <c r="AI3431" s="8" t="str">
        <f t="shared" si="214"/>
        <v/>
      </c>
      <c r="AJ3431" s="8" t="str">
        <f t="shared" si="215"/>
        <v/>
      </c>
      <c r="AL3431" s="8" t="str">
        <f t="shared" si="216"/>
        <v/>
      </c>
    </row>
    <row r="3432" spans="1:38" x14ac:dyDescent="0.25">
      <c r="A3432" s="8" t="s">
        <v>659</v>
      </c>
      <c r="B3432" s="8" t="s">
        <v>660</v>
      </c>
      <c r="C3432" s="8">
        <v>30822800</v>
      </c>
      <c r="D3432" s="8">
        <v>5</v>
      </c>
      <c r="E3432" s="11">
        <v>43108</v>
      </c>
      <c r="F3432" s="8" t="s">
        <v>57</v>
      </c>
      <c r="G3432" s="11">
        <v>43108</v>
      </c>
      <c r="H3432" s="8" t="s">
        <v>25</v>
      </c>
      <c r="J3432" s="8" t="s">
        <v>25</v>
      </c>
      <c r="N3432" s="8" t="s">
        <v>58</v>
      </c>
      <c r="O3432" s="8" t="s">
        <v>59</v>
      </c>
      <c r="P3432" s="8" t="s">
        <v>59</v>
      </c>
      <c r="R3432" s="8">
        <v>0</v>
      </c>
      <c r="S3432" s="8">
        <v>0</v>
      </c>
      <c r="T3432" s="8">
        <v>1</v>
      </c>
      <c r="U3432" s="8">
        <v>2</v>
      </c>
      <c r="AG3432" s="8" t="str">
        <f t="shared" si="213"/>
        <v/>
      </c>
      <c r="AI3432" s="8" t="str">
        <f t="shared" si="214"/>
        <v/>
      </c>
      <c r="AJ3432" s="8" t="str">
        <f t="shared" si="215"/>
        <v/>
      </c>
      <c r="AL3432" s="8" t="str">
        <f t="shared" si="216"/>
        <v/>
      </c>
    </row>
    <row r="3433" spans="1:38" x14ac:dyDescent="0.25">
      <c r="A3433" s="8" t="s">
        <v>6213</v>
      </c>
      <c r="B3433" s="8" t="s">
        <v>6214</v>
      </c>
      <c r="C3433" s="8">
        <v>30860113</v>
      </c>
      <c r="D3433" s="8">
        <v>5</v>
      </c>
      <c r="E3433" s="11">
        <v>43110</v>
      </c>
      <c r="F3433" s="8" t="s">
        <v>57</v>
      </c>
      <c r="G3433" s="11">
        <v>43112</v>
      </c>
      <c r="H3433" s="8" t="s">
        <v>25</v>
      </c>
      <c r="J3433" s="8" t="s">
        <v>25</v>
      </c>
      <c r="N3433" s="8" t="s">
        <v>58</v>
      </c>
      <c r="O3433" s="8" t="s">
        <v>59</v>
      </c>
      <c r="P3433" s="8" t="s">
        <v>59</v>
      </c>
      <c r="R3433" s="8">
        <v>0</v>
      </c>
      <c r="S3433" s="8">
        <v>0</v>
      </c>
      <c r="T3433" s="8">
        <v>1</v>
      </c>
      <c r="U3433" s="8">
        <v>2</v>
      </c>
      <c r="AG3433" s="8" t="str">
        <f t="shared" si="213"/>
        <v/>
      </c>
      <c r="AI3433" s="8" t="str">
        <f t="shared" si="214"/>
        <v/>
      </c>
      <c r="AJ3433" s="8" t="str">
        <f t="shared" si="215"/>
        <v/>
      </c>
      <c r="AL3433" s="8" t="str">
        <f t="shared" si="216"/>
        <v/>
      </c>
    </row>
    <row r="3434" spans="1:38" x14ac:dyDescent="0.25">
      <c r="A3434" s="8" t="s">
        <v>661</v>
      </c>
      <c r="B3434" s="8" t="s">
        <v>662</v>
      </c>
      <c r="C3434" s="8">
        <v>30825914</v>
      </c>
      <c r="D3434" s="8">
        <v>5</v>
      </c>
      <c r="E3434" s="11">
        <v>43108</v>
      </c>
      <c r="F3434" s="8" t="s">
        <v>57</v>
      </c>
      <c r="G3434" s="11">
        <v>43108</v>
      </c>
      <c r="H3434" s="8" t="s">
        <v>25</v>
      </c>
      <c r="J3434" s="8" t="s">
        <v>25</v>
      </c>
      <c r="N3434" s="8" t="s">
        <v>58</v>
      </c>
      <c r="O3434" s="8" t="s">
        <v>59</v>
      </c>
      <c r="P3434" s="8" t="s">
        <v>59</v>
      </c>
      <c r="R3434" s="8">
        <v>0</v>
      </c>
      <c r="S3434" s="8">
        <v>0</v>
      </c>
      <c r="T3434" s="8">
        <v>1</v>
      </c>
      <c r="U3434" s="8">
        <v>2</v>
      </c>
      <c r="AG3434" s="8" t="str">
        <f t="shared" si="213"/>
        <v/>
      </c>
      <c r="AI3434" s="8" t="str">
        <f t="shared" si="214"/>
        <v/>
      </c>
      <c r="AJ3434" s="8" t="str">
        <f t="shared" si="215"/>
        <v/>
      </c>
      <c r="AL3434" s="8" t="str">
        <f t="shared" si="216"/>
        <v/>
      </c>
    </row>
    <row r="3435" spans="1:38" x14ac:dyDescent="0.25">
      <c r="A3435" s="8" t="s">
        <v>663</v>
      </c>
      <c r="B3435" s="8" t="s">
        <v>664</v>
      </c>
      <c r="C3435" s="8">
        <v>30827868</v>
      </c>
      <c r="D3435" s="8">
        <v>4</v>
      </c>
      <c r="E3435" s="11">
        <v>43108</v>
      </c>
      <c r="F3435" s="8" t="s">
        <v>60</v>
      </c>
      <c r="G3435" s="11">
        <v>43108</v>
      </c>
      <c r="H3435" s="8" t="s">
        <v>25</v>
      </c>
      <c r="J3435" s="8" t="s">
        <v>856</v>
      </c>
      <c r="L3435" s="8" t="s">
        <v>6525</v>
      </c>
      <c r="N3435" s="8" t="s">
        <v>58</v>
      </c>
      <c r="O3435" s="8" t="s">
        <v>59</v>
      </c>
      <c r="P3435" s="8" t="s">
        <v>59</v>
      </c>
      <c r="R3435" s="8">
        <v>0</v>
      </c>
      <c r="S3435" s="8">
        <v>0</v>
      </c>
      <c r="T3435" s="8">
        <v>1</v>
      </c>
      <c r="U3435" s="8">
        <v>2</v>
      </c>
      <c r="W3435" s="8">
        <v>4</v>
      </c>
      <c r="AG3435" s="8" t="str">
        <f t="shared" si="213"/>
        <v/>
      </c>
      <c r="AI3435" s="8" t="str">
        <f t="shared" si="214"/>
        <v/>
      </c>
      <c r="AJ3435" s="8" t="str">
        <f t="shared" si="215"/>
        <v/>
      </c>
      <c r="AL3435" s="8" t="str">
        <f t="shared" si="216"/>
        <v/>
      </c>
    </row>
    <row r="3436" spans="1:38" x14ac:dyDescent="0.25">
      <c r="A3436" s="8" t="s">
        <v>4459</v>
      </c>
      <c r="B3436" s="8" t="s">
        <v>4460</v>
      </c>
      <c r="C3436" s="8">
        <v>30837305</v>
      </c>
      <c r="D3436" s="8">
        <v>5</v>
      </c>
      <c r="E3436" s="11">
        <v>43109</v>
      </c>
      <c r="F3436" s="8" t="s">
        <v>58</v>
      </c>
      <c r="G3436" s="11">
        <v>43111</v>
      </c>
      <c r="H3436" s="8" t="s">
        <v>25</v>
      </c>
      <c r="I3436" s="11">
        <v>43115</v>
      </c>
      <c r="J3436" s="8" t="s">
        <v>25</v>
      </c>
      <c r="N3436" s="8" t="s">
        <v>58</v>
      </c>
      <c r="O3436" s="8" t="s">
        <v>59</v>
      </c>
      <c r="P3436" s="8" t="s">
        <v>59</v>
      </c>
      <c r="R3436" s="8">
        <v>0</v>
      </c>
      <c r="S3436" s="8">
        <v>0</v>
      </c>
      <c r="T3436" s="8">
        <v>1</v>
      </c>
      <c r="U3436" s="8">
        <v>2</v>
      </c>
      <c r="X3436" s="8">
        <v>5</v>
      </c>
      <c r="AG3436" s="8" t="str">
        <f t="shared" si="213"/>
        <v/>
      </c>
      <c r="AI3436" s="8" t="str">
        <f t="shared" si="214"/>
        <v/>
      </c>
      <c r="AJ3436" s="8" t="str">
        <f t="shared" si="215"/>
        <v/>
      </c>
      <c r="AL3436" s="8" t="str">
        <f t="shared" si="216"/>
        <v/>
      </c>
    </row>
    <row r="3437" spans="1:38" x14ac:dyDescent="0.25">
      <c r="A3437" s="8" t="s">
        <v>4461</v>
      </c>
      <c r="B3437" s="8" t="s">
        <v>4462</v>
      </c>
      <c r="C3437" s="8">
        <v>30851536</v>
      </c>
      <c r="D3437" s="8">
        <v>5</v>
      </c>
      <c r="E3437" s="11">
        <v>43109</v>
      </c>
      <c r="F3437" s="8" t="s">
        <v>58</v>
      </c>
      <c r="G3437" s="11">
        <v>43111</v>
      </c>
      <c r="H3437" s="8" t="s">
        <v>25</v>
      </c>
      <c r="I3437" s="11">
        <v>43115</v>
      </c>
      <c r="J3437" s="8" t="s">
        <v>25</v>
      </c>
      <c r="N3437" s="8" t="s">
        <v>58</v>
      </c>
      <c r="O3437" s="8" t="s">
        <v>59</v>
      </c>
      <c r="P3437" s="8" t="s">
        <v>59</v>
      </c>
      <c r="R3437" s="8">
        <v>0</v>
      </c>
      <c r="S3437" s="8">
        <v>0</v>
      </c>
      <c r="T3437" s="8">
        <v>1</v>
      </c>
      <c r="U3437" s="8">
        <v>2</v>
      </c>
      <c r="X3437" s="8">
        <v>5</v>
      </c>
      <c r="AG3437" s="8" t="str">
        <f t="shared" si="213"/>
        <v/>
      </c>
      <c r="AI3437" s="8" t="str">
        <f t="shared" si="214"/>
        <v/>
      </c>
      <c r="AJ3437" s="8" t="str">
        <f t="shared" si="215"/>
        <v/>
      </c>
      <c r="AL3437" s="8" t="str">
        <f t="shared" si="216"/>
        <v/>
      </c>
    </row>
    <row r="3438" spans="1:38" x14ac:dyDescent="0.25">
      <c r="A3438" s="8" t="s">
        <v>4463</v>
      </c>
      <c r="B3438" s="8" t="s">
        <v>4464</v>
      </c>
      <c r="C3438" s="8">
        <v>30898095</v>
      </c>
      <c r="D3438" s="8">
        <v>4</v>
      </c>
      <c r="E3438" s="11">
        <v>43111</v>
      </c>
      <c r="F3438" s="8" t="s">
        <v>57</v>
      </c>
      <c r="G3438" s="11">
        <v>43111</v>
      </c>
      <c r="H3438" s="8" t="s">
        <v>25</v>
      </c>
      <c r="J3438" s="8" t="s">
        <v>25</v>
      </c>
      <c r="N3438" s="8" t="s">
        <v>58</v>
      </c>
      <c r="O3438" s="8" t="s">
        <v>59</v>
      </c>
      <c r="P3438" s="8" t="s">
        <v>59</v>
      </c>
      <c r="R3438" s="8">
        <v>0</v>
      </c>
      <c r="S3438" s="8">
        <v>0</v>
      </c>
      <c r="T3438" s="8">
        <v>1</v>
      </c>
      <c r="U3438" s="8">
        <v>2</v>
      </c>
      <c r="AG3438" s="8" t="str">
        <f t="shared" si="213"/>
        <v/>
      </c>
      <c r="AI3438" s="8" t="str">
        <f t="shared" si="214"/>
        <v/>
      </c>
      <c r="AJ3438" s="8" t="str">
        <f t="shared" si="215"/>
        <v/>
      </c>
      <c r="AL3438" s="8" t="str">
        <f t="shared" si="216"/>
        <v/>
      </c>
    </row>
    <row r="3439" spans="1:38" x14ac:dyDescent="0.25">
      <c r="A3439" s="8" t="s">
        <v>4465</v>
      </c>
      <c r="B3439" s="8" t="s">
        <v>4466</v>
      </c>
      <c r="C3439" s="8">
        <v>30856741</v>
      </c>
      <c r="D3439" s="8">
        <v>5</v>
      </c>
      <c r="E3439" s="11">
        <v>43110</v>
      </c>
      <c r="F3439" s="8" t="s">
        <v>58</v>
      </c>
      <c r="G3439" s="11">
        <v>43111</v>
      </c>
      <c r="H3439" s="8" t="s">
        <v>25</v>
      </c>
      <c r="I3439" s="11">
        <v>43074</v>
      </c>
      <c r="J3439" s="8" t="s">
        <v>25</v>
      </c>
      <c r="N3439" s="8" t="s">
        <v>58</v>
      </c>
      <c r="O3439" s="8" t="s">
        <v>59</v>
      </c>
      <c r="P3439" s="8" t="s">
        <v>59</v>
      </c>
      <c r="R3439" s="8">
        <v>0</v>
      </c>
      <c r="S3439" s="8">
        <v>0</v>
      </c>
      <c r="T3439" s="8">
        <v>1</v>
      </c>
      <c r="U3439" s="8">
        <v>2</v>
      </c>
      <c r="X3439" s="8">
        <v>5</v>
      </c>
      <c r="AG3439" s="8" t="str">
        <f t="shared" si="213"/>
        <v/>
      </c>
      <c r="AI3439" s="8" t="str">
        <f t="shared" si="214"/>
        <v/>
      </c>
      <c r="AJ3439" s="8" t="str">
        <f t="shared" si="215"/>
        <v/>
      </c>
      <c r="AL3439" s="8" t="str">
        <f t="shared" si="216"/>
        <v/>
      </c>
    </row>
    <row r="3440" spans="1:38" x14ac:dyDescent="0.25">
      <c r="A3440" s="8" t="s">
        <v>8007</v>
      </c>
      <c r="B3440" s="8" t="s">
        <v>8008</v>
      </c>
      <c r="C3440" s="8">
        <v>30888396</v>
      </c>
      <c r="D3440" s="8">
        <v>5</v>
      </c>
      <c r="E3440" s="11">
        <v>43111</v>
      </c>
      <c r="F3440" s="8" t="s">
        <v>58</v>
      </c>
      <c r="G3440" s="11">
        <v>43115</v>
      </c>
      <c r="H3440" s="8" t="s">
        <v>25</v>
      </c>
      <c r="I3440" s="11">
        <v>43115</v>
      </c>
      <c r="J3440" s="8" t="s">
        <v>25</v>
      </c>
      <c r="N3440" s="8" t="s">
        <v>58</v>
      </c>
      <c r="O3440" s="8" t="s">
        <v>59</v>
      </c>
      <c r="P3440" s="8" t="s">
        <v>59</v>
      </c>
      <c r="R3440" s="8">
        <v>0</v>
      </c>
      <c r="S3440" s="8">
        <v>0</v>
      </c>
      <c r="T3440" s="8">
        <v>1</v>
      </c>
      <c r="U3440" s="8">
        <v>2</v>
      </c>
      <c r="X3440" s="8">
        <v>5</v>
      </c>
      <c r="AG3440" s="8" t="str">
        <f t="shared" si="213"/>
        <v/>
      </c>
      <c r="AI3440" s="8" t="str">
        <f t="shared" si="214"/>
        <v/>
      </c>
      <c r="AJ3440" s="8" t="str">
        <f t="shared" si="215"/>
        <v/>
      </c>
      <c r="AL3440" s="8" t="str">
        <f t="shared" si="216"/>
        <v/>
      </c>
    </row>
    <row r="3441" spans="1:38" x14ac:dyDescent="0.25">
      <c r="A3441" s="8" t="s">
        <v>4467</v>
      </c>
      <c r="B3441" s="8" t="s">
        <v>4468</v>
      </c>
      <c r="C3441" s="8">
        <v>30836598</v>
      </c>
      <c r="D3441" s="8">
        <v>5</v>
      </c>
      <c r="E3441" s="11">
        <v>43109</v>
      </c>
      <c r="F3441" s="8" t="s">
        <v>58</v>
      </c>
      <c r="G3441" s="11">
        <v>43111</v>
      </c>
      <c r="H3441" s="8" t="s">
        <v>25</v>
      </c>
      <c r="I3441" s="11">
        <v>43111</v>
      </c>
      <c r="J3441" s="8" t="s">
        <v>25</v>
      </c>
      <c r="N3441" s="8" t="s">
        <v>58</v>
      </c>
      <c r="O3441" s="8" t="s">
        <v>59</v>
      </c>
      <c r="P3441" s="8" t="s">
        <v>59</v>
      </c>
      <c r="R3441" s="8">
        <v>0</v>
      </c>
      <c r="S3441" s="8">
        <v>0</v>
      </c>
      <c r="T3441" s="8">
        <v>1</v>
      </c>
      <c r="U3441" s="8">
        <v>2</v>
      </c>
      <c r="X3441" s="8">
        <v>5</v>
      </c>
      <c r="AG3441" s="8" t="str">
        <f t="shared" si="213"/>
        <v/>
      </c>
      <c r="AI3441" s="8" t="str">
        <f t="shared" si="214"/>
        <v/>
      </c>
      <c r="AJ3441" s="8" t="str">
        <f t="shared" si="215"/>
        <v/>
      </c>
      <c r="AL3441" s="8" t="str">
        <f t="shared" si="216"/>
        <v/>
      </c>
    </row>
    <row r="3442" spans="1:38" x14ac:dyDescent="0.25">
      <c r="A3442" s="8" t="s">
        <v>8009</v>
      </c>
      <c r="B3442" s="8" t="s">
        <v>8010</v>
      </c>
      <c r="C3442" s="8">
        <v>30931164</v>
      </c>
      <c r="D3442" s="8">
        <v>4</v>
      </c>
      <c r="E3442" s="11">
        <v>43115</v>
      </c>
      <c r="F3442" s="8" t="s">
        <v>57</v>
      </c>
      <c r="G3442" s="11">
        <v>43115</v>
      </c>
      <c r="H3442" s="8" t="s">
        <v>25</v>
      </c>
      <c r="J3442" s="8" t="s">
        <v>25</v>
      </c>
      <c r="N3442" s="8" t="s">
        <v>58</v>
      </c>
      <c r="O3442" s="8" t="s">
        <v>59</v>
      </c>
      <c r="P3442" s="8" t="s">
        <v>59</v>
      </c>
      <c r="R3442" s="8">
        <v>0</v>
      </c>
      <c r="S3442" s="8">
        <v>0</v>
      </c>
      <c r="T3442" s="8">
        <v>1</v>
      </c>
      <c r="U3442" s="8">
        <v>2</v>
      </c>
      <c r="AG3442" s="8" t="str">
        <f t="shared" si="213"/>
        <v/>
      </c>
      <c r="AI3442" s="8" t="str">
        <f t="shared" si="214"/>
        <v/>
      </c>
      <c r="AJ3442" s="8" t="str">
        <f t="shared" si="215"/>
        <v/>
      </c>
      <c r="AL3442" s="8" t="str">
        <f t="shared" si="216"/>
        <v/>
      </c>
    </row>
    <row r="3443" spans="1:38" x14ac:dyDescent="0.25">
      <c r="A3443" s="8" t="s">
        <v>3024</v>
      </c>
      <c r="B3443" s="8" t="s">
        <v>3025</v>
      </c>
      <c r="C3443" s="8">
        <v>30818210</v>
      </c>
      <c r="D3443" s="8">
        <v>5</v>
      </c>
      <c r="E3443" s="11">
        <v>43108</v>
      </c>
      <c r="F3443" s="8" t="s">
        <v>57</v>
      </c>
      <c r="G3443" s="11">
        <v>43110</v>
      </c>
      <c r="H3443" s="8" t="s">
        <v>25</v>
      </c>
      <c r="J3443" s="8" t="s">
        <v>25</v>
      </c>
      <c r="N3443" s="8" t="s">
        <v>58</v>
      </c>
      <c r="O3443" s="8" t="s">
        <v>59</v>
      </c>
      <c r="P3443" s="8" t="s">
        <v>59</v>
      </c>
      <c r="R3443" s="8">
        <v>0</v>
      </c>
      <c r="S3443" s="8">
        <v>0</v>
      </c>
      <c r="T3443" s="8">
        <v>1</v>
      </c>
      <c r="U3443" s="8">
        <v>2</v>
      </c>
      <c r="AG3443" s="8" t="str">
        <f t="shared" si="213"/>
        <v/>
      </c>
      <c r="AI3443" s="8" t="str">
        <f t="shared" si="214"/>
        <v/>
      </c>
      <c r="AJ3443" s="8" t="str">
        <f t="shared" si="215"/>
        <v/>
      </c>
      <c r="AL3443" s="8" t="str">
        <f t="shared" si="216"/>
        <v/>
      </c>
    </row>
    <row r="3444" spans="1:38" x14ac:dyDescent="0.25">
      <c r="A3444" s="8" t="s">
        <v>8011</v>
      </c>
      <c r="B3444" s="8" t="s">
        <v>8012</v>
      </c>
      <c r="C3444" s="8">
        <v>30940155</v>
      </c>
      <c r="D3444" s="8">
        <v>5</v>
      </c>
      <c r="E3444" s="11">
        <v>43115</v>
      </c>
      <c r="F3444" s="8" t="s">
        <v>57</v>
      </c>
      <c r="G3444" s="11">
        <v>43115</v>
      </c>
      <c r="H3444" s="8" t="s">
        <v>25</v>
      </c>
      <c r="J3444" s="8" t="s">
        <v>25</v>
      </c>
      <c r="N3444" s="8" t="s">
        <v>58</v>
      </c>
      <c r="O3444" s="8" t="s">
        <v>59</v>
      </c>
      <c r="P3444" s="8" t="s">
        <v>59</v>
      </c>
      <c r="R3444" s="8">
        <v>0</v>
      </c>
      <c r="S3444" s="8">
        <v>0</v>
      </c>
      <c r="T3444" s="8">
        <v>1</v>
      </c>
      <c r="U3444" s="8">
        <v>2</v>
      </c>
      <c r="AG3444" s="8" t="str">
        <f t="shared" si="213"/>
        <v/>
      </c>
      <c r="AI3444" s="8" t="str">
        <f t="shared" si="214"/>
        <v/>
      </c>
      <c r="AJ3444" s="8" t="str">
        <f t="shared" si="215"/>
        <v/>
      </c>
      <c r="AL3444" s="8" t="str">
        <f t="shared" si="216"/>
        <v/>
      </c>
    </row>
    <row r="3445" spans="1:38" x14ac:dyDescent="0.25">
      <c r="A3445" s="8" t="s">
        <v>3026</v>
      </c>
      <c r="B3445" s="8" t="s">
        <v>3027</v>
      </c>
      <c r="C3445" s="8">
        <v>30823043</v>
      </c>
      <c r="D3445" s="8">
        <v>5</v>
      </c>
      <c r="E3445" s="11">
        <v>43108</v>
      </c>
      <c r="F3445" s="8" t="s">
        <v>58</v>
      </c>
      <c r="G3445" s="11">
        <v>43110</v>
      </c>
      <c r="H3445" s="8" t="s">
        <v>25</v>
      </c>
      <c r="I3445" s="11">
        <v>43110</v>
      </c>
      <c r="J3445" s="8" t="s">
        <v>25</v>
      </c>
      <c r="N3445" s="8" t="s">
        <v>58</v>
      </c>
      <c r="O3445" s="8" t="s">
        <v>59</v>
      </c>
      <c r="P3445" s="8" t="s">
        <v>59</v>
      </c>
      <c r="R3445" s="8">
        <v>0</v>
      </c>
      <c r="S3445" s="8">
        <v>0</v>
      </c>
      <c r="T3445" s="8">
        <v>1</v>
      </c>
      <c r="U3445" s="8">
        <v>2</v>
      </c>
      <c r="X3445" s="8">
        <v>5</v>
      </c>
      <c r="AG3445" s="8" t="str">
        <f t="shared" si="213"/>
        <v/>
      </c>
      <c r="AI3445" s="8" t="str">
        <f t="shared" si="214"/>
        <v/>
      </c>
      <c r="AJ3445" s="8" t="str">
        <f t="shared" si="215"/>
        <v/>
      </c>
      <c r="AL3445" s="8" t="str">
        <f t="shared" si="216"/>
        <v/>
      </c>
    </row>
    <row r="3446" spans="1:38" x14ac:dyDescent="0.25">
      <c r="A3446" s="8" t="s">
        <v>4469</v>
      </c>
      <c r="B3446" s="8" t="s">
        <v>4470</v>
      </c>
      <c r="C3446" s="8">
        <v>30834132</v>
      </c>
      <c r="D3446" s="8">
        <v>5</v>
      </c>
      <c r="E3446" s="11">
        <v>43109</v>
      </c>
      <c r="F3446" s="8" t="s">
        <v>58</v>
      </c>
      <c r="G3446" s="11">
        <v>43111</v>
      </c>
      <c r="H3446" s="8" t="s">
        <v>25</v>
      </c>
      <c r="I3446" s="11">
        <v>43115</v>
      </c>
      <c r="J3446" s="8" t="s">
        <v>25</v>
      </c>
      <c r="N3446" s="8" t="s">
        <v>58</v>
      </c>
      <c r="O3446" s="8" t="s">
        <v>59</v>
      </c>
      <c r="P3446" s="8" t="s">
        <v>59</v>
      </c>
      <c r="R3446" s="8">
        <v>0</v>
      </c>
      <c r="S3446" s="8">
        <v>0</v>
      </c>
      <c r="T3446" s="8">
        <v>1</v>
      </c>
      <c r="U3446" s="8">
        <v>2</v>
      </c>
      <c r="X3446" s="8">
        <v>5</v>
      </c>
      <c r="AG3446" s="8" t="str">
        <f t="shared" si="213"/>
        <v/>
      </c>
      <c r="AI3446" s="8" t="str">
        <f t="shared" si="214"/>
        <v/>
      </c>
      <c r="AJ3446" s="8" t="str">
        <f t="shared" si="215"/>
        <v/>
      </c>
      <c r="AL3446" s="8" t="str">
        <f t="shared" si="216"/>
        <v/>
      </c>
    </row>
    <row r="3447" spans="1:38" x14ac:dyDescent="0.25">
      <c r="A3447" s="8" t="s">
        <v>4471</v>
      </c>
      <c r="B3447" s="8" t="s">
        <v>4472</v>
      </c>
      <c r="C3447" s="8">
        <v>30847374</v>
      </c>
      <c r="D3447" s="8">
        <v>5</v>
      </c>
      <c r="E3447" s="11">
        <v>43109</v>
      </c>
      <c r="F3447" s="8" t="s">
        <v>58</v>
      </c>
      <c r="G3447" s="11">
        <v>43111</v>
      </c>
      <c r="H3447" s="8" t="s">
        <v>25</v>
      </c>
      <c r="I3447" s="11">
        <v>43115</v>
      </c>
      <c r="J3447" s="8" t="s">
        <v>25</v>
      </c>
      <c r="N3447" s="8" t="s">
        <v>58</v>
      </c>
      <c r="O3447" s="8" t="s">
        <v>59</v>
      </c>
      <c r="P3447" s="8" t="s">
        <v>59</v>
      </c>
      <c r="R3447" s="8">
        <v>0</v>
      </c>
      <c r="S3447" s="8">
        <v>0</v>
      </c>
      <c r="T3447" s="8">
        <v>1</v>
      </c>
      <c r="U3447" s="8">
        <v>2</v>
      </c>
      <c r="X3447" s="8">
        <v>5</v>
      </c>
      <c r="AG3447" s="8" t="str">
        <f t="shared" si="213"/>
        <v/>
      </c>
      <c r="AI3447" s="8" t="str">
        <f t="shared" si="214"/>
        <v/>
      </c>
      <c r="AJ3447" s="8" t="str">
        <f t="shared" si="215"/>
        <v/>
      </c>
      <c r="AL3447" s="8" t="str">
        <f t="shared" si="216"/>
        <v/>
      </c>
    </row>
    <row r="3448" spans="1:38" x14ac:dyDescent="0.25">
      <c r="A3448" s="8" t="s">
        <v>3028</v>
      </c>
      <c r="B3448" s="8" t="s">
        <v>3029</v>
      </c>
      <c r="C3448" s="8">
        <v>30825776</v>
      </c>
      <c r="D3448" s="8">
        <v>5</v>
      </c>
      <c r="E3448" s="11">
        <v>43108</v>
      </c>
      <c r="F3448" s="8" t="s">
        <v>58</v>
      </c>
      <c r="G3448" s="11">
        <v>43110</v>
      </c>
      <c r="H3448" s="8" t="s">
        <v>25</v>
      </c>
      <c r="I3448" s="11">
        <v>43111</v>
      </c>
      <c r="J3448" s="8" t="s">
        <v>25</v>
      </c>
      <c r="N3448" s="8" t="s">
        <v>58</v>
      </c>
      <c r="O3448" s="8" t="s">
        <v>59</v>
      </c>
      <c r="P3448" s="8" t="s">
        <v>59</v>
      </c>
      <c r="R3448" s="8">
        <v>0</v>
      </c>
      <c r="S3448" s="8">
        <v>0</v>
      </c>
      <c r="T3448" s="8">
        <v>1</v>
      </c>
      <c r="U3448" s="8">
        <v>2</v>
      </c>
      <c r="X3448" s="8">
        <v>5</v>
      </c>
      <c r="AG3448" s="8" t="str">
        <f t="shared" si="213"/>
        <v/>
      </c>
      <c r="AI3448" s="8" t="str">
        <f t="shared" si="214"/>
        <v/>
      </c>
      <c r="AJ3448" s="8" t="str">
        <f t="shared" si="215"/>
        <v/>
      </c>
      <c r="AL3448" s="8" t="str">
        <f t="shared" si="216"/>
        <v/>
      </c>
    </row>
    <row r="3449" spans="1:38" x14ac:dyDescent="0.25">
      <c r="A3449" s="8" t="s">
        <v>3030</v>
      </c>
      <c r="B3449" s="8" t="s">
        <v>3031</v>
      </c>
      <c r="C3449" s="8">
        <v>30817436</v>
      </c>
      <c r="D3449" s="8">
        <v>5</v>
      </c>
      <c r="E3449" s="11">
        <v>43108</v>
      </c>
      <c r="F3449" s="8" t="s">
        <v>58</v>
      </c>
      <c r="G3449" s="11">
        <v>43110</v>
      </c>
      <c r="H3449" s="8" t="s">
        <v>25</v>
      </c>
      <c r="I3449" s="11">
        <v>43110</v>
      </c>
      <c r="J3449" s="8" t="s">
        <v>25</v>
      </c>
      <c r="N3449" s="8" t="s">
        <v>58</v>
      </c>
      <c r="O3449" s="8" t="s">
        <v>59</v>
      </c>
      <c r="P3449" s="8" t="s">
        <v>59</v>
      </c>
      <c r="R3449" s="8">
        <v>0</v>
      </c>
      <c r="S3449" s="8">
        <v>0</v>
      </c>
      <c r="T3449" s="8">
        <v>1</v>
      </c>
      <c r="U3449" s="8">
        <v>2</v>
      </c>
      <c r="X3449" s="8">
        <v>5</v>
      </c>
      <c r="AG3449" s="8" t="str">
        <f t="shared" si="213"/>
        <v/>
      </c>
      <c r="AI3449" s="8" t="str">
        <f t="shared" si="214"/>
        <v/>
      </c>
      <c r="AJ3449" s="8" t="str">
        <f t="shared" si="215"/>
        <v/>
      </c>
      <c r="AL3449" s="8" t="str">
        <f t="shared" si="216"/>
        <v/>
      </c>
    </row>
    <row r="3450" spans="1:38" x14ac:dyDescent="0.25">
      <c r="A3450" s="8" t="s">
        <v>3032</v>
      </c>
      <c r="B3450" s="8" t="s">
        <v>3033</v>
      </c>
      <c r="C3450" s="8">
        <v>30828925</v>
      </c>
      <c r="D3450" s="8">
        <v>5</v>
      </c>
      <c r="E3450" s="11">
        <v>43108</v>
      </c>
      <c r="F3450" s="8" t="s">
        <v>58</v>
      </c>
      <c r="G3450" s="11">
        <v>43110</v>
      </c>
      <c r="H3450" s="8" t="s">
        <v>25</v>
      </c>
      <c r="I3450" s="11">
        <v>43110</v>
      </c>
      <c r="J3450" s="8" t="s">
        <v>25</v>
      </c>
      <c r="N3450" s="8" t="s">
        <v>58</v>
      </c>
      <c r="O3450" s="8" t="s">
        <v>59</v>
      </c>
      <c r="P3450" s="8" t="s">
        <v>59</v>
      </c>
      <c r="R3450" s="8">
        <v>0</v>
      </c>
      <c r="S3450" s="8">
        <v>0</v>
      </c>
      <c r="T3450" s="8">
        <v>1</v>
      </c>
      <c r="U3450" s="8">
        <v>2</v>
      </c>
      <c r="X3450" s="8">
        <v>5</v>
      </c>
      <c r="AG3450" s="8" t="str">
        <f t="shared" si="213"/>
        <v/>
      </c>
      <c r="AI3450" s="8" t="str">
        <f t="shared" si="214"/>
        <v/>
      </c>
      <c r="AJ3450" s="8" t="str">
        <f t="shared" si="215"/>
        <v/>
      </c>
      <c r="AL3450" s="8" t="str">
        <f t="shared" si="216"/>
        <v/>
      </c>
    </row>
    <row r="3451" spans="1:38" x14ac:dyDescent="0.25">
      <c r="A3451" s="8" t="s">
        <v>4473</v>
      </c>
      <c r="B3451" s="8" t="s">
        <v>4474</v>
      </c>
      <c r="C3451" s="8">
        <v>30832119</v>
      </c>
      <c r="D3451" s="8">
        <v>5</v>
      </c>
      <c r="E3451" s="11">
        <v>43109</v>
      </c>
      <c r="F3451" s="8" t="s">
        <v>58</v>
      </c>
      <c r="G3451" s="11">
        <v>43111</v>
      </c>
      <c r="H3451" s="8" t="s">
        <v>25</v>
      </c>
      <c r="I3451" s="11">
        <v>43115</v>
      </c>
      <c r="J3451" s="8" t="s">
        <v>25</v>
      </c>
      <c r="N3451" s="8" t="s">
        <v>58</v>
      </c>
      <c r="O3451" s="8" t="s">
        <v>59</v>
      </c>
      <c r="P3451" s="8" t="s">
        <v>59</v>
      </c>
      <c r="R3451" s="8">
        <v>0</v>
      </c>
      <c r="S3451" s="8">
        <v>0</v>
      </c>
      <c r="T3451" s="8">
        <v>1</v>
      </c>
      <c r="U3451" s="8">
        <v>2</v>
      </c>
      <c r="X3451" s="8">
        <v>5</v>
      </c>
      <c r="AG3451" s="8" t="str">
        <f t="shared" si="213"/>
        <v/>
      </c>
      <c r="AI3451" s="8" t="str">
        <f t="shared" si="214"/>
        <v/>
      </c>
      <c r="AJ3451" s="8" t="str">
        <f t="shared" si="215"/>
        <v/>
      </c>
      <c r="AL3451" s="8" t="str">
        <f t="shared" si="216"/>
        <v/>
      </c>
    </row>
    <row r="3452" spans="1:38" x14ac:dyDescent="0.25">
      <c r="A3452" s="8" t="s">
        <v>6215</v>
      </c>
      <c r="B3452" s="8" t="s">
        <v>6216</v>
      </c>
      <c r="C3452" s="8">
        <v>30861532</v>
      </c>
      <c r="D3452" s="8">
        <v>5</v>
      </c>
      <c r="E3452" s="11">
        <v>43110</v>
      </c>
      <c r="F3452" s="8" t="s">
        <v>58</v>
      </c>
      <c r="G3452" s="11">
        <v>43112</v>
      </c>
      <c r="H3452" s="8" t="s">
        <v>25</v>
      </c>
      <c r="I3452" s="11">
        <v>43112</v>
      </c>
      <c r="J3452" s="8" t="s">
        <v>25</v>
      </c>
      <c r="N3452" s="8" t="s">
        <v>58</v>
      </c>
      <c r="O3452" s="8" t="s">
        <v>59</v>
      </c>
      <c r="P3452" s="8" t="s">
        <v>59</v>
      </c>
      <c r="R3452" s="8">
        <v>0</v>
      </c>
      <c r="S3452" s="8">
        <v>0</v>
      </c>
      <c r="T3452" s="8">
        <v>1</v>
      </c>
      <c r="U3452" s="8">
        <v>2</v>
      </c>
      <c r="X3452" s="8">
        <v>5</v>
      </c>
      <c r="AG3452" s="8" t="str">
        <f t="shared" si="213"/>
        <v/>
      </c>
      <c r="AI3452" s="8" t="str">
        <f t="shared" si="214"/>
        <v/>
      </c>
      <c r="AJ3452" s="8" t="str">
        <f t="shared" si="215"/>
        <v/>
      </c>
      <c r="AL3452" s="8" t="str">
        <f t="shared" si="216"/>
        <v/>
      </c>
    </row>
    <row r="3453" spans="1:38" x14ac:dyDescent="0.25">
      <c r="A3453" s="8" t="s">
        <v>3034</v>
      </c>
      <c r="B3453" s="8" t="s">
        <v>3035</v>
      </c>
      <c r="C3453" s="8">
        <v>30822639</v>
      </c>
      <c r="D3453" s="8">
        <v>5</v>
      </c>
      <c r="E3453" s="11">
        <v>43108</v>
      </c>
      <c r="F3453" s="8" t="s">
        <v>57</v>
      </c>
      <c r="G3453" s="11">
        <v>43110</v>
      </c>
      <c r="H3453" s="8" t="s">
        <v>25</v>
      </c>
      <c r="J3453" s="8" t="s">
        <v>25</v>
      </c>
      <c r="N3453" s="8" t="s">
        <v>58</v>
      </c>
      <c r="O3453" s="8" t="s">
        <v>59</v>
      </c>
      <c r="P3453" s="8" t="s">
        <v>59</v>
      </c>
      <c r="R3453" s="8">
        <v>0</v>
      </c>
      <c r="S3453" s="8">
        <v>0</v>
      </c>
      <c r="T3453" s="8">
        <v>1</v>
      </c>
      <c r="U3453" s="8">
        <v>2</v>
      </c>
      <c r="AG3453" s="8" t="str">
        <f t="shared" si="213"/>
        <v/>
      </c>
      <c r="AI3453" s="8" t="str">
        <f t="shared" si="214"/>
        <v/>
      </c>
      <c r="AJ3453" s="8" t="str">
        <f t="shared" si="215"/>
        <v/>
      </c>
      <c r="AL3453" s="8" t="str">
        <f t="shared" si="216"/>
        <v/>
      </c>
    </row>
    <row r="3454" spans="1:38" x14ac:dyDescent="0.25">
      <c r="A3454" s="8" t="s">
        <v>3036</v>
      </c>
      <c r="B3454" s="8" t="s">
        <v>3037</v>
      </c>
      <c r="C3454" s="8">
        <v>30814477</v>
      </c>
      <c r="D3454" s="8">
        <v>5</v>
      </c>
      <c r="E3454" s="11">
        <v>43108</v>
      </c>
      <c r="F3454" s="8" t="s">
        <v>57</v>
      </c>
      <c r="G3454" s="11">
        <v>43110</v>
      </c>
      <c r="H3454" s="8" t="s">
        <v>25</v>
      </c>
      <c r="J3454" s="8" t="s">
        <v>25</v>
      </c>
      <c r="N3454" s="8" t="s">
        <v>58</v>
      </c>
      <c r="O3454" s="8" t="s">
        <v>59</v>
      </c>
      <c r="P3454" s="8" t="s">
        <v>59</v>
      </c>
      <c r="R3454" s="8">
        <v>0</v>
      </c>
      <c r="S3454" s="8">
        <v>0</v>
      </c>
      <c r="T3454" s="8">
        <v>1</v>
      </c>
      <c r="U3454" s="8">
        <v>2</v>
      </c>
      <c r="AG3454" s="8" t="str">
        <f t="shared" si="213"/>
        <v/>
      </c>
      <c r="AI3454" s="8" t="str">
        <f t="shared" si="214"/>
        <v/>
      </c>
      <c r="AJ3454" s="8" t="str">
        <f t="shared" si="215"/>
        <v/>
      </c>
      <c r="AL3454" s="8" t="str">
        <f t="shared" si="216"/>
        <v/>
      </c>
    </row>
    <row r="3455" spans="1:38" x14ac:dyDescent="0.25">
      <c r="A3455" s="8" t="s">
        <v>3038</v>
      </c>
      <c r="B3455" s="8" t="s">
        <v>3039</v>
      </c>
      <c r="C3455" s="8">
        <v>30815143</v>
      </c>
      <c r="D3455" s="8">
        <v>5</v>
      </c>
      <c r="E3455" s="11">
        <v>43108</v>
      </c>
      <c r="F3455" s="8" t="s">
        <v>57</v>
      </c>
      <c r="G3455" s="11">
        <v>43110</v>
      </c>
      <c r="H3455" s="8" t="s">
        <v>25</v>
      </c>
      <c r="J3455" s="8" t="s">
        <v>25</v>
      </c>
      <c r="N3455" s="8" t="s">
        <v>58</v>
      </c>
      <c r="O3455" s="8" t="s">
        <v>59</v>
      </c>
      <c r="P3455" s="8" t="s">
        <v>59</v>
      </c>
      <c r="R3455" s="8">
        <v>0</v>
      </c>
      <c r="S3455" s="8">
        <v>0</v>
      </c>
      <c r="T3455" s="8">
        <v>1</v>
      </c>
      <c r="U3455" s="8">
        <v>2</v>
      </c>
      <c r="AG3455" s="8" t="str">
        <f t="shared" si="213"/>
        <v/>
      </c>
      <c r="AI3455" s="8" t="str">
        <f t="shared" si="214"/>
        <v/>
      </c>
      <c r="AJ3455" s="8" t="str">
        <f t="shared" si="215"/>
        <v/>
      </c>
      <c r="AL3455" s="8" t="str">
        <f t="shared" si="216"/>
        <v/>
      </c>
    </row>
    <row r="3456" spans="1:38" x14ac:dyDescent="0.25">
      <c r="A3456" s="8" t="s">
        <v>665</v>
      </c>
      <c r="B3456" s="8" t="s">
        <v>666</v>
      </c>
      <c r="C3456" s="8">
        <v>30822464</v>
      </c>
      <c r="D3456" s="8">
        <v>5</v>
      </c>
      <c r="E3456" s="11">
        <v>43108</v>
      </c>
      <c r="F3456" s="8" t="s">
        <v>57</v>
      </c>
      <c r="G3456" s="11">
        <v>43108</v>
      </c>
      <c r="H3456" s="8" t="s">
        <v>25</v>
      </c>
      <c r="J3456" s="8" t="s">
        <v>25</v>
      </c>
      <c r="N3456" s="8" t="s">
        <v>58</v>
      </c>
      <c r="O3456" s="8" t="s">
        <v>59</v>
      </c>
      <c r="P3456" s="8" t="s">
        <v>59</v>
      </c>
      <c r="R3456" s="8">
        <v>0</v>
      </c>
      <c r="S3456" s="8">
        <v>0</v>
      </c>
      <c r="T3456" s="8">
        <v>1</v>
      </c>
      <c r="U3456" s="8">
        <v>2</v>
      </c>
      <c r="AG3456" s="8" t="str">
        <f t="shared" si="213"/>
        <v/>
      </c>
      <c r="AI3456" s="8" t="str">
        <f t="shared" si="214"/>
        <v/>
      </c>
      <c r="AJ3456" s="8" t="str">
        <f t="shared" si="215"/>
        <v/>
      </c>
      <c r="AL3456" s="8" t="str">
        <f t="shared" si="216"/>
        <v/>
      </c>
    </row>
    <row r="3457" spans="1:38" x14ac:dyDescent="0.25">
      <c r="A3457" s="8" t="s">
        <v>3040</v>
      </c>
      <c r="B3457" s="8" t="s">
        <v>3041</v>
      </c>
      <c r="C3457" s="8">
        <v>30823723</v>
      </c>
      <c r="D3457" s="8">
        <v>5</v>
      </c>
      <c r="E3457" s="11">
        <v>43108</v>
      </c>
      <c r="F3457" s="8" t="s">
        <v>57</v>
      </c>
      <c r="G3457" s="11">
        <v>43110</v>
      </c>
      <c r="H3457" s="8" t="s">
        <v>25</v>
      </c>
      <c r="J3457" s="8" t="s">
        <v>25</v>
      </c>
      <c r="N3457" s="8" t="s">
        <v>58</v>
      </c>
      <c r="O3457" s="8" t="s">
        <v>59</v>
      </c>
      <c r="P3457" s="8" t="s">
        <v>59</v>
      </c>
      <c r="R3457" s="8">
        <v>0</v>
      </c>
      <c r="S3457" s="8">
        <v>0</v>
      </c>
      <c r="T3457" s="8">
        <v>1</v>
      </c>
      <c r="U3457" s="8">
        <v>2</v>
      </c>
      <c r="AG3457" s="8" t="str">
        <f t="shared" si="213"/>
        <v/>
      </c>
      <c r="AI3457" s="8" t="str">
        <f t="shared" si="214"/>
        <v/>
      </c>
      <c r="AJ3457" s="8" t="str">
        <f t="shared" si="215"/>
        <v/>
      </c>
      <c r="AL3457" s="8" t="str">
        <f t="shared" si="216"/>
        <v/>
      </c>
    </row>
    <row r="3458" spans="1:38" x14ac:dyDescent="0.25">
      <c r="A3458" s="8" t="s">
        <v>6217</v>
      </c>
      <c r="B3458" s="8" t="s">
        <v>6218</v>
      </c>
      <c r="C3458" s="8">
        <v>30861697</v>
      </c>
      <c r="D3458" s="8">
        <v>5</v>
      </c>
      <c r="E3458" s="11">
        <v>43110</v>
      </c>
      <c r="F3458" s="8" t="s">
        <v>57</v>
      </c>
      <c r="G3458" s="11">
        <v>43112</v>
      </c>
      <c r="H3458" s="8" t="s">
        <v>25</v>
      </c>
      <c r="J3458" s="8" t="s">
        <v>25</v>
      </c>
      <c r="N3458" s="8" t="s">
        <v>58</v>
      </c>
      <c r="O3458" s="8" t="s">
        <v>59</v>
      </c>
      <c r="P3458" s="8" t="s">
        <v>59</v>
      </c>
      <c r="R3458" s="8">
        <v>0</v>
      </c>
      <c r="S3458" s="8">
        <v>0</v>
      </c>
      <c r="T3458" s="8">
        <v>1</v>
      </c>
      <c r="U3458" s="8">
        <v>2</v>
      </c>
      <c r="AG3458" s="8" t="str">
        <f t="shared" si="213"/>
        <v/>
      </c>
      <c r="AI3458" s="8" t="str">
        <f t="shared" si="214"/>
        <v/>
      </c>
      <c r="AJ3458" s="8" t="str">
        <f t="shared" si="215"/>
        <v/>
      </c>
      <c r="AL3458" s="8" t="str">
        <f t="shared" si="216"/>
        <v/>
      </c>
    </row>
    <row r="3459" spans="1:38" x14ac:dyDescent="0.25">
      <c r="A3459" s="8" t="s">
        <v>6219</v>
      </c>
      <c r="B3459" s="8" t="s">
        <v>6220</v>
      </c>
      <c r="C3459" s="8">
        <v>30861817</v>
      </c>
      <c r="D3459" s="8">
        <v>5</v>
      </c>
      <c r="E3459" s="11">
        <v>43110</v>
      </c>
      <c r="F3459" s="8" t="s">
        <v>57</v>
      </c>
      <c r="G3459" s="11">
        <v>43112</v>
      </c>
      <c r="H3459" s="8" t="s">
        <v>25</v>
      </c>
      <c r="J3459" s="8" t="s">
        <v>25</v>
      </c>
      <c r="N3459" s="8" t="s">
        <v>58</v>
      </c>
      <c r="O3459" s="8" t="s">
        <v>59</v>
      </c>
      <c r="P3459" s="8" t="s">
        <v>59</v>
      </c>
      <c r="R3459" s="8">
        <v>0</v>
      </c>
      <c r="S3459" s="8">
        <v>0</v>
      </c>
      <c r="T3459" s="8">
        <v>1</v>
      </c>
      <c r="U3459" s="8">
        <v>2</v>
      </c>
      <c r="AG3459" s="8" t="str">
        <f t="shared" ref="AG3459:AG3522" si="217">IF(AND(U3459="",G3459&lt;&gt;"",NOT(OR(R3459,S3459))),IF(NETWORKDAYS.INTL(G3459,TODAY(),11)&lt;5,"En Plazo",IF(NETWORKDAYS.INTL(G3459,TODAY(),11)=5,"Riesgo Incumplimiento","FALTA_02")),"")</f>
        <v/>
      </c>
      <c r="AI3459" s="8" t="str">
        <f t="shared" ref="AI3459:AI3522" si="218">IF(AND(O3459&lt;&gt;"B1",F3459="Rejected"),IF(W3459="","FALTA_04",""),"")</f>
        <v/>
      </c>
      <c r="AJ3459" s="8" t="str">
        <f t="shared" ref="AJ3459:AJ3522" si="219">IF(AND(X3459="",I3459&lt;&gt;"",NOT(OR(R3459,S3459))),IF(NETWORKDAYS.INTL(G3459,TODAY(),11)&lt;=1,"En Plazo",IF(OR(AND(X3459="",O3459&lt;&gt;"M1"),AND(O3459="M1",(OR(Q3459="S - S",Q3459="S - T",)))),"FALTA_05","")),"")</f>
        <v/>
      </c>
      <c r="AL3459" s="8" t="str">
        <f t="shared" ref="AL3459:AL3522" si="220">IF(AND(O3459="B1",F3459="Rejected"),IF(Z3459="","FALTA_07",""),"")</f>
        <v/>
      </c>
    </row>
    <row r="3460" spans="1:38" x14ac:dyDescent="0.25">
      <c r="A3460" s="8" t="s">
        <v>3042</v>
      </c>
      <c r="B3460" s="8" t="s">
        <v>3043</v>
      </c>
      <c r="C3460" s="8">
        <v>30863941</v>
      </c>
      <c r="D3460" s="8">
        <v>5</v>
      </c>
      <c r="E3460" s="11">
        <v>43110</v>
      </c>
      <c r="F3460" s="8" t="s">
        <v>58</v>
      </c>
      <c r="G3460" s="11">
        <v>43110</v>
      </c>
      <c r="H3460" s="8" t="s">
        <v>25</v>
      </c>
      <c r="I3460" s="11">
        <v>43110</v>
      </c>
      <c r="J3460" s="8" t="s">
        <v>25</v>
      </c>
      <c r="N3460" s="8" t="s">
        <v>58</v>
      </c>
      <c r="O3460" s="8" t="s">
        <v>59</v>
      </c>
      <c r="P3460" s="8" t="s">
        <v>59</v>
      </c>
      <c r="R3460" s="8">
        <v>0</v>
      </c>
      <c r="S3460" s="8">
        <v>0</v>
      </c>
      <c r="T3460" s="8">
        <v>1</v>
      </c>
      <c r="U3460" s="8">
        <v>2</v>
      </c>
      <c r="X3460" s="8">
        <v>5</v>
      </c>
      <c r="AG3460" s="8" t="str">
        <f t="shared" si="217"/>
        <v/>
      </c>
      <c r="AI3460" s="8" t="str">
        <f t="shared" si="218"/>
        <v/>
      </c>
      <c r="AJ3460" s="8" t="str">
        <f t="shared" si="219"/>
        <v/>
      </c>
      <c r="AL3460" s="8" t="str">
        <f t="shared" si="220"/>
        <v/>
      </c>
    </row>
    <row r="3461" spans="1:38" x14ac:dyDescent="0.25">
      <c r="A3461" s="8" t="s">
        <v>6221</v>
      </c>
      <c r="B3461" s="8" t="s">
        <v>6222</v>
      </c>
      <c r="C3461" s="8">
        <v>30818414</v>
      </c>
      <c r="D3461" s="8">
        <v>5</v>
      </c>
      <c r="E3461" s="11">
        <v>43108</v>
      </c>
      <c r="F3461" s="8" t="s">
        <v>57</v>
      </c>
      <c r="G3461" s="11">
        <v>43114</v>
      </c>
      <c r="H3461" s="8" t="s">
        <v>856</v>
      </c>
      <c r="J3461" s="8" t="s">
        <v>25</v>
      </c>
      <c r="N3461" s="8" t="s">
        <v>58</v>
      </c>
      <c r="O3461" s="8" t="s">
        <v>59</v>
      </c>
      <c r="P3461" s="8" t="s">
        <v>59</v>
      </c>
      <c r="R3461" s="8">
        <v>0</v>
      </c>
      <c r="S3461" s="8">
        <v>0</v>
      </c>
      <c r="T3461" s="8">
        <v>1</v>
      </c>
      <c r="U3461" s="8">
        <v>2</v>
      </c>
      <c r="AG3461" s="8" t="str">
        <f t="shared" si="217"/>
        <v/>
      </c>
      <c r="AI3461" s="8" t="str">
        <f t="shared" si="218"/>
        <v/>
      </c>
      <c r="AJ3461" s="8" t="str">
        <f t="shared" si="219"/>
        <v/>
      </c>
      <c r="AL3461" s="8" t="str">
        <f t="shared" si="220"/>
        <v/>
      </c>
    </row>
    <row r="3462" spans="1:38" x14ac:dyDescent="0.25">
      <c r="A3462" s="8" t="s">
        <v>6223</v>
      </c>
      <c r="B3462" s="8" t="s">
        <v>6224</v>
      </c>
      <c r="C3462" s="8">
        <v>30915693</v>
      </c>
      <c r="D3462" s="8">
        <v>5</v>
      </c>
      <c r="E3462" s="11">
        <v>43112</v>
      </c>
      <c r="F3462" s="8" t="s">
        <v>58</v>
      </c>
      <c r="G3462" s="11">
        <v>43112</v>
      </c>
      <c r="H3462" s="8" t="s">
        <v>25</v>
      </c>
      <c r="I3462" s="11">
        <v>43112</v>
      </c>
      <c r="J3462" s="8" t="s">
        <v>25</v>
      </c>
      <c r="N3462" s="8" t="s">
        <v>58</v>
      </c>
      <c r="O3462" s="8" t="s">
        <v>59</v>
      </c>
      <c r="P3462" s="8" t="s">
        <v>59</v>
      </c>
      <c r="R3462" s="8">
        <v>0</v>
      </c>
      <c r="S3462" s="8">
        <v>0</v>
      </c>
      <c r="T3462" s="8">
        <v>1</v>
      </c>
      <c r="U3462" s="8">
        <v>2</v>
      </c>
      <c r="X3462" s="8">
        <v>5</v>
      </c>
      <c r="AG3462" s="8" t="str">
        <f t="shared" si="217"/>
        <v/>
      </c>
      <c r="AI3462" s="8" t="str">
        <f t="shared" si="218"/>
        <v/>
      </c>
      <c r="AJ3462" s="8" t="str">
        <f t="shared" si="219"/>
        <v/>
      </c>
      <c r="AL3462" s="8" t="str">
        <f t="shared" si="220"/>
        <v/>
      </c>
    </row>
    <row r="3463" spans="1:38" x14ac:dyDescent="0.25">
      <c r="A3463" s="8" t="s">
        <v>8013</v>
      </c>
      <c r="B3463" s="8" t="s">
        <v>8014</v>
      </c>
      <c r="C3463" s="8">
        <v>30923458</v>
      </c>
      <c r="D3463" s="8">
        <v>5</v>
      </c>
      <c r="E3463" s="11">
        <v>43112</v>
      </c>
      <c r="F3463" s="8" t="s">
        <v>57</v>
      </c>
      <c r="G3463" s="11">
        <v>43115</v>
      </c>
      <c r="H3463" s="8" t="s">
        <v>25</v>
      </c>
      <c r="J3463" s="8" t="s">
        <v>25</v>
      </c>
      <c r="N3463" s="8" t="s">
        <v>58</v>
      </c>
      <c r="O3463" s="8" t="s">
        <v>59</v>
      </c>
      <c r="P3463" s="8" t="s">
        <v>59</v>
      </c>
      <c r="R3463" s="8">
        <v>0</v>
      </c>
      <c r="S3463" s="8">
        <v>0</v>
      </c>
      <c r="T3463" s="8">
        <v>1</v>
      </c>
      <c r="U3463" s="8">
        <v>2</v>
      </c>
      <c r="AG3463" s="8" t="str">
        <f t="shared" si="217"/>
        <v/>
      </c>
      <c r="AI3463" s="8" t="str">
        <f t="shared" si="218"/>
        <v/>
      </c>
      <c r="AJ3463" s="8" t="str">
        <f t="shared" si="219"/>
        <v/>
      </c>
      <c r="AL3463" s="8" t="str">
        <f t="shared" si="220"/>
        <v/>
      </c>
    </row>
    <row r="3464" spans="1:38" x14ac:dyDescent="0.25">
      <c r="A3464" s="8" t="s">
        <v>6225</v>
      </c>
      <c r="B3464" s="8" t="s">
        <v>6226</v>
      </c>
      <c r="C3464" s="8">
        <v>30893793</v>
      </c>
      <c r="D3464" s="8">
        <v>5</v>
      </c>
      <c r="E3464" s="11">
        <v>43111</v>
      </c>
      <c r="F3464" s="8" t="s">
        <v>58</v>
      </c>
      <c r="G3464" s="11">
        <v>43112</v>
      </c>
      <c r="H3464" s="8" t="s">
        <v>25</v>
      </c>
      <c r="I3464" s="11">
        <v>43115</v>
      </c>
      <c r="J3464" s="8" t="s">
        <v>25</v>
      </c>
      <c r="N3464" s="8" t="s">
        <v>58</v>
      </c>
      <c r="O3464" s="8" t="s">
        <v>59</v>
      </c>
      <c r="P3464" s="8" t="s">
        <v>59</v>
      </c>
      <c r="R3464" s="8">
        <v>0</v>
      </c>
      <c r="S3464" s="8">
        <v>0</v>
      </c>
      <c r="T3464" s="8">
        <v>1</v>
      </c>
      <c r="U3464" s="8">
        <v>2</v>
      </c>
      <c r="X3464" s="8">
        <v>5</v>
      </c>
      <c r="AG3464" s="8" t="str">
        <f t="shared" si="217"/>
        <v/>
      </c>
      <c r="AI3464" s="8" t="str">
        <f t="shared" si="218"/>
        <v/>
      </c>
      <c r="AJ3464" s="8" t="str">
        <f t="shared" si="219"/>
        <v/>
      </c>
      <c r="AL3464" s="8" t="str">
        <f t="shared" si="220"/>
        <v/>
      </c>
    </row>
    <row r="3465" spans="1:38" x14ac:dyDescent="0.25">
      <c r="A3465" s="8" t="s">
        <v>6227</v>
      </c>
      <c r="B3465" s="8" t="s">
        <v>6228</v>
      </c>
      <c r="C3465" s="8">
        <v>30843127</v>
      </c>
      <c r="D3465" s="8">
        <v>5</v>
      </c>
      <c r="E3465" s="11">
        <v>43109</v>
      </c>
      <c r="F3465" s="8" t="s">
        <v>57</v>
      </c>
      <c r="G3465" s="11">
        <v>43114</v>
      </c>
      <c r="H3465" s="8" t="s">
        <v>145</v>
      </c>
      <c r="J3465" s="8" t="s">
        <v>25</v>
      </c>
      <c r="N3465" s="8" t="s">
        <v>58</v>
      </c>
      <c r="O3465" s="8" t="s">
        <v>59</v>
      </c>
      <c r="P3465" s="8" t="s">
        <v>59</v>
      </c>
      <c r="R3465" s="8">
        <v>0</v>
      </c>
      <c r="S3465" s="8">
        <v>0</v>
      </c>
      <c r="T3465" s="8">
        <v>1</v>
      </c>
      <c r="U3465" s="8">
        <v>2</v>
      </c>
      <c r="AG3465" s="8" t="str">
        <f t="shared" si="217"/>
        <v/>
      </c>
      <c r="AI3465" s="8" t="str">
        <f t="shared" si="218"/>
        <v/>
      </c>
      <c r="AJ3465" s="8" t="str">
        <f t="shared" si="219"/>
        <v/>
      </c>
      <c r="AL3465" s="8" t="str">
        <f t="shared" si="220"/>
        <v/>
      </c>
    </row>
    <row r="3466" spans="1:38" x14ac:dyDescent="0.25">
      <c r="A3466" s="8" t="s">
        <v>4475</v>
      </c>
      <c r="B3466" s="8" t="s">
        <v>4476</v>
      </c>
      <c r="C3466" s="8">
        <v>30901181</v>
      </c>
      <c r="D3466" s="8">
        <v>5</v>
      </c>
      <c r="E3466" s="11">
        <v>43111</v>
      </c>
      <c r="F3466" s="8" t="s">
        <v>58</v>
      </c>
      <c r="G3466" s="11">
        <v>43111</v>
      </c>
      <c r="H3466" s="8" t="s">
        <v>25</v>
      </c>
      <c r="I3466" s="11">
        <v>43111</v>
      </c>
      <c r="J3466" s="8" t="s">
        <v>25</v>
      </c>
      <c r="N3466" s="8" t="s">
        <v>58</v>
      </c>
      <c r="O3466" s="8" t="s">
        <v>59</v>
      </c>
      <c r="P3466" s="8" t="s">
        <v>59</v>
      </c>
      <c r="R3466" s="8">
        <v>0</v>
      </c>
      <c r="S3466" s="8">
        <v>0</v>
      </c>
      <c r="T3466" s="8">
        <v>1</v>
      </c>
      <c r="U3466" s="8">
        <v>2</v>
      </c>
      <c r="X3466" s="8">
        <v>5</v>
      </c>
      <c r="AG3466" s="8" t="str">
        <f t="shared" si="217"/>
        <v/>
      </c>
      <c r="AI3466" s="8" t="str">
        <f t="shared" si="218"/>
        <v/>
      </c>
      <c r="AJ3466" s="8" t="str">
        <f t="shared" si="219"/>
        <v/>
      </c>
      <c r="AL3466" s="8" t="str">
        <f t="shared" si="220"/>
        <v/>
      </c>
    </row>
    <row r="3467" spans="1:38" x14ac:dyDescent="0.25">
      <c r="A3467" s="8" t="s">
        <v>8015</v>
      </c>
      <c r="B3467" s="8" t="s">
        <v>8016</v>
      </c>
      <c r="C3467" s="8">
        <v>30932422</v>
      </c>
      <c r="D3467" s="8">
        <v>5</v>
      </c>
      <c r="E3467" s="11">
        <v>43115</v>
      </c>
      <c r="F3467" s="8" t="s">
        <v>58</v>
      </c>
      <c r="G3467" s="11">
        <v>43115</v>
      </c>
      <c r="H3467" s="8" t="s">
        <v>25</v>
      </c>
      <c r="I3467" s="11">
        <v>43115</v>
      </c>
      <c r="J3467" s="8" t="s">
        <v>25</v>
      </c>
      <c r="N3467" s="8" t="s">
        <v>58</v>
      </c>
      <c r="O3467" s="8" t="s">
        <v>59</v>
      </c>
      <c r="P3467" s="8" t="s">
        <v>59</v>
      </c>
      <c r="R3467" s="8">
        <v>0</v>
      </c>
      <c r="S3467" s="8">
        <v>0</v>
      </c>
      <c r="T3467" s="8">
        <v>1</v>
      </c>
      <c r="U3467" s="8">
        <v>2</v>
      </c>
      <c r="X3467" s="8">
        <v>5</v>
      </c>
      <c r="AG3467" s="8" t="str">
        <f t="shared" si="217"/>
        <v/>
      </c>
      <c r="AI3467" s="8" t="str">
        <f t="shared" si="218"/>
        <v/>
      </c>
      <c r="AJ3467" s="8" t="str">
        <f t="shared" si="219"/>
        <v/>
      </c>
      <c r="AL3467" s="8" t="str">
        <f t="shared" si="220"/>
        <v/>
      </c>
    </row>
    <row r="3468" spans="1:38" x14ac:dyDescent="0.25">
      <c r="A3468" s="8" t="s">
        <v>667</v>
      </c>
      <c r="B3468" s="8" t="s">
        <v>668</v>
      </c>
      <c r="C3468" s="8">
        <v>30815183</v>
      </c>
      <c r="D3468" s="8">
        <v>5</v>
      </c>
      <c r="E3468" s="11">
        <v>43108</v>
      </c>
      <c r="F3468" s="8" t="s">
        <v>58</v>
      </c>
      <c r="G3468" s="11">
        <v>43108</v>
      </c>
      <c r="H3468" s="8" t="s">
        <v>25</v>
      </c>
      <c r="I3468" s="11">
        <v>43108</v>
      </c>
      <c r="J3468" s="8" t="s">
        <v>25</v>
      </c>
      <c r="N3468" s="8" t="s">
        <v>58</v>
      </c>
      <c r="O3468" s="8" t="s">
        <v>59</v>
      </c>
      <c r="P3468" s="8" t="s">
        <v>59</v>
      </c>
      <c r="R3468" s="8">
        <v>0</v>
      </c>
      <c r="S3468" s="8">
        <v>0</v>
      </c>
      <c r="T3468" s="8">
        <v>1</v>
      </c>
      <c r="U3468" s="8">
        <v>2</v>
      </c>
      <c r="X3468" s="8">
        <v>5</v>
      </c>
      <c r="AG3468" s="8" t="str">
        <f t="shared" si="217"/>
        <v/>
      </c>
      <c r="AI3468" s="8" t="str">
        <f t="shared" si="218"/>
        <v/>
      </c>
      <c r="AJ3468" s="8" t="str">
        <f t="shared" si="219"/>
        <v/>
      </c>
      <c r="AL3468" s="8" t="str">
        <f t="shared" si="220"/>
        <v/>
      </c>
    </row>
    <row r="3469" spans="1:38" x14ac:dyDescent="0.25">
      <c r="A3469" s="8" t="s">
        <v>8017</v>
      </c>
      <c r="B3469" s="8" t="s">
        <v>8018</v>
      </c>
      <c r="C3469" s="8">
        <v>30940968</v>
      </c>
      <c r="D3469" s="8">
        <v>5</v>
      </c>
      <c r="E3469" s="11">
        <v>43115</v>
      </c>
      <c r="F3469" s="8" t="s">
        <v>58</v>
      </c>
      <c r="G3469" s="11">
        <v>43115</v>
      </c>
      <c r="H3469" s="8" t="s">
        <v>25</v>
      </c>
      <c r="I3469" s="11">
        <v>43115</v>
      </c>
      <c r="J3469" s="8" t="s">
        <v>25</v>
      </c>
      <c r="N3469" s="8" t="s">
        <v>58</v>
      </c>
      <c r="O3469" s="8" t="s">
        <v>59</v>
      </c>
      <c r="P3469" s="8" t="s">
        <v>59</v>
      </c>
      <c r="R3469" s="8">
        <v>0</v>
      </c>
      <c r="S3469" s="8">
        <v>0</v>
      </c>
      <c r="T3469" s="8">
        <v>1</v>
      </c>
      <c r="U3469" s="8">
        <v>2</v>
      </c>
      <c r="X3469" s="8">
        <v>5</v>
      </c>
      <c r="AG3469" s="8" t="str">
        <f t="shared" si="217"/>
        <v/>
      </c>
      <c r="AI3469" s="8" t="str">
        <f t="shared" si="218"/>
        <v/>
      </c>
      <c r="AJ3469" s="8" t="str">
        <f t="shared" si="219"/>
        <v/>
      </c>
      <c r="AL3469" s="8" t="str">
        <f t="shared" si="220"/>
        <v/>
      </c>
    </row>
    <row r="3470" spans="1:38" x14ac:dyDescent="0.25">
      <c r="A3470" s="8" t="s">
        <v>6229</v>
      </c>
      <c r="B3470" s="8" t="s">
        <v>6230</v>
      </c>
      <c r="C3470" s="8">
        <v>30875532</v>
      </c>
      <c r="D3470" s="8">
        <v>5</v>
      </c>
      <c r="E3470" s="11">
        <v>43110</v>
      </c>
      <c r="F3470" s="8" t="s">
        <v>57</v>
      </c>
      <c r="G3470" s="11">
        <v>43114</v>
      </c>
      <c r="H3470" s="8" t="s">
        <v>25</v>
      </c>
      <c r="J3470" s="8" t="s">
        <v>25</v>
      </c>
      <c r="N3470" s="8" t="s">
        <v>58</v>
      </c>
      <c r="O3470" s="8" t="s">
        <v>59</v>
      </c>
      <c r="P3470" s="8" t="s">
        <v>59</v>
      </c>
      <c r="R3470" s="8">
        <v>0</v>
      </c>
      <c r="S3470" s="8">
        <v>0</v>
      </c>
      <c r="T3470" s="8">
        <v>1</v>
      </c>
      <c r="U3470" s="8">
        <v>2</v>
      </c>
      <c r="AG3470" s="8" t="str">
        <f t="shared" si="217"/>
        <v/>
      </c>
      <c r="AI3470" s="8" t="str">
        <f t="shared" si="218"/>
        <v/>
      </c>
      <c r="AJ3470" s="8" t="str">
        <f t="shared" si="219"/>
        <v/>
      </c>
      <c r="AL3470" s="8" t="str">
        <f t="shared" si="220"/>
        <v/>
      </c>
    </row>
    <row r="3471" spans="1:38" x14ac:dyDescent="0.25">
      <c r="A3471" s="8" t="s">
        <v>3044</v>
      </c>
      <c r="B3471" s="8" t="s">
        <v>3045</v>
      </c>
      <c r="C3471" s="8">
        <v>30845454</v>
      </c>
      <c r="D3471" s="8">
        <v>5</v>
      </c>
      <c r="E3471" s="11">
        <v>43109</v>
      </c>
      <c r="F3471" s="8" t="s">
        <v>58</v>
      </c>
      <c r="G3471" s="11">
        <v>43110</v>
      </c>
      <c r="H3471" s="8" t="s">
        <v>25</v>
      </c>
      <c r="I3471" s="11">
        <v>43110</v>
      </c>
      <c r="J3471" s="8" t="s">
        <v>25</v>
      </c>
      <c r="N3471" s="8" t="s">
        <v>58</v>
      </c>
      <c r="O3471" s="8" t="s">
        <v>59</v>
      </c>
      <c r="P3471" s="8" t="s">
        <v>59</v>
      </c>
      <c r="R3471" s="8">
        <v>0</v>
      </c>
      <c r="S3471" s="8">
        <v>0</v>
      </c>
      <c r="T3471" s="8">
        <v>1</v>
      </c>
      <c r="U3471" s="8">
        <v>2</v>
      </c>
      <c r="X3471" s="8">
        <v>5</v>
      </c>
      <c r="AG3471" s="8" t="str">
        <f t="shared" si="217"/>
        <v/>
      </c>
      <c r="AI3471" s="8" t="str">
        <f t="shared" si="218"/>
        <v/>
      </c>
      <c r="AJ3471" s="8" t="str">
        <f t="shared" si="219"/>
        <v/>
      </c>
      <c r="AL3471" s="8" t="str">
        <f t="shared" si="220"/>
        <v/>
      </c>
    </row>
    <row r="3472" spans="1:38" x14ac:dyDescent="0.25">
      <c r="A3472" s="8" t="s">
        <v>6231</v>
      </c>
      <c r="B3472" s="8" t="s">
        <v>6232</v>
      </c>
      <c r="C3472" s="8">
        <v>30927245</v>
      </c>
      <c r="D3472" s="8">
        <v>5</v>
      </c>
      <c r="E3472" s="11">
        <v>43113</v>
      </c>
      <c r="F3472" s="8" t="s">
        <v>58</v>
      </c>
      <c r="G3472" s="11">
        <v>43113</v>
      </c>
      <c r="H3472" s="8" t="s">
        <v>25</v>
      </c>
      <c r="I3472" s="11">
        <v>43113</v>
      </c>
      <c r="J3472" s="8" t="s">
        <v>25</v>
      </c>
      <c r="N3472" s="8" t="s">
        <v>58</v>
      </c>
      <c r="O3472" s="8" t="s">
        <v>59</v>
      </c>
      <c r="P3472" s="8" t="s">
        <v>59</v>
      </c>
      <c r="R3472" s="8">
        <v>0</v>
      </c>
      <c r="S3472" s="8">
        <v>0</v>
      </c>
      <c r="T3472" s="8">
        <v>1</v>
      </c>
      <c r="U3472" s="8">
        <v>2</v>
      </c>
      <c r="X3472" s="8">
        <v>5</v>
      </c>
      <c r="AG3472" s="8" t="str">
        <f t="shared" si="217"/>
        <v/>
      </c>
      <c r="AI3472" s="8" t="str">
        <f t="shared" si="218"/>
        <v/>
      </c>
      <c r="AJ3472" s="8" t="str">
        <f t="shared" si="219"/>
        <v/>
      </c>
      <c r="AL3472" s="8" t="str">
        <f t="shared" si="220"/>
        <v/>
      </c>
    </row>
    <row r="3473" spans="1:38" x14ac:dyDescent="0.25">
      <c r="A3473" s="8" t="s">
        <v>3046</v>
      </c>
      <c r="B3473" s="8" t="s">
        <v>3047</v>
      </c>
      <c r="C3473" s="8">
        <v>30841502</v>
      </c>
      <c r="D3473" s="8">
        <v>5</v>
      </c>
      <c r="E3473" s="11">
        <v>43109</v>
      </c>
      <c r="F3473" s="8" t="s">
        <v>58</v>
      </c>
      <c r="G3473" s="11">
        <v>43110</v>
      </c>
      <c r="H3473" s="8" t="s">
        <v>25</v>
      </c>
      <c r="I3473" s="11">
        <v>43112</v>
      </c>
      <c r="J3473" s="8" t="s">
        <v>25</v>
      </c>
      <c r="N3473" s="8" t="s">
        <v>58</v>
      </c>
      <c r="O3473" s="8" t="s">
        <v>59</v>
      </c>
      <c r="P3473" s="8" t="s">
        <v>59</v>
      </c>
      <c r="R3473" s="8">
        <v>0</v>
      </c>
      <c r="S3473" s="8">
        <v>0</v>
      </c>
      <c r="T3473" s="8">
        <v>1</v>
      </c>
      <c r="U3473" s="8">
        <v>2</v>
      </c>
      <c r="X3473" s="8">
        <v>5</v>
      </c>
      <c r="AG3473" s="8" t="str">
        <f t="shared" si="217"/>
        <v/>
      </c>
      <c r="AI3473" s="8" t="str">
        <f t="shared" si="218"/>
        <v/>
      </c>
      <c r="AJ3473" s="8" t="str">
        <f t="shared" si="219"/>
        <v/>
      </c>
      <c r="AL3473" s="8" t="str">
        <f t="shared" si="220"/>
        <v/>
      </c>
    </row>
    <row r="3474" spans="1:38" x14ac:dyDescent="0.25">
      <c r="A3474" s="8" t="s">
        <v>6233</v>
      </c>
      <c r="B3474" s="8" t="s">
        <v>6234</v>
      </c>
      <c r="C3474" s="8">
        <v>30921902</v>
      </c>
      <c r="D3474" s="8">
        <v>4</v>
      </c>
      <c r="E3474" s="11">
        <v>43112</v>
      </c>
      <c r="F3474" s="8" t="s">
        <v>57</v>
      </c>
      <c r="G3474" s="11">
        <v>43112</v>
      </c>
      <c r="H3474" s="8" t="s">
        <v>25</v>
      </c>
      <c r="J3474" s="8" t="s">
        <v>25</v>
      </c>
      <c r="N3474" s="8" t="s">
        <v>58</v>
      </c>
      <c r="O3474" s="8" t="s">
        <v>59</v>
      </c>
      <c r="P3474" s="8" t="s">
        <v>59</v>
      </c>
      <c r="R3474" s="8">
        <v>0</v>
      </c>
      <c r="S3474" s="8">
        <v>0</v>
      </c>
      <c r="T3474" s="8">
        <v>1</v>
      </c>
      <c r="U3474" s="8">
        <v>2</v>
      </c>
      <c r="AG3474" s="8" t="str">
        <f t="shared" si="217"/>
        <v/>
      </c>
      <c r="AI3474" s="8" t="str">
        <f t="shared" si="218"/>
        <v/>
      </c>
      <c r="AJ3474" s="8" t="str">
        <f t="shared" si="219"/>
        <v/>
      </c>
      <c r="AL3474" s="8" t="str">
        <f t="shared" si="220"/>
        <v/>
      </c>
    </row>
    <row r="3475" spans="1:38" x14ac:dyDescent="0.25">
      <c r="A3475" s="8" t="s">
        <v>8019</v>
      </c>
      <c r="B3475" s="8" t="s">
        <v>8020</v>
      </c>
      <c r="C3475" s="8">
        <v>30941358</v>
      </c>
      <c r="D3475" s="8">
        <v>5</v>
      </c>
      <c r="E3475" s="11">
        <v>43115</v>
      </c>
      <c r="F3475" s="8" t="s">
        <v>57</v>
      </c>
      <c r="G3475" s="11">
        <v>43115</v>
      </c>
      <c r="H3475" s="8" t="s">
        <v>25</v>
      </c>
      <c r="J3475" s="8" t="s">
        <v>25</v>
      </c>
      <c r="N3475" s="8" t="s">
        <v>58</v>
      </c>
      <c r="O3475" s="8" t="s">
        <v>59</v>
      </c>
      <c r="P3475" s="8" t="s">
        <v>59</v>
      </c>
      <c r="R3475" s="8">
        <v>0</v>
      </c>
      <c r="S3475" s="8">
        <v>0</v>
      </c>
      <c r="T3475" s="8">
        <v>1</v>
      </c>
      <c r="U3475" s="8">
        <v>2</v>
      </c>
      <c r="AG3475" s="8" t="str">
        <f t="shared" si="217"/>
        <v/>
      </c>
      <c r="AI3475" s="8" t="str">
        <f t="shared" si="218"/>
        <v/>
      </c>
      <c r="AJ3475" s="8" t="str">
        <f t="shared" si="219"/>
        <v/>
      </c>
      <c r="AL3475" s="8" t="str">
        <f t="shared" si="220"/>
        <v/>
      </c>
    </row>
    <row r="3476" spans="1:38" x14ac:dyDescent="0.25">
      <c r="A3476" s="8" t="s">
        <v>4477</v>
      </c>
      <c r="B3476" s="8" t="s">
        <v>4478</v>
      </c>
      <c r="C3476" s="8">
        <v>30881746</v>
      </c>
      <c r="D3476" s="8">
        <v>5</v>
      </c>
      <c r="E3476" s="11">
        <v>43111</v>
      </c>
      <c r="F3476" s="8" t="s">
        <v>58</v>
      </c>
      <c r="G3476" s="11">
        <v>43111</v>
      </c>
      <c r="H3476" s="8" t="s">
        <v>25</v>
      </c>
      <c r="I3476" s="11">
        <v>43111</v>
      </c>
      <c r="J3476" s="8" t="s">
        <v>25</v>
      </c>
      <c r="N3476" s="8" t="s">
        <v>58</v>
      </c>
      <c r="O3476" s="8" t="s">
        <v>59</v>
      </c>
      <c r="P3476" s="8" t="s">
        <v>59</v>
      </c>
      <c r="R3476" s="8">
        <v>0</v>
      </c>
      <c r="S3476" s="8">
        <v>0</v>
      </c>
      <c r="T3476" s="8">
        <v>1</v>
      </c>
      <c r="U3476" s="8">
        <v>2</v>
      </c>
      <c r="X3476" s="8">
        <v>5</v>
      </c>
      <c r="AG3476" s="8" t="str">
        <f t="shared" si="217"/>
        <v/>
      </c>
      <c r="AI3476" s="8" t="str">
        <f t="shared" si="218"/>
        <v/>
      </c>
      <c r="AJ3476" s="8" t="str">
        <f t="shared" si="219"/>
        <v/>
      </c>
      <c r="AL3476" s="8" t="str">
        <f t="shared" si="220"/>
        <v/>
      </c>
    </row>
    <row r="3477" spans="1:38" x14ac:dyDescent="0.25">
      <c r="A3477" s="8" t="s">
        <v>1460</v>
      </c>
      <c r="B3477" s="8" t="s">
        <v>1461</v>
      </c>
      <c r="C3477" s="8">
        <v>30850308</v>
      </c>
      <c r="D3477" s="8">
        <v>5</v>
      </c>
      <c r="E3477" s="11">
        <v>43109</v>
      </c>
      <c r="F3477" s="8" t="s">
        <v>58</v>
      </c>
      <c r="G3477" s="11">
        <v>43109</v>
      </c>
      <c r="H3477" s="8" t="s">
        <v>25</v>
      </c>
      <c r="I3477" s="11">
        <v>43109</v>
      </c>
      <c r="J3477" s="8" t="s">
        <v>25</v>
      </c>
      <c r="N3477" s="8" t="s">
        <v>58</v>
      </c>
      <c r="O3477" s="8" t="s">
        <v>59</v>
      </c>
      <c r="P3477" s="8" t="s">
        <v>59</v>
      </c>
      <c r="R3477" s="8">
        <v>0</v>
      </c>
      <c r="S3477" s="8">
        <v>0</v>
      </c>
      <c r="T3477" s="8">
        <v>1</v>
      </c>
      <c r="U3477" s="8">
        <v>2</v>
      </c>
      <c r="X3477" s="8">
        <v>5</v>
      </c>
      <c r="AG3477" s="8" t="str">
        <f t="shared" si="217"/>
        <v/>
      </c>
      <c r="AI3477" s="8" t="str">
        <f t="shared" si="218"/>
        <v/>
      </c>
      <c r="AJ3477" s="8" t="str">
        <f t="shared" si="219"/>
        <v/>
      </c>
      <c r="AL3477" s="8" t="str">
        <f t="shared" si="220"/>
        <v/>
      </c>
    </row>
    <row r="3478" spans="1:38" x14ac:dyDescent="0.25">
      <c r="A3478" s="8" t="s">
        <v>8021</v>
      </c>
      <c r="B3478" s="8" t="s">
        <v>8022</v>
      </c>
      <c r="C3478" s="8">
        <v>30929884</v>
      </c>
      <c r="D3478" s="8">
        <v>5</v>
      </c>
      <c r="E3478" s="11">
        <v>43115</v>
      </c>
      <c r="F3478" s="8" t="s">
        <v>57</v>
      </c>
      <c r="G3478" s="11">
        <v>43115</v>
      </c>
      <c r="H3478" s="8" t="s">
        <v>25</v>
      </c>
      <c r="J3478" s="8" t="s">
        <v>25</v>
      </c>
      <c r="N3478" s="8" t="s">
        <v>58</v>
      </c>
      <c r="O3478" s="8" t="s">
        <v>59</v>
      </c>
      <c r="P3478" s="8" t="s">
        <v>59</v>
      </c>
      <c r="R3478" s="8">
        <v>0</v>
      </c>
      <c r="S3478" s="8">
        <v>0</v>
      </c>
      <c r="T3478" s="8">
        <v>1</v>
      </c>
      <c r="U3478" s="8">
        <v>2</v>
      </c>
      <c r="AG3478" s="8" t="str">
        <f t="shared" si="217"/>
        <v/>
      </c>
      <c r="AI3478" s="8" t="str">
        <f t="shared" si="218"/>
        <v/>
      </c>
      <c r="AJ3478" s="8" t="str">
        <f t="shared" si="219"/>
        <v/>
      </c>
      <c r="AL3478" s="8" t="str">
        <f t="shared" si="220"/>
        <v/>
      </c>
    </row>
    <row r="3479" spans="1:38" x14ac:dyDescent="0.25">
      <c r="A3479" s="8" t="s">
        <v>8023</v>
      </c>
      <c r="B3479" s="8" t="s">
        <v>8024</v>
      </c>
      <c r="C3479" s="8">
        <v>30935865</v>
      </c>
      <c r="D3479" s="8">
        <v>5</v>
      </c>
      <c r="E3479" s="11">
        <v>43115</v>
      </c>
      <c r="F3479" s="8" t="s">
        <v>57</v>
      </c>
      <c r="G3479" s="11">
        <v>43115</v>
      </c>
      <c r="H3479" s="8" t="s">
        <v>25</v>
      </c>
      <c r="J3479" s="8" t="s">
        <v>25</v>
      </c>
      <c r="N3479" s="8" t="s">
        <v>58</v>
      </c>
      <c r="O3479" s="8" t="s">
        <v>59</v>
      </c>
      <c r="P3479" s="8" t="s">
        <v>59</v>
      </c>
      <c r="R3479" s="8">
        <v>0</v>
      </c>
      <c r="S3479" s="8">
        <v>0</v>
      </c>
      <c r="T3479" s="8">
        <v>1</v>
      </c>
      <c r="U3479" s="8">
        <v>2</v>
      </c>
      <c r="AG3479" s="8" t="str">
        <f t="shared" si="217"/>
        <v/>
      </c>
      <c r="AI3479" s="8" t="str">
        <f t="shared" si="218"/>
        <v/>
      </c>
      <c r="AJ3479" s="8" t="str">
        <f t="shared" si="219"/>
        <v/>
      </c>
      <c r="AL3479" s="8" t="str">
        <f t="shared" si="220"/>
        <v/>
      </c>
    </row>
    <row r="3480" spans="1:38" x14ac:dyDescent="0.25">
      <c r="A3480" s="8" t="s">
        <v>669</v>
      </c>
      <c r="B3480" s="8" t="s">
        <v>670</v>
      </c>
      <c r="C3480" s="8">
        <v>30824905</v>
      </c>
      <c r="D3480" s="8">
        <v>5</v>
      </c>
      <c r="E3480" s="11">
        <v>43108</v>
      </c>
      <c r="F3480" s="8" t="s">
        <v>58</v>
      </c>
      <c r="G3480" s="11">
        <v>43108</v>
      </c>
      <c r="H3480" s="8" t="s">
        <v>25</v>
      </c>
      <c r="I3480" s="11">
        <v>43108</v>
      </c>
      <c r="J3480" s="8" t="s">
        <v>25</v>
      </c>
      <c r="N3480" s="8" t="s">
        <v>58</v>
      </c>
      <c r="O3480" s="8" t="s">
        <v>59</v>
      </c>
      <c r="P3480" s="8" t="s">
        <v>59</v>
      </c>
      <c r="R3480" s="8">
        <v>0</v>
      </c>
      <c r="S3480" s="8">
        <v>0</v>
      </c>
      <c r="T3480" s="8">
        <v>1</v>
      </c>
      <c r="U3480" s="8">
        <v>2</v>
      </c>
      <c r="X3480" s="8">
        <v>5</v>
      </c>
      <c r="AG3480" s="8" t="str">
        <f t="shared" si="217"/>
        <v/>
      </c>
      <c r="AI3480" s="8" t="str">
        <f t="shared" si="218"/>
        <v/>
      </c>
      <c r="AJ3480" s="8" t="str">
        <f t="shared" si="219"/>
        <v/>
      </c>
      <c r="AL3480" s="8" t="str">
        <f t="shared" si="220"/>
        <v/>
      </c>
    </row>
    <row r="3481" spans="1:38" x14ac:dyDescent="0.25">
      <c r="A3481" s="8" t="s">
        <v>6235</v>
      </c>
      <c r="B3481" s="8" t="s">
        <v>71</v>
      </c>
      <c r="C3481" s="8">
        <v>30918164</v>
      </c>
      <c r="D3481" s="8">
        <v>5</v>
      </c>
      <c r="E3481" s="11">
        <v>43112</v>
      </c>
      <c r="F3481" s="8" t="s">
        <v>57</v>
      </c>
      <c r="G3481" s="11">
        <v>43112</v>
      </c>
      <c r="H3481" s="8" t="s">
        <v>25</v>
      </c>
      <c r="J3481" s="8" t="s">
        <v>25</v>
      </c>
      <c r="N3481" s="8" t="s">
        <v>58</v>
      </c>
      <c r="O3481" s="8" t="s">
        <v>59</v>
      </c>
      <c r="P3481" s="8" t="s">
        <v>59</v>
      </c>
      <c r="R3481" s="8">
        <v>0</v>
      </c>
      <c r="S3481" s="8">
        <v>0</v>
      </c>
      <c r="T3481" s="8">
        <v>1</v>
      </c>
      <c r="U3481" s="8">
        <v>2</v>
      </c>
      <c r="AG3481" s="8" t="str">
        <f t="shared" si="217"/>
        <v/>
      </c>
      <c r="AI3481" s="8" t="str">
        <f t="shared" si="218"/>
        <v/>
      </c>
      <c r="AJ3481" s="8" t="str">
        <f t="shared" si="219"/>
        <v/>
      </c>
      <c r="AL3481" s="8" t="str">
        <f t="shared" si="220"/>
        <v/>
      </c>
    </row>
    <row r="3482" spans="1:38" x14ac:dyDescent="0.25">
      <c r="A3482" s="8" t="s">
        <v>8025</v>
      </c>
      <c r="B3482" s="8" t="s">
        <v>8026</v>
      </c>
      <c r="C3482" s="8">
        <v>30940078</v>
      </c>
      <c r="D3482" s="8">
        <v>5</v>
      </c>
      <c r="E3482" s="11">
        <v>43115</v>
      </c>
      <c r="F3482" s="8" t="s">
        <v>58</v>
      </c>
      <c r="G3482" s="11">
        <v>43115</v>
      </c>
      <c r="H3482" s="8" t="s">
        <v>25</v>
      </c>
      <c r="I3482" s="11">
        <v>43115</v>
      </c>
      <c r="J3482" s="8" t="s">
        <v>25</v>
      </c>
      <c r="N3482" s="8" t="s">
        <v>58</v>
      </c>
      <c r="O3482" s="8" t="s">
        <v>59</v>
      </c>
      <c r="P3482" s="8" t="s">
        <v>59</v>
      </c>
      <c r="R3482" s="8">
        <v>0</v>
      </c>
      <c r="S3482" s="8">
        <v>0</v>
      </c>
      <c r="T3482" s="8">
        <v>1</v>
      </c>
      <c r="U3482" s="8">
        <v>2</v>
      </c>
      <c r="X3482" s="8">
        <v>5</v>
      </c>
      <c r="AG3482" s="8" t="str">
        <f t="shared" si="217"/>
        <v/>
      </c>
      <c r="AI3482" s="8" t="str">
        <f t="shared" si="218"/>
        <v/>
      </c>
      <c r="AJ3482" s="8" t="str">
        <f t="shared" si="219"/>
        <v/>
      </c>
      <c r="AL3482" s="8" t="str">
        <f t="shared" si="220"/>
        <v/>
      </c>
    </row>
    <row r="3483" spans="1:38" x14ac:dyDescent="0.25">
      <c r="A3483" s="8" t="s">
        <v>8027</v>
      </c>
      <c r="B3483" s="8" t="s">
        <v>8028</v>
      </c>
      <c r="C3483" s="8">
        <v>30930203</v>
      </c>
      <c r="D3483" s="8">
        <v>5</v>
      </c>
      <c r="E3483" s="11">
        <v>43115</v>
      </c>
      <c r="F3483" s="8" t="s">
        <v>58</v>
      </c>
      <c r="G3483" s="11">
        <v>43115</v>
      </c>
      <c r="H3483" s="8" t="s">
        <v>25</v>
      </c>
      <c r="I3483" s="11">
        <v>43115</v>
      </c>
      <c r="J3483" s="8" t="s">
        <v>25</v>
      </c>
      <c r="N3483" s="8" t="s">
        <v>58</v>
      </c>
      <c r="O3483" s="8" t="s">
        <v>59</v>
      </c>
      <c r="P3483" s="8" t="s">
        <v>59</v>
      </c>
      <c r="R3483" s="8">
        <v>0</v>
      </c>
      <c r="S3483" s="8">
        <v>0</v>
      </c>
      <c r="T3483" s="8">
        <v>1</v>
      </c>
      <c r="U3483" s="8">
        <v>2</v>
      </c>
      <c r="X3483" s="8">
        <v>5</v>
      </c>
      <c r="AG3483" s="8" t="str">
        <f t="shared" si="217"/>
        <v/>
      </c>
      <c r="AI3483" s="8" t="str">
        <f t="shared" si="218"/>
        <v/>
      </c>
      <c r="AJ3483" s="8" t="str">
        <f t="shared" si="219"/>
        <v/>
      </c>
      <c r="AL3483" s="8" t="str">
        <f t="shared" si="220"/>
        <v/>
      </c>
    </row>
    <row r="3484" spans="1:38" x14ac:dyDescent="0.25">
      <c r="A3484" s="8" t="s">
        <v>8029</v>
      </c>
      <c r="B3484" s="8" t="s">
        <v>8030</v>
      </c>
      <c r="C3484" s="8">
        <v>30945557</v>
      </c>
      <c r="D3484" s="8">
        <v>5</v>
      </c>
      <c r="E3484" s="11">
        <v>43115</v>
      </c>
      <c r="F3484" s="8" t="s">
        <v>57</v>
      </c>
      <c r="G3484" s="11">
        <v>43115</v>
      </c>
      <c r="H3484" s="8" t="s">
        <v>25</v>
      </c>
      <c r="J3484" s="8" t="s">
        <v>25</v>
      </c>
      <c r="N3484" s="8" t="s">
        <v>58</v>
      </c>
      <c r="O3484" s="8" t="s">
        <v>59</v>
      </c>
      <c r="P3484" s="8" t="s">
        <v>59</v>
      </c>
      <c r="R3484" s="8">
        <v>0</v>
      </c>
      <c r="S3484" s="8">
        <v>0</v>
      </c>
      <c r="T3484" s="8">
        <v>1</v>
      </c>
      <c r="U3484" s="8">
        <v>2</v>
      </c>
      <c r="AG3484" s="8" t="str">
        <f t="shared" si="217"/>
        <v/>
      </c>
      <c r="AI3484" s="8" t="str">
        <f t="shared" si="218"/>
        <v/>
      </c>
      <c r="AJ3484" s="8" t="str">
        <f t="shared" si="219"/>
        <v/>
      </c>
      <c r="AL3484" s="8" t="str">
        <f t="shared" si="220"/>
        <v/>
      </c>
    </row>
    <row r="3485" spans="1:38" x14ac:dyDescent="0.25">
      <c r="A3485" s="8" t="s">
        <v>6236</v>
      </c>
      <c r="B3485" s="8" t="s">
        <v>6237</v>
      </c>
      <c r="C3485" s="8">
        <v>30883238</v>
      </c>
      <c r="D3485" s="8">
        <v>5</v>
      </c>
      <c r="E3485" s="11">
        <v>43111</v>
      </c>
      <c r="F3485" s="8" t="s">
        <v>57</v>
      </c>
      <c r="G3485" s="11">
        <v>43112</v>
      </c>
      <c r="H3485" s="8" t="s">
        <v>25</v>
      </c>
      <c r="J3485" s="8" t="s">
        <v>25</v>
      </c>
      <c r="N3485" s="8" t="s">
        <v>58</v>
      </c>
      <c r="O3485" s="8" t="s">
        <v>59</v>
      </c>
      <c r="P3485" s="8" t="s">
        <v>59</v>
      </c>
      <c r="R3485" s="8">
        <v>0</v>
      </c>
      <c r="S3485" s="8">
        <v>0</v>
      </c>
      <c r="T3485" s="8">
        <v>1</v>
      </c>
      <c r="U3485" s="8">
        <v>2</v>
      </c>
      <c r="AG3485" s="8" t="str">
        <f t="shared" si="217"/>
        <v/>
      </c>
      <c r="AI3485" s="8" t="str">
        <f t="shared" si="218"/>
        <v/>
      </c>
      <c r="AJ3485" s="8" t="str">
        <f t="shared" si="219"/>
        <v/>
      </c>
      <c r="AL3485" s="8" t="str">
        <f t="shared" si="220"/>
        <v/>
      </c>
    </row>
    <row r="3486" spans="1:38" x14ac:dyDescent="0.25">
      <c r="A3486" s="8" t="s">
        <v>671</v>
      </c>
      <c r="B3486" s="8" t="s">
        <v>672</v>
      </c>
      <c r="C3486" s="8">
        <v>30826345</v>
      </c>
      <c r="D3486" s="8">
        <v>5</v>
      </c>
      <c r="E3486" s="11">
        <v>43108</v>
      </c>
      <c r="F3486" s="8" t="s">
        <v>57</v>
      </c>
      <c r="G3486" s="11">
        <v>43108</v>
      </c>
      <c r="H3486" s="8" t="s">
        <v>25</v>
      </c>
      <c r="J3486" s="8" t="s">
        <v>25</v>
      </c>
      <c r="N3486" s="8" t="s">
        <v>58</v>
      </c>
      <c r="O3486" s="8" t="s">
        <v>59</v>
      </c>
      <c r="P3486" s="8" t="s">
        <v>59</v>
      </c>
      <c r="R3486" s="8">
        <v>0</v>
      </c>
      <c r="S3486" s="8">
        <v>0</v>
      </c>
      <c r="T3486" s="8">
        <v>1</v>
      </c>
      <c r="U3486" s="8">
        <v>2</v>
      </c>
      <c r="AG3486" s="8" t="str">
        <f t="shared" si="217"/>
        <v/>
      </c>
      <c r="AI3486" s="8" t="str">
        <f t="shared" si="218"/>
        <v/>
      </c>
      <c r="AJ3486" s="8" t="str">
        <f t="shared" si="219"/>
        <v/>
      </c>
      <c r="AL3486" s="8" t="str">
        <f t="shared" si="220"/>
        <v/>
      </c>
    </row>
    <row r="3487" spans="1:38" x14ac:dyDescent="0.25">
      <c r="A3487" s="8" t="s">
        <v>1462</v>
      </c>
      <c r="B3487" s="8" t="s">
        <v>1463</v>
      </c>
      <c r="C3487" s="8">
        <v>30808989</v>
      </c>
      <c r="D3487" s="8">
        <v>5</v>
      </c>
      <c r="E3487" s="11">
        <v>43108</v>
      </c>
      <c r="F3487" s="8" t="s">
        <v>58</v>
      </c>
      <c r="G3487" s="11">
        <v>43109</v>
      </c>
      <c r="H3487" s="8" t="s">
        <v>25</v>
      </c>
      <c r="I3487" s="11">
        <v>43115</v>
      </c>
      <c r="J3487" s="8" t="s">
        <v>145</v>
      </c>
      <c r="N3487" s="8" t="s">
        <v>58</v>
      </c>
      <c r="O3487" s="8" t="s">
        <v>59</v>
      </c>
      <c r="P3487" s="8" t="s">
        <v>59</v>
      </c>
      <c r="R3487" s="8">
        <v>0</v>
      </c>
      <c r="S3487" s="8">
        <v>0</v>
      </c>
      <c r="T3487" s="8">
        <v>1</v>
      </c>
      <c r="U3487" s="8">
        <v>2</v>
      </c>
      <c r="X3487" s="8">
        <v>5</v>
      </c>
      <c r="AG3487" s="8" t="str">
        <f t="shared" si="217"/>
        <v/>
      </c>
      <c r="AI3487" s="8" t="str">
        <f t="shared" si="218"/>
        <v/>
      </c>
      <c r="AJ3487" s="8" t="str">
        <f t="shared" si="219"/>
        <v/>
      </c>
      <c r="AL3487" s="8" t="str">
        <f t="shared" si="220"/>
        <v/>
      </c>
    </row>
    <row r="3488" spans="1:38" x14ac:dyDescent="0.25">
      <c r="A3488" s="8" t="s">
        <v>673</v>
      </c>
      <c r="B3488" s="8" t="s">
        <v>674</v>
      </c>
      <c r="C3488" s="8">
        <v>30814513</v>
      </c>
      <c r="D3488" s="8">
        <v>5</v>
      </c>
      <c r="E3488" s="11">
        <v>43108</v>
      </c>
      <c r="F3488" s="8" t="s">
        <v>58</v>
      </c>
      <c r="G3488" s="11">
        <v>43108</v>
      </c>
      <c r="H3488" s="8" t="s">
        <v>25</v>
      </c>
      <c r="I3488" s="11">
        <v>43112</v>
      </c>
      <c r="J3488" s="8" t="s">
        <v>145</v>
      </c>
      <c r="N3488" s="8" t="s">
        <v>58</v>
      </c>
      <c r="O3488" s="8" t="s">
        <v>59</v>
      </c>
      <c r="P3488" s="8" t="s">
        <v>59</v>
      </c>
      <c r="R3488" s="8">
        <v>0</v>
      </c>
      <c r="S3488" s="8">
        <v>0</v>
      </c>
      <c r="T3488" s="8">
        <v>1</v>
      </c>
      <c r="U3488" s="8">
        <v>2</v>
      </c>
      <c r="X3488" s="8">
        <v>5</v>
      </c>
      <c r="AG3488" s="8" t="str">
        <f t="shared" si="217"/>
        <v/>
      </c>
      <c r="AI3488" s="8" t="str">
        <f t="shared" si="218"/>
        <v/>
      </c>
      <c r="AJ3488" s="8" t="str">
        <f t="shared" si="219"/>
        <v/>
      </c>
      <c r="AL3488" s="8" t="str">
        <f t="shared" si="220"/>
        <v/>
      </c>
    </row>
    <row r="3489" spans="1:38" x14ac:dyDescent="0.25">
      <c r="A3489" s="8" t="s">
        <v>6238</v>
      </c>
      <c r="B3489" s="8" t="s">
        <v>6239</v>
      </c>
      <c r="C3489" s="8">
        <v>30808941</v>
      </c>
      <c r="D3489" s="8">
        <v>5</v>
      </c>
      <c r="E3489" s="11">
        <v>43108</v>
      </c>
      <c r="F3489" s="8" t="s">
        <v>57</v>
      </c>
      <c r="G3489" s="11">
        <v>43112</v>
      </c>
      <c r="H3489" s="8" t="s">
        <v>145</v>
      </c>
      <c r="J3489" s="8" t="s">
        <v>25</v>
      </c>
      <c r="N3489" s="8" t="s">
        <v>58</v>
      </c>
      <c r="O3489" s="8" t="s">
        <v>59</v>
      </c>
      <c r="P3489" s="8" t="s">
        <v>59</v>
      </c>
      <c r="R3489" s="8">
        <v>0</v>
      </c>
      <c r="S3489" s="8">
        <v>0</v>
      </c>
      <c r="T3489" s="8">
        <v>1</v>
      </c>
      <c r="U3489" s="8">
        <v>2</v>
      </c>
      <c r="AG3489" s="8" t="str">
        <f t="shared" si="217"/>
        <v/>
      </c>
      <c r="AI3489" s="8" t="str">
        <f t="shared" si="218"/>
        <v/>
      </c>
      <c r="AJ3489" s="8" t="str">
        <f t="shared" si="219"/>
        <v/>
      </c>
      <c r="AL3489" s="8" t="str">
        <f t="shared" si="220"/>
        <v/>
      </c>
    </row>
    <row r="3490" spans="1:38" x14ac:dyDescent="0.25">
      <c r="A3490" s="8" t="s">
        <v>8031</v>
      </c>
      <c r="B3490" s="8" t="s">
        <v>8032</v>
      </c>
      <c r="C3490" s="8">
        <v>30942157</v>
      </c>
      <c r="D3490" s="8">
        <v>5</v>
      </c>
      <c r="E3490" s="11">
        <v>43115</v>
      </c>
      <c r="F3490" s="8" t="s">
        <v>58</v>
      </c>
      <c r="G3490" s="11">
        <v>43115</v>
      </c>
      <c r="H3490" s="8" t="s">
        <v>25</v>
      </c>
      <c r="I3490" s="11">
        <v>43115</v>
      </c>
      <c r="J3490" s="8" t="s">
        <v>25</v>
      </c>
      <c r="N3490" s="8" t="s">
        <v>58</v>
      </c>
      <c r="O3490" s="8" t="s">
        <v>59</v>
      </c>
      <c r="P3490" s="8" t="s">
        <v>59</v>
      </c>
      <c r="R3490" s="8">
        <v>0</v>
      </c>
      <c r="S3490" s="8">
        <v>0</v>
      </c>
      <c r="T3490" s="8">
        <v>1</v>
      </c>
      <c r="U3490" s="8">
        <v>2</v>
      </c>
      <c r="X3490" s="8">
        <v>5</v>
      </c>
      <c r="AG3490" s="8" t="str">
        <f t="shared" si="217"/>
        <v/>
      </c>
      <c r="AI3490" s="8" t="str">
        <f t="shared" si="218"/>
        <v/>
      </c>
      <c r="AJ3490" s="8" t="str">
        <f t="shared" si="219"/>
        <v/>
      </c>
      <c r="AL3490" s="8" t="str">
        <f t="shared" si="220"/>
        <v/>
      </c>
    </row>
    <row r="3491" spans="1:38" x14ac:dyDescent="0.25">
      <c r="A3491" s="8" t="s">
        <v>1464</v>
      </c>
      <c r="B3491" s="8" t="s">
        <v>1465</v>
      </c>
      <c r="C3491" s="8">
        <v>30840493</v>
      </c>
      <c r="D3491" s="8">
        <v>5</v>
      </c>
      <c r="E3491" s="11">
        <v>43109</v>
      </c>
      <c r="F3491" s="8" t="s">
        <v>58</v>
      </c>
      <c r="G3491" s="11">
        <v>43109</v>
      </c>
      <c r="H3491" s="8" t="s">
        <v>25</v>
      </c>
      <c r="I3491" s="11">
        <v>43109</v>
      </c>
      <c r="J3491" s="8" t="s">
        <v>25</v>
      </c>
      <c r="N3491" s="8" t="s">
        <v>58</v>
      </c>
      <c r="O3491" s="8" t="s">
        <v>59</v>
      </c>
      <c r="P3491" s="8" t="s">
        <v>59</v>
      </c>
      <c r="R3491" s="8">
        <v>0</v>
      </c>
      <c r="S3491" s="8">
        <v>0</v>
      </c>
      <c r="T3491" s="8">
        <v>1</v>
      </c>
      <c r="U3491" s="8">
        <v>2</v>
      </c>
      <c r="X3491" s="8">
        <v>5</v>
      </c>
      <c r="AG3491" s="8" t="str">
        <f t="shared" si="217"/>
        <v/>
      </c>
      <c r="AI3491" s="8" t="str">
        <f t="shared" si="218"/>
        <v/>
      </c>
      <c r="AJ3491" s="8" t="str">
        <f t="shared" si="219"/>
        <v/>
      </c>
      <c r="AL3491" s="8" t="str">
        <f t="shared" si="220"/>
        <v/>
      </c>
    </row>
    <row r="3492" spans="1:38" x14ac:dyDescent="0.25">
      <c r="A3492" s="8" t="s">
        <v>6240</v>
      </c>
      <c r="B3492" s="8" t="s">
        <v>6241</v>
      </c>
      <c r="C3492" s="8">
        <v>30876099</v>
      </c>
      <c r="D3492" s="8">
        <v>5</v>
      </c>
      <c r="E3492" s="11">
        <v>43110</v>
      </c>
      <c r="F3492" s="8" t="s">
        <v>57</v>
      </c>
      <c r="G3492" s="11">
        <v>43114</v>
      </c>
      <c r="H3492" s="8" t="s">
        <v>25</v>
      </c>
      <c r="J3492" s="8" t="s">
        <v>25</v>
      </c>
      <c r="N3492" s="8" t="s">
        <v>58</v>
      </c>
      <c r="O3492" s="8" t="s">
        <v>59</v>
      </c>
      <c r="P3492" s="8" t="s">
        <v>59</v>
      </c>
      <c r="R3492" s="8">
        <v>0</v>
      </c>
      <c r="S3492" s="8">
        <v>0</v>
      </c>
      <c r="T3492" s="8">
        <v>1</v>
      </c>
      <c r="U3492" s="8">
        <v>2</v>
      </c>
      <c r="AG3492" s="8" t="str">
        <f t="shared" si="217"/>
        <v/>
      </c>
      <c r="AI3492" s="8" t="str">
        <f t="shared" si="218"/>
        <v/>
      </c>
      <c r="AJ3492" s="8" t="str">
        <f t="shared" si="219"/>
        <v/>
      </c>
      <c r="AL3492" s="8" t="str">
        <f t="shared" si="220"/>
        <v/>
      </c>
    </row>
    <row r="3493" spans="1:38" x14ac:dyDescent="0.25">
      <c r="A3493" s="8" t="s">
        <v>6242</v>
      </c>
      <c r="B3493" s="8" t="s">
        <v>6243</v>
      </c>
      <c r="C3493" s="8">
        <v>30817392</v>
      </c>
      <c r="D3493" s="8">
        <v>5</v>
      </c>
      <c r="E3493" s="11">
        <v>43108</v>
      </c>
      <c r="F3493" s="8" t="s">
        <v>57</v>
      </c>
      <c r="G3493" s="11">
        <v>43114</v>
      </c>
      <c r="H3493" s="8" t="s">
        <v>856</v>
      </c>
      <c r="J3493" s="8" t="s">
        <v>25</v>
      </c>
      <c r="N3493" s="8" t="s">
        <v>58</v>
      </c>
      <c r="O3493" s="8" t="s">
        <v>59</v>
      </c>
      <c r="P3493" s="8" t="s">
        <v>59</v>
      </c>
      <c r="R3493" s="8">
        <v>0</v>
      </c>
      <c r="S3493" s="8">
        <v>0</v>
      </c>
      <c r="T3493" s="8">
        <v>1</v>
      </c>
      <c r="U3493" s="8">
        <v>2</v>
      </c>
      <c r="AG3493" s="8" t="str">
        <f t="shared" si="217"/>
        <v/>
      </c>
      <c r="AI3493" s="8" t="str">
        <f t="shared" si="218"/>
        <v/>
      </c>
      <c r="AJ3493" s="8" t="str">
        <f t="shared" si="219"/>
        <v/>
      </c>
      <c r="AL3493" s="8" t="str">
        <f t="shared" si="220"/>
        <v/>
      </c>
    </row>
    <row r="3494" spans="1:38" x14ac:dyDescent="0.25">
      <c r="A3494" s="8" t="s">
        <v>6244</v>
      </c>
      <c r="B3494" s="8" t="s">
        <v>6245</v>
      </c>
      <c r="C3494" s="8">
        <v>30920347</v>
      </c>
      <c r="D3494" s="8">
        <v>5</v>
      </c>
      <c r="E3494" s="11">
        <v>43112</v>
      </c>
      <c r="F3494" s="8" t="s">
        <v>58</v>
      </c>
      <c r="G3494" s="11">
        <v>43112</v>
      </c>
      <c r="H3494" s="8" t="s">
        <v>25</v>
      </c>
      <c r="I3494" s="11">
        <v>43112</v>
      </c>
      <c r="J3494" s="8" t="s">
        <v>25</v>
      </c>
      <c r="N3494" s="8" t="s">
        <v>58</v>
      </c>
      <c r="O3494" s="8" t="s">
        <v>59</v>
      </c>
      <c r="P3494" s="8" t="s">
        <v>59</v>
      </c>
      <c r="R3494" s="8">
        <v>0</v>
      </c>
      <c r="S3494" s="8">
        <v>0</v>
      </c>
      <c r="T3494" s="8">
        <v>1</v>
      </c>
      <c r="U3494" s="8">
        <v>2</v>
      </c>
      <c r="X3494" s="8">
        <v>5</v>
      </c>
      <c r="AG3494" s="8" t="str">
        <f t="shared" si="217"/>
        <v/>
      </c>
      <c r="AI3494" s="8" t="str">
        <f t="shared" si="218"/>
        <v/>
      </c>
      <c r="AJ3494" s="8" t="str">
        <f t="shared" si="219"/>
        <v/>
      </c>
      <c r="AL3494" s="8" t="str">
        <f t="shared" si="220"/>
        <v/>
      </c>
    </row>
    <row r="3495" spans="1:38" x14ac:dyDescent="0.25">
      <c r="A3495" s="8" t="s">
        <v>6246</v>
      </c>
      <c r="B3495" s="8" t="s">
        <v>6247</v>
      </c>
      <c r="C3495" s="8">
        <v>30891770</v>
      </c>
      <c r="D3495" s="8">
        <v>5</v>
      </c>
      <c r="E3495" s="11">
        <v>43111</v>
      </c>
      <c r="F3495" s="8" t="s">
        <v>57</v>
      </c>
      <c r="G3495" s="11">
        <v>43112</v>
      </c>
      <c r="H3495" s="8" t="s">
        <v>25</v>
      </c>
      <c r="J3495" s="8" t="s">
        <v>25</v>
      </c>
      <c r="N3495" s="8" t="s">
        <v>58</v>
      </c>
      <c r="O3495" s="8" t="s">
        <v>59</v>
      </c>
      <c r="P3495" s="8" t="s">
        <v>59</v>
      </c>
      <c r="R3495" s="8">
        <v>0</v>
      </c>
      <c r="S3495" s="8">
        <v>0</v>
      </c>
      <c r="T3495" s="8">
        <v>1</v>
      </c>
      <c r="U3495" s="8">
        <v>2</v>
      </c>
      <c r="AG3495" s="8" t="str">
        <f t="shared" si="217"/>
        <v/>
      </c>
      <c r="AI3495" s="8" t="str">
        <f t="shared" si="218"/>
        <v/>
      </c>
      <c r="AJ3495" s="8" t="str">
        <f t="shared" si="219"/>
        <v/>
      </c>
      <c r="AL3495" s="8" t="str">
        <f t="shared" si="220"/>
        <v/>
      </c>
    </row>
    <row r="3496" spans="1:38" x14ac:dyDescent="0.25">
      <c r="A3496" s="8" t="s">
        <v>1466</v>
      </c>
      <c r="B3496" s="8" t="s">
        <v>1467</v>
      </c>
      <c r="C3496" s="8">
        <v>30852813</v>
      </c>
      <c r="D3496" s="8">
        <v>5</v>
      </c>
      <c r="E3496" s="11">
        <v>43109</v>
      </c>
      <c r="F3496" s="8" t="s">
        <v>58</v>
      </c>
      <c r="G3496" s="11">
        <v>43109</v>
      </c>
      <c r="H3496" s="8" t="s">
        <v>25</v>
      </c>
      <c r="I3496" s="11">
        <v>43115</v>
      </c>
      <c r="J3496" s="8" t="s">
        <v>145</v>
      </c>
      <c r="N3496" s="8" t="s">
        <v>58</v>
      </c>
      <c r="O3496" s="8" t="s">
        <v>59</v>
      </c>
      <c r="P3496" s="8" t="s">
        <v>59</v>
      </c>
      <c r="R3496" s="8">
        <v>0</v>
      </c>
      <c r="S3496" s="8">
        <v>0</v>
      </c>
      <c r="T3496" s="8">
        <v>1</v>
      </c>
      <c r="U3496" s="8">
        <v>2</v>
      </c>
      <c r="X3496" s="8">
        <v>5</v>
      </c>
      <c r="AG3496" s="8" t="str">
        <f t="shared" si="217"/>
        <v/>
      </c>
      <c r="AI3496" s="8" t="str">
        <f t="shared" si="218"/>
        <v/>
      </c>
      <c r="AJ3496" s="8" t="str">
        <f t="shared" si="219"/>
        <v/>
      </c>
      <c r="AL3496" s="8" t="str">
        <f t="shared" si="220"/>
        <v/>
      </c>
    </row>
    <row r="3497" spans="1:38" x14ac:dyDescent="0.25">
      <c r="A3497" s="8" t="s">
        <v>675</v>
      </c>
      <c r="B3497" s="8" t="s">
        <v>676</v>
      </c>
      <c r="C3497" s="8">
        <v>30809320</v>
      </c>
      <c r="D3497" s="8">
        <v>5</v>
      </c>
      <c r="E3497" s="11">
        <v>43108</v>
      </c>
      <c r="F3497" s="8" t="s">
        <v>58</v>
      </c>
      <c r="G3497" s="11">
        <v>43108</v>
      </c>
      <c r="H3497" s="8" t="s">
        <v>25</v>
      </c>
      <c r="I3497" s="11">
        <v>43108</v>
      </c>
      <c r="J3497" s="8" t="s">
        <v>25</v>
      </c>
      <c r="N3497" s="8" t="s">
        <v>58</v>
      </c>
      <c r="O3497" s="8" t="s">
        <v>59</v>
      </c>
      <c r="P3497" s="8" t="s">
        <v>59</v>
      </c>
      <c r="R3497" s="8">
        <v>0</v>
      </c>
      <c r="S3497" s="8">
        <v>0</v>
      </c>
      <c r="T3497" s="8">
        <v>1</v>
      </c>
      <c r="U3497" s="8">
        <v>2</v>
      </c>
      <c r="X3497" s="8">
        <v>5</v>
      </c>
      <c r="AG3497" s="8" t="str">
        <f t="shared" si="217"/>
        <v/>
      </c>
      <c r="AI3497" s="8" t="str">
        <f t="shared" si="218"/>
        <v/>
      </c>
      <c r="AJ3497" s="8" t="str">
        <f t="shared" si="219"/>
        <v/>
      </c>
      <c r="AL3497" s="8" t="str">
        <f t="shared" si="220"/>
        <v/>
      </c>
    </row>
    <row r="3498" spans="1:38" x14ac:dyDescent="0.25">
      <c r="A3498" s="8" t="s">
        <v>4479</v>
      </c>
      <c r="B3498" s="8" t="s">
        <v>4480</v>
      </c>
      <c r="C3498" s="8">
        <v>30865222</v>
      </c>
      <c r="D3498" s="8">
        <v>5</v>
      </c>
      <c r="E3498" s="11">
        <v>43110</v>
      </c>
      <c r="F3498" s="8" t="s">
        <v>58</v>
      </c>
      <c r="G3498" s="11">
        <v>43111</v>
      </c>
      <c r="H3498" s="8" t="s">
        <v>25</v>
      </c>
      <c r="I3498" s="11">
        <v>43115</v>
      </c>
      <c r="J3498" s="8" t="s">
        <v>25</v>
      </c>
      <c r="N3498" s="8" t="s">
        <v>58</v>
      </c>
      <c r="O3498" s="8" t="s">
        <v>59</v>
      </c>
      <c r="P3498" s="8" t="s">
        <v>59</v>
      </c>
      <c r="R3498" s="8">
        <v>0</v>
      </c>
      <c r="S3498" s="8">
        <v>0</v>
      </c>
      <c r="T3498" s="8">
        <v>1</v>
      </c>
      <c r="U3498" s="8">
        <v>2</v>
      </c>
      <c r="X3498" s="8">
        <v>5</v>
      </c>
      <c r="AG3498" s="8" t="str">
        <f t="shared" si="217"/>
        <v/>
      </c>
      <c r="AI3498" s="8" t="str">
        <f t="shared" si="218"/>
        <v/>
      </c>
      <c r="AJ3498" s="8" t="str">
        <f t="shared" si="219"/>
        <v/>
      </c>
      <c r="AL3498" s="8" t="str">
        <f t="shared" si="220"/>
        <v/>
      </c>
    </row>
    <row r="3499" spans="1:38" x14ac:dyDescent="0.25">
      <c r="A3499" s="8" t="s">
        <v>6248</v>
      </c>
      <c r="B3499" s="8" t="s">
        <v>6249</v>
      </c>
      <c r="C3499" s="8">
        <v>30852445</v>
      </c>
      <c r="D3499" s="8">
        <v>5</v>
      </c>
      <c r="E3499" s="11">
        <v>43109</v>
      </c>
      <c r="F3499" s="8" t="s">
        <v>57</v>
      </c>
      <c r="G3499" s="11">
        <v>43114</v>
      </c>
      <c r="H3499" s="8" t="s">
        <v>145</v>
      </c>
      <c r="J3499" s="8" t="s">
        <v>25</v>
      </c>
      <c r="N3499" s="8" t="s">
        <v>58</v>
      </c>
      <c r="O3499" s="8" t="s">
        <v>59</v>
      </c>
      <c r="P3499" s="8" t="s">
        <v>59</v>
      </c>
      <c r="R3499" s="8">
        <v>0</v>
      </c>
      <c r="S3499" s="8">
        <v>0</v>
      </c>
      <c r="T3499" s="8">
        <v>1</v>
      </c>
      <c r="U3499" s="8">
        <v>2</v>
      </c>
      <c r="AG3499" s="8" t="str">
        <f t="shared" si="217"/>
        <v/>
      </c>
      <c r="AI3499" s="8" t="str">
        <f t="shared" si="218"/>
        <v/>
      </c>
      <c r="AJ3499" s="8" t="str">
        <f t="shared" si="219"/>
        <v/>
      </c>
      <c r="AL3499" s="8" t="str">
        <f t="shared" si="220"/>
        <v/>
      </c>
    </row>
    <row r="3500" spans="1:38" x14ac:dyDescent="0.25">
      <c r="A3500" s="8" t="s">
        <v>6250</v>
      </c>
      <c r="B3500" s="8" t="s">
        <v>6251</v>
      </c>
      <c r="C3500" s="8">
        <v>30904125</v>
      </c>
      <c r="D3500" s="8">
        <v>5</v>
      </c>
      <c r="E3500" s="11">
        <v>43111</v>
      </c>
      <c r="F3500" s="8" t="s">
        <v>58</v>
      </c>
      <c r="G3500" s="11">
        <v>43112</v>
      </c>
      <c r="H3500" s="8" t="s">
        <v>25</v>
      </c>
      <c r="I3500" s="11">
        <v>43112</v>
      </c>
      <c r="J3500" s="8" t="s">
        <v>25</v>
      </c>
      <c r="N3500" s="8" t="s">
        <v>58</v>
      </c>
      <c r="O3500" s="8" t="s">
        <v>59</v>
      </c>
      <c r="P3500" s="8" t="s">
        <v>59</v>
      </c>
      <c r="R3500" s="8">
        <v>0</v>
      </c>
      <c r="S3500" s="8">
        <v>0</v>
      </c>
      <c r="T3500" s="8">
        <v>1</v>
      </c>
      <c r="U3500" s="8">
        <v>2</v>
      </c>
      <c r="X3500" s="8">
        <v>5</v>
      </c>
      <c r="AG3500" s="8" t="str">
        <f t="shared" si="217"/>
        <v/>
      </c>
      <c r="AI3500" s="8" t="str">
        <f t="shared" si="218"/>
        <v/>
      </c>
      <c r="AJ3500" s="8" t="str">
        <f t="shared" si="219"/>
        <v/>
      </c>
      <c r="AL3500" s="8" t="str">
        <f t="shared" si="220"/>
        <v/>
      </c>
    </row>
    <row r="3501" spans="1:38" x14ac:dyDescent="0.25">
      <c r="A3501" s="8" t="s">
        <v>8033</v>
      </c>
      <c r="B3501" s="8" t="s">
        <v>8034</v>
      </c>
      <c r="C3501" s="8">
        <v>30938199</v>
      </c>
      <c r="D3501" s="8">
        <v>5</v>
      </c>
      <c r="E3501" s="11">
        <v>43115</v>
      </c>
      <c r="F3501" s="8" t="s">
        <v>57</v>
      </c>
      <c r="G3501" s="11">
        <v>43115</v>
      </c>
      <c r="H3501" s="8" t="s">
        <v>25</v>
      </c>
      <c r="J3501" s="8" t="s">
        <v>25</v>
      </c>
      <c r="N3501" s="8" t="s">
        <v>58</v>
      </c>
      <c r="O3501" s="8" t="s">
        <v>59</v>
      </c>
      <c r="P3501" s="8" t="s">
        <v>59</v>
      </c>
      <c r="R3501" s="8">
        <v>0</v>
      </c>
      <c r="S3501" s="8">
        <v>0</v>
      </c>
      <c r="T3501" s="8">
        <v>1</v>
      </c>
      <c r="U3501" s="8">
        <v>2</v>
      </c>
      <c r="AG3501" s="8" t="str">
        <f t="shared" si="217"/>
        <v/>
      </c>
      <c r="AI3501" s="8" t="str">
        <f t="shared" si="218"/>
        <v/>
      </c>
      <c r="AJ3501" s="8" t="str">
        <f t="shared" si="219"/>
        <v/>
      </c>
      <c r="AL3501" s="8" t="str">
        <f t="shared" si="220"/>
        <v/>
      </c>
    </row>
    <row r="3502" spans="1:38" x14ac:dyDescent="0.25">
      <c r="A3502" s="8" t="s">
        <v>6252</v>
      </c>
      <c r="B3502" s="8" t="s">
        <v>6253</v>
      </c>
      <c r="C3502" s="8">
        <v>30858509</v>
      </c>
      <c r="D3502" s="8">
        <v>5</v>
      </c>
      <c r="E3502" s="11">
        <v>43110</v>
      </c>
      <c r="F3502" s="8" t="s">
        <v>57</v>
      </c>
      <c r="G3502" s="11">
        <v>43114</v>
      </c>
      <c r="H3502" s="8" t="s">
        <v>25</v>
      </c>
      <c r="J3502" s="8" t="s">
        <v>25</v>
      </c>
      <c r="N3502" s="8" t="s">
        <v>58</v>
      </c>
      <c r="O3502" s="8" t="s">
        <v>59</v>
      </c>
      <c r="P3502" s="8" t="s">
        <v>59</v>
      </c>
      <c r="R3502" s="8">
        <v>0</v>
      </c>
      <c r="S3502" s="8">
        <v>0</v>
      </c>
      <c r="T3502" s="8">
        <v>1</v>
      </c>
      <c r="U3502" s="8">
        <v>2</v>
      </c>
      <c r="AG3502" s="8" t="str">
        <f t="shared" si="217"/>
        <v/>
      </c>
      <c r="AI3502" s="8" t="str">
        <f t="shared" si="218"/>
        <v/>
      </c>
      <c r="AJ3502" s="8" t="str">
        <f t="shared" si="219"/>
        <v/>
      </c>
      <c r="AL3502" s="8" t="str">
        <f t="shared" si="220"/>
        <v/>
      </c>
    </row>
    <row r="3503" spans="1:38" x14ac:dyDescent="0.25">
      <c r="A3503" s="8" t="s">
        <v>3048</v>
      </c>
      <c r="B3503" s="8" t="s">
        <v>3049</v>
      </c>
      <c r="C3503" s="8">
        <v>30871348</v>
      </c>
      <c r="D3503" s="8">
        <v>5</v>
      </c>
      <c r="E3503" s="11">
        <v>43110</v>
      </c>
      <c r="F3503" s="8" t="s">
        <v>58</v>
      </c>
      <c r="G3503" s="11">
        <v>43110</v>
      </c>
      <c r="H3503" s="8" t="s">
        <v>25</v>
      </c>
      <c r="I3503" s="11">
        <v>43110</v>
      </c>
      <c r="J3503" s="8" t="s">
        <v>25</v>
      </c>
      <c r="N3503" s="8" t="s">
        <v>58</v>
      </c>
      <c r="O3503" s="8" t="s">
        <v>59</v>
      </c>
      <c r="P3503" s="8" t="s">
        <v>59</v>
      </c>
      <c r="R3503" s="8">
        <v>0</v>
      </c>
      <c r="S3503" s="8">
        <v>0</v>
      </c>
      <c r="T3503" s="8">
        <v>1</v>
      </c>
      <c r="U3503" s="8">
        <v>2</v>
      </c>
      <c r="X3503" s="8">
        <v>5</v>
      </c>
      <c r="AG3503" s="8" t="str">
        <f t="shared" si="217"/>
        <v/>
      </c>
      <c r="AI3503" s="8" t="str">
        <f t="shared" si="218"/>
        <v/>
      </c>
      <c r="AJ3503" s="8" t="str">
        <f t="shared" si="219"/>
        <v/>
      </c>
      <c r="AL3503" s="8" t="str">
        <f t="shared" si="220"/>
        <v/>
      </c>
    </row>
    <row r="3504" spans="1:38" x14ac:dyDescent="0.25">
      <c r="A3504" s="8" t="s">
        <v>4481</v>
      </c>
      <c r="B3504" s="8" t="s">
        <v>4482</v>
      </c>
      <c r="C3504" s="8">
        <v>30897457</v>
      </c>
      <c r="D3504" s="8">
        <v>5</v>
      </c>
      <c r="E3504" s="11">
        <v>43111</v>
      </c>
      <c r="F3504" s="8" t="s">
        <v>58</v>
      </c>
      <c r="G3504" s="11">
        <v>43111</v>
      </c>
      <c r="H3504" s="8" t="s">
        <v>25</v>
      </c>
      <c r="I3504" s="11">
        <v>43111</v>
      </c>
      <c r="J3504" s="8" t="s">
        <v>25</v>
      </c>
      <c r="N3504" s="8" t="s">
        <v>58</v>
      </c>
      <c r="O3504" s="8" t="s">
        <v>59</v>
      </c>
      <c r="P3504" s="8" t="s">
        <v>59</v>
      </c>
      <c r="R3504" s="8">
        <v>0</v>
      </c>
      <c r="S3504" s="8">
        <v>0</v>
      </c>
      <c r="T3504" s="8">
        <v>1</v>
      </c>
      <c r="U3504" s="8">
        <v>2</v>
      </c>
      <c r="X3504" s="8">
        <v>5</v>
      </c>
      <c r="AG3504" s="8" t="str">
        <f t="shared" si="217"/>
        <v/>
      </c>
      <c r="AI3504" s="8" t="str">
        <f t="shared" si="218"/>
        <v/>
      </c>
      <c r="AJ3504" s="8" t="str">
        <f t="shared" si="219"/>
        <v/>
      </c>
      <c r="AL3504" s="8" t="str">
        <f t="shared" si="220"/>
        <v/>
      </c>
    </row>
    <row r="3505" spans="1:38" x14ac:dyDescent="0.25">
      <c r="A3505" s="8" t="s">
        <v>6254</v>
      </c>
      <c r="B3505" s="8" t="s">
        <v>6255</v>
      </c>
      <c r="C3505" s="8">
        <v>30864269</v>
      </c>
      <c r="D3505" s="8">
        <v>5</v>
      </c>
      <c r="E3505" s="11">
        <v>43110</v>
      </c>
      <c r="F3505" s="8" t="s">
        <v>57</v>
      </c>
      <c r="G3505" s="11">
        <v>43114</v>
      </c>
      <c r="H3505" s="8" t="s">
        <v>25</v>
      </c>
      <c r="J3505" s="8" t="s">
        <v>25</v>
      </c>
      <c r="N3505" s="8" t="s">
        <v>58</v>
      </c>
      <c r="O3505" s="8" t="s">
        <v>59</v>
      </c>
      <c r="P3505" s="8" t="s">
        <v>59</v>
      </c>
      <c r="R3505" s="8">
        <v>0</v>
      </c>
      <c r="S3505" s="8">
        <v>0</v>
      </c>
      <c r="T3505" s="8">
        <v>1</v>
      </c>
      <c r="U3505" s="8">
        <v>2</v>
      </c>
      <c r="AG3505" s="8" t="str">
        <f t="shared" si="217"/>
        <v/>
      </c>
      <c r="AI3505" s="8" t="str">
        <f t="shared" si="218"/>
        <v/>
      </c>
      <c r="AJ3505" s="8" t="str">
        <f t="shared" si="219"/>
        <v/>
      </c>
      <c r="AL3505" s="8" t="str">
        <f t="shared" si="220"/>
        <v/>
      </c>
    </row>
    <row r="3506" spans="1:38" x14ac:dyDescent="0.25">
      <c r="A3506" s="8" t="s">
        <v>4483</v>
      </c>
      <c r="B3506" s="8" t="s">
        <v>4484</v>
      </c>
      <c r="C3506" s="8">
        <v>30882683</v>
      </c>
      <c r="D3506" s="8">
        <v>5</v>
      </c>
      <c r="E3506" s="11">
        <v>43111</v>
      </c>
      <c r="F3506" s="8" t="s">
        <v>57</v>
      </c>
      <c r="G3506" s="11">
        <v>43111</v>
      </c>
      <c r="H3506" s="8" t="s">
        <v>25</v>
      </c>
      <c r="J3506" s="8" t="s">
        <v>25</v>
      </c>
      <c r="N3506" s="8" t="s">
        <v>58</v>
      </c>
      <c r="O3506" s="8" t="s">
        <v>59</v>
      </c>
      <c r="P3506" s="8" t="s">
        <v>59</v>
      </c>
      <c r="R3506" s="8">
        <v>0</v>
      </c>
      <c r="S3506" s="8">
        <v>0</v>
      </c>
      <c r="T3506" s="8">
        <v>1</v>
      </c>
      <c r="U3506" s="8">
        <v>2</v>
      </c>
      <c r="AG3506" s="8" t="str">
        <f t="shared" si="217"/>
        <v/>
      </c>
      <c r="AI3506" s="8" t="str">
        <f t="shared" si="218"/>
        <v/>
      </c>
      <c r="AJ3506" s="8" t="str">
        <f t="shared" si="219"/>
        <v/>
      </c>
      <c r="AL3506" s="8" t="str">
        <f t="shared" si="220"/>
        <v/>
      </c>
    </row>
    <row r="3507" spans="1:38" x14ac:dyDescent="0.25">
      <c r="A3507" s="8" t="s">
        <v>6256</v>
      </c>
      <c r="B3507" s="8" t="s">
        <v>6257</v>
      </c>
      <c r="C3507" s="8">
        <v>30899983</v>
      </c>
      <c r="D3507" s="8">
        <v>5</v>
      </c>
      <c r="E3507" s="11">
        <v>43111</v>
      </c>
      <c r="F3507" s="8" t="s">
        <v>57</v>
      </c>
      <c r="G3507" s="11">
        <v>43114</v>
      </c>
      <c r="H3507" s="8" t="s">
        <v>25</v>
      </c>
      <c r="J3507" s="8" t="s">
        <v>25</v>
      </c>
      <c r="N3507" s="8" t="s">
        <v>58</v>
      </c>
      <c r="O3507" s="8" t="s">
        <v>59</v>
      </c>
      <c r="P3507" s="8" t="s">
        <v>59</v>
      </c>
      <c r="R3507" s="8">
        <v>0</v>
      </c>
      <c r="S3507" s="8">
        <v>0</v>
      </c>
      <c r="T3507" s="8">
        <v>1</v>
      </c>
      <c r="U3507" s="8">
        <v>2</v>
      </c>
      <c r="AG3507" s="8" t="str">
        <f t="shared" si="217"/>
        <v/>
      </c>
      <c r="AI3507" s="8" t="str">
        <f t="shared" si="218"/>
        <v/>
      </c>
      <c r="AJ3507" s="8" t="str">
        <f t="shared" si="219"/>
        <v/>
      </c>
      <c r="AL3507" s="8" t="str">
        <f t="shared" si="220"/>
        <v/>
      </c>
    </row>
    <row r="3508" spans="1:38" x14ac:dyDescent="0.25">
      <c r="A3508" s="8" t="s">
        <v>6258</v>
      </c>
      <c r="B3508" s="8" t="s">
        <v>6259</v>
      </c>
      <c r="C3508" s="8">
        <v>30860328</v>
      </c>
      <c r="D3508" s="8">
        <v>5</v>
      </c>
      <c r="E3508" s="11">
        <v>43110</v>
      </c>
      <c r="F3508" s="8" t="s">
        <v>57</v>
      </c>
      <c r="G3508" s="11">
        <v>43114</v>
      </c>
      <c r="H3508" s="8" t="s">
        <v>25</v>
      </c>
      <c r="J3508" s="8" t="s">
        <v>25</v>
      </c>
      <c r="N3508" s="8" t="s">
        <v>58</v>
      </c>
      <c r="O3508" s="8" t="s">
        <v>59</v>
      </c>
      <c r="P3508" s="8" t="s">
        <v>59</v>
      </c>
      <c r="R3508" s="8">
        <v>0</v>
      </c>
      <c r="S3508" s="8">
        <v>0</v>
      </c>
      <c r="T3508" s="8">
        <v>1</v>
      </c>
      <c r="U3508" s="8">
        <v>2</v>
      </c>
      <c r="AG3508" s="8" t="str">
        <f t="shared" si="217"/>
        <v/>
      </c>
      <c r="AI3508" s="8" t="str">
        <f t="shared" si="218"/>
        <v/>
      </c>
      <c r="AJ3508" s="8" t="str">
        <f t="shared" si="219"/>
        <v/>
      </c>
      <c r="AL3508" s="8" t="str">
        <f t="shared" si="220"/>
        <v/>
      </c>
    </row>
    <row r="3509" spans="1:38" x14ac:dyDescent="0.25">
      <c r="A3509" s="8" t="s">
        <v>4485</v>
      </c>
      <c r="B3509" s="8" t="s">
        <v>4486</v>
      </c>
      <c r="C3509" s="8">
        <v>30881957</v>
      </c>
      <c r="D3509" s="8">
        <v>5</v>
      </c>
      <c r="E3509" s="11">
        <v>43111</v>
      </c>
      <c r="F3509" s="8" t="s">
        <v>57</v>
      </c>
      <c r="G3509" s="11">
        <v>43111</v>
      </c>
      <c r="H3509" s="8" t="s">
        <v>25</v>
      </c>
      <c r="J3509" s="8" t="s">
        <v>25</v>
      </c>
      <c r="N3509" s="8" t="s">
        <v>76</v>
      </c>
      <c r="O3509" s="8" t="s">
        <v>59</v>
      </c>
      <c r="P3509" s="8" t="s">
        <v>59</v>
      </c>
      <c r="R3509" s="8">
        <v>0</v>
      </c>
      <c r="S3509" s="8">
        <v>0</v>
      </c>
      <c r="T3509" s="8">
        <v>1</v>
      </c>
      <c r="U3509" s="8">
        <v>2</v>
      </c>
      <c r="AG3509" s="8" t="str">
        <f t="shared" si="217"/>
        <v/>
      </c>
      <c r="AI3509" s="8" t="str">
        <f t="shared" si="218"/>
        <v/>
      </c>
      <c r="AJ3509" s="8" t="str">
        <f t="shared" si="219"/>
        <v/>
      </c>
      <c r="AL3509" s="8" t="str">
        <f t="shared" si="220"/>
        <v/>
      </c>
    </row>
    <row r="3510" spans="1:38" x14ac:dyDescent="0.25">
      <c r="A3510" s="8" t="s">
        <v>6260</v>
      </c>
      <c r="B3510" s="8" t="s">
        <v>6261</v>
      </c>
      <c r="C3510" s="8">
        <v>30894329</v>
      </c>
      <c r="D3510" s="8">
        <v>5</v>
      </c>
      <c r="E3510" s="11">
        <v>43111</v>
      </c>
      <c r="F3510" s="8" t="s">
        <v>57</v>
      </c>
      <c r="G3510" s="11">
        <v>43114</v>
      </c>
      <c r="H3510" s="8" t="s">
        <v>25</v>
      </c>
      <c r="J3510" s="8" t="s">
        <v>25</v>
      </c>
      <c r="N3510" s="8" t="s">
        <v>58</v>
      </c>
      <c r="O3510" s="8" t="s">
        <v>59</v>
      </c>
      <c r="P3510" s="8" t="s">
        <v>59</v>
      </c>
      <c r="R3510" s="8">
        <v>0</v>
      </c>
      <c r="S3510" s="8">
        <v>0</v>
      </c>
      <c r="T3510" s="8">
        <v>1</v>
      </c>
      <c r="U3510" s="8">
        <v>2</v>
      </c>
      <c r="AG3510" s="8" t="str">
        <f t="shared" si="217"/>
        <v/>
      </c>
      <c r="AI3510" s="8" t="str">
        <f t="shared" si="218"/>
        <v/>
      </c>
      <c r="AJ3510" s="8" t="str">
        <f t="shared" si="219"/>
        <v/>
      </c>
      <c r="AL3510" s="8" t="str">
        <f t="shared" si="220"/>
        <v/>
      </c>
    </row>
    <row r="3511" spans="1:38" x14ac:dyDescent="0.25">
      <c r="A3511" s="8" t="s">
        <v>1468</v>
      </c>
      <c r="B3511" s="8" t="s">
        <v>1469</v>
      </c>
      <c r="C3511" s="8">
        <v>30824296</v>
      </c>
      <c r="D3511" s="8">
        <v>5</v>
      </c>
      <c r="E3511" s="11">
        <v>43108</v>
      </c>
      <c r="F3511" s="8" t="s">
        <v>58</v>
      </c>
      <c r="G3511" s="11">
        <v>43109</v>
      </c>
      <c r="H3511" s="8" t="s">
        <v>25</v>
      </c>
      <c r="I3511" s="11">
        <v>43110</v>
      </c>
      <c r="J3511" s="8" t="s">
        <v>25</v>
      </c>
      <c r="N3511" s="8" t="s">
        <v>58</v>
      </c>
      <c r="O3511" s="8" t="s">
        <v>59</v>
      </c>
      <c r="P3511" s="8" t="s">
        <v>59</v>
      </c>
      <c r="R3511" s="8">
        <v>0</v>
      </c>
      <c r="S3511" s="8">
        <v>0</v>
      </c>
      <c r="T3511" s="8">
        <v>1</v>
      </c>
      <c r="U3511" s="8">
        <v>2</v>
      </c>
      <c r="X3511" s="8">
        <v>5</v>
      </c>
      <c r="AG3511" s="8" t="str">
        <f t="shared" si="217"/>
        <v/>
      </c>
      <c r="AI3511" s="8" t="str">
        <f t="shared" si="218"/>
        <v/>
      </c>
      <c r="AJ3511" s="8" t="str">
        <f t="shared" si="219"/>
        <v/>
      </c>
      <c r="AL3511" s="8" t="str">
        <f t="shared" si="220"/>
        <v/>
      </c>
    </row>
    <row r="3512" spans="1:38" x14ac:dyDescent="0.25">
      <c r="A3512" s="8" t="s">
        <v>6262</v>
      </c>
      <c r="B3512" s="8" t="s">
        <v>6263</v>
      </c>
      <c r="C3512" s="8">
        <v>30830311</v>
      </c>
      <c r="D3512" s="8">
        <v>5</v>
      </c>
      <c r="E3512" s="11">
        <v>43108</v>
      </c>
      <c r="F3512" s="8" t="s">
        <v>57</v>
      </c>
      <c r="G3512" s="11">
        <v>43114</v>
      </c>
      <c r="H3512" s="8" t="s">
        <v>856</v>
      </c>
      <c r="J3512" s="8" t="s">
        <v>25</v>
      </c>
      <c r="N3512" s="8" t="s">
        <v>58</v>
      </c>
      <c r="O3512" s="8" t="s">
        <v>59</v>
      </c>
      <c r="P3512" s="8" t="s">
        <v>59</v>
      </c>
      <c r="R3512" s="8">
        <v>0</v>
      </c>
      <c r="S3512" s="8">
        <v>0</v>
      </c>
      <c r="T3512" s="8">
        <v>1</v>
      </c>
      <c r="U3512" s="8">
        <v>2</v>
      </c>
      <c r="AG3512" s="8" t="str">
        <f t="shared" si="217"/>
        <v/>
      </c>
      <c r="AI3512" s="8" t="str">
        <f t="shared" si="218"/>
        <v/>
      </c>
      <c r="AJ3512" s="8" t="str">
        <f t="shared" si="219"/>
        <v/>
      </c>
      <c r="AL3512" s="8" t="str">
        <f t="shared" si="220"/>
        <v/>
      </c>
    </row>
    <row r="3513" spans="1:38" x14ac:dyDescent="0.25">
      <c r="A3513" s="8" t="s">
        <v>677</v>
      </c>
      <c r="B3513" s="8" t="s">
        <v>678</v>
      </c>
      <c r="C3513" s="8">
        <v>30809186</v>
      </c>
      <c r="D3513" s="8">
        <v>5</v>
      </c>
      <c r="E3513" s="11">
        <v>43108</v>
      </c>
      <c r="F3513" s="8" t="s">
        <v>58</v>
      </c>
      <c r="G3513" s="11">
        <v>43108</v>
      </c>
      <c r="H3513" s="8" t="s">
        <v>25</v>
      </c>
      <c r="I3513" s="11">
        <v>43110</v>
      </c>
      <c r="J3513" s="8" t="s">
        <v>25</v>
      </c>
      <c r="N3513" s="8" t="s">
        <v>58</v>
      </c>
      <c r="O3513" s="8" t="s">
        <v>59</v>
      </c>
      <c r="P3513" s="8" t="s">
        <v>59</v>
      </c>
      <c r="R3513" s="8">
        <v>0</v>
      </c>
      <c r="S3513" s="8">
        <v>0</v>
      </c>
      <c r="T3513" s="8">
        <v>1</v>
      </c>
      <c r="U3513" s="8">
        <v>2</v>
      </c>
      <c r="X3513" s="8">
        <v>5</v>
      </c>
      <c r="AG3513" s="8" t="str">
        <f t="shared" si="217"/>
        <v/>
      </c>
      <c r="AI3513" s="8" t="str">
        <f t="shared" si="218"/>
        <v/>
      </c>
      <c r="AJ3513" s="8" t="str">
        <f t="shared" si="219"/>
        <v/>
      </c>
      <c r="AL3513" s="8" t="str">
        <f t="shared" si="220"/>
        <v/>
      </c>
    </row>
    <row r="3514" spans="1:38" x14ac:dyDescent="0.25">
      <c r="A3514" s="8" t="s">
        <v>1470</v>
      </c>
      <c r="B3514" s="8" t="s">
        <v>1471</v>
      </c>
      <c r="C3514" s="8">
        <v>30833371</v>
      </c>
      <c r="D3514" s="8">
        <v>5</v>
      </c>
      <c r="E3514" s="11">
        <v>43109</v>
      </c>
      <c r="F3514" s="8" t="s">
        <v>58</v>
      </c>
      <c r="G3514" s="11">
        <v>43109</v>
      </c>
      <c r="H3514" s="8" t="s">
        <v>25</v>
      </c>
      <c r="I3514" s="11">
        <v>43109</v>
      </c>
      <c r="J3514" s="8" t="s">
        <v>25</v>
      </c>
      <c r="N3514" s="8" t="s">
        <v>58</v>
      </c>
      <c r="O3514" s="8" t="s">
        <v>59</v>
      </c>
      <c r="P3514" s="8" t="s">
        <v>59</v>
      </c>
      <c r="R3514" s="8">
        <v>0</v>
      </c>
      <c r="S3514" s="8">
        <v>0</v>
      </c>
      <c r="T3514" s="8">
        <v>1</v>
      </c>
      <c r="U3514" s="8">
        <v>2</v>
      </c>
      <c r="X3514" s="8">
        <v>5</v>
      </c>
      <c r="AG3514" s="8" t="str">
        <f t="shared" si="217"/>
        <v/>
      </c>
      <c r="AI3514" s="8" t="str">
        <f t="shared" si="218"/>
        <v/>
      </c>
      <c r="AJ3514" s="8" t="str">
        <f t="shared" si="219"/>
        <v/>
      </c>
      <c r="AL3514" s="8" t="str">
        <f t="shared" si="220"/>
        <v/>
      </c>
    </row>
    <row r="3515" spans="1:38" x14ac:dyDescent="0.25">
      <c r="A3515" s="8" t="s">
        <v>679</v>
      </c>
      <c r="B3515" s="8" t="s">
        <v>680</v>
      </c>
      <c r="C3515" s="8">
        <v>30807108</v>
      </c>
      <c r="D3515" s="8">
        <v>5</v>
      </c>
      <c r="E3515" s="11">
        <v>43108</v>
      </c>
      <c r="F3515" s="8" t="s">
        <v>58</v>
      </c>
      <c r="G3515" s="11">
        <v>43108</v>
      </c>
      <c r="H3515" s="8" t="s">
        <v>25</v>
      </c>
      <c r="I3515" s="11">
        <v>43108</v>
      </c>
      <c r="J3515" s="8" t="s">
        <v>25</v>
      </c>
      <c r="N3515" s="8" t="s">
        <v>58</v>
      </c>
      <c r="O3515" s="8" t="s">
        <v>59</v>
      </c>
      <c r="P3515" s="8" t="s">
        <v>59</v>
      </c>
      <c r="R3515" s="8">
        <v>0</v>
      </c>
      <c r="S3515" s="8">
        <v>0</v>
      </c>
      <c r="T3515" s="8">
        <v>1</v>
      </c>
      <c r="U3515" s="8">
        <v>2</v>
      </c>
      <c r="X3515" s="8">
        <v>5</v>
      </c>
      <c r="AG3515" s="8" t="str">
        <f t="shared" si="217"/>
        <v/>
      </c>
      <c r="AI3515" s="8" t="str">
        <f t="shared" si="218"/>
        <v/>
      </c>
      <c r="AJ3515" s="8" t="str">
        <f t="shared" si="219"/>
        <v/>
      </c>
      <c r="AL3515" s="8" t="str">
        <f t="shared" si="220"/>
        <v/>
      </c>
    </row>
    <row r="3516" spans="1:38" x14ac:dyDescent="0.25">
      <c r="A3516" s="8" t="s">
        <v>6264</v>
      </c>
      <c r="B3516" s="8" t="s">
        <v>6265</v>
      </c>
      <c r="C3516" s="8">
        <v>30911858</v>
      </c>
      <c r="D3516" s="8">
        <v>5</v>
      </c>
      <c r="E3516" s="11">
        <v>43112</v>
      </c>
      <c r="F3516" s="8" t="s">
        <v>57</v>
      </c>
      <c r="G3516" s="11">
        <v>43112</v>
      </c>
      <c r="H3516" s="8" t="s">
        <v>25</v>
      </c>
      <c r="J3516" s="8" t="s">
        <v>25</v>
      </c>
      <c r="N3516" s="8" t="s">
        <v>58</v>
      </c>
      <c r="O3516" s="8" t="s">
        <v>59</v>
      </c>
      <c r="P3516" s="8" t="s">
        <v>59</v>
      </c>
      <c r="R3516" s="8">
        <v>0</v>
      </c>
      <c r="S3516" s="8">
        <v>0</v>
      </c>
      <c r="T3516" s="8">
        <v>1</v>
      </c>
      <c r="U3516" s="8">
        <v>2</v>
      </c>
      <c r="AG3516" s="8" t="str">
        <f t="shared" si="217"/>
        <v/>
      </c>
      <c r="AI3516" s="8" t="str">
        <f t="shared" si="218"/>
        <v/>
      </c>
      <c r="AJ3516" s="8" t="str">
        <f t="shared" si="219"/>
        <v/>
      </c>
      <c r="AL3516" s="8" t="str">
        <f t="shared" si="220"/>
        <v/>
      </c>
    </row>
    <row r="3517" spans="1:38" x14ac:dyDescent="0.25">
      <c r="A3517" s="8" t="s">
        <v>4487</v>
      </c>
      <c r="B3517" s="8" t="s">
        <v>4488</v>
      </c>
      <c r="C3517" s="8">
        <v>30901940</v>
      </c>
      <c r="D3517" s="8">
        <v>5</v>
      </c>
      <c r="E3517" s="11">
        <v>43111</v>
      </c>
      <c r="F3517" s="8" t="s">
        <v>58</v>
      </c>
      <c r="G3517" s="11">
        <v>43111</v>
      </c>
      <c r="H3517" s="8" t="s">
        <v>25</v>
      </c>
      <c r="I3517" s="11">
        <v>43111</v>
      </c>
      <c r="J3517" s="8" t="s">
        <v>25</v>
      </c>
      <c r="N3517" s="8" t="s">
        <v>58</v>
      </c>
      <c r="O3517" s="8" t="s">
        <v>59</v>
      </c>
      <c r="P3517" s="8" t="s">
        <v>59</v>
      </c>
      <c r="R3517" s="8">
        <v>0</v>
      </c>
      <c r="S3517" s="8">
        <v>0</v>
      </c>
      <c r="T3517" s="8">
        <v>1</v>
      </c>
      <c r="U3517" s="8">
        <v>2</v>
      </c>
      <c r="X3517" s="8">
        <v>5</v>
      </c>
      <c r="AG3517" s="8" t="str">
        <f t="shared" si="217"/>
        <v/>
      </c>
      <c r="AI3517" s="8" t="str">
        <f t="shared" si="218"/>
        <v/>
      </c>
      <c r="AJ3517" s="8" t="str">
        <f t="shared" si="219"/>
        <v/>
      </c>
      <c r="AL3517" s="8" t="str">
        <f t="shared" si="220"/>
        <v/>
      </c>
    </row>
    <row r="3518" spans="1:38" x14ac:dyDescent="0.25">
      <c r="A3518" s="8" t="s">
        <v>4489</v>
      </c>
      <c r="B3518" s="8" t="s">
        <v>4490</v>
      </c>
      <c r="C3518" s="8">
        <v>30862512</v>
      </c>
      <c r="D3518" s="8">
        <v>5</v>
      </c>
      <c r="E3518" s="11">
        <v>43110</v>
      </c>
      <c r="F3518" s="8" t="s">
        <v>57</v>
      </c>
      <c r="G3518" s="11">
        <v>43111</v>
      </c>
      <c r="H3518" s="8" t="s">
        <v>25</v>
      </c>
      <c r="J3518" s="8" t="s">
        <v>25</v>
      </c>
      <c r="N3518" s="8" t="s">
        <v>58</v>
      </c>
      <c r="O3518" s="8" t="s">
        <v>59</v>
      </c>
      <c r="P3518" s="8" t="s">
        <v>59</v>
      </c>
      <c r="R3518" s="8">
        <v>0</v>
      </c>
      <c r="S3518" s="8">
        <v>0</v>
      </c>
      <c r="T3518" s="8">
        <v>1</v>
      </c>
      <c r="U3518" s="8">
        <v>2</v>
      </c>
      <c r="AG3518" s="8" t="str">
        <f t="shared" si="217"/>
        <v/>
      </c>
      <c r="AI3518" s="8" t="str">
        <f t="shared" si="218"/>
        <v/>
      </c>
      <c r="AJ3518" s="8" t="str">
        <f t="shared" si="219"/>
        <v/>
      </c>
      <c r="AL3518" s="8" t="str">
        <f t="shared" si="220"/>
        <v/>
      </c>
    </row>
    <row r="3519" spans="1:38" x14ac:dyDescent="0.25">
      <c r="A3519" s="8" t="s">
        <v>1472</v>
      </c>
      <c r="B3519" s="8" t="s">
        <v>1473</v>
      </c>
      <c r="C3519" s="8">
        <v>30844946</v>
      </c>
      <c r="D3519" s="8">
        <v>5</v>
      </c>
      <c r="E3519" s="11">
        <v>43109</v>
      </c>
      <c r="F3519" s="8" t="s">
        <v>58</v>
      </c>
      <c r="G3519" s="11">
        <v>43109</v>
      </c>
      <c r="H3519" s="8" t="s">
        <v>25</v>
      </c>
      <c r="I3519" s="11">
        <v>43115</v>
      </c>
      <c r="J3519" s="8" t="s">
        <v>145</v>
      </c>
      <c r="N3519" s="8" t="s">
        <v>58</v>
      </c>
      <c r="O3519" s="8" t="s">
        <v>59</v>
      </c>
      <c r="P3519" s="8" t="s">
        <v>59</v>
      </c>
      <c r="R3519" s="8">
        <v>0</v>
      </c>
      <c r="S3519" s="8">
        <v>0</v>
      </c>
      <c r="T3519" s="8">
        <v>1</v>
      </c>
      <c r="U3519" s="8">
        <v>2</v>
      </c>
      <c r="X3519" s="8">
        <v>5</v>
      </c>
      <c r="AG3519" s="8" t="str">
        <f t="shared" si="217"/>
        <v/>
      </c>
      <c r="AI3519" s="8" t="str">
        <f t="shared" si="218"/>
        <v/>
      </c>
      <c r="AJ3519" s="8" t="str">
        <f t="shared" si="219"/>
        <v/>
      </c>
      <c r="AL3519" s="8" t="str">
        <f t="shared" si="220"/>
        <v/>
      </c>
    </row>
    <row r="3520" spans="1:38" x14ac:dyDescent="0.25">
      <c r="A3520" s="8" t="s">
        <v>1474</v>
      </c>
      <c r="B3520" s="8" t="s">
        <v>1475</v>
      </c>
      <c r="C3520" s="8">
        <v>30823668</v>
      </c>
      <c r="D3520" s="8">
        <v>5</v>
      </c>
      <c r="E3520" s="11">
        <v>43108</v>
      </c>
      <c r="F3520" s="8" t="s">
        <v>58</v>
      </c>
      <c r="G3520" s="11">
        <v>43109</v>
      </c>
      <c r="H3520" s="8" t="s">
        <v>25</v>
      </c>
      <c r="I3520" s="11">
        <v>43112</v>
      </c>
      <c r="J3520" s="8" t="s">
        <v>25</v>
      </c>
      <c r="N3520" s="8" t="s">
        <v>58</v>
      </c>
      <c r="O3520" s="8" t="s">
        <v>59</v>
      </c>
      <c r="P3520" s="8" t="s">
        <v>59</v>
      </c>
      <c r="R3520" s="8">
        <v>0</v>
      </c>
      <c r="S3520" s="8">
        <v>0</v>
      </c>
      <c r="T3520" s="8">
        <v>1</v>
      </c>
      <c r="U3520" s="8">
        <v>2</v>
      </c>
      <c r="X3520" s="8">
        <v>5</v>
      </c>
      <c r="AG3520" s="8" t="str">
        <f t="shared" si="217"/>
        <v/>
      </c>
      <c r="AI3520" s="8" t="str">
        <f t="shared" si="218"/>
        <v/>
      </c>
      <c r="AJ3520" s="8" t="str">
        <f t="shared" si="219"/>
        <v/>
      </c>
      <c r="AL3520" s="8" t="str">
        <f t="shared" si="220"/>
        <v/>
      </c>
    </row>
    <row r="3521" spans="1:38" x14ac:dyDescent="0.25">
      <c r="A3521" s="8" t="s">
        <v>3050</v>
      </c>
      <c r="B3521" s="8" t="s">
        <v>3051</v>
      </c>
      <c r="C3521" s="8">
        <v>30876253</v>
      </c>
      <c r="D3521" s="8">
        <v>5</v>
      </c>
      <c r="E3521" s="11">
        <v>43110</v>
      </c>
      <c r="F3521" s="8" t="s">
        <v>57</v>
      </c>
      <c r="G3521" s="11">
        <v>43110</v>
      </c>
      <c r="H3521" s="8" t="s">
        <v>25</v>
      </c>
      <c r="J3521" s="8" t="s">
        <v>25</v>
      </c>
      <c r="N3521" s="8" t="s">
        <v>58</v>
      </c>
      <c r="O3521" s="8" t="s">
        <v>59</v>
      </c>
      <c r="P3521" s="8" t="s">
        <v>59</v>
      </c>
      <c r="R3521" s="8">
        <v>0</v>
      </c>
      <c r="S3521" s="8">
        <v>0</v>
      </c>
      <c r="T3521" s="8">
        <v>1</v>
      </c>
      <c r="U3521" s="8">
        <v>2</v>
      </c>
      <c r="AG3521" s="8" t="str">
        <f t="shared" si="217"/>
        <v/>
      </c>
      <c r="AI3521" s="8" t="str">
        <f t="shared" si="218"/>
        <v/>
      </c>
      <c r="AJ3521" s="8" t="str">
        <f t="shared" si="219"/>
        <v/>
      </c>
      <c r="AL3521" s="8" t="str">
        <f t="shared" si="220"/>
        <v/>
      </c>
    </row>
    <row r="3522" spans="1:38" x14ac:dyDescent="0.25">
      <c r="A3522" s="8" t="s">
        <v>3052</v>
      </c>
      <c r="B3522" s="8" t="s">
        <v>3053</v>
      </c>
      <c r="C3522" s="8">
        <v>30868148</v>
      </c>
      <c r="D3522" s="8">
        <v>5</v>
      </c>
      <c r="E3522" s="11">
        <v>43110</v>
      </c>
      <c r="F3522" s="8" t="s">
        <v>58</v>
      </c>
      <c r="G3522" s="11">
        <v>43110</v>
      </c>
      <c r="H3522" s="8" t="s">
        <v>25</v>
      </c>
      <c r="I3522" s="11">
        <v>43110</v>
      </c>
      <c r="J3522" s="8" t="s">
        <v>25</v>
      </c>
      <c r="N3522" s="8" t="s">
        <v>58</v>
      </c>
      <c r="O3522" s="8" t="s">
        <v>59</v>
      </c>
      <c r="P3522" s="8" t="s">
        <v>59</v>
      </c>
      <c r="R3522" s="8">
        <v>0</v>
      </c>
      <c r="S3522" s="8">
        <v>0</v>
      </c>
      <c r="T3522" s="8">
        <v>1</v>
      </c>
      <c r="U3522" s="8">
        <v>2</v>
      </c>
      <c r="X3522" s="8">
        <v>5</v>
      </c>
      <c r="AG3522" s="8" t="str">
        <f t="shared" si="217"/>
        <v/>
      </c>
      <c r="AI3522" s="8" t="str">
        <f t="shared" si="218"/>
        <v/>
      </c>
      <c r="AJ3522" s="8" t="str">
        <f t="shared" si="219"/>
        <v/>
      </c>
      <c r="AL3522" s="8" t="str">
        <f t="shared" si="220"/>
        <v/>
      </c>
    </row>
    <row r="3523" spans="1:38" x14ac:dyDescent="0.25">
      <c r="A3523" s="8" t="s">
        <v>3054</v>
      </c>
      <c r="B3523" s="8" t="s">
        <v>3055</v>
      </c>
      <c r="C3523" s="8">
        <v>30811812</v>
      </c>
      <c r="D3523" s="8">
        <v>4</v>
      </c>
      <c r="E3523" s="11">
        <v>43108</v>
      </c>
      <c r="F3523" s="8" t="s">
        <v>57</v>
      </c>
      <c r="G3523" s="11">
        <v>43110</v>
      </c>
      <c r="H3523" s="8" t="s">
        <v>25</v>
      </c>
      <c r="J3523" s="8" t="s">
        <v>25</v>
      </c>
      <c r="N3523" s="8" t="s">
        <v>58</v>
      </c>
      <c r="O3523" s="8" t="s">
        <v>59</v>
      </c>
      <c r="P3523" s="8" t="s">
        <v>59</v>
      </c>
      <c r="R3523" s="8">
        <v>0</v>
      </c>
      <c r="S3523" s="8">
        <v>0</v>
      </c>
      <c r="T3523" s="8">
        <v>1</v>
      </c>
      <c r="U3523" s="8">
        <v>2</v>
      </c>
      <c r="AG3523" s="8" t="str">
        <f t="shared" ref="AG3523:AG3586" si="221">IF(AND(U3523="",G3523&lt;&gt;"",NOT(OR(R3523,S3523))),IF(NETWORKDAYS.INTL(G3523,TODAY(),11)&lt;5,"En Plazo",IF(NETWORKDAYS.INTL(G3523,TODAY(),11)=5,"Riesgo Incumplimiento","FALTA_02")),"")</f>
        <v/>
      </c>
      <c r="AI3523" s="8" t="str">
        <f t="shared" ref="AI3523:AI3586" si="222">IF(AND(O3523&lt;&gt;"B1",F3523="Rejected"),IF(W3523="","FALTA_04",""),"")</f>
        <v/>
      </c>
      <c r="AJ3523" s="8" t="str">
        <f t="shared" ref="AJ3523:AJ3586" si="223">IF(AND(X3523="",I3523&lt;&gt;"",NOT(OR(R3523,S3523))),IF(NETWORKDAYS.INTL(G3523,TODAY(),11)&lt;=1,"En Plazo",IF(OR(AND(X3523="",O3523&lt;&gt;"M1"),AND(O3523="M1",(OR(Q3523="S - S",Q3523="S - T",)))),"FALTA_05","")),"")</f>
        <v/>
      </c>
      <c r="AL3523" s="8" t="str">
        <f t="shared" ref="AL3523:AL3586" si="224">IF(AND(O3523="B1",F3523="Rejected"),IF(Z3523="","FALTA_07",""),"")</f>
        <v/>
      </c>
    </row>
    <row r="3524" spans="1:38" x14ac:dyDescent="0.25">
      <c r="A3524" s="8" t="s">
        <v>681</v>
      </c>
      <c r="B3524" s="8" t="s">
        <v>682</v>
      </c>
      <c r="C3524" s="8">
        <v>30828770</v>
      </c>
      <c r="D3524" s="8">
        <v>5</v>
      </c>
      <c r="E3524" s="11">
        <v>43108</v>
      </c>
      <c r="F3524" s="8" t="s">
        <v>58</v>
      </c>
      <c r="G3524" s="11">
        <v>43108</v>
      </c>
      <c r="H3524" s="8" t="s">
        <v>25</v>
      </c>
      <c r="I3524" s="11">
        <v>43108</v>
      </c>
      <c r="J3524" s="8" t="s">
        <v>25</v>
      </c>
      <c r="N3524" s="8" t="s">
        <v>58</v>
      </c>
      <c r="O3524" s="8" t="s">
        <v>59</v>
      </c>
      <c r="P3524" s="8" t="s">
        <v>59</v>
      </c>
      <c r="R3524" s="8">
        <v>0</v>
      </c>
      <c r="S3524" s="8">
        <v>0</v>
      </c>
      <c r="T3524" s="8">
        <v>1</v>
      </c>
      <c r="U3524" s="8">
        <v>2</v>
      </c>
      <c r="X3524" s="8">
        <v>5</v>
      </c>
      <c r="AG3524" s="8" t="str">
        <f t="shared" si="221"/>
        <v/>
      </c>
      <c r="AI3524" s="8" t="str">
        <f t="shared" si="222"/>
        <v/>
      </c>
      <c r="AJ3524" s="8" t="str">
        <f t="shared" si="223"/>
        <v/>
      </c>
      <c r="AL3524" s="8" t="str">
        <f t="shared" si="224"/>
        <v/>
      </c>
    </row>
    <row r="3525" spans="1:38" x14ac:dyDescent="0.25">
      <c r="A3525" s="8" t="s">
        <v>4491</v>
      </c>
      <c r="B3525" s="8" t="s">
        <v>4492</v>
      </c>
      <c r="C3525" s="8">
        <v>30882951</v>
      </c>
      <c r="D3525" s="8">
        <v>5</v>
      </c>
      <c r="E3525" s="11">
        <v>43111</v>
      </c>
      <c r="F3525" s="8" t="s">
        <v>58</v>
      </c>
      <c r="G3525" s="11">
        <v>43111</v>
      </c>
      <c r="H3525" s="8" t="s">
        <v>25</v>
      </c>
      <c r="I3525" s="11">
        <v>43112</v>
      </c>
      <c r="J3525" s="8" t="s">
        <v>25</v>
      </c>
      <c r="N3525" s="8" t="s">
        <v>58</v>
      </c>
      <c r="O3525" s="8" t="s">
        <v>59</v>
      </c>
      <c r="P3525" s="8" t="s">
        <v>59</v>
      </c>
      <c r="R3525" s="8">
        <v>0</v>
      </c>
      <c r="S3525" s="8">
        <v>0</v>
      </c>
      <c r="T3525" s="8">
        <v>1</v>
      </c>
      <c r="U3525" s="8">
        <v>2</v>
      </c>
      <c r="X3525" s="8">
        <v>5</v>
      </c>
      <c r="AG3525" s="8" t="str">
        <f t="shared" si="221"/>
        <v/>
      </c>
      <c r="AI3525" s="8" t="str">
        <f t="shared" si="222"/>
        <v/>
      </c>
      <c r="AJ3525" s="8" t="str">
        <f t="shared" si="223"/>
        <v/>
      </c>
      <c r="AL3525" s="8" t="str">
        <f t="shared" si="224"/>
        <v/>
      </c>
    </row>
    <row r="3526" spans="1:38" x14ac:dyDescent="0.25">
      <c r="A3526" s="8" t="s">
        <v>6266</v>
      </c>
      <c r="B3526" s="8" t="s">
        <v>6267</v>
      </c>
      <c r="C3526" s="8">
        <v>30860716</v>
      </c>
      <c r="D3526" s="8">
        <v>5</v>
      </c>
      <c r="E3526" s="11">
        <v>43110</v>
      </c>
      <c r="F3526" s="8" t="s">
        <v>57</v>
      </c>
      <c r="G3526" s="11">
        <v>43114</v>
      </c>
      <c r="H3526" s="8" t="s">
        <v>25</v>
      </c>
      <c r="J3526" s="8" t="s">
        <v>25</v>
      </c>
      <c r="N3526" s="8" t="s">
        <v>58</v>
      </c>
      <c r="O3526" s="8" t="s">
        <v>59</v>
      </c>
      <c r="P3526" s="8" t="s">
        <v>59</v>
      </c>
      <c r="R3526" s="8">
        <v>0</v>
      </c>
      <c r="S3526" s="8">
        <v>0</v>
      </c>
      <c r="T3526" s="8">
        <v>1</v>
      </c>
      <c r="U3526" s="8">
        <v>2</v>
      </c>
      <c r="AG3526" s="8" t="str">
        <f t="shared" si="221"/>
        <v/>
      </c>
      <c r="AI3526" s="8" t="str">
        <f t="shared" si="222"/>
        <v/>
      </c>
      <c r="AJ3526" s="8" t="str">
        <f t="shared" si="223"/>
        <v/>
      </c>
      <c r="AL3526" s="8" t="str">
        <f t="shared" si="224"/>
        <v/>
      </c>
    </row>
    <row r="3527" spans="1:38" x14ac:dyDescent="0.25">
      <c r="A3527" s="8" t="s">
        <v>8035</v>
      </c>
      <c r="B3527" s="8" t="s">
        <v>8036</v>
      </c>
      <c r="C3527" s="8">
        <v>30946305</v>
      </c>
      <c r="D3527" s="8">
        <v>4</v>
      </c>
      <c r="E3527" s="11">
        <v>43115</v>
      </c>
      <c r="F3527" s="8" t="s">
        <v>57</v>
      </c>
      <c r="G3527" s="11">
        <v>43115</v>
      </c>
      <c r="H3527" s="8" t="s">
        <v>25</v>
      </c>
      <c r="J3527" s="8" t="s">
        <v>25</v>
      </c>
      <c r="N3527" s="8" t="s">
        <v>76</v>
      </c>
      <c r="O3527" s="8" t="s">
        <v>59</v>
      </c>
      <c r="P3527" s="8" t="s">
        <v>59</v>
      </c>
      <c r="R3527" s="8">
        <v>0</v>
      </c>
      <c r="S3527" s="8">
        <v>0</v>
      </c>
      <c r="T3527" s="8">
        <v>1</v>
      </c>
      <c r="U3527" s="8">
        <v>2</v>
      </c>
      <c r="AG3527" s="8" t="str">
        <f t="shared" si="221"/>
        <v/>
      </c>
      <c r="AI3527" s="8" t="str">
        <f t="shared" si="222"/>
        <v/>
      </c>
      <c r="AJ3527" s="8" t="str">
        <f t="shared" si="223"/>
        <v/>
      </c>
      <c r="AL3527" s="8" t="str">
        <f t="shared" si="224"/>
        <v/>
      </c>
    </row>
    <row r="3528" spans="1:38" x14ac:dyDescent="0.25">
      <c r="A3528" s="8" t="s">
        <v>3056</v>
      </c>
      <c r="B3528" s="8" t="s">
        <v>3057</v>
      </c>
      <c r="C3528" s="8">
        <v>30865780</v>
      </c>
      <c r="D3528" s="8">
        <v>5</v>
      </c>
      <c r="E3528" s="11">
        <v>43110</v>
      </c>
      <c r="F3528" s="8" t="s">
        <v>58</v>
      </c>
      <c r="G3528" s="11">
        <v>43110</v>
      </c>
      <c r="H3528" s="8" t="s">
        <v>25</v>
      </c>
      <c r="I3528" s="11">
        <v>43110</v>
      </c>
      <c r="J3528" s="8" t="s">
        <v>25</v>
      </c>
      <c r="N3528" s="8" t="s">
        <v>58</v>
      </c>
      <c r="O3528" s="8" t="s">
        <v>59</v>
      </c>
      <c r="P3528" s="8" t="s">
        <v>59</v>
      </c>
      <c r="R3528" s="8">
        <v>0</v>
      </c>
      <c r="S3528" s="8">
        <v>0</v>
      </c>
      <c r="T3528" s="8">
        <v>1</v>
      </c>
      <c r="U3528" s="8">
        <v>2</v>
      </c>
      <c r="X3528" s="8">
        <v>5</v>
      </c>
      <c r="AG3528" s="8" t="str">
        <f t="shared" si="221"/>
        <v/>
      </c>
      <c r="AI3528" s="8" t="str">
        <f t="shared" si="222"/>
        <v/>
      </c>
      <c r="AJ3528" s="8" t="str">
        <f t="shared" si="223"/>
        <v/>
      </c>
      <c r="AL3528" s="8" t="str">
        <f t="shared" si="224"/>
        <v/>
      </c>
    </row>
    <row r="3529" spans="1:38" x14ac:dyDescent="0.25">
      <c r="A3529" s="8" t="s">
        <v>6268</v>
      </c>
      <c r="B3529" s="8" t="s">
        <v>6269</v>
      </c>
      <c r="C3529" s="8">
        <v>30897778</v>
      </c>
      <c r="D3529" s="8">
        <v>5</v>
      </c>
      <c r="E3529" s="11">
        <v>43111</v>
      </c>
      <c r="F3529" s="8" t="s">
        <v>57</v>
      </c>
      <c r="G3529" s="11">
        <v>43114</v>
      </c>
      <c r="H3529" s="8" t="s">
        <v>25</v>
      </c>
      <c r="J3529" s="8" t="s">
        <v>25</v>
      </c>
      <c r="N3529" s="8" t="s">
        <v>58</v>
      </c>
      <c r="O3529" s="8" t="s">
        <v>59</v>
      </c>
      <c r="P3529" s="8" t="s">
        <v>59</v>
      </c>
      <c r="R3529" s="8">
        <v>0</v>
      </c>
      <c r="S3529" s="8">
        <v>0</v>
      </c>
      <c r="T3529" s="8">
        <v>1</v>
      </c>
      <c r="U3529" s="8">
        <v>2</v>
      </c>
      <c r="AG3529" s="8" t="str">
        <f t="shared" si="221"/>
        <v/>
      </c>
      <c r="AI3529" s="8" t="str">
        <f t="shared" si="222"/>
        <v/>
      </c>
      <c r="AJ3529" s="8" t="str">
        <f t="shared" si="223"/>
        <v/>
      </c>
      <c r="AL3529" s="8" t="str">
        <f t="shared" si="224"/>
        <v/>
      </c>
    </row>
    <row r="3530" spans="1:38" x14ac:dyDescent="0.25">
      <c r="A3530" s="8" t="s">
        <v>4493</v>
      </c>
      <c r="B3530" s="8" t="s">
        <v>4494</v>
      </c>
      <c r="C3530" s="8">
        <v>30863694</v>
      </c>
      <c r="D3530" s="8">
        <v>5</v>
      </c>
      <c r="E3530" s="11">
        <v>43110</v>
      </c>
      <c r="F3530" s="8" t="s">
        <v>58</v>
      </c>
      <c r="G3530" s="11">
        <v>43111</v>
      </c>
      <c r="H3530" s="8" t="s">
        <v>25</v>
      </c>
      <c r="I3530" s="11">
        <v>43111</v>
      </c>
      <c r="J3530" s="8" t="s">
        <v>25</v>
      </c>
      <c r="N3530" s="8" t="s">
        <v>58</v>
      </c>
      <c r="O3530" s="8" t="s">
        <v>59</v>
      </c>
      <c r="P3530" s="8" t="s">
        <v>59</v>
      </c>
      <c r="R3530" s="8">
        <v>0</v>
      </c>
      <c r="S3530" s="8">
        <v>0</v>
      </c>
      <c r="T3530" s="8">
        <v>1</v>
      </c>
      <c r="U3530" s="8">
        <v>2</v>
      </c>
      <c r="X3530" s="8">
        <v>5</v>
      </c>
      <c r="AG3530" s="8" t="str">
        <f t="shared" si="221"/>
        <v/>
      </c>
      <c r="AI3530" s="8" t="str">
        <f t="shared" si="222"/>
        <v/>
      </c>
      <c r="AJ3530" s="8" t="str">
        <f t="shared" si="223"/>
        <v/>
      </c>
      <c r="AL3530" s="8" t="str">
        <f t="shared" si="224"/>
        <v/>
      </c>
    </row>
    <row r="3531" spans="1:38" x14ac:dyDescent="0.25">
      <c r="A3531" s="8" t="s">
        <v>1476</v>
      </c>
      <c r="B3531" s="8" t="s">
        <v>1477</v>
      </c>
      <c r="C3531" s="8">
        <v>30846433</v>
      </c>
      <c r="D3531" s="8">
        <v>5</v>
      </c>
      <c r="E3531" s="11">
        <v>43109</v>
      </c>
      <c r="F3531" s="8" t="s">
        <v>58</v>
      </c>
      <c r="G3531" s="11">
        <v>43109</v>
      </c>
      <c r="H3531" s="8" t="s">
        <v>25</v>
      </c>
      <c r="I3531" s="11">
        <v>43111</v>
      </c>
      <c r="J3531" s="8" t="s">
        <v>25</v>
      </c>
      <c r="N3531" s="8" t="s">
        <v>58</v>
      </c>
      <c r="O3531" s="8" t="s">
        <v>59</v>
      </c>
      <c r="P3531" s="8" t="s">
        <v>59</v>
      </c>
      <c r="R3531" s="8">
        <v>0</v>
      </c>
      <c r="S3531" s="8">
        <v>0</v>
      </c>
      <c r="T3531" s="8">
        <v>1</v>
      </c>
      <c r="U3531" s="8">
        <v>2</v>
      </c>
      <c r="X3531" s="8">
        <v>5</v>
      </c>
      <c r="AG3531" s="8" t="str">
        <f t="shared" si="221"/>
        <v/>
      </c>
      <c r="AI3531" s="8" t="str">
        <f t="shared" si="222"/>
        <v/>
      </c>
      <c r="AJ3531" s="8" t="str">
        <f t="shared" si="223"/>
        <v/>
      </c>
      <c r="AL3531" s="8" t="str">
        <f t="shared" si="224"/>
        <v/>
      </c>
    </row>
    <row r="3532" spans="1:38" x14ac:dyDescent="0.25">
      <c r="A3532" s="8" t="s">
        <v>8037</v>
      </c>
      <c r="B3532" s="8" t="s">
        <v>8038</v>
      </c>
      <c r="C3532" s="8">
        <v>30945211</v>
      </c>
      <c r="D3532" s="8">
        <v>5</v>
      </c>
      <c r="E3532" s="11">
        <v>43115</v>
      </c>
      <c r="F3532" s="8" t="s">
        <v>57</v>
      </c>
      <c r="G3532" s="11">
        <v>43115</v>
      </c>
      <c r="H3532" s="8" t="s">
        <v>25</v>
      </c>
      <c r="J3532" s="8" t="s">
        <v>25</v>
      </c>
      <c r="N3532" s="8" t="s">
        <v>58</v>
      </c>
      <c r="O3532" s="8" t="s">
        <v>59</v>
      </c>
      <c r="P3532" s="8" t="s">
        <v>59</v>
      </c>
      <c r="R3532" s="8">
        <v>0</v>
      </c>
      <c r="S3532" s="8">
        <v>0</v>
      </c>
      <c r="T3532" s="8">
        <v>1</v>
      </c>
      <c r="U3532" s="8">
        <v>2</v>
      </c>
      <c r="AG3532" s="8" t="str">
        <f t="shared" si="221"/>
        <v/>
      </c>
      <c r="AI3532" s="8" t="str">
        <f t="shared" si="222"/>
        <v/>
      </c>
      <c r="AJ3532" s="8" t="str">
        <f t="shared" si="223"/>
        <v/>
      </c>
      <c r="AL3532" s="8" t="str">
        <f t="shared" si="224"/>
        <v/>
      </c>
    </row>
    <row r="3533" spans="1:38" x14ac:dyDescent="0.25">
      <c r="A3533" s="8" t="s">
        <v>6270</v>
      </c>
      <c r="B3533" s="8" t="s">
        <v>6271</v>
      </c>
      <c r="C3533" s="8">
        <v>30814197</v>
      </c>
      <c r="D3533" s="8">
        <v>5</v>
      </c>
      <c r="E3533" s="11">
        <v>43108</v>
      </c>
      <c r="F3533" s="8" t="s">
        <v>57</v>
      </c>
      <c r="G3533" s="11">
        <v>43114</v>
      </c>
      <c r="H3533" s="8" t="s">
        <v>856</v>
      </c>
      <c r="J3533" s="8" t="s">
        <v>25</v>
      </c>
      <c r="N3533" s="8" t="s">
        <v>58</v>
      </c>
      <c r="O3533" s="8" t="s">
        <v>59</v>
      </c>
      <c r="P3533" s="8" t="s">
        <v>59</v>
      </c>
      <c r="R3533" s="8">
        <v>0</v>
      </c>
      <c r="S3533" s="8">
        <v>0</v>
      </c>
      <c r="T3533" s="8">
        <v>1</v>
      </c>
      <c r="U3533" s="8">
        <v>2</v>
      </c>
      <c r="AG3533" s="8" t="str">
        <f t="shared" si="221"/>
        <v/>
      </c>
      <c r="AI3533" s="8" t="str">
        <f t="shared" si="222"/>
        <v/>
      </c>
      <c r="AJ3533" s="8" t="str">
        <f t="shared" si="223"/>
        <v/>
      </c>
      <c r="AL3533" s="8" t="str">
        <f t="shared" si="224"/>
        <v/>
      </c>
    </row>
    <row r="3534" spans="1:38" x14ac:dyDescent="0.25">
      <c r="A3534" s="8" t="s">
        <v>3058</v>
      </c>
      <c r="B3534" s="8" t="s">
        <v>3059</v>
      </c>
      <c r="C3534" s="8">
        <v>30850873</v>
      </c>
      <c r="D3534" s="8">
        <v>5</v>
      </c>
      <c r="E3534" s="11">
        <v>43109</v>
      </c>
      <c r="F3534" s="8" t="s">
        <v>57</v>
      </c>
      <c r="G3534" s="11">
        <v>43110</v>
      </c>
      <c r="H3534" s="8" t="s">
        <v>25</v>
      </c>
      <c r="J3534" s="8" t="s">
        <v>25</v>
      </c>
      <c r="N3534" s="8" t="s">
        <v>58</v>
      </c>
      <c r="O3534" s="8" t="s">
        <v>59</v>
      </c>
      <c r="P3534" s="8" t="s">
        <v>59</v>
      </c>
      <c r="R3534" s="8">
        <v>0</v>
      </c>
      <c r="S3534" s="8">
        <v>0</v>
      </c>
      <c r="T3534" s="8">
        <v>1</v>
      </c>
      <c r="U3534" s="8">
        <v>2</v>
      </c>
      <c r="AG3534" s="8" t="str">
        <f t="shared" si="221"/>
        <v/>
      </c>
      <c r="AI3534" s="8" t="str">
        <f t="shared" si="222"/>
        <v/>
      </c>
      <c r="AJ3534" s="8" t="str">
        <f t="shared" si="223"/>
        <v/>
      </c>
      <c r="AL3534" s="8" t="str">
        <f t="shared" si="224"/>
        <v/>
      </c>
    </row>
    <row r="3535" spans="1:38" x14ac:dyDescent="0.25">
      <c r="A3535" s="8" t="s">
        <v>683</v>
      </c>
      <c r="B3535" s="8" t="s">
        <v>684</v>
      </c>
      <c r="C3535" s="8">
        <v>30815533</v>
      </c>
      <c r="D3535" s="8">
        <v>5</v>
      </c>
      <c r="E3535" s="11">
        <v>43108</v>
      </c>
      <c r="F3535" s="8" t="s">
        <v>58</v>
      </c>
      <c r="G3535" s="11">
        <v>43108</v>
      </c>
      <c r="H3535" s="8" t="s">
        <v>25</v>
      </c>
      <c r="I3535" s="11">
        <v>43112</v>
      </c>
      <c r="J3535" s="8" t="s">
        <v>145</v>
      </c>
      <c r="N3535" s="8" t="s">
        <v>58</v>
      </c>
      <c r="O3535" s="8" t="s">
        <v>59</v>
      </c>
      <c r="P3535" s="8" t="s">
        <v>59</v>
      </c>
      <c r="R3535" s="8">
        <v>0</v>
      </c>
      <c r="S3535" s="8">
        <v>0</v>
      </c>
      <c r="T3535" s="8">
        <v>1</v>
      </c>
      <c r="U3535" s="8">
        <v>2</v>
      </c>
      <c r="X3535" s="8">
        <v>5</v>
      </c>
      <c r="AG3535" s="8" t="str">
        <f t="shared" si="221"/>
        <v/>
      </c>
      <c r="AI3535" s="8" t="str">
        <f t="shared" si="222"/>
        <v/>
      </c>
      <c r="AJ3535" s="8" t="str">
        <f t="shared" si="223"/>
        <v/>
      </c>
      <c r="AL3535" s="8" t="str">
        <f t="shared" si="224"/>
        <v/>
      </c>
    </row>
    <row r="3536" spans="1:38" x14ac:dyDescent="0.25">
      <c r="A3536" s="8" t="s">
        <v>4495</v>
      </c>
      <c r="B3536" s="8" t="s">
        <v>4496</v>
      </c>
      <c r="C3536" s="8">
        <v>30864966</v>
      </c>
      <c r="D3536" s="8">
        <v>5</v>
      </c>
      <c r="E3536" s="11">
        <v>43110</v>
      </c>
      <c r="F3536" s="8" t="s">
        <v>57</v>
      </c>
      <c r="G3536" s="11">
        <v>43111</v>
      </c>
      <c r="H3536" s="8" t="s">
        <v>25</v>
      </c>
      <c r="J3536" s="8" t="s">
        <v>25</v>
      </c>
      <c r="N3536" s="8" t="s">
        <v>58</v>
      </c>
      <c r="O3536" s="8" t="s">
        <v>59</v>
      </c>
      <c r="P3536" s="8" t="s">
        <v>59</v>
      </c>
      <c r="R3536" s="8">
        <v>0</v>
      </c>
      <c r="S3536" s="8">
        <v>0</v>
      </c>
      <c r="T3536" s="8">
        <v>1</v>
      </c>
      <c r="U3536" s="8">
        <v>2</v>
      </c>
      <c r="AG3536" s="8" t="str">
        <f t="shared" si="221"/>
        <v/>
      </c>
      <c r="AI3536" s="8" t="str">
        <f t="shared" si="222"/>
        <v/>
      </c>
      <c r="AJ3536" s="8" t="str">
        <f t="shared" si="223"/>
        <v/>
      </c>
      <c r="AL3536" s="8" t="str">
        <f t="shared" si="224"/>
        <v/>
      </c>
    </row>
    <row r="3537" spans="1:38" x14ac:dyDescent="0.25">
      <c r="A3537" s="8" t="s">
        <v>4497</v>
      </c>
      <c r="B3537" s="8" t="s">
        <v>4498</v>
      </c>
      <c r="C3537" s="8">
        <v>30889622</v>
      </c>
      <c r="D3537" s="8">
        <v>5</v>
      </c>
      <c r="E3537" s="11">
        <v>43111</v>
      </c>
      <c r="F3537" s="8" t="s">
        <v>58</v>
      </c>
      <c r="G3537" s="11">
        <v>43111</v>
      </c>
      <c r="H3537" s="8" t="s">
        <v>25</v>
      </c>
      <c r="I3537" s="11">
        <v>43111</v>
      </c>
      <c r="J3537" s="8" t="s">
        <v>25</v>
      </c>
      <c r="N3537" s="8" t="s">
        <v>58</v>
      </c>
      <c r="O3537" s="8" t="s">
        <v>59</v>
      </c>
      <c r="P3537" s="8" t="s">
        <v>59</v>
      </c>
      <c r="R3537" s="8">
        <v>0</v>
      </c>
      <c r="S3537" s="8">
        <v>0</v>
      </c>
      <c r="T3537" s="8">
        <v>1</v>
      </c>
      <c r="U3537" s="8">
        <v>2</v>
      </c>
      <c r="X3537" s="8">
        <v>5</v>
      </c>
      <c r="AG3537" s="8" t="str">
        <f t="shared" si="221"/>
        <v/>
      </c>
      <c r="AI3537" s="8" t="str">
        <f t="shared" si="222"/>
        <v/>
      </c>
      <c r="AJ3537" s="8" t="str">
        <f t="shared" si="223"/>
        <v/>
      </c>
      <c r="AL3537" s="8" t="str">
        <f t="shared" si="224"/>
        <v/>
      </c>
    </row>
    <row r="3538" spans="1:38" x14ac:dyDescent="0.25">
      <c r="A3538" s="8" t="s">
        <v>3060</v>
      </c>
      <c r="B3538" s="8" t="s">
        <v>3061</v>
      </c>
      <c r="C3538" s="8">
        <v>30844699</v>
      </c>
      <c r="D3538" s="8">
        <v>5</v>
      </c>
      <c r="E3538" s="11">
        <v>43109</v>
      </c>
      <c r="F3538" s="8" t="s">
        <v>57</v>
      </c>
      <c r="G3538" s="11">
        <v>43110</v>
      </c>
      <c r="H3538" s="8" t="s">
        <v>25</v>
      </c>
      <c r="J3538" s="8" t="s">
        <v>25</v>
      </c>
      <c r="N3538" s="8" t="s">
        <v>58</v>
      </c>
      <c r="O3538" s="8" t="s">
        <v>59</v>
      </c>
      <c r="P3538" s="8" t="s">
        <v>59</v>
      </c>
      <c r="R3538" s="8">
        <v>0</v>
      </c>
      <c r="S3538" s="8">
        <v>0</v>
      </c>
      <c r="T3538" s="8">
        <v>1</v>
      </c>
      <c r="U3538" s="8">
        <v>2</v>
      </c>
      <c r="AG3538" s="8" t="str">
        <f t="shared" si="221"/>
        <v/>
      </c>
      <c r="AI3538" s="8" t="str">
        <f t="shared" si="222"/>
        <v/>
      </c>
      <c r="AJ3538" s="8" t="str">
        <f t="shared" si="223"/>
        <v/>
      </c>
      <c r="AL3538" s="8" t="str">
        <f t="shared" si="224"/>
        <v/>
      </c>
    </row>
    <row r="3539" spans="1:38" x14ac:dyDescent="0.25">
      <c r="A3539" s="8" t="s">
        <v>3062</v>
      </c>
      <c r="B3539" s="8" t="s">
        <v>3063</v>
      </c>
      <c r="C3539" s="8">
        <v>30872500</v>
      </c>
      <c r="D3539" s="8">
        <v>5</v>
      </c>
      <c r="E3539" s="11">
        <v>43110</v>
      </c>
      <c r="F3539" s="8" t="s">
        <v>58</v>
      </c>
      <c r="G3539" s="11">
        <v>43110</v>
      </c>
      <c r="H3539" s="8" t="s">
        <v>25</v>
      </c>
      <c r="I3539" s="11">
        <v>43110</v>
      </c>
      <c r="J3539" s="8" t="s">
        <v>25</v>
      </c>
      <c r="N3539" s="8" t="s">
        <v>58</v>
      </c>
      <c r="O3539" s="8" t="s">
        <v>59</v>
      </c>
      <c r="P3539" s="8" t="s">
        <v>59</v>
      </c>
      <c r="R3539" s="8">
        <v>0</v>
      </c>
      <c r="S3539" s="8">
        <v>0</v>
      </c>
      <c r="T3539" s="8">
        <v>1</v>
      </c>
      <c r="U3539" s="8">
        <v>2</v>
      </c>
      <c r="X3539" s="8">
        <v>5</v>
      </c>
      <c r="AG3539" s="8" t="str">
        <f t="shared" si="221"/>
        <v/>
      </c>
      <c r="AI3539" s="8" t="str">
        <f t="shared" si="222"/>
        <v/>
      </c>
      <c r="AJ3539" s="8" t="str">
        <f t="shared" si="223"/>
        <v/>
      </c>
      <c r="AL3539" s="8" t="str">
        <f t="shared" si="224"/>
        <v/>
      </c>
    </row>
    <row r="3540" spans="1:38" x14ac:dyDescent="0.25">
      <c r="A3540" s="8" t="s">
        <v>6272</v>
      </c>
      <c r="B3540" s="8" t="s">
        <v>6273</v>
      </c>
      <c r="C3540" s="8">
        <v>30892812</v>
      </c>
      <c r="D3540" s="8">
        <v>5</v>
      </c>
      <c r="E3540" s="11">
        <v>43111</v>
      </c>
      <c r="F3540" s="8" t="s">
        <v>57</v>
      </c>
      <c r="G3540" s="11">
        <v>43112</v>
      </c>
      <c r="H3540" s="8" t="s">
        <v>25</v>
      </c>
      <c r="J3540" s="8" t="s">
        <v>25</v>
      </c>
      <c r="N3540" s="8" t="s">
        <v>58</v>
      </c>
      <c r="O3540" s="8" t="s">
        <v>59</v>
      </c>
      <c r="P3540" s="8" t="s">
        <v>59</v>
      </c>
      <c r="R3540" s="8">
        <v>0</v>
      </c>
      <c r="S3540" s="8">
        <v>0</v>
      </c>
      <c r="T3540" s="8">
        <v>1</v>
      </c>
      <c r="U3540" s="8">
        <v>2</v>
      </c>
      <c r="AG3540" s="8" t="str">
        <f t="shared" si="221"/>
        <v/>
      </c>
      <c r="AI3540" s="8" t="str">
        <f t="shared" si="222"/>
        <v/>
      </c>
      <c r="AJ3540" s="8" t="str">
        <f t="shared" si="223"/>
        <v/>
      </c>
      <c r="AL3540" s="8" t="str">
        <f t="shared" si="224"/>
        <v/>
      </c>
    </row>
    <row r="3541" spans="1:38" x14ac:dyDescent="0.25">
      <c r="A3541" s="8" t="s">
        <v>6274</v>
      </c>
      <c r="B3541" s="8" t="s">
        <v>6275</v>
      </c>
      <c r="C3541" s="8">
        <v>30825177</v>
      </c>
      <c r="D3541" s="8">
        <v>5</v>
      </c>
      <c r="E3541" s="11">
        <v>43108</v>
      </c>
      <c r="F3541" s="8" t="s">
        <v>57</v>
      </c>
      <c r="G3541" s="11">
        <v>43114</v>
      </c>
      <c r="H3541" s="8" t="s">
        <v>856</v>
      </c>
      <c r="J3541" s="8" t="s">
        <v>25</v>
      </c>
      <c r="N3541" s="8" t="s">
        <v>58</v>
      </c>
      <c r="O3541" s="8" t="s">
        <v>59</v>
      </c>
      <c r="P3541" s="8" t="s">
        <v>59</v>
      </c>
      <c r="R3541" s="8">
        <v>0</v>
      </c>
      <c r="S3541" s="8">
        <v>0</v>
      </c>
      <c r="T3541" s="8">
        <v>1</v>
      </c>
      <c r="U3541" s="8">
        <v>2</v>
      </c>
      <c r="AG3541" s="8" t="str">
        <f t="shared" si="221"/>
        <v/>
      </c>
      <c r="AI3541" s="8" t="str">
        <f t="shared" si="222"/>
        <v/>
      </c>
      <c r="AJ3541" s="8" t="str">
        <f t="shared" si="223"/>
        <v/>
      </c>
      <c r="AL3541" s="8" t="str">
        <f t="shared" si="224"/>
        <v/>
      </c>
    </row>
    <row r="3542" spans="1:38" x14ac:dyDescent="0.25">
      <c r="A3542" s="8" t="s">
        <v>6276</v>
      </c>
      <c r="B3542" s="8" t="s">
        <v>6277</v>
      </c>
      <c r="C3542" s="8">
        <v>30888996</v>
      </c>
      <c r="D3542" s="8">
        <v>5</v>
      </c>
      <c r="E3542" s="11">
        <v>43111</v>
      </c>
      <c r="F3542" s="8" t="s">
        <v>57</v>
      </c>
      <c r="G3542" s="11">
        <v>43114</v>
      </c>
      <c r="H3542" s="8" t="s">
        <v>25</v>
      </c>
      <c r="J3542" s="8" t="s">
        <v>25</v>
      </c>
      <c r="N3542" s="8" t="s">
        <v>58</v>
      </c>
      <c r="O3542" s="8" t="s">
        <v>59</v>
      </c>
      <c r="P3542" s="8" t="s">
        <v>59</v>
      </c>
      <c r="R3542" s="8">
        <v>0</v>
      </c>
      <c r="S3542" s="8">
        <v>0</v>
      </c>
      <c r="T3542" s="8">
        <v>1</v>
      </c>
      <c r="U3542" s="8">
        <v>2</v>
      </c>
      <c r="AG3542" s="8" t="str">
        <f t="shared" si="221"/>
        <v/>
      </c>
      <c r="AI3542" s="8" t="str">
        <f t="shared" si="222"/>
        <v/>
      </c>
      <c r="AJ3542" s="8" t="str">
        <f t="shared" si="223"/>
        <v/>
      </c>
      <c r="AL3542" s="8" t="str">
        <f t="shared" si="224"/>
        <v/>
      </c>
    </row>
    <row r="3543" spans="1:38" x14ac:dyDescent="0.25">
      <c r="A3543" s="8" t="s">
        <v>8039</v>
      </c>
      <c r="B3543" s="8" t="s">
        <v>8040</v>
      </c>
      <c r="C3543" s="8">
        <v>30943446</v>
      </c>
      <c r="D3543" s="8">
        <v>5</v>
      </c>
      <c r="E3543" s="11">
        <v>43115</v>
      </c>
      <c r="F3543" s="8" t="s">
        <v>57</v>
      </c>
      <c r="G3543" s="11">
        <v>43115</v>
      </c>
      <c r="H3543" s="8" t="s">
        <v>25</v>
      </c>
      <c r="J3543" s="8" t="s">
        <v>25</v>
      </c>
      <c r="N3543" s="8" t="s">
        <v>58</v>
      </c>
      <c r="O3543" s="8" t="s">
        <v>59</v>
      </c>
      <c r="P3543" s="8" t="s">
        <v>59</v>
      </c>
      <c r="R3543" s="8">
        <v>0</v>
      </c>
      <c r="S3543" s="8">
        <v>0</v>
      </c>
      <c r="T3543" s="8">
        <v>1</v>
      </c>
      <c r="U3543" s="8">
        <v>2</v>
      </c>
      <c r="AG3543" s="8" t="str">
        <f t="shared" si="221"/>
        <v/>
      </c>
      <c r="AI3543" s="8" t="str">
        <f t="shared" si="222"/>
        <v/>
      </c>
      <c r="AJ3543" s="8" t="str">
        <f t="shared" si="223"/>
        <v/>
      </c>
      <c r="AL3543" s="8" t="str">
        <f t="shared" si="224"/>
        <v/>
      </c>
    </row>
    <row r="3544" spans="1:38" x14ac:dyDescent="0.25">
      <c r="A3544" s="8" t="s">
        <v>8041</v>
      </c>
      <c r="B3544" s="8" t="s">
        <v>8042</v>
      </c>
      <c r="C3544" s="8">
        <v>30923351</v>
      </c>
      <c r="D3544" s="8">
        <v>5</v>
      </c>
      <c r="E3544" s="11">
        <v>43112</v>
      </c>
      <c r="F3544" s="8" t="s">
        <v>57</v>
      </c>
      <c r="G3544" s="11">
        <v>43115</v>
      </c>
      <c r="H3544" s="8" t="s">
        <v>25</v>
      </c>
      <c r="J3544" s="8" t="s">
        <v>25</v>
      </c>
      <c r="N3544" s="8" t="s">
        <v>58</v>
      </c>
      <c r="O3544" s="8" t="s">
        <v>59</v>
      </c>
      <c r="P3544" s="8" t="s">
        <v>59</v>
      </c>
      <c r="R3544" s="8">
        <v>0</v>
      </c>
      <c r="S3544" s="8">
        <v>0</v>
      </c>
      <c r="T3544" s="8">
        <v>1</v>
      </c>
      <c r="U3544" s="8">
        <v>2</v>
      </c>
      <c r="AG3544" s="8" t="str">
        <f t="shared" si="221"/>
        <v/>
      </c>
      <c r="AI3544" s="8" t="str">
        <f t="shared" si="222"/>
        <v/>
      </c>
      <c r="AJ3544" s="8" t="str">
        <f t="shared" si="223"/>
        <v/>
      </c>
      <c r="AL3544" s="8" t="str">
        <f t="shared" si="224"/>
        <v/>
      </c>
    </row>
    <row r="3545" spans="1:38" x14ac:dyDescent="0.25">
      <c r="A3545" s="8" t="s">
        <v>8043</v>
      </c>
      <c r="B3545" s="8" t="s">
        <v>8044</v>
      </c>
      <c r="C3545" s="8">
        <v>30923715</v>
      </c>
      <c r="D3545" s="8">
        <v>5</v>
      </c>
      <c r="E3545" s="11">
        <v>43112</v>
      </c>
      <c r="F3545" s="8" t="s">
        <v>57</v>
      </c>
      <c r="G3545" s="11">
        <v>43115</v>
      </c>
      <c r="H3545" s="8" t="s">
        <v>25</v>
      </c>
      <c r="J3545" s="8" t="s">
        <v>25</v>
      </c>
      <c r="N3545" s="8" t="s">
        <v>58</v>
      </c>
      <c r="O3545" s="8" t="s">
        <v>59</v>
      </c>
      <c r="P3545" s="8" t="s">
        <v>59</v>
      </c>
      <c r="R3545" s="8">
        <v>0</v>
      </c>
      <c r="S3545" s="8">
        <v>0</v>
      </c>
      <c r="T3545" s="8">
        <v>1</v>
      </c>
      <c r="U3545" s="8">
        <v>2</v>
      </c>
      <c r="AG3545" s="8" t="str">
        <f t="shared" si="221"/>
        <v/>
      </c>
      <c r="AI3545" s="8" t="str">
        <f t="shared" si="222"/>
        <v/>
      </c>
      <c r="AJ3545" s="8" t="str">
        <f t="shared" si="223"/>
        <v/>
      </c>
      <c r="AL3545" s="8" t="str">
        <f t="shared" si="224"/>
        <v/>
      </c>
    </row>
    <row r="3546" spans="1:38" x14ac:dyDescent="0.25">
      <c r="A3546" s="8" t="s">
        <v>6278</v>
      </c>
      <c r="B3546" s="8" t="s">
        <v>6279</v>
      </c>
      <c r="C3546" s="8">
        <v>30844352</v>
      </c>
      <c r="D3546" s="8">
        <v>5</v>
      </c>
      <c r="E3546" s="11">
        <v>43109</v>
      </c>
      <c r="F3546" s="8" t="s">
        <v>57</v>
      </c>
      <c r="G3546" s="11">
        <v>43114</v>
      </c>
      <c r="H3546" s="8" t="s">
        <v>145</v>
      </c>
      <c r="J3546" s="8" t="s">
        <v>25</v>
      </c>
      <c r="N3546" s="8" t="s">
        <v>58</v>
      </c>
      <c r="O3546" s="8" t="s">
        <v>59</v>
      </c>
      <c r="P3546" s="8" t="s">
        <v>59</v>
      </c>
      <c r="R3546" s="8">
        <v>0</v>
      </c>
      <c r="S3546" s="8">
        <v>0</v>
      </c>
      <c r="T3546" s="8">
        <v>1</v>
      </c>
      <c r="U3546" s="8">
        <v>2</v>
      </c>
      <c r="AG3546" s="8" t="str">
        <f t="shared" si="221"/>
        <v/>
      </c>
      <c r="AI3546" s="8" t="str">
        <f t="shared" si="222"/>
        <v/>
      </c>
      <c r="AJ3546" s="8" t="str">
        <f t="shared" si="223"/>
        <v/>
      </c>
      <c r="AL3546" s="8" t="str">
        <f t="shared" si="224"/>
        <v/>
      </c>
    </row>
    <row r="3547" spans="1:38" x14ac:dyDescent="0.25">
      <c r="A3547" s="8" t="s">
        <v>6280</v>
      </c>
      <c r="B3547" s="8" t="s">
        <v>6281</v>
      </c>
      <c r="C3547" s="8">
        <v>30884936</v>
      </c>
      <c r="D3547" s="8">
        <v>5</v>
      </c>
      <c r="E3547" s="11">
        <v>43111</v>
      </c>
      <c r="F3547" s="8" t="s">
        <v>57</v>
      </c>
      <c r="G3547" s="11">
        <v>43114</v>
      </c>
      <c r="H3547" s="8" t="s">
        <v>25</v>
      </c>
      <c r="J3547" s="8" t="s">
        <v>25</v>
      </c>
      <c r="N3547" s="8" t="s">
        <v>58</v>
      </c>
      <c r="O3547" s="8" t="s">
        <v>59</v>
      </c>
      <c r="P3547" s="8" t="s">
        <v>59</v>
      </c>
      <c r="R3547" s="8">
        <v>0</v>
      </c>
      <c r="S3547" s="8">
        <v>0</v>
      </c>
      <c r="T3547" s="8">
        <v>1</v>
      </c>
      <c r="U3547" s="8">
        <v>2</v>
      </c>
      <c r="AG3547" s="8" t="str">
        <f t="shared" si="221"/>
        <v/>
      </c>
      <c r="AI3547" s="8" t="str">
        <f t="shared" si="222"/>
        <v/>
      </c>
      <c r="AJ3547" s="8" t="str">
        <f t="shared" si="223"/>
        <v/>
      </c>
      <c r="AL3547" s="8" t="str">
        <f t="shared" si="224"/>
        <v/>
      </c>
    </row>
    <row r="3548" spans="1:38" x14ac:dyDescent="0.25">
      <c r="A3548" s="8" t="s">
        <v>3064</v>
      </c>
      <c r="B3548" s="8" t="s">
        <v>3065</v>
      </c>
      <c r="C3548" s="8">
        <v>30875038</v>
      </c>
      <c r="D3548" s="8">
        <v>5</v>
      </c>
      <c r="E3548" s="11">
        <v>43110</v>
      </c>
      <c r="F3548" s="8" t="s">
        <v>57</v>
      </c>
      <c r="G3548" s="11">
        <v>43110</v>
      </c>
      <c r="H3548" s="8" t="s">
        <v>25</v>
      </c>
      <c r="J3548" s="8" t="s">
        <v>25</v>
      </c>
      <c r="N3548" s="8" t="s">
        <v>58</v>
      </c>
      <c r="O3548" s="8" t="s">
        <v>59</v>
      </c>
      <c r="P3548" s="8" t="s">
        <v>59</v>
      </c>
      <c r="R3548" s="8">
        <v>0</v>
      </c>
      <c r="S3548" s="8">
        <v>0</v>
      </c>
      <c r="T3548" s="8">
        <v>1</v>
      </c>
      <c r="U3548" s="8">
        <v>2</v>
      </c>
      <c r="AG3548" s="8" t="str">
        <f t="shared" si="221"/>
        <v/>
      </c>
      <c r="AI3548" s="8" t="str">
        <f t="shared" si="222"/>
        <v/>
      </c>
      <c r="AJ3548" s="8" t="str">
        <f t="shared" si="223"/>
        <v/>
      </c>
      <c r="AL3548" s="8" t="str">
        <f t="shared" si="224"/>
        <v/>
      </c>
    </row>
    <row r="3549" spans="1:38" x14ac:dyDescent="0.25">
      <c r="A3549" s="8" t="s">
        <v>3066</v>
      </c>
      <c r="B3549" s="8" t="s">
        <v>3067</v>
      </c>
      <c r="C3549" s="8">
        <v>30859826</v>
      </c>
      <c r="D3549" s="8">
        <v>5</v>
      </c>
      <c r="E3549" s="11">
        <v>43110</v>
      </c>
      <c r="F3549" s="8" t="s">
        <v>58</v>
      </c>
      <c r="G3549" s="11">
        <v>43110</v>
      </c>
      <c r="H3549" s="8" t="s">
        <v>25</v>
      </c>
      <c r="I3549" s="11">
        <v>43110</v>
      </c>
      <c r="J3549" s="8" t="s">
        <v>25</v>
      </c>
      <c r="N3549" s="8" t="s">
        <v>58</v>
      </c>
      <c r="O3549" s="8" t="s">
        <v>59</v>
      </c>
      <c r="P3549" s="8" t="s">
        <v>59</v>
      </c>
      <c r="R3549" s="8">
        <v>0</v>
      </c>
      <c r="S3549" s="8">
        <v>0</v>
      </c>
      <c r="T3549" s="8">
        <v>1</v>
      </c>
      <c r="U3549" s="8">
        <v>2</v>
      </c>
      <c r="X3549" s="8">
        <v>5</v>
      </c>
      <c r="AG3549" s="8" t="str">
        <f t="shared" si="221"/>
        <v/>
      </c>
      <c r="AI3549" s="8" t="str">
        <f t="shared" si="222"/>
        <v/>
      </c>
      <c r="AJ3549" s="8" t="str">
        <f t="shared" si="223"/>
        <v/>
      </c>
      <c r="AL3549" s="8" t="str">
        <f t="shared" si="224"/>
        <v/>
      </c>
    </row>
    <row r="3550" spans="1:38" x14ac:dyDescent="0.25">
      <c r="A3550" s="8" t="s">
        <v>6282</v>
      </c>
      <c r="B3550" s="8" t="s">
        <v>6283</v>
      </c>
      <c r="C3550" s="8">
        <v>30836070</v>
      </c>
      <c r="D3550" s="8">
        <v>5</v>
      </c>
      <c r="E3550" s="11">
        <v>43109</v>
      </c>
      <c r="F3550" s="8" t="s">
        <v>57</v>
      </c>
      <c r="G3550" s="11">
        <v>43114</v>
      </c>
      <c r="H3550" s="8" t="s">
        <v>145</v>
      </c>
      <c r="J3550" s="8" t="s">
        <v>25</v>
      </c>
      <c r="N3550" s="8" t="s">
        <v>58</v>
      </c>
      <c r="O3550" s="8" t="s">
        <v>59</v>
      </c>
      <c r="P3550" s="8" t="s">
        <v>59</v>
      </c>
      <c r="R3550" s="8">
        <v>0</v>
      </c>
      <c r="S3550" s="8">
        <v>0</v>
      </c>
      <c r="T3550" s="8">
        <v>1</v>
      </c>
      <c r="U3550" s="8">
        <v>2</v>
      </c>
      <c r="AG3550" s="8" t="str">
        <f t="shared" si="221"/>
        <v/>
      </c>
      <c r="AI3550" s="8" t="str">
        <f t="shared" si="222"/>
        <v/>
      </c>
      <c r="AJ3550" s="8" t="str">
        <f t="shared" si="223"/>
        <v/>
      </c>
      <c r="AL3550" s="8" t="str">
        <f t="shared" si="224"/>
        <v/>
      </c>
    </row>
    <row r="3551" spans="1:38" x14ac:dyDescent="0.25">
      <c r="A3551" s="8" t="s">
        <v>8045</v>
      </c>
      <c r="B3551" s="8" t="s">
        <v>8046</v>
      </c>
      <c r="C3551" s="8">
        <v>30921416</v>
      </c>
      <c r="D3551" s="8">
        <v>5</v>
      </c>
      <c r="E3551" s="11">
        <v>43112</v>
      </c>
      <c r="F3551" s="8" t="s">
        <v>57</v>
      </c>
      <c r="G3551" s="11">
        <v>43115</v>
      </c>
      <c r="H3551" s="8" t="s">
        <v>25</v>
      </c>
      <c r="J3551" s="8" t="s">
        <v>25</v>
      </c>
      <c r="N3551" s="8" t="s">
        <v>58</v>
      </c>
      <c r="O3551" s="8" t="s">
        <v>59</v>
      </c>
      <c r="P3551" s="8" t="s">
        <v>59</v>
      </c>
      <c r="R3551" s="8">
        <v>0</v>
      </c>
      <c r="S3551" s="8">
        <v>0</v>
      </c>
      <c r="T3551" s="8">
        <v>1</v>
      </c>
      <c r="U3551" s="8">
        <v>2</v>
      </c>
      <c r="AG3551" s="8" t="str">
        <f t="shared" si="221"/>
        <v/>
      </c>
      <c r="AI3551" s="8" t="str">
        <f t="shared" si="222"/>
        <v/>
      </c>
      <c r="AJ3551" s="8" t="str">
        <f t="shared" si="223"/>
        <v/>
      </c>
      <c r="AL3551" s="8" t="str">
        <f t="shared" si="224"/>
        <v/>
      </c>
    </row>
    <row r="3552" spans="1:38" x14ac:dyDescent="0.25">
      <c r="A3552" s="8" t="s">
        <v>8047</v>
      </c>
      <c r="B3552" s="8" t="s">
        <v>8048</v>
      </c>
      <c r="C3552" s="8">
        <v>30946331</v>
      </c>
      <c r="D3552" s="8">
        <v>5</v>
      </c>
      <c r="E3552" s="11">
        <v>43115</v>
      </c>
      <c r="F3552" s="8" t="s">
        <v>57</v>
      </c>
      <c r="G3552" s="11">
        <v>43115</v>
      </c>
      <c r="H3552" s="8" t="s">
        <v>25</v>
      </c>
      <c r="J3552" s="8" t="s">
        <v>25</v>
      </c>
      <c r="N3552" s="8" t="s">
        <v>58</v>
      </c>
      <c r="O3552" s="8" t="s">
        <v>59</v>
      </c>
      <c r="P3552" s="8" t="s">
        <v>59</v>
      </c>
      <c r="R3552" s="8">
        <v>0</v>
      </c>
      <c r="S3552" s="8">
        <v>0</v>
      </c>
      <c r="T3552" s="8">
        <v>1</v>
      </c>
      <c r="U3552" s="8">
        <v>2</v>
      </c>
      <c r="AG3552" s="8" t="str">
        <f t="shared" si="221"/>
        <v/>
      </c>
      <c r="AI3552" s="8" t="str">
        <f t="shared" si="222"/>
        <v/>
      </c>
      <c r="AJ3552" s="8" t="str">
        <f t="shared" si="223"/>
        <v/>
      </c>
      <c r="AL3552" s="8" t="str">
        <f t="shared" si="224"/>
        <v/>
      </c>
    </row>
    <row r="3553" spans="1:38" x14ac:dyDescent="0.25">
      <c r="A3553" s="8" t="s">
        <v>1478</v>
      </c>
      <c r="B3553" s="8" t="s">
        <v>1479</v>
      </c>
      <c r="C3553" s="8">
        <v>30844463</v>
      </c>
      <c r="D3553" s="8">
        <v>5</v>
      </c>
      <c r="E3553" s="11">
        <v>43109</v>
      </c>
      <c r="F3553" s="8" t="s">
        <v>58</v>
      </c>
      <c r="G3553" s="11">
        <v>43109</v>
      </c>
      <c r="H3553" s="8" t="s">
        <v>25</v>
      </c>
      <c r="I3553" s="11">
        <v>43112</v>
      </c>
      <c r="J3553" s="8" t="s">
        <v>25</v>
      </c>
      <c r="N3553" s="8" t="s">
        <v>58</v>
      </c>
      <c r="O3553" s="8" t="s">
        <v>59</v>
      </c>
      <c r="P3553" s="8" t="s">
        <v>59</v>
      </c>
      <c r="R3553" s="8">
        <v>0</v>
      </c>
      <c r="S3553" s="8">
        <v>0</v>
      </c>
      <c r="T3553" s="8">
        <v>1</v>
      </c>
      <c r="U3553" s="8">
        <v>2</v>
      </c>
      <c r="X3553" s="8">
        <v>5</v>
      </c>
      <c r="AG3553" s="8" t="str">
        <f t="shared" si="221"/>
        <v/>
      </c>
      <c r="AI3553" s="8" t="str">
        <f t="shared" si="222"/>
        <v/>
      </c>
      <c r="AJ3553" s="8" t="str">
        <f t="shared" si="223"/>
        <v/>
      </c>
      <c r="AL3553" s="8" t="str">
        <f t="shared" si="224"/>
        <v/>
      </c>
    </row>
    <row r="3554" spans="1:38" x14ac:dyDescent="0.25">
      <c r="A3554" s="8" t="s">
        <v>1480</v>
      </c>
      <c r="B3554" s="8" t="s">
        <v>1481</v>
      </c>
      <c r="C3554" s="8">
        <v>30845361</v>
      </c>
      <c r="D3554" s="8">
        <v>3</v>
      </c>
      <c r="E3554" s="11">
        <v>43109</v>
      </c>
      <c r="F3554" s="8" t="s">
        <v>57</v>
      </c>
      <c r="G3554" s="11">
        <v>43109</v>
      </c>
      <c r="H3554" s="8" t="s">
        <v>25</v>
      </c>
      <c r="J3554" s="8" t="s">
        <v>25</v>
      </c>
      <c r="N3554" s="8" t="s">
        <v>58</v>
      </c>
      <c r="O3554" s="8" t="s">
        <v>59</v>
      </c>
      <c r="P3554" s="8" t="s">
        <v>59</v>
      </c>
      <c r="R3554" s="8">
        <v>0</v>
      </c>
      <c r="S3554" s="8">
        <v>0</v>
      </c>
      <c r="T3554" s="8">
        <v>1</v>
      </c>
      <c r="U3554" s="8">
        <v>2</v>
      </c>
      <c r="AG3554" s="8" t="str">
        <f t="shared" si="221"/>
        <v/>
      </c>
      <c r="AI3554" s="8" t="str">
        <f t="shared" si="222"/>
        <v/>
      </c>
      <c r="AJ3554" s="8" t="str">
        <f t="shared" si="223"/>
        <v/>
      </c>
      <c r="AL3554" s="8" t="str">
        <f t="shared" si="224"/>
        <v/>
      </c>
    </row>
    <row r="3555" spans="1:38" x14ac:dyDescent="0.25">
      <c r="A3555" s="8" t="s">
        <v>3068</v>
      </c>
      <c r="B3555" s="8" t="s">
        <v>3069</v>
      </c>
      <c r="C3555" s="8">
        <v>30874124</v>
      </c>
      <c r="D3555" s="8">
        <v>4</v>
      </c>
      <c r="E3555" s="11">
        <v>43110</v>
      </c>
      <c r="F3555" s="8" t="s">
        <v>57</v>
      </c>
      <c r="G3555" s="11">
        <v>43110</v>
      </c>
      <c r="H3555" s="8" t="s">
        <v>25</v>
      </c>
      <c r="J3555" s="8" t="s">
        <v>25</v>
      </c>
      <c r="N3555" s="8" t="s">
        <v>58</v>
      </c>
      <c r="O3555" s="8" t="s">
        <v>59</v>
      </c>
      <c r="P3555" s="8" t="s">
        <v>59</v>
      </c>
      <c r="R3555" s="8">
        <v>0</v>
      </c>
      <c r="S3555" s="8">
        <v>0</v>
      </c>
      <c r="T3555" s="8">
        <v>1</v>
      </c>
      <c r="U3555" s="8">
        <v>2</v>
      </c>
      <c r="AG3555" s="8" t="str">
        <f t="shared" si="221"/>
        <v/>
      </c>
      <c r="AI3555" s="8" t="str">
        <f t="shared" si="222"/>
        <v/>
      </c>
      <c r="AJ3555" s="8" t="str">
        <f t="shared" si="223"/>
        <v/>
      </c>
      <c r="AL3555" s="8" t="str">
        <f t="shared" si="224"/>
        <v/>
      </c>
    </row>
    <row r="3556" spans="1:38" x14ac:dyDescent="0.25">
      <c r="A3556" s="8" t="s">
        <v>4499</v>
      </c>
      <c r="B3556" s="8" t="s">
        <v>4500</v>
      </c>
      <c r="C3556" s="8">
        <v>30865590</v>
      </c>
      <c r="D3556" s="8">
        <v>5</v>
      </c>
      <c r="E3556" s="11">
        <v>43110</v>
      </c>
      <c r="F3556" s="8" t="s">
        <v>57</v>
      </c>
      <c r="G3556" s="11">
        <v>43111</v>
      </c>
      <c r="H3556" s="8" t="s">
        <v>25</v>
      </c>
      <c r="J3556" s="8" t="s">
        <v>25</v>
      </c>
      <c r="N3556" s="8" t="s">
        <v>58</v>
      </c>
      <c r="O3556" s="8" t="s">
        <v>59</v>
      </c>
      <c r="P3556" s="8" t="s">
        <v>59</v>
      </c>
      <c r="R3556" s="8">
        <v>0</v>
      </c>
      <c r="S3556" s="8">
        <v>0</v>
      </c>
      <c r="T3556" s="8">
        <v>1</v>
      </c>
      <c r="U3556" s="8">
        <v>2</v>
      </c>
      <c r="AG3556" s="8" t="str">
        <f t="shared" si="221"/>
        <v/>
      </c>
      <c r="AI3556" s="8" t="str">
        <f t="shared" si="222"/>
        <v/>
      </c>
      <c r="AJ3556" s="8" t="str">
        <f t="shared" si="223"/>
        <v/>
      </c>
      <c r="AL3556" s="8" t="str">
        <f t="shared" si="224"/>
        <v/>
      </c>
    </row>
    <row r="3557" spans="1:38" x14ac:dyDescent="0.25">
      <c r="A3557" s="8" t="s">
        <v>3070</v>
      </c>
      <c r="B3557" s="8" t="s">
        <v>3071</v>
      </c>
      <c r="C3557" s="8">
        <v>30831956</v>
      </c>
      <c r="D3557" s="8">
        <v>5</v>
      </c>
      <c r="E3557" s="11">
        <v>43109</v>
      </c>
      <c r="F3557" s="8" t="s">
        <v>57</v>
      </c>
      <c r="G3557" s="11">
        <v>43110</v>
      </c>
      <c r="H3557" s="8" t="s">
        <v>25</v>
      </c>
      <c r="J3557" s="8" t="s">
        <v>25</v>
      </c>
      <c r="N3557" s="8" t="s">
        <v>58</v>
      </c>
      <c r="O3557" s="8" t="s">
        <v>59</v>
      </c>
      <c r="P3557" s="8" t="s">
        <v>59</v>
      </c>
      <c r="R3557" s="8">
        <v>0</v>
      </c>
      <c r="S3557" s="8">
        <v>0</v>
      </c>
      <c r="T3557" s="8">
        <v>1</v>
      </c>
      <c r="U3557" s="8">
        <v>2</v>
      </c>
      <c r="AG3557" s="8" t="str">
        <f t="shared" si="221"/>
        <v/>
      </c>
      <c r="AI3557" s="8" t="str">
        <f t="shared" si="222"/>
        <v/>
      </c>
      <c r="AJ3557" s="8" t="str">
        <f t="shared" si="223"/>
        <v/>
      </c>
      <c r="AL3557" s="8" t="str">
        <f t="shared" si="224"/>
        <v/>
      </c>
    </row>
    <row r="3558" spans="1:38" x14ac:dyDescent="0.25">
      <c r="A3558" s="8" t="s">
        <v>6284</v>
      </c>
      <c r="B3558" s="8" t="s">
        <v>6285</v>
      </c>
      <c r="C3558" s="8">
        <v>30916291</v>
      </c>
      <c r="D3558" s="8">
        <v>5</v>
      </c>
      <c r="E3558" s="11">
        <v>43112</v>
      </c>
      <c r="F3558" s="8" t="s">
        <v>57</v>
      </c>
      <c r="G3558" s="11">
        <v>43112</v>
      </c>
      <c r="H3558" s="8" t="s">
        <v>25</v>
      </c>
      <c r="J3558" s="8" t="s">
        <v>25</v>
      </c>
      <c r="N3558" s="8" t="s">
        <v>58</v>
      </c>
      <c r="O3558" s="8" t="s">
        <v>59</v>
      </c>
      <c r="P3558" s="8" t="s">
        <v>59</v>
      </c>
      <c r="R3558" s="8">
        <v>0</v>
      </c>
      <c r="S3558" s="8">
        <v>0</v>
      </c>
      <c r="T3558" s="8">
        <v>1</v>
      </c>
      <c r="U3558" s="8">
        <v>2</v>
      </c>
      <c r="AG3558" s="8" t="str">
        <f t="shared" si="221"/>
        <v/>
      </c>
      <c r="AI3558" s="8" t="str">
        <f t="shared" si="222"/>
        <v/>
      </c>
      <c r="AJ3558" s="8" t="str">
        <f t="shared" si="223"/>
        <v/>
      </c>
      <c r="AL3558" s="8" t="str">
        <f t="shared" si="224"/>
        <v/>
      </c>
    </row>
    <row r="3559" spans="1:38" x14ac:dyDescent="0.25">
      <c r="A3559" s="8" t="s">
        <v>1482</v>
      </c>
      <c r="B3559" s="8" t="s">
        <v>1483</v>
      </c>
      <c r="C3559" s="8">
        <v>30841551</v>
      </c>
      <c r="D3559" s="8">
        <v>5</v>
      </c>
      <c r="E3559" s="11">
        <v>43109</v>
      </c>
      <c r="F3559" s="8" t="s">
        <v>58</v>
      </c>
      <c r="G3559" s="11">
        <v>43109</v>
      </c>
      <c r="H3559" s="8" t="s">
        <v>25</v>
      </c>
      <c r="I3559" s="11">
        <v>43109</v>
      </c>
      <c r="J3559" s="8" t="s">
        <v>25</v>
      </c>
      <c r="N3559" s="8" t="s">
        <v>58</v>
      </c>
      <c r="O3559" s="8" t="s">
        <v>59</v>
      </c>
      <c r="P3559" s="8" t="s">
        <v>59</v>
      </c>
      <c r="R3559" s="8">
        <v>0</v>
      </c>
      <c r="S3559" s="8">
        <v>0</v>
      </c>
      <c r="T3559" s="8">
        <v>1</v>
      </c>
      <c r="U3559" s="8">
        <v>2</v>
      </c>
      <c r="X3559" s="8">
        <v>5</v>
      </c>
      <c r="AG3559" s="8" t="str">
        <f t="shared" si="221"/>
        <v/>
      </c>
      <c r="AI3559" s="8" t="str">
        <f t="shared" si="222"/>
        <v/>
      </c>
      <c r="AJ3559" s="8" t="str">
        <f t="shared" si="223"/>
        <v/>
      </c>
      <c r="AL3559" s="8" t="str">
        <f t="shared" si="224"/>
        <v/>
      </c>
    </row>
    <row r="3560" spans="1:38" x14ac:dyDescent="0.25">
      <c r="A3560" s="8" t="s">
        <v>4501</v>
      </c>
      <c r="B3560" s="8" t="s">
        <v>4502</v>
      </c>
      <c r="C3560" s="8">
        <v>30884990</v>
      </c>
      <c r="D3560" s="8">
        <v>5</v>
      </c>
      <c r="E3560" s="11">
        <v>43111</v>
      </c>
      <c r="F3560" s="8" t="s">
        <v>58</v>
      </c>
      <c r="G3560" s="11">
        <v>43111</v>
      </c>
      <c r="H3560" s="8" t="s">
        <v>25</v>
      </c>
      <c r="I3560" s="11">
        <v>43111</v>
      </c>
      <c r="J3560" s="8" t="s">
        <v>25</v>
      </c>
      <c r="N3560" s="8" t="s">
        <v>58</v>
      </c>
      <c r="O3560" s="8" t="s">
        <v>59</v>
      </c>
      <c r="P3560" s="8" t="s">
        <v>59</v>
      </c>
      <c r="R3560" s="8">
        <v>0</v>
      </c>
      <c r="S3560" s="8">
        <v>0</v>
      </c>
      <c r="T3560" s="8">
        <v>1</v>
      </c>
      <c r="U3560" s="8">
        <v>2</v>
      </c>
      <c r="X3560" s="8">
        <v>5</v>
      </c>
      <c r="AG3560" s="8" t="str">
        <f t="shared" si="221"/>
        <v/>
      </c>
      <c r="AI3560" s="8" t="str">
        <f t="shared" si="222"/>
        <v/>
      </c>
      <c r="AJ3560" s="8" t="str">
        <f t="shared" si="223"/>
        <v/>
      </c>
      <c r="AL3560" s="8" t="str">
        <f t="shared" si="224"/>
        <v/>
      </c>
    </row>
    <row r="3561" spans="1:38" x14ac:dyDescent="0.25">
      <c r="A3561" s="8" t="s">
        <v>3072</v>
      </c>
      <c r="B3561" s="8" t="s">
        <v>3073</v>
      </c>
      <c r="C3561" s="8">
        <v>30865243</v>
      </c>
      <c r="D3561" s="8">
        <v>5</v>
      </c>
      <c r="E3561" s="11">
        <v>43110</v>
      </c>
      <c r="F3561" s="8" t="s">
        <v>58</v>
      </c>
      <c r="G3561" s="11">
        <v>43110</v>
      </c>
      <c r="H3561" s="8" t="s">
        <v>25</v>
      </c>
      <c r="I3561" s="11">
        <v>43110</v>
      </c>
      <c r="J3561" s="8" t="s">
        <v>25</v>
      </c>
      <c r="N3561" s="8" t="s">
        <v>58</v>
      </c>
      <c r="O3561" s="8" t="s">
        <v>59</v>
      </c>
      <c r="P3561" s="8" t="s">
        <v>59</v>
      </c>
      <c r="R3561" s="8">
        <v>0</v>
      </c>
      <c r="S3561" s="8">
        <v>0</v>
      </c>
      <c r="T3561" s="8">
        <v>1</v>
      </c>
      <c r="U3561" s="8">
        <v>2</v>
      </c>
      <c r="X3561" s="8">
        <v>5</v>
      </c>
      <c r="AG3561" s="8" t="str">
        <f t="shared" si="221"/>
        <v/>
      </c>
      <c r="AI3561" s="8" t="str">
        <f t="shared" si="222"/>
        <v/>
      </c>
      <c r="AJ3561" s="8" t="str">
        <f t="shared" si="223"/>
        <v/>
      </c>
      <c r="AL3561" s="8" t="str">
        <f t="shared" si="224"/>
        <v/>
      </c>
    </row>
    <row r="3562" spans="1:38" x14ac:dyDescent="0.25">
      <c r="A3562" s="8" t="s">
        <v>4503</v>
      </c>
      <c r="B3562" s="8" t="s">
        <v>4504</v>
      </c>
      <c r="C3562" s="8">
        <v>30901900</v>
      </c>
      <c r="D3562" s="8">
        <v>5</v>
      </c>
      <c r="E3562" s="11">
        <v>43111</v>
      </c>
      <c r="F3562" s="8" t="s">
        <v>58</v>
      </c>
      <c r="G3562" s="11">
        <v>43111</v>
      </c>
      <c r="H3562" s="8" t="s">
        <v>25</v>
      </c>
      <c r="I3562" s="11">
        <v>43111</v>
      </c>
      <c r="J3562" s="8" t="s">
        <v>25</v>
      </c>
      <c r="N3562" s="8" t="s">
        <v>58</v>
      </c>
      <c r="O3562" s="8" t="s">
        <v>59</v>
      </c>
      <c r="P3562" s="8" t="s">
        <v>59</v>
      </c>
      <c r="R3562" s="8">
        <v>0</v>
      </c>
      <c r="S3562" s="8">
        <v>0</v>
      </c>
      <c r="T3562" s="8">
        <v>1</v>
      </c>
      <c r="U3562" s="8">
        <v>2</v>
      </c>
      <c r="X3562" s="8">
        <v>5</v>
      </c>
      <c r="AG3562" s="8" t="str">
        <f t="shared" si="221"/>
        <v/>
      </c>
      <c r="AI3562" s="8" t="str">
        <f t="shared" si="222"/>
        <v/>
      </c>
      <c r="AJ3562" s="8" t="str">
        <f t="shared" si="223"/>
        <v/>
      </c>
      <c r="AL3562" s="8" t="str">
        <f t="shared" si="224"/>
        <v/>
      </c>
    </row>
    <row r="3563" spans="1:38" x14ac:dyDescent="0.25">
      <c r="A3563" s="8" t="s">
        <v>3074</v>
      </c>
      <c r="B3563" s="8" t="s">
        <v>3075</v>
      </c>
      <c r="C3563" s="8">
        <v>30867262</v>
      </c>
      <c r="D3563" s="8">
        <v>5</v>
      </c>
      <c r="E3563" s="11">
        <v>43110</v>
      </c>
      <c r="F3563" s="8" t="s">
        <v>58</v>
      </c>
      <c r="G3563" s="11">
        <v>43110</v>
      </c>
      <c r="H3563" s="8" t="s">
        <v>25</v>
      </c>
      <c r="I3563" s="11">
        <v>43112</v>
      </c>
      <c r="J3563" s="8" t="s">
        <v>25</v>
      </c>
      <c r="N3563" s="8" t="s">
        <v>58</v>
      </c>
      <c r="O3563" s="8" t="s">
        <v>59</v>
      </c>
      <c r="P3563" s="8" t="s">
        <v>59</v>
      </c>
      <c r="R3563" s="8">
        <v>0</v>
      </c>
      <c r="S3563" s="8">
        <v>0</v>
      </c>
      <c r="T3563" s="8">
        <v>1</v>
      </c>
      <c r="U3563" s="8">
        <v>2</v>
      </c>
      <c r="X3563" s="8">
        <v>5</v>
      </c>
      <c r="AG3563" s="8" t="str">
        <f t="shared" si="221"/>
        <v/>
      </c>
      <c r="AI3563" s="8" t="str">
        <f t="shared" si="222"/>
        <v/>
      </c>
      <c r="AJ3563" s="8" t="str">
        <f t="shared" si="223"/>
        <v/>
      </c>
      <c r="AL3563" s="8" t="str">
        <f t="shared" si="224"/>
        <v/>
      </c>
    </row>
    <row r="3564" spans="1:38" x14ac:dyDescent="0.25">
      <c r="A3564" s="8" t="s">
        <v>8049</v>
      </c>
      <c r="B3564" s="8" t="s">
        <v>8050</v>
      </c>
      <c r="C3564" s="8">
        <v>30937277</v>
      </c>
      <c r="D3564" s="8">
        <v>5</v>
      </c>
      <c r="E3564" s="11">
        <v>43115</v>
      </c>
      <c r="F3564" s="8" t="s">
        <v>58</v>
      </c>
      <c r="G3564" s="11">
        <v>43115</v>
      </c>
      <c r="H3564" s="8" t="s">
        <v>25</v>
      </c>
      <c r="I3564" s="11">
        <v>43115</v>
      </c>
      <c r="J3564" s="8" t="s">
        <v>25</v>
      </c>
      <c r="N3564" s="8" t="s">
        <v>58</v>
      </c>
      <c r="O3564" s="8" t="s">
        <v>59</v>
      </c>
      <c r="P3564" s="8" t="s">
        <v>59</v>
      </c>
      <c r="R3564" s="8">
        <v>0</v>
      </c>
      <c r="S3564" s="8">
        <v>0</v>
      </c>
      <c r="T3564" s="8">
        <v>1</v>
      </c>
      <c r="U3564" s="8">
        <v>2</v>
      </c>
      <c r="X3564" s="8">
        <v>5</v>
      </c>
      <c r="AG3564" s="8" t="str">
        <f t="shared" si="221"/>
        <v/>
      </c>
      <c r="AI3564" s="8" t="str">
        <f t="shared" si="222"/>
        <v/>
      </c>
      <c r="AJ3564" s="8" t="str">
        <f t="shared" si="223"/>
        <v/>
      </c>
      <c r="AL3564" s="8" t="str">
        <f t="shared" si="224"/>
        <v/>
      </c>
    </row>
    <row r="3565" spans="1:38" x14ac:dyDescent="0.25">
      <c r="A3565" s="8" t="s">
        <v>685</v>
      </c>
      <c r="B3565" s="8" t="s">
        <v>686</v>
      </c>
      <c r="C3565" s="8">
        <v>30826048</v>
      </c>
      <c r="D3565" s="8">
        <v>5</v>
      </c>
      <c r="E3565" s="11">
        <v>43108</v>
      </c>
      <c r="F3565" s="8" t="s">
        <v>57</v>
      </c>
      <c r="G3565" s="11">
        <v>43108</v>
      </c>
      <c r="H3565" s="8" t="s">
        <v>25</v>
      </c>
      <c r="J3565" s="8" t="s">
        <v>25</v>
      </c>
      <c r="N3565" s="8" t="s">
        <v>58</v>
      </c>
      <c r="O3565" s="8" t="s">
        <v>59</v>
      </c>
      <c r="P3565" s="8" t="s">
        <v>59</v>
      </c>
      <c r="R3565" s="8">
        <v>0</v>
      </c>
      <c r="S3565" s="8">
        <v>0</v>
      </c>
      <c r="T3565" s="8">
        <v>1</v>
      </c>
      <c r="U3565" s="8">
        <v>2</v>
      </c>
      <c r="AG3565" s="8" t="str">
        <f t="shared" si="221"/>
        <v/>
      </c>
      <c r="AI3565" s="8" t="str">
        <f t="shared" si="222"/>
        <v/>
      </c>
      <c r="AJ3565" s="8" t="str">
        <f t="shared" si="223"/>
        <v/>
      </c>
      <c r="AL3565" s="8" t="str">
        <f t="shared" si="224"/>
        <v/>
      </c>
    </row>
    <row r="3566" spans="1:38" x14ac:dyDescent="0.25">
      <c r="A3566" s="8" t="s">
        <v>687</v>
      </c>
      <c r="B3566" s="8" t="s">
        <v>688</v>
      </c>
      <c r="C3566" s="8">
        <v>30823432</v>
      </c>
      <c r="D3566" s="8">
        <v>5</v>
      </c>
      <c r="E3566" s="11">
        <v>43108</v>
      </c>
      <c r="F3566" s="8" t="s">
        <v>58</v>
      </c>
      <c r="G3566" s="11">
        <v>43108</v>
      </c>
      <c r="H3566" s="8" t="s">
        <v>25</v>
      </c>
      <c r="I3566" s="11">
        <v>43108</v>
      </c>
      <c r="J3566" s="8" t="s">
        <v>25</v>
      </c>
      <c r="N3566" s="8" t="s">
        <v>58</v>
      </c>
      <c r="O3566" s="8" t="s">
        <v>59</v>
      </c>
      <c r="P3566" s="8" t="s">
        <v>59</v>
      </c>
      <c r="R3566" s="8">
        <v>0</v>
      </c>
      <c r="S3566" s="8">
        <v>0</v>
      </c>
      <c r="T3566" s="8">
        <v>1</v>
      </c>
      <c r="U3566" s="8">
        <v>2</v>
      </c>
      <c r="X3566" s="8">
        <v>5</v>
      </c>
      <c r="AG3566" s="8" t="str">
        <f t="shared" si="221"/>
        <v/>
      </c>
      <c r="AI3566" s="8" t="str">
        <f t="shared" si="222"/>
        <v/>
      </c>
      <c r="AJ3566" s="8" t="str">
        <f t="shared" si="223"/>
        <v/>
      </c>
      <c r="AL3566" s="8" t="str">
        <f t="shared" si="224"/>
        <v/>
      </c>
    </row>
    <row r="3567" spans="1:38" x14ac:dyDescent="0.25">
      <c r="A3567" s="8" t="s">
        <v>6286</v>
      </c>
      <c r="B3567" s="8" t="s">
        <v>6287</v>
      </c>
      <c r="C3567" s="8">
        <v>30899931</v>
      </c>
      <c r="D3567" s="8">
        <v>5</v>
      </c>
      <c r="E3567" s="11">
        <v>43111</v>
      </c>
      <c r="F3567" s="8" t="s">
        <v>57</v>
      </c>
      <c r="G3567" s="11">
        <v>43114</v>
      </c>
      <c r="H3567" s="8" t="s">
        <v>25</v>
      </c>
      <c r="J3567" s="8" t="s">
        <v>25</v>
      </c>
      <c r="N3567" s="8" t="s">
        <v>58</v>
      </c>
      <c r="O3567" s="8" t="s">
        <v>59</v>
      </c>
      <c r="P3567" s="8" t="s">
        <v>59</v>
      </c>
      <c r="R3567" s="8">
        <v>0</v>
      </c>
      <c r="S3567" s="8">
        <v>0</v>
      </c>
      <c r="T3567" s="8">
        <v>1</v>
      </c>
      <c r="U3567" s="8">
        <v>2</v>
      </c>
      <c r="AG3567" s="8" t="str">
        <f t="shared" si="221"/>
        <v/>
      </c>
      <c r="AI3567" s="8" t="str">
        <f t="shared" si="222"/>
        <v/>
      </c>
      <c r="AJ3567" s="8" t="str">
        <f t="shared" si="223"/>
        <v/>
      </c>
      <c r="AL3567" s="8" t="str">
        <f t="shared" si="224"/>
        <v/>
      </c>
    </row>
    <row r="3568" spans="1:38" x14ac:dyDescent="0.25">
      <c r="A3568" s="8" t="s">
        <v>1484</v>
      </c>
      <c r="B3568" s="8" t="s">
        <v>1485</v>
      </c>
      <c r="C3568" s="8">
        <v>30835775</v>
      </c>
      <c r="D3568" s="8">
        <v>5</v>
      </c>
      <c r="E3568" s="11">
        <v>43109</v>
      </c>
      <c r="F3568" s="8" t="s">
        <v>57</v>
      </c>
      <c r="G3568" s="11">
        <v>43109</v>
      </c>
      <c r="H3568" s="8" t="s">
        <v>25</v>
      </c>
      <c r="J3568" s="8" t="s">
        <v>25</v>
      </c>
      <c r="N3568" s="8" t="s">
        <v>58</v>
      </c>
      <c r="O3568" s="8" t="s">
        <v>59</v>
      </c>
      <c r="P3568" s="8" t="s">
        <v>59</v>
      </c>
      <c r="R3568" s="8">
        <v>0</v>
      </c>
      <c r="S3568" s="8">
        <v>0</v>
      </c>
      <c r="T3568" s="8">
        <v>1</v>
      </c>
      <c r="U3568" s="8">
        <v>2</v>
      </c>
      <c r="AG3568" s="8" t="str">
        <f t="shared" si="221"/>
        <v/>
      </c>
      <c r="AI3568" s="8" t="str">
        <f t="shared" si="222"/>
        <v/>
      </c>
      <c r="AJ3568" s="8" t="str">
        <f t="shared" si="223"/>
        <v/>
      </c>
      <c r="AL3568" s="8" t="str">
        <f t="shared" si="224"/>
        <v/>
      </c>
    </row>
    <row r="3569" spans="1:38" x14ac:dyDescent="0.25">
      <c r="A3569" s="8" t="s">
        <v>8051</v>
      </c>
      <c r="B3569" s="8" t="s">
        <v>8052</v>
      </c>
      <c r="C3569" s="8">
        <v>30913503</v>
      </c>
      <c r="D3569" s="8">
        <v>4</v>
      </c>
      <c r="E3569" s="11">
        <v>43112</v>
      </c>
      <c r="F3569" s="8" t="s">
        <v>57</v>
      </c>
      <c r="G3569" s="11">
        <v>43115</v>
      </c>
      <c r="H3569" s="8" t="s">
        <v>25</v>
      </c>
      <c r="J3569" s="8" t="s">
        <v>25</v>
      </c>
      <c r="N3569" s="8" t="s">
        <v>58</v>
      </c>
      <c r="O3569" s="8" t="s">
        <v>59</v>
      </c>
      <c r="P3569" s="8" t="s">
        <v>59</v>
      </c>
      <c r="R3569" s="8">
        <v>0</v>
      </c>
      <c r="S3569" s="8">
        <v>0</v>
      </c>
      <c r="T3569" s="8">
        <v>1</v>
      </c>
      <c r="U3569" s="8">
        <v>2</v>
      </c>
      <c r="AG3569" s="8" t="str">
        <f t="shared" si="221"/>
        <v/>
      </c>
      <c r="AI3569" s="8" t="str">
        <f t="shared" si="222"/>
        <v/>
      </c>
      <c r="AJ3569" s="8" t="str">
        <f t="shared" si="223"/>
        <v/>
      </c>
      <c r="AL3569" s="8" t="str">
        <f t="shared" si="224"/>
        <v/>
      </c>
    </row>
    <row r="3570" spans="1:38" x14ac:dyDescent="0.25">
      <c r="A3570" s="8" t="s">
        <v>3076</v>
      </c>
      <c r="B3570" s="8" t="s">
        <v>3077</v>
      </c>
      <c r="C3570" s="8">
        <v>30846855</v>
      </c>
      <c r="D3570" s="8">
        <v>5</v>
      </c>
      <c r="E3570" s="11">
        <v>43109</v>
      </c>
      <c r="F3570" s="8" t="s">
        <v>57</v>
      </c>
      <c r="G3570" s="11">
        <v>43110</v>
      </c>
      <c r="H3570" s="8" t="s">
        <v>25</v>
      </c>
      <c r="J3570" s="8" t="s">
        <v>25</v>
      </c>
      <c r="N3570" s="8" t="s">
        <v>58</v>
      </c>
      <c r="O3570" s="8" t="s">
        <v>59</v>
      </c>
      <c r="P3570" s="8" t="s">
        <v>59</v>
      </c>
      <c r="R3570" s="8">
        <v>0</v>
      </c>
      <c r="S3570" s="8">
        <v>0</v>
      </c>
      <c r="T3570" s="8">
        <v>1</v>
      </c>
      <c r="U3570" s="8">
        <v>2</v>
      </c>
      <c r="AG3570" s="8" t="str">
        <f t="shared" si="221"/>
        <v/>
      </c>
      <c r="AI3570" s="8" t="str">
        <f t="shared" si="222"/>
        <v/>
      </c>
      <c r="AJ3570" s="8" t="str">
        <f t="shared" si="223"/>
        <v/>
      </c>
      <c r="AL3570" s="8" t="str">
        <f t="shared" si="224"/>
        <v/>
      </c>
    </row>
    <row r="3571" spans="1:38" x14ac:dyDescent="0.25">
      <c r="A3571" s="8" t="s">
        <v>6288</v>
      </c>
      <c r="B3571" s="8" t="s">
        <v>6289</v>
      </c>
      <c r="C3571" s="8">
        <v>30921439</v>
      </c>
      <c r="D3571" s="8">
        <v>5</v>
      </c>
      <c r="E3571" s="11">
        <v>43112</v>
      </c>
      <c r="F3571" s="8" t="s">
        <v>58</v>
      </c>
      <c r="G3571" s="11">
        <v>43112</v>
      </c>
      <c r="H3571" s="8" t="s">
        <v>25</v>
      </c>
      <c r="I3571" s="11">
        <v>43115</v>
      </c>
      <c r="J3571" s="8" t="s">
        <v>25</v>
      </c>
      <c r="N3571" s="8" t="s">
        <v>58</v>
      </c>
      <c r="O3571" s="8" t="s">
        <v>59</v>
      </c>
      <c r="P3571" s="8" t="s">
        <v>59</v>
      </c>
      <c r="R3571" s="8">
        <v>0</v>
      </c>
      <c r="S3571" s="8">
        <v>0</v>
      </c>
      <c r="T3571" s="8">
        <v>1</v>
      </c>
      <c r="U3571" s="8">
        <v>2</v>
      </c>
      <c r="X3571" s="8">
        <v>5</v>
      </c>
      <c r="AG3571" s="8" t="str">
        <f t="shared" si="221"/>
        <v/>
      </c>
      <c r="AI3571" s="8" t="str">
        <f t="shared" si="222"/>
        <v/>
      </c>
      <c r="AJ3571" s="8" t="str">
        <f t="shared" si="223"/>
        <v/>
      </c>
      <c r="AL3571" s="8" t="str">
        <f t="shared" si="224"/>
        <v/>
      </c>
    </row>
    <row r="3572" spans="1:38" x14ac:dyDescent="0.25">
      <c r="A3572" s="8" t="s">
        <v>689</v>
      </c>
      <c r="B3572" s="8" t="s">
        <v>690</v>
      </c>
      <c r="C3572" s="8">
        <v>30812609</v>
      </c>
      <c r="D3572" s="8">
        <v>5</v>
      </c>
      <c r="E3572" s="11">
        <v>43108</v>
      </c>
      <c r="F3572" s="8" t="s">
        <v>58</v>
      </c>
      <c r="G3572" s="11">
        <v>43108</v>
      </c>
      <c r="H3572" s="8" t="s">
        <v>25</v>
      </c>
      <c r="I3572" s="11">
        <v>43108</v>
      </c>
      <c r="J3572" s="8" t="s">
        <v>25</v>
      </c>
      <c r="N3572" s="8" t="s">
        <v>58</v>
      </c>
      <c r="O3572" s="8" t="s">
        <v>59</v>
      </c>
      <c r="P3572" s="8" t="s">
        <v>59</v>
      </c>
      <c r="R3572" s="8">
        <v>0</v>
      </c>
      <c r="S3572" s="8">
        <v>0</v>
      </c>
      <c r="T3572" s="8">
        <v>1</v>
      </c>
      <c r="U3572" s="8">
        <v>2</v>
      </c>
      <c r="X3572" s="8">
        <v>5</v>
      </c>
      <c r="AG3572" s="8" t="str">
        <f t="shared" si="221"/>
        <v/>
      </c>
      <c r="AI3572" s="8" t="str">
        <f t="shared" si="222"/>
        <v/>
      </c>
      <c r="AJ3572" s="8" t="str">
        <f t="shared" si="223"/>
        <v/>
      </c>
      <c r="AL3572" s="8" t="str">
        <f t="shared" si="224"/>
        <v/>
      </c>
    </row>
    <row r="3573" spans="1:38" x14ac:dyDescent="0.25">
      <c r="A3573" s="8" t="s">
        <v>4505</v>
      </c>
      <c r="B3573" s="8" t="s">
        <v>4506</v>
      </c>
      <c r="C3573" s="8">
        <v>30858297</v>
      </c>
      <c r="D3573" s="8">
        <v>5</v>
      </c>
      <c r="E3573" s="11">
        <v>43110</v>
      </c>
      <c r="F3573" s="8" t="s">
        <v>57</v>
      </c>
      <c r="G3573" s="11">
        <v>43111</v>
      </c>
      <c r="H3573" s="8" t="s">
        <v>25</v>
      </c>
      <c r="J3573" s="8" t="s">
        <v>25</v>
      </c>
      <c r="N3573" s="8" t="s">
        <v>58</v>
      </c>
      <c r="O3573" s="8" t="s">
        <v>59</v>
      </c>
      <c r="P3573" s="8" t="s">
        <v>59</v>
      </c>
      <c r="R3573" s="8">
        <v>0</v>
      </c>
      <c r="S3573" s="8">
        <v>0</v>
      </c>
      <c r="T3573" s="8">
        <v>1</v>
      </c>
      <c r="U3573" s="8">
        <v>2</v>
      </c>
      <c r="AG3573" s="8" t="str">
        <f t="shared" si="221"/>
        <v/>
      </c>
      <c r="AI3573" s="8" t="str">
        <f t="shared" si="222"/>
        <v/>
      </c>
      <c r="AJ3573" s="8" t="str">
        <f t="shared" si="223"/>
        <v/>
      </c>
      <c r="AL3573" s="8" t="str">
        <f t="shared" si="224"/>
        <v/>
      </c>
    </row>
    <row r="3574" spans="1:38" x14ac:dyDescent="0.25">
      <c r="A3574" s="8" t="s">
        <v>1486</v>
      </c>
      <c r="B3574" s="8" t="s">
        <v>1487</v>
      </c>
      <c r="C3574" s="8">
        <v>30812673</v>
      </c>
      <c r="D3574" s="8">
        <v>5</v>
      </c>
      <c r="E3574" s="11">
        <v>43108</v>
      </c>
      <c r="F3574" s="8" t="s">
        <v>57</v>
      </c>
      <c r="G3574" s="11">
        <v>43109</v>
      </c>
      <c r="H3574" s="8" t="s">
        <v>25</v>
      </c>
      <c r="J3574" s="8" t="s">
        <v>25</v>
      </c>
      <c r="N3574" s="8" t="s">
        <v>58</v>
      </c>
      <c r="O3574" s="8" t="s">
        <v>59</v>
      </c>
      <c r="P3574" s="8" t="s">
        <v>59</v>
      </c>
      <c r="R3574" s="8">
        <v>0</v>
      </c>
      <c r="S3574" s="8">
        <v>0</v>
      </c>
      <c r="T3574" s="8">
        <v>1</v>
      </c>
      <c r="U3574" s="8">
        <v>2</v>
      </c>
      <c r="AG3574" s="8" t="str">
        <f t="shared" si="221"/>
        <v/>
      </c>
      <c r="AI3574" s="8" t="str">
        <f t="shared" si="222"/>
        <v/>
      </c>
      <c r="AJ3574" s="8" t="str">
        <f t="shared" si="223"/>
        <v/>
      </c>
      <c r="AL3574" s="8" t="str">
        <f t="shared" si="224"/>
        <v/>
      </c>
    </row>
    <row r="3575" spans="1:38" x14ac:dyDescent="0.25">
      <c r="A3575" s="8" t="s">
        <v>691</v>
      </c>
      <c r="B3575" s="8" t="s">
        <v>692</v>
      </c>
      <c r="C3575" s="8">
        <v>30824094</v>
      </c>
      <c r="D3575" s="8">
        <v>5</v>
      </c>
      <c r="E3575" s="11">
        <v>43108</v>
      </c>
      <c r="F3575" s="8" t="s">
        <v>58</v>
      </c>
      <c r="G3575" s="11">
        <v>43108</v>
      </c>
      <c r="H3575" s="8" t="s">
        <v>25</v>
      </c>
      <c r="I3575" s="11">
        <v>43108</v>
      </c>
      <c r="J3575" s="8" t="s">
        <v>25</v>
      </c>
      <c r="N3575" s="8" t="s">
        <v>58</v>
      </c>
      <c r="O3575" s="8" t="s">
        <v>59</v>
      </c>
      <c r="P3575" s="8" t="s">
        <v>59</v>
      </c>
      <c r="R3575" s="8">
        <v>0</v>
      </c>
      <c r="S3575" s="8">
        <v>0</v>
      </c>
      <c r="T3575" s="8">
        <v>1</v>
      </c>
      <c r="U3575" s="8">
        <v>2</v>
      </c>
      <c r="X3575" s="8">
        <v>5</v>
      </c>
      <c r="AG3575" s="8" t="str">
        <f t="shared" si="221"/>
        <v/>
      </c>
      <c r="AI3575" s="8" t="str">
        <f t="shared" si="222"/>
        <v/>
      </c>
      <c r="AJ3575" s="8" t="str">
        <f t="shared" si="223"/>
        <v/>
      </c>
      <c r="AL3575" s="8" t="str">
        <f t="shared" si="224"/>
        <v/>
      </c>
    </row>
    <row r="3576" spans="1:38" x14ac:dyDescent="0.25">
      <c r="A3576" s="8" t="s">
        <v>6290</v>
      </c>
      <c r="B3576" s="8" t="s">
        <v>6291</v>
      </c>
      <c r="C3576" s="8">
        <v>30920145</v>
      </c>
      <c r="D3576" s="8">
        <v>5</v>
      </c>
      <c r="E3576" s="11">
        <v>43112</v>
      </c>
      <c r="F3576" s="8" t="s">
        <v>58</v>
      </c>
      <c r="G3576" s="11">
        <v>43112</v>
      </c>
      <c r="H3576" s="8" t="s">
        <v>25</v>
      </c>
      <c r="I3576" s="11">
        <v>43112</v>
      </c>
      <c r="J3576" s="8" t="s">
        <v>25</v>
      </c>
      <c r="N3576" s="8" t="s">
        <v>58</v>
      </c>
      <c r="O3576" s="8" t="s">
        <v>59</v>
      </c>
      <c r="P3576" s="8" t="s">
        <v>59</v>
      </c>
      <c r="R3576" s="8">
        <v>0</v>
      </c>
      <c r="S3576" s="8">
        <v>0</v>
      </c>
      <c r="T3576" s="8">
        <v>1</v>
      </c>
      <c r="U3576" s="8">
        <v>2</v>
      </c>
      <c r="X3576" s="8">
        <v>5</v>
      </c>
      <c r="AG3576" s="8" t="str">
        <f t="shared" si="221"/>
        <v/>
      </c>
      <c r="AI3576" s="8" t="str">
        <f t="shared" si="222"/>
        <v/>
      </c>
      <c r="AJ3576" s="8" t="str">
        <f t="shared" si="223"/>
        <v/>
      </c>
      <c r="AL3576" s="8" t="str">
        <f t="shared" si="224"/>
        <v/>
      </c>
    </row>
    <row r="3577" spans="1:38" x14ac:dyDescent="0.25">
      <c r="A3577" s="8" t="s">
        <v>693</v>
      </c>
      <c r="B3577" s="8" t="s">
        <v>694</v>
      </c>
      <c r="C3577" s="8">
        <v>30825853</v>
      </c>
      <c r="D3577" s="8">
        <v>5</v>
      </c>
      <c r="E3577" s="11">
        <v>43108</v>
      </c>
      <c r="F3577" s="8" t="s">
        <v>58</v>
      </c>
      <c r="G3577" s="11">
        <v>43108</v>
      </c>
      <c r="H3577" s="8" t="s">
        <v>25</v>
      </c>
      <c r="I3577" s="11">
        <v>43113</v>
      </c>
      <c r="J3577" s="8" t="s">
        <v>145</v>
      </c>
      <c r="N3577" s="8" t="s">
        <v>58</v>
      </c>
      <c r="O3577" s="8" t="s">
        <v>59</v>
      </c>
      <c r="P3577" s="8" t="s">
        <v>59</v>
      </c>
      <c r="R3577" s="8">
        <v>0</v>
      </c>
      <c r="S3577" s="8">
        <v>0</v>
      </c>
      <c r="T3577" s="8">
        <v>1</v>
      </c>
      <c r="U3577" s="8">
        <v>2</v>
      </c>
      <c r="X3577" s="8">
        <v>5</v>
      </c>
      <c r="AG3577" s="8" t="str">
        <f t="shared" si="221"/>
        <v/>
      </c>
      <c r="AI3577" s="8" t="str">
        <f t="shared" si="222"/>
        <v/>
      </c>
      <c r="AJ3577" s="8" t="str">
        <f t="shared" si="223"/>
        <v/>
      </c>
      <c r="AL3577" s="8" t="str">
        <f t="shared" si="224"/>
        <v/>
      </c>
    </row>
    <row r="3578" spans="1:38" x14ac:dyDescent="0.25">
      <c r="A3578" s="8" t="s">
        <v>6292</v>
      </c>
      <c r="B3578" s="8" t="s">
        <v>6293</v>
      </c>
      <c r="C3578" s="8">
        <v>30891771</v>
      </c>
      <c r="D3578" s="8">
        <v>5</v>
      </c>
      <c r="E3578" s="11">
        <v>43111</v>
      </c>
      <c r="F3578" s="8" t="s">
        <v>57</v>
      </c>
      <c r="G3578" s="11">
        <v>43114</v>
      </c>
      <c r="H3578" s="8" t="s">
        <v>25</v>
      </c>
      <c r="J3578" s="8" t="s">
        <v>25</v>
      </c>
      <c r="N3578" s="8" t="s">
        <v>58</v>
      </c>
      <c r="O3578" s="8" t="s">
        <v>59</v>
      </c>
      <c r="P3578" s="8" t="s">
        <v>59</v>
      </c>
      <c r="R3578" s="8">
        <v>0</v>
      </c>
      <c r="S3578" s="8">
        <v>0</v>
      </c>
      <c r="T3578" s="8">
        <v>1</v>
      </c>
      <c r="U3578" s="8">
        <v>2</v>
      </c>
      <c r="AG3578" s="8" t="str">
        <f t="shared" si="221"/>
        <v/>
      </c>
      <c r="AI3578" s="8" t="str">
        <f t="shared" si="222"/>
        <v/>
      </c>
      <c r="AJ3578" s="8" t="str">
        <f t="shared" si="223"/>
        <v/>
      </c>
      <c r="AL3578" s="8" t="str">
        <f t="shared" si="224"/>
        <v/>
      </c>
    </row>
    <row r="3579" spans="1:38" x14ac:dyDescent="0.25">
      <c r="A3579" s="8" t="s">
        <v>695</v>
      </c>
      <c r="B3579" s="8" t="s">
        <v>696</v>
      </c>
      <c r="C3579" s="8">
        <v>30810742</v>
      </c>
      <c r="D3579" s="8">
        <v>5</v>
      </c>
      <c r="E3579" s="11">
        <v>43108</v>
      </c>
      <c r="F3579" s="8" t="s">
        <v>58</v>
      </c>
      <c r="G3579" s="11">
        <v>43108</v>
      </c>
      <c r="H3579" s="8" t="s">
        <v>25</v>
      </c>
      <c r="I3579" s="11">
        <v>43110</v>
      </c>
      <c r="J3579" s="8" t="s">
        <v>25</v>
      </c>
      <c r="N3579" s="8" t="s">
        <v>58</v>
      </c>
      <c r="O3579" s="8" t="s">
        <v>59</v>
      </c>
      <c r="P3579" s="8" t="s">
        <v>59</v>
      </c>
      <c r="R3579" s="8">
        <v>0</v>
      </c>
      <c r="S3579" s="8">
        <v>0</v>
      </c>
      <c r="T3579" s="8">
        <v>1</v>
      </c>
      <c r="U3579" s="8">
        <v>2</v>
      </c>
      <c r="X3579" s="8">
        <v>5</v>
      </c>
      <c r="AG3579" s="8" t="str">
        <f t="shared" si="221"/>
        <v/>
      </c>
      <c r="AI3579" s="8" t="str">
        <f t="shared" si="222"/>
        <v/>
      </c>
      <c r="AJ3579" s="8" t="str">
        <f t="shared" si="223"/>
        <v/>
      </c>
      <c r="AL3579" s="8" t="str">
        <f t="shared" si="224"/>
        <v/>
      </c>
    </row>
    <row r="3580" spans="1:38" x14ac:dyDescent="0.25">
      <c r="A3580" s="8" t="s">
        <v>4507</v>
      </c>
      <c r="B3580" s="8" t="s">
        <v>4508</v>
      </c>
      <c r="C3580" s="8">
        <v>30887120</v>
      </c>
      <c r="D3580" s="8">
        <v>5</v>
      </c>
      <c r="E3580" s="11">
        <v>43111</v>
      </c>
      <c r="F3580" s="8" t="s">
        <v>58</v>
      </c>
      <c r="G3580" s="11">
        <v>43111</v>
      </c>
      <c r="H3580" s="8" t="s">
        <v>25</v>
      </c>
      <c r="I3580" s="11">
        <v>43111</v>
      </c>
      <c r="J3580" s="8" t="s">
        <v>25</v>
      </c>
      <c r="N3580" s="8" t="s">
        <v>58</v>
      </c>
      <c r="O3580" s="8" t="s">
        <v>59</v>
      </c>
      <c r="P3580" s="8" t="s">
        <v>59</v>
      </c>
      <c r="R3580" s="8">
        <v>0</v>
      </c>
      <c r="S3580" s="8">
        <v>0</v>
      </c>
      <c r="T3580" s="8">
        <v>1</v>
      </c>
      <c r="U3580" s="8">
        <v>2</v>
      </c>
      <c r="X3580" s="8">
        <v>5</v>
      </c>
      <c r="AG3580" s="8" t="str">
        <f t="shared" si="221"/>
        <v/>
      </c>
      <c r="AI3580" s="8" t="str">
        <f t="shared" si="222"/>
        <v/>
      </c>
      <c r="AJ3580" s="8" t="str">
        <f t="shared" si="223"/>
        <v/>
      </c>
      <c r="AL3580" s="8" t="str">
        <f t="shared" si="224"/>
        <v/>
      </c>
    </row>
    <row r="3581" spans="1:38" x14ac:dyDescent="0.25">
      <c r="A3581" s="8" t="s">
        <v>1488</v>
      </c>
      <c r="B3581" s="8" t="s">
        <v>1489</v>
      </c>
      <c r="C3581" s="8">
        <v>30825402</v>
      </c>
      <c r="D3581" s="8">
        <v>5</v>
      </c>
      <c r="E3581" s="11">
        <v>43108</v>
      </c>
      <c r="F3581" s="8" t="s">
        <v>57</v>
      </c>
      <c r="G3581" s="11">
        <v>43109</v>
      </c>
      <c r="H3581" s="8" t="s">
        <v>25</v>
      </c>
      <c r="J3581" s="8" t="s">
        <v>25</v>
      </c>
      <c r="N3581" s="8" t="s">
        <v>58</v>
      </c>
      <c r="O3581" s="8" t="s">
        <v>59</v>
      </c>
      <c r="P3581" s="8" t="s">
        <v>59</v>
      </c>
      <c r="R3581" s="8">
        <v>0</v>
      </c>
      <c r="S3581" s="8">
        <v>0</v>
      </c>
      <c r="T3581" s="8">
        <v>1</v>
      </c>
      <c r="U3581" s="8">
        <v>2</v>
      </c>
      <c r="AG3581" s="8" t="str">
        <f t="shared" si="221"/>
        <v/>
      </c>
      <c r="AI3581" s="8" t="str">
        <f t="shared" si="222"/>
        <v/>
      </c>
      <c r="AJ3581" s="8" t="str">
        <f t="shared" si="223"/>
        <v/>
      </c>
      <c r="AL3581" s="8" t="str">
        <f t="shared" si="224"/>
        <v/>
      </c>
    </row>
    <row r="3582" spans="1:38" x14ac:dyDescent="0.25">
      <c r="A3582" s="8" t="s">
        <v>3078</v>
      </c>
      <c r="B3582" s="8" t="s">
        <v>3079</v>
      </c>
      <c r="C3582" s="8">
        <v>30862526</v>
      </c>
      <c r="D3582" s="8">
        <v>5</v>
      </c>
      <c r="E3582" s="11">
        <v>43110</v>
      </c>
      <c r="F3582" s="8" t="s">
        <v>57</v>
      </c>
      <c r="G3582" s="11">
        <v>43110</v>
      </c>
      <c r="H3582" s="8" t="s">
        <v>25</v>
      </c>
      <c r="J3582" s="8" t="s">
        <v>25</v>
      </c>
      <c r="N3582" s="8" t="s">
        <v>58</v>
      </c>
      <c r="O3582" s="8" t="s">
        <v>59</v>
      </c>
      <c r="P3582" s="8" t="s">
        <v>59</v>
      </c>
      <c r="R3582" s="8">
        <v>0</v>
      </c>
      <c r="S3582" s="8">
        <v>0</v>
      </c>
      <c r="T3582" s="8">
        <v>1</v>
      </c>
      <c r="U3582" s="8">
        <v>2</v>
      </c>
      <c r="AG3582" s="8" t="str">
        <f t="shared" si="221"/>
        <v/>
      </c>
      <c r="AI3582" s="8" t="str">
        <f t="shared" si="222"/>
        <v/>
      </c>
      <c r="AJ3582" s="8" t="str">
        <f t="shared" si="223"/>
        <v/>
      </c>
      <c r="AL3582" s="8" t="str">
        <f t="shared" si="224"/>
        <v/>
      </c>
    </row>
    <row r="3583" spans="1:38" x14ac:dyDescent="0.25">
      <c r="A3583" s="8" t="s">
        <v>4509</v>
      </c>
      <c r="B3583" s="8" t="s">
        <v>4510</v>
      </c>
      <c r="C3583" s="8">
        <v>30869785</v>
      </c>
      <c r="D3583" s="8">
        <v>5</v>
      </c>
      <c r="E3583" s="11">
        <v>43110</v>
      </c>
      <c r="F3583" s="8" t="s">
        <v>57</v>
      </c>
      <c r="G3583" s="11">
        <v>43111</v>
      </c>
      <c r="H3583" s="8" t="s">
        <v>25</v>
      </c>
      <c r="J3583" s="8" t="s">
        <v>25</v>
      </c>
      <c r="N3583" s="8" t="s">
        <v>58</v>
      </c>
      <c r="O3583" s="8" t="s">
        <v>59</v>
      </c>
      <c r="P3583" s="8" t="s">
        <v>59</v>
      </c>
      <c r="R3583" s="8">
        <v>0</v>
      </c>
      <c r="S3583" s="8">
        <v>0</v>
      </c>
      <c r="T3583" s="8">
        <v>1</v>
      </c>
      <c r="U3583" s="8">
        <v>2</v>
      </c>
      <c r="AG3583" s="8" t="str">
        <f t="shared" si="221"/>
        <v/>
      </c>
      <c r="AI3583" s="8" t="str">
        <f t="shared" si="222"/>
        <v/>
      </c>
      <c r="AJ3583" s="8" t="str">
        <f t="shared" si="223"/>
        <v/>
      </c>
      <c r="AL3583" s="8" t="str">
        <f t="shared" si="224"/>
        <v/>
      </c>
    </row>
    <row r="3584" spans="1:38" x14ac:dyDescent="0.25">
      <c r="A3584" s="8" t="s">
        <v>4511</v>
      </c>
      <c r="B3584" s="8" t="s">
        <v>4512</v>
      </c>
      <c r="C3584" s="8">
        <v>30869007</v>
      </c>
      <c r="D3584" s="8">
        <v>4</v>
      </c>
      <c r="E3584" s="11">
        <v>43110</v>
      </c>
      <c r="F3584" s="8" t="s">
        <v>57</v>
      </c>
      <c r="G3584" s="11">
        <v>43111</v>
      </c>
      <c r="H3584" s="8" t="s">
        <v>25</v>
      </c>
      <c r="J3584" s="8" t="s">
        <v>25</v>
      </c>
      <c r="N3584" s="8" t="s">
        <v>58</v>
      </c>
      <c r="O3584" s="8" t="s">
        <v>59</v>
      </c>
      <c r="P3584" s="8" t="s">
        <v>59</v>
      </c>
      <c r="R3584" s="8">
        <v>0</v>
      </c>
      <c r="S3584" s="8">
        <v>0</v>
      </c>
      <c r="T3584" s="8">
        <v>1</v>
      </c>
      <c r="U3584" s="8">
        <v>2</v>
      </c>
      <c r="AG3584" s="8" t="str">
        <f t="shared" si="221"/>
        <v/>
      </c>
      <c r="AI3584" s="8" t="str">
        <f t="shared" si="222"/>
        <v/>
      </c>
      <c r="AJ3584" s="8" t="str">
        <f t="shared" si="223"/>
        <v/>
      </c>
      <c r="AL3584" s="8" t="str">
        <f t="shared" si="224"/>
        <v/>
      </c>
    </row>
    <row r="3585" spans="1:38" x14ac:dyDescent="0.25">
      <c r="A3585" s="8" t="s">
        <v>4513</v>
      </c>
      <c r="B3585" s="8" t="s">
        <v>4514</v>
      </c>
      <c r="C3585" s="8">
        <v>30872719</v>
      </c>
      <c r="D3585" s="8">
        <v>5</v>
      </c>
      <c r="E3585" s="11">
        <v>43110</v>
      </c>
      <c r="F3585" s="8" t="s">
        <v>57</v>
      </c>
      <c r="G3585" s="11">
        <v>43111</v>
      </c>
      <c r="H3585" s="8" t="s">
        <v>25</v>
      </c>
      <c r="J3585" s="8" t="s">
        <v>25</v>
      </c>
      <c r="N3585" s="8" t="s">
        <v>58</v>
      </c>
      <c r="O3585" s="8" t="s">
        <v>59</v>
      </c>
      <c r="P3585" s="8" t="s">
        <v>59</v>
      </c>
      <c r="R3585" s="8">
        <v>0</v>
      </c>
      <c r="S3585" s="8">
        <v>0</v>
      </c>
      <c r="T3585" s="8">
        <v>1</v>
      </c>
      <c r="U3585" s="8">
        <v>2</v>
      </c>
      <c r="AG3585" s="8" t="str">
        <f t="shared" si="221"/>
        <v/>
      </c>
      <c r="AI3585" s="8" t="str">
        <f t="shared" si="222"/>
        <v/>
      </c>
      <c r="AJ3585" s="8" t="str">
        <f t="shared" si="223"/>
        <v/>
      </c>
      <c r="AL3585" s="8" t="str">
        <f t="shared" si="224"/>
        <v/>
      </c>
    </row>
    <row r="3586" spans="1:38" x14ac:dyDescent="0.25">
      <c r="A3586" s="8" t="s">
        <v>697</v>
      </c>
      <c r="B3586" s="8" t="s">
        <v>698</v>
      </c>
      <c r="C3586" s="8">
        <v>30822761</v>
      </c>
      <c r="D3586" s="8">
        <v>5</v>
      </c>
      <c r="E3586" s="11">
        <v>43108</v>
      </c>
      <c r="F3586" s="8" t="s">
        <v>58</v>
      </c>
      <c r="G3586" s="11">
        <v>43108</v>
      </c>
      <c r="H3586" s="8" t="s">
        <v>25</v>
      </c>
      <c r="I3586" s="11">
        <v>43108</v>
      </c>
      <c r="J3586" s="8" t="s">
        <v>25</v>
      </c>
      <c r="N3586" s="8" t="s">
        <v>58</v>
      </c>
      <c r="O3586" s="8" t="s">
        <v>59</v>
      </c>
      <c r="P3586" s="8" t="s">
        <v>59</v>
      </c>
      <c r="R3586" s="8">
        <v>0</v>
      </c>
      <c r="S3586" s="8">
        <v>0</v>
      </c>
      <c r="T3586" s="8">
        <v>1</v>
      </c>
      <c r="U3586" s="8">
        <v>2</v>
      </c>
      <c r="X3586" s="8">
        <v>5</v>
      </c>
      <c r="AG3586" s="8" t="str">
        <f t="shared" si="221"/>
        <v/>
      </c>
      <c r="AI3586" s="8" t="str">
        <f t="shared" si="222"/>
        <v/>
      </c>
      <c r="AJ3586" s="8" t="str">
        <f t="shared" si="223"/>
        <v/>
      </c>
      <c r="AL3586" s="8" t="str">
        <f t="shared" si="224"/>
        <v/>
      </c>
    </row>
    <row r="3587" spans="1:38" x14ac:dyDescent="0.25">
      <c r="A3587" s="8" t="s">
        <v>6294</v>
      </c>
      <c r="B3587" s="8" t="s">
        <v>6295</v>
      </c>
      <c r="C3587" s="8">
        <v>30926036</v>
      </c>
      <c r="D3587" s="8">
        <v>5</v>
      </c>
      <c r="E3587" s="11">
        <v>43113</v>
      </c>
      <c r="F3587" s="8" t="s">
        <v>58</v>
      </c>
      <c r="G3587" s="11">
        <v>43113</v>
      </c>
      <c r="H3587" s="8" t="s">
        <v>25</v>
      </c>
      <c r="I3587" s="11">
        <v>43113</v>
      </c>
      <c r="J3587" s="8" t="s">
        <v>25</v>
      </c>
      <c r="N3587" s="8" t="s">
        <v>58</v>
      </c>
      <c r="O3587" s="8" t="s">
        <v>59</v>
      </c>
      <c r="P3587" s="8" t="s">
        <v>59</v>
      </c>
      <c r="R3587" s="8">
        <v>0</v>
      </c>
      <c r="S3587" s="8">
        <v>0</v>
      </c>
      <c r="T3587" s="8">
        <v>1</v>
      </c>
      <c r="U3587" s="8">
        <v>2</v>
      </c>
      <c r="X3587" s="8">
        <v>5</v>
      </c>
      <c r="AG3587" s="8" t="str">
        <f t="shared" ref="AG3587:AG3650" si="225">IF(AND(U3587="",G3587&lt;&gt;"",NOT(OR(R3587,S3587))),IF(NETWORKDAYS.INTL(G3587,TODAY(),11)&lt;5,"En Plazo",IF(NETWORKDAYS.INTL(G3587,TODAY(),11)=5,"Riesgo Incumplimiento","FALTA_02")),"")</f>
        <v/>
      </c>
      <c r="AI3587" s="8" t="str">
        <f t="shared" ref="AI3587:AI3650" si="226">IF(AND(O3587&lt;&gt;"B1",F3587="Rejected"),IF(W3587="","FALTA_04",""),"")</f>
        <v/>
      </c>
      <c r="AJ3587" s="8" t="str">
        <f t="shared" ref="AJ3587:AJ3650" si="227">IF(AND(X3587="",I3587&lt;&gt;"",NOT(OR(R3587,S3587))),IF(NETWORKDAYS.INTL(G3587,TODAY(),11)&lt;=1,"En Plazo",IF(OR(AND(X3587="",O3587&lt;&gt;"M1"),AND(O3587="M1",(OR(Q3587="S - S",Q3587="S - T",)))),"FALTA_05","")),"")</f>
        <v/>
      </c>
      <c r="AL3587" s="8" t="str">
        <f t="shared" ref="AL3587:AL3650" si="228">IF(AND(O3587="B1",F3587="Rejected"),IF(Z3587="","FALTA_07",""),"")</f>
        <v/>
      </c>
    </row>
    <row r="3588" spans="1:38" x14ac:dyDescent="0.25">
      <c r="A3588" s="8" t="s">
        <v>3080</v>
      </c>
      <c r="B3588" s="8" t="s">
        <v>3081</v>
      </c>
      <c r="C3588" s="8">
        <v>30860659</v>
      </c>
      <c r="D3588" s="8">
        <v>5</v>
      </c>
      <c r="E3588" s="11">
        <v>43110</v>
      </c>
      <c r="F3588" s="8" t="s">
        <v>58</v>
      </c>
      <c r="G3588" s="11">
        <v>43110</v>
      </c>
      <c r="H3588" s="8" t="s">
        <v>25</v>
      </c>
      <c r="I3588" s="11">
        <v>43112</v>
      </c>
      <c r="J3588" s="8" t="s">
        <v>25</v>
      </c>
      <c r="N3588" s="8" t="s">
        <v>58</v>
      </c>
      <c r="O3588" s="8" t="s">
        <v>59</v>
      </c>
      <c r="P3588" s="8" t="s">
        <v>59</v>
      </c>
      <c r="R3588" s="8">
        <v>0</v>
      </c>
      <c r="S3588" s="8">
        <v>0</v>
      </c>
      <c r="T3588" s="8">
        <v>1</v>
      </c>
      <c r="U3588" s="8">
        <v>2</v>
      </c>
      <c r="X3588" s="8">
        <v>5</v>
      </c>
      <c r="AG3588" s="8" t="str">
        <f t="shared" si="225"/>
        <v/>
      </c>
      <c r="AI3588" s="8" t="str">
        <f t="shared" si="226"/>
        <v/>
      </c>
      <c r="AJ3588" s="8" t="str">
        <f t="shared" si="227"/>
        <v/>
      </c>
      <c r="AL3588" s="8" t="str">
        <f t="shared" si="228"/>
        <v/>
      </c>
    </row>
    <row r="3589" spans="1:38" x14ac:dyDescent="0.25">
      <c r="A3589" s="8" t="s">
        <v>1490</v>
      </c>
      <c r="B3589" s="8" t="s">
        <v>1491</v>
      </c>
      <c r="C3589" s="8">
        <v>30836815</v>
      </c>
      <c r="D3589" s="8">
        <v>5</v>
      </c>
      <c r="E3589" s="11">
        <v>43109</v>
      </c>
      <c r="F3589" s="8" t="s">
        <v>58</v>
      </c>
      <c r="G3589" s="11">
        <v>43109</v>
      </c>
      <c r="H3589" s="8" t="s">
        <v>25</v>
      </c>
      <c r="I3589" s="11">
        <v>43110</v>
      </c>
      <c r="J3589" s="8" t="s">
        <v>25</v>
      </c>
      <c r="N3589" s="8" t="s">
        <v>58</v>
      </c>
      <c r="O3589" s="8" t="s">
        <v>59</v>
      </c>
      <c r="P3589" s="8" t="s">
        <v>59</v>
      </c>
      <c r="R3589" s="8">
        <v>0</v>
      </c>
      <c r="S3589" s="8">
        <v>0</v>
      </c>
      <c r="T3589" s="8">
        <v>1</v>
      </c>
      <c r="U3589" s="8">
        <v>2</v>
      </c>
      <c r="X3589" s="8">
        <v>5</v>
      </c>
      <c r="AG3589" s="8" t="str">
        <f t="shared" si="225"/>
        <v/>
      </c>
      <c r="AI3589" s="8" t="str">
        <f t="shared" si="226"/>
        <v/>
      </c>
      <c r="AJ3589" s="8" t="str">
        <f t="shared" si="227"/>
        <v/>
      </c>
      <c r="AL3589" s="8" t="str">
        <f t="shared" si="228"/>
        <v/>
      </c>
    </row>
    <row r="3590" spans="1:38" x14ac:dyDescent="0.25">
      <c r="A3590" s="8" t="s">
        <v>6296</v>
      </c>
      <c r="B3590" s="8" t="s">
        <v>6297</v>
      </c>
      <c r="C3590" s="8">
        <v>30898722</v>
      </c>
      <c r="D3590" s="8">
        <v>5</v>
      </c>
      <c r="E3590" s="11">
        <v>43111</v>
      </c>
      <c r="F3590" s="8" t="s">
        <v>57</v>
      </c>
      <c r="G3590" s="11">
        <v>43114</v>
      </c>
      <c r="H3590" s="8" t="s">
        <v>25</v>
      </c>
      <c r="J3590" s="8" t="s">
        <v>25</v>
      </c>
      <c r="N3590" s="8" t="s">
        <v>58</v>
      </c>
      <c r="O3590" s="8" t="s">
        <v>59</v>
      </c>
      <c r="P3590" s="8" t="s">
        <v>59</v>
      </c>
      <c r="R3590" s="8">
        <v>0</v>
      </c>
      <c r="S3590" s="8">
        <v>0</v>
      </c>
      <c r="T3590" s="8">
        <v>1</v>
      </c>
      <c r="U3590" s="8">
        <v>2</v>
      </c>
      <c r="AG3590" s="8" t="str">
        <f t="shared" si="225"/>
        <v/>
      </c>
      <c r="AI3590" s="8" t="str">
        <f t="shared" si="226"/>
        <v/>
      </c>
      <c r="AJ3590" s="8" t="str">
        <f t="shared" si="227"/>
        <v/>
      </c>
      <c r="AL3590" s="8" t="str">
        <f t="shared" si="228"/>
        <v/>
      </c>
    </row>
    <row r="3591" spans="1:38" x14ac:dyDescent="0.25">
      <c r="A3591" s="8" t="s">
        <v>699</v>
      </c>
      <c r="B3591" s="8" t="s">
        <v>700</v>
      </c>
      <c r="C3591" s="8">
        <v>30821251</v>
      </c>
      <c r="D3591" s="8">
        <v>5</v>
      </c>
      <c r="E3591" s="11">
        <v>43108</v>
      </c>
      <c r="F3591" s="8" t="s">
        <v>58</v>
      </c>
      <c r="G3591" s="11">
        <v>43108</v>
      </c>
      <c r="H3591" s="8" t="s">
        <v>25</v>
      </c>
      <c r="I3591" s="11">
        <v>43110</v>
      </c>
      <c r="J3591" s="8" t="s">
        <v>25</v>
      </c>
      <c r="N3591" s="8" t="s">
        <v>58</v>
      </c>
      <c r="O3591" s="8" t="s">
        <v>59</v>
      </c>
      <c r="P3591" s="8" t="s">
        <v>59</v>
      </c>
      <c r="R3591" s="8">
        <v>0</v>
      </c>
      <c r="S3591" s="8">
        <v>0</v>
      </c>
      <c r="T3591" s="8">
        <v>1</v>
      </c>
      <c r="U3591" s="8">
        <v>2</v>
      </c>
      <c r="X3591" s="8">
        <v>5</v>
      </c>
      <c r="AG3591" s="8" t="str">
        <f t="shared" si="225"/>
        <v/>
      </c>
      <c r="AI3591" s="8" t="str">
        <f t="shared" si="226"/>
        <v/>
      </c>
      <c r="AJ3591" s="8" t="str">
        <f t="shared" si="227"/>
        <v/>
      </c>
      <c r="AL3591" s="8" t="str">
        <f t="shared" si="228"/>
        <v/>
      </c>
    </row>
    <row r="3592" spans="1:38" x14ac:dyDescent="0.25">
      <c r="A3592" s="8" t="s">
        <v>4515</v>
      </c>
      <c r="B3592" s="8" t="s">
        <v>4516</v>
      </c>
      <c r="C3592" s="8">
        <v>30861538</v>
      </c>
      <c r="D3592" s="8">
        <v>5</v>
      </c>
      <c r="E3592" s="11">
        <v>43110</v>
      </c>
      <c r="F3592" s="8" t="s">
        <v>58</v>
      </c>
      <c r="G3592" s="11">
        <v>43111</v>
      </c>
      <c r="H3592" s="8" t="s">
        <v>25</v>
      </c>
      <c r="I3592" s="11">
        <v>43115</v>
      </c>
      <c r="J3592" s="8" t="s">
        <v>25</v>
      </c>
      <c r="N3592" s="8" t="s">
        <v>58</v>
      </c>
      <c r="O3592" s="8" t="s">
        <v>59</v>
      </c>
      <c r="P3592" s="8" t="s">
        <v>59</v>
      </c>
      <c r="R3592" s="8">
        <v>0</v>
      </c>
      <c r="S3592" s="8">
        <v>0</v>
      </c>
      <c r="T3592" s="8">
        <v>1</v>
      </c>
      <c r="U3592" s="8">
        <v>2</v>
      </c>
      <c r="X3592" s="8">
        <v>5</v>
      </c>
      <c r="AG3592" s="8" t="str">
        <f t="shared" si="225"/>
        <v/>
      </c>
      <c r="AI3592" s="8" t="str">
        <f t="shared" si="226"/>
        <v/>
      </c>
      <c r="AJ3592" s="8" t="str">
        <f t="shared" si="227"/>
        <v/>
      </c>
      <c r="AL3592" s="8" t="str">
        <f t="shared" si="228"/>
        <v/>
      </c>
    </row>
    <row r="3593" spans="1:38" x14ac:dyDescent="0.25">
      <c r="A3593" s="8" t="s">
        <v>8053</v>
      </c>
      <c r="B3593" s="8" t="s">
        <v>8054</v>
      </c>
      <c r="C3593" s="8">
        <v>30923562</v>
      </c>
      <c r="D3593" s="8">
        <v>5</v>
      </c>
      <c r="E3593" s="11">
        <v>43112</v>
      </c>
      <c r="F3593" s="8" t="s">
        <v>57</v>
      </c>
      <c r="G3593" s="11">
        <v>43115</v>
      </c>
      <c r="H3593" s="8" t="s">
        <v>25</v>
      </c>
      <c r="J3593" s="8" t="s">
        <v>25</v>
      </c>
      <c r="N3593" s="8" t="s">
        <v>58</v>
      </c>
      <c r="O3593" s="8" t="s">
        <v>59</v>
      </c>
      <c r="P3593" s="8" t="s">
        <v>59</v>
      </c>
      <c r="R3593" s="8">
        <v>0</v>
      </c>
      <c r="S3593" s="8">
        <v>0</v>
      </c>
      <c r="T3593" s="8">
        <v>1</v>
      </c>
      <c r="U3593" s="8">
        <v>2</v>
      </c>
      <c r="AG3593" s="8" t="str">
        <f t="shared" si="225"/>
        <v/>
      </c>
      <c r="AI3593" s="8" t="str">
        <f t="shared" si="226"/>
        <v/>
      </c>
      <c r="AJ3593" s="8" t="str">
        <f t="shared" si="227"/>
        <v/>
      </c>
      <c r="AL3593" s="8" t="str">
        <f t="shared" si="228"/>
        <v/>
      </c>
    </row>
    <row r="3594" spans="1:38" x14ac:dyDescent="0.25">
      <c r="A3594" s="8" t="s">
        <v>1492</v>
      </c>
      <c r="B3594" s="8" t="s">
        <v>1493</v>
      </c>
      <c r="C3594" s="8">
        <v>30846236</v>
      </c>
      <c r="D3594" s="8">
        <v>5</v>
      </c>
      <c r="E3594" s="11">
        <v>43109</v>
      </c>
      <c r="F3594" s="8" t="s">
        <v>58</v>
      </c>
      <c r="G3594" s="11">
        <v>43109</v>
      </c>
      <c r="H3594" s="8" t="s">
        <v>25</v>
      </c>
      <c r="I3594" s="11">
        <v>43109</v>
      </c>
      <c r="J3594" s="8" t="s">
        <v>25</v>
      </c>
      <c r="N3594" s="8" t="s">
        <v>58</v>
      </c>
      <c r="O3594" s="8" t="s">
        <v>59</v>
      </c>
      <c r="P3594" s="8" t="s">
        <v>59</v>
      </c>
      <c r="R3594" s="8">
        <v>0</v>
      </c>
      <c r="S3594" s="8">
        <v>0</v>
      </c>
      <c r="T3594" s="8">
        <v>1</v>
      </c>
      <c r="U3594" s="8">
        <v>2</v>
      </c>
      <c r="X3594" s="8">
        <v>5</v>
      </c>
      <c r="AG3594" s="8" t="str">
        <f t="shared" si="225"/>
        <v/>
      </c>
      <c r="AI3594" s="8" t="str">
        <f t="shared" si="226"/>
        <v/>
      </c>
      <c r="AJ3594" s="8" t="str">
        <f t="shared" si="227"/>
        <v/>
      </c>
      <c r="AL3594" s="8" t="str">
        <f t="shared" si="228"/>
        <v/>
      </c>
    </row>
    <row r="3595" spans="1:38" x14ac:dyDescent="0.25">
      <c r="A3595" s="8" t="s">
        <v>701</v>
      </c>
      <c r="B3595" s="8" t="s">
        <v>702</v>
      </c>
      <c r="C3595" s="8">
        <v>30820490</v>
      </c>
      <c r="D3595" s="8">
        <v>5</v>
      </c>
      <c r="E3595" s="11">
        <v>43108</v>
      </c>
      <c r="F3595" s="8" t="s">
        <v>58</v>
      </c>
      <c r="G3595" s="11">
        <v>43108</v>
      </c>
      <c r="H3595" s="8" t="s">
        <v>25</v>
      </c>
      <c r="I3595" s="11">
        <v>43108</v>
      </c>
      <c r="J3595" s="8" t="s">
        <v>25</v>
      </c>
      <c r="N3595" s="8" t="s">
        <v>58</v>
      </c>
      <c r="O3595" s="8" t="s">
        <v>59</v>
      </c>
      <c r="P3595" s="8" t="s">
        <v>59</v>
      </c>
      <c r="R3595" s="8">
        <v>0</v>
      </c>
      <c r="S3595" s="8">
        <v>0</v>
      </c>
      <c r="T3595" s="8">
        <v>1</v>
      </c>
      <c r="U3595" s="8">
        <v>2</v>
      </c>
      <c r="X3595" s="8">
        <v>5</v>
      </c>
      <c r="AG3595" s="8" t="str">
        <f t="shared" si="225"/>
        <v/>
      </c>
      <c r="AI3595" s="8" t="str">
        <f t="shared" si="226"/>
        <v/>
      </c>
      <c r="AJ3595" s="8" t="str">
        <f t="shared" si="227"/>
        <v/>
      </c>
      <c r="AL3595" s="8" t="str">
        <f t="shared" si="228"/>
        <v/>
      </c>
    </row>
    <row r="3596" spans="1:38" x14ac:dyDescent="0.25">
      <c r="A3596" s="8" t="s">
        <v>703</v>
      </c>
      <c r="B3596" s="8" t="s">
        <v>704</v>
      </c>
      <c r="C3596" s="8">
        <v>30820482</v>
      </c>
      <c r="D3596" s="8">
        <v>5</v>
      </c>
      <c r="E3596" s="11">
        <v>43108</v>
      </c>
      <c r="F3596" s="8" t="s">
        <v>58</v>
      </c>
      <c r="G3596" s="11">
        <v>43108</v>
      </c>
      <c r="H3596" s="8" t="s">
        <v>25</v>
      </c>
      <c r="I3596" s="11">
        <v>43108</v>
      </c>
      <c r="J3596" s="8" t="s">
        <v>25</v>
      </c>
      <c r="N3596" s="8" t="s">
        <v>58</v>
      </c>
      <c r="O3596" s="8" t="s">
        <v>59</v>
      </c>
      <c r="P3596" s="8" t="s">
        <v>59</v>
      </c>
      <c r="R3596" s="8">
        <v>0</v>
      </c>
      <c r="S3596" s="8">
        <v>0</v>
      </c>
      <c r="T3596" s="8">
        <v>1</v>
      </c>
      <c r="U3596" s="8">
        <v>2</v>
      </c>
      <c r="X3596" s="8">
        <v>5</v>
      </c>
      <c r="AG3596" s="8" t="str">
        <f t="shared" si="225"/>
        <v/>
      </c>
      <c r="AI3596" s="8" t="str">
        <f t="shared" si="226"/>
        <v/>
      </c>
      <c r="AJ3596" s="8" t="str">
        <f t="shared" si="227"/>
        <v/>
      </c>
      <c r="AL3596" s="8" t="str">
        <f t="shared" si="228"/>
        <v/>
      </c>
    </row>
    <row r="3597" spans="1:38" x14ac:dyDescent="0.25">
      <c r="A3597" s="8" t="s">
        <v>1494</v>
      </c>
      <c r="B3597" s="8" t="s">
        <v>1495</v>
      </c>
      <c r="C3597" s="8">
        <v>30843310</v>
      </c>
      <c r="D3597" s="8">
        <v>5</v>
      </c>
      <c r="E3597" s="11">
        <v>43109</v>
      </c>
      <c r="F3597" s="8" t="s">
        <v>58</v>
      </c>
      <c r="G3597" s="11">
        <v>43109</v>
      </c>
      <c r="H3597" s="8" t="s">
        <v>25</v>
      </c>
      <c r="I3597" s="11">
        <v>43109</v>
      </c>
      <c r="J3597" s="8" t="s">
        <v>25</v>
      </c>
      <c r="N3597" s="8" t="s">
        <v>58</v>
      </c>
      <c r="O3597" s="8" t="s">
        <v>59</v>
      </c>
      <c r="P3597" s="8" t="s">
        <v>59</v>
      </c>
      <c r="R3597" s="8">
        <v>0</v>
      </c>
      <c r="S3597" s="8">
        <v>0</v>
      </c>
      <c r="T3597" s="8">
        <v>1</v>
      </c>
      <c r="U3597" s="8">
        <v>2</v>
      </c>
      <c r="X3597" s="8">
        <v>5</v>
      </c>
      <c r="AG3597" s="8" t="str">
        <f t="shared" si="225"/>
        <v/>
      </c>
      <c r="AI3597" s="8" t="str">
        <f t="shared" si="226"/>
        <v/>
      </c>
      <c r="AJ3597" s="8" t="str">
        <f t="shared" si="227"/>
        <v/>
      </c>
      <c r="AL3597" s="8" t="str">
        <f t="shared" si="228"/>
        <v/>
      </c>
    </row>
    <row r="3598" spans="1:38" x14ac:dyDescent="0.25">
      <c r="A3598" s="8" t="s">
        <v>3082</v>
      </c>
      <c r="B3598" s="8" t="s">
        <v>3083</v>
      </c>
      <c r="C3598" s="8">
        <v>30869451</v>
      </c>
      <c r="D3598" s="8">
        <v>5</v>
      </c>
      <c r="E3598" s="11">
        <v>43110</v>
      </c>
      <c r="F3598" s="8" t="s">
        <v>58</v>
      </c>
      <c r="G3598" s="11">
        <v>43110</v>
      </c>
      <c r="H3598" s="8" t="s">
        <v>25</v>
      </c>
      <c r="I3598" s="11">
        <v>43110</v>
      </c>
      <c r="J3598" s="8" t="s">
        <v>25</v>
      </c>
      <c r="N3598" s="8" t="s">
        <v>58</v>
      </c>
      <c r="O3598" s="8" t="s">
        <v>59</v>
      </c>
      <c r="P3598" s="8" t="s">
        <v>59</v>
      </c>
      <c r="R3598" s="8">
        <v>0</v>
      </c>
      <c r="S3598" s="8">
        <v>0</v>
      </c>
      <c r="T3598" s="8">
        <v>1</v>
      </c>
      <c r="U3598" s="8">
        <v>2</v>
      </c>
      <c r="X3598" s="8">
        <v>5</v>
      </c>
      <c r="AG3598" s="8" t="str">
        <f t="shared" si="225"/>
        <v/>
      </c>
      <c r="AI3598" s="8" t="str">
        <f t="shared" si="226"/>
        <v/>
      </c>
      <c r="AJ3598" s="8" t="str">
        <f t="shared" si="227"/>
        <v/>
      </c>
      <c r="AL3598" s="8" t="str">
        <f t="shared" si="228"/>
        <v/>
      </c>
    </row>
    <row r="3599" spans="1:38" x14ac:dyDescent="0.25">
      <c r="A3599" s="8" t="s">
        <v>4517</v>
      </c>
      <c r="B3599" s="8" t="s">
        <v>4518</v>
      </c>
      <c r="C3599" s="8">
        <v>30899383</v>
      </c>
      <c r="D3599" s="8">
        <v>5</v>
      </c>
      <c r="E3599" s="11">
        <v>43111</v>
      </c>
      <c r="F3599" s="8" t="s">
        <v>57</v>
      </c>
      <c r="G3599" s="11">
        <v>43111</v>
      </c>
      <c r="H3599" s="8" t="s">
        <v>25</v>
      </c>
      <c r="J3599" s="8" t="s">
        <v>25</v>
      </c>
      <c r="N3599" s="8" t="s">
        <v>58</v>
      </c>
      <c r="O3599" s="8" t="s">
        <v>59</v>
      </c>
      <c r="P3599" s="8" t="s">
        <v>59</v>
      </c>
      <c r="R3599" s="8">
        <v>0</v>
      </c>
      <c r="S3599" s="8">
        <v>0</v>
      </c>
      <c r="T3599" s="8">
        <v>1</v>
      </c>
      <c r="U3599" s="8">
        <v>2</v>
      </c>
      <c r="AG3599" s="8" t="str">
        <f t="shared" si="225"/>
        <v/>
      </c>
      <c r="AI3599" s="8" t="str">
        <f t="shared" si="226"/>
        <v/>
      </c>
      <c r="AJ3599" s="8" t="str">
        <f t="shared" si="227"/>
        <v/>
      </c>
      <c r="AL3599" s="8" t="str">
        <f t="shared" si="228"/>
        <v/>
      </c>
    </row>
    <row r="3600" spans="1:38" x14ac:dyDescent="0.25">
      <c r="A3600" s="8" t="s">
        <v>1496</v>
      </c>
      <c r="B3600" s="8" t="s">
        <v>1497</v>
      </c>
      <c r="C3600" s="8">
        <v>30825179</v>
      </c>
      <c r="D3600" s="8">
        <v>5</v>
      </c>
      <c r="E3600" s="11">
        <v>43108</v>
      </c>
      <c r="F3600" s="8" t="s">
        <v>58</v>
      </c>
      <c r="G3600" s="11">
        <v>43109</v>
      </c>
      <c r="H3600" s="8" t="s">
        <v>25</v>
      </c>
      <c r="I3600" s="11">
        <v>43112</v>
      </c>
      <c r="J3600" s="8" t="s">
        <v>25</v>
      </c>
      <c r="N3600" s="8" t="s">
        <v>58</v>
      </c>
      <c r="O3600" s="8" t="s">
        <v>59</v>
      </c>
      <c r="P3600" s="8" t="s">
        <v>59</v>
      </c>
      <c r="R3600" s="8">
        <v>0</v>
      </c>
      <c r="S3600" s="8">
        <v>0</v>
      </c>
      <c r="T3600" s="8">
        <v>1</v>
      </c>
      <c r="U3600" s="8">
        <v>2</v>
      </c>
      <c r="X3600" s="8">
        <v>5</v>
      </c>
      <c r="AG3600" s="8" t="str">
        <f t="shared" si="225"/>
        <v/>
      </c>
      <c r="AI3600" s="8" t="str">
        <f t="shared" si="226"/>
        <v/>
      </c>
      <c r="AJ3600" s="8" t="str">
        <f t="shared" si="227"/>
        <v/>
      </c>
      <c r="AL3600" s="8" t="str">
        <f t="shared" si="228"/>
        <v/>
      </c>
    </row>
    <row r="3601" spans="1:38" x14ac:dyDescent="0.25">
      <c r="A3601" s="8" t="s">
        <v>705</v>
      </c>
      <c r="B3601" s="8" t="s">
        <v>706</v>
      </c>
      <c r="C3601" s="8">
        <v>30814541</v>
      </c>
      <c r="D3601" s="8">
        <v>5</v>
      </c>
      <c r="E3601" s="11">
        <v>43108</v>
      </c>
      <c r="F3601" s="8" t="s">
        <v>58</v>
      </c>
      <c r="G3601" s="11">
        <v>43108</v>
      </c>
      <c r="H3601" s="8" t="s">
        <v>25</v>
      </c>
      <c r="I3601" s="11">
        <v>43108</v>
      </c>
      <c r="J3601" s="8" t="s">
        <v>25</v>
      </c>
      <c r="N3601" s="8" t="s">
        <v>58</v>
      </c>
      <c r="O3601" s="8" t="s">
        <v>59</v>
      </c>
      <c r="P3601" s="8" t="s">
        <v>59</v>
      </c>
      <c r="R3601" s="8">
        <v>0</v>
      </c>
      <c r="S3601" s="8">
        <v>0</v>
      </c>
      <c r="T3601" s="8">
        <v>1</v>
      </c>
      <c r="U3601" s="8">
        <v>2</v>
      </c>
      <c r="X3601" s="8">
        <v>5</v>
      </c>
      <c r="AG3601" s="8" t="str">
        <f t="shared" si="225"/>
        <v/>
      </c>
      <c r="AI3601" s="8" t="str">
        <f t="shared" si="226"/>
        <v/>
      </c>
      <c r="AJ3601" s="8" t="str">
        <f t="shared" si="227"/>
        <v/>
      </c>
      <c r="AL3601" s="8" t="str">
        <f t="shared" si="228"/>
        <v/>
      </c>
    </row>
    <row r="3602" spans="1:38" x14ac:dyDescent="0.25">
      <c r="A3602" s="8" t="s">
        <v>4519</v>
      </c>
      <c r="B3602" s="8" t="s">
        <v>4520</v>
      </c>
      <c r="C3602" s="8">
        <v>30897103</v>
      </c>
      <c r="D3602" s="8">
        <v>4</v>
      </c>
      <c r="E3602" s="11">
        <v>43111</v>
      </c>
      <c r="F3602" s="8" t="s">
        <v>58</v>
      </c>
      <c r="G3602" s="11">
        <v>43111</v>
      </c>
      <c r="H3602" s="8" t="s">
        <v>25</v>
      </c>
      <c r="I3602" s="11">
        <v>43115</v>
      </c>
      <c r="J3602" s="8" t="s">
        <v>25</v>
      </c>
      <c r="N3602" s="8" t="s">
        <v>58</v>
      </c>
      <c r="O3602" s="8" t="s">
        <v>59</v>
      </c>
      <c r="P3602" s="8" t="s">
        <v>59</v>
      </c>
      <c r="R3602" s="8">
        <v>0</v>
      </c>
      <c r="S3602" s="8">
        <v>0</v>
      </c>
      <c r="T3602" s="8">
        <v>1</v>
      </c>
      <c r="U3602" s="8">
        <v>2</v>
      </c>
      <c r="X3602" s="8">
        <v>5</v>
      </c>
      <c r="AG3602" s="8" t="str">
        <f t="shared" si="225"/>
        <v/>
      </c>
      <c r="AI3602" s="8" t="str">
        <f t="shared" si="226"/>
        <v/>
      </c>
      <c r="AJ3602" s="8" t="str">
        <f t="shared" si="227"/>
        <v/>
      </c>
      <c r="AL3602" s="8" t="str">
        <f t="shared" si="228"/>
        <v/>
      </c>
    </row>
    <row r="3603" spans="1:38" x14ac:dyDescent="0.25">
      <c r="A3603" s="8" t="s">
        <v>3084</v>
      </c>
      <c r="B3603" s="8" t="s">
        <v>3085</v>
      </c>
      <c r="C3603" s="8">
        <v>30832589</v>
      </c>
      <c r="D3603" s="8">
        <v>5</v>
      </c>
      <c r="E3603" s="11">
        <v>43109</v>
      </c>
      <c r="F3603" s="8" t="s">
        <v>58</v>
      </c>
      <c r="G3603" s="11">
        <v>43110</v>
      </c>
      <c r="H3603" s="8" t="s">
        <v>25</v>
      </c>
      <c r="I3603" s="11">
        <v>43112</v>
      </c>
      <c r="J3603" s="8" t="s">
        <v>25</v>
      </c>
      <c r="N3603" s="8" t="s">
        <v>58</v>
      </c>
      <c r="O3603" s="8" t="s">
        <v>59</v>
      </c>
      <c r="P3603" s="8" t="s">
        <v>59</v>
      </c>
      <c r="R3603" s="8">
        <v>0</v>
      </c>
      <c r="S3603" s="8">
        <v>0</v>
      </c>
      <c r="T3603" s="8">
        <v>1</v>
      </c>
      <c r="U3603" s="8">
        <v>2</v>
      </c>
      <c r="X3603" s="8">
        <v>5</v>
      </c>
      <c r="AG3603" s="8" t="str">
        <f t="shared" si="225"/>
        <v/>
      </c>
      <c r="AI3603" s="8" t="str">
        <f t="shared" si="226"/>
        <v/>
      </c>
      <c r="AJ3603" s="8" t="str">
        <f t="shared" si="227"/>
        <v/>
      </c>
      <c r="AL3603" s="8" t="str">
        <f t="shared" si="228"/>
        <v/>
      </c>
    </row>
    <row r="3604" spans="1:38" x14ac:dyDescent="0.25">
      <c r="A3604" s="8" t="s">
        <v>3086</v>
      </c>
      <c r="B3604" s="8" t="s">
        <v>3087</v>
      </c>
      <c r="C3604" s="8">
        <v>30858799</v>
      </c>
      <c r="D3604" s="8">
        <v>4</v>
      </c>
      <c r="E3604" s="11">
        <v>43110</v>
      </c>
      <c r="F3604" s="8" t="s">
        <v>58</v>
      </c>
      <c r="G3604" s="11">
        <v>43110</v>
      </c>
      <c r="H3604" s="8" t="s">
        <v>25</v>
      </c>
      <c r="I3604" s="11">
        <v>43115</v>
      </c>
      <c r="J3604" s="8" t="s">
        <v>145</v>
      </c>
      <c r="N3604" s="8" t="s">
        <v>58</v>
      </c>
      <c r="O3604" s="8" t="s">
        <v>59</v>
      </c>
      <c r="P3604" s="8" t="s">
        <v>59</v>
      </c>
      <c r="R3604" s="8">
        <v>0</v>
      </c>
      <c r="S3604" s="8">
        <v>0</v>
      </c>
      <c r="T3604" s="8">
        <v>1</v>
      </c>
      <c r="U3604" s="8">
        <v>2</v>
      </c>
      <c r="X3604" s="8">
        <v>5</v>
      </c>
      <c r="AG3604" s="8" t="str">
        <f t="shared" si="225"/>
        <v/>
      </c>
      <c r="AI3604" s="8" t="str">
        <f t="shared" si="226"/>
        <v/>
      </c>
      <c r="AJ3604" s="8" t="str">
        <f t="shared" si="227"/>
        <v/>
      </c>
      <c r="AL3604" s="8" t="str">
        <f t="shared" si="228"/>
        <v/>
      </c>
    </row>
    <row r="3605" spans="1:38" x14ac:dyDescent="0.25">
      <c r="A3605" s="8" t="s">
        <v>4521</v>
      </c>
      <c r="B3605" s="8" t="s">
        <v>4522</v>
      </c>
      <c r="C3605" s="8">
        <v>30862912</v>
      </c>
      <c r="D3605" s="8">
        <v>4</v>
      </c>
      <c r="E3605" s="11">
        <v>43110</v>
      </c>
      <c r="F3605" s="8" t="s">
        <v>57</v>
      </c>
      <c r="G3605" s="11">
        <v>43111</v>
      </c>
      <c r="H3605" s="8" t="s">
        <v>25</v>
      </c>
      <c r="J3605" s="8" t="s">
        <v>25</v>
      </c>
      <c r="N3605" s="8" t="s">
        <v>58</v>
      </c>
      <c r="O3605" s="8" t="s">
        <v>59</v>
      </c>
      <c r="P3605" s="8" t="s">
        <v>59</v>
      </c>
      <c r="R3605" s="8">
        <v>0</v>
      </c>
      <c r="S3605" s="8">
        <v>0</v>
      </c>
      <c r="T3605" s="8">
        <v>1</v>
      </c>
      <c r="U3605" s="8">
        <v>2</v>
      </c>
      <c r="AG3605" s="8" t="str">
        <f t="shared" si="225"/>
        <v/>
      </c>
      <c r="AI3605" s="8" t="str">
        <f t="shared" si="226"/>
        <v/>
      </c>
      <c r="AJ3605" s="8" t="str">
        <f t="shared" si="227"/>
        <v/>
      </c>
      <c r="AL3605" s="8" t="str">
        <f t="shared" si="228"/>
        <v/>
      </c>
    </row>
    <row r="3606" spans="1:38" x14ac:dyDescent="0.25">
      <c r="A3606" s="8" t="s">
        <v>4523</v>
      </c>
      <c r="B3606" s="8" t="s">
        <v>4524</v>
      </c>
      <c r="C3606" s="8">
        <v>30858159</v>
      </c>
      <c r="D3606" s="8">
        <v>5</v>
      </c>
      <c r="E3606" s="11">
        <v>43110</v>
      </c>
      <c r="F3606" s="8" t="s">
        <v>57</v>
      </c>
      <c r="G3606" s="11">
        <v>43111</v>
      </c>
      <c r="H3606" s="8" t="s">
        <v>25</v>
      </c>
      <c r="J3606" s="8" t="s">
        <v>25</v>
      </c>
      <c r="N3606" s="8" t="s">
        <v>58</v>
      </c>
      <c r="O3606" s="8" t="s">
        <v>59</v>
      </c>
      <c r="P3606" s="8" t="s">
        <v>59</v>
      </c>
      <c r="R3606" s="8">
        <v>0</v>
      </c>
      <c r="S3606" s="8">
        <v>0</v>
      </c>
      <c r="T3606" s="8">
        <v>1</v>
      </c>
      <c r="U3606" s="8">
        <v>2</v>
      </c>
      <c r="AG3606" s="8" t="str">
        <f t="shared" si="225"/>
        <v/>
      </c>
      <c r="AI3606" s="8" t="str">
        <f t="shared" si="226"/>
        <v/>
      </c>
      <c r="AJ3606" s="8" t="str">
        <f t="shared" si="227"/>
        <v/>
      </c>
      <c r="AL3606" s="8" t="str">
        <f t="shared" si="228"/>
        <v/>
      </c>
    </row>
    <row r="3607" spans="1:38" x14ac:dyDescent="0.25">
      <c r="A3607" s="8" t="s">
        <v>6298</v>
      </c>
      <c r="B3607" s="8" t="s">
        <v>6299</v>
      </c>
      <c r="C3607" s="8">
        <v>30904158</v>
      </c>
      <c r="D3607" s="8">
        <v>5</v>
      </c>
      <c r="E3607" s="11">
        <v>43111</v>
      </c>
      <c r="F3607" s="8" t="s">
        <v>58</v>
      </c>
      <c r="G3607" s="11">
        <v>43112</v>
      </c>
      <c r="H3607" s="8" t="s">
        <v>25</v>
      </c>
      <c r="I3607" s="11">
        <v>43112</v>
      </c>
      <c r="J3607" s="8" t="s">
        <v>25</v>
      </c>
      <c r="N3607" s="8" t="s">
        <v>58</v>
      </c>
      <c r="O3607" s="8" t="s">
        <v>59</v>
      </c>
      <c r="P3607" s="8" t="s">
        <v>59</v>
      </c>
      <c r="R3607" s="8">
        <v>0</v>
      </c>
      <c r="S3607" s="8">
        <v>0</v>
      </c>
      <c r="T3607" s="8">
        <v>1</v>
      </c>
      <c r="U3607" s="8">
        <v>2</v>
      </c>
      <c r="X3607" s="8">
        <v>5</v>
      </c>
      <c r="AG3607" s="8" t="str">
        <f t="shared" si="225"/>
        <v/>
      </c>
      <c r="AI3607" s="8" t="str">
        <f t="shared" si="226"/>
        <v/>
      </c>
      <c r="AJ3607" s="8" t="str">
        <f t="shared" si="227"/>
        <v/>
      </c>
      <c r="AL3607" s="8" t="str">
        <f t="shared" si="228"/>
        <v/>
      </c>
    </row>
    <row r="3608" spans="1:38" x14ac:dyDescent="0.25">
      <c r="A3608" s="8" t="s">
        <v>3088</v>
      </c>
      <c r="B3608" s="8" t="s">
        <v>3089</v>
      </c>
      <c r="C3608" s="8">
        <v>30865223</v>
      </c>
      <c r="D3608" s="8">
        <v>5</v>
      </c>
      <c r="E3608" s="11">
        <v>43110</v>
      </c>
      <c r="F3608" s="8" t="s">
        <v>58</v>
      </c>
      <c r="G3608" s="11">
        <v>43110</v>
      </c>
      <c r="H3608" s="8" t="s">
        <v>25</v>
      </c>
      <c r="I3608" s="11">
        <v>43111</v>
      </c>
      <c r="J3608" s="8" t="s">
        <v>25</v>
      </c>
      <c r="N3608" s="8" t="s">
        <v>58</v>
      </c>
      <c r="O3608" s="8" t="s">
        <v>59</v>
      </c>
      <c r="P3608" s="8" t="s">
        <v>59</v>
      </c>
      <c r="R3608" s="8">
        <v>0</v>
      </c>
      <c r="S3608" s="8">
        <v>0</v>
      </c>
      <c r="T3608" s="8">
        <v>1</v>
      </c>
      <c r="U3608" s="8">
        <v>2</v>
      </c>
      <c r="X3608" s="8">
        <v>5</v>
      </c>
      <c r="AG3608" s="8" t="str">
        <f t="shared" si="225"/>
        <v/>
      </c>
      <c r="AI3608" s="8" t="str">
        <f t="shared" si="226"/>
        <v/>
      </c>
      <c r="AJ3608" s="8" t="str">
        <f t="shared" si="227"/>
        <v/>
      </c>
      <c r="AL3608" s="8" t="str">
        <f t="shared" si="228"/>
        <v/>
      </c>
    </row>
    <row r="3609" spans="1:38" x14ac:dyDescent="0.25">
      <c r="A3609" s="8" t="s">
        <v>6300</v>
      </c>
      <c r="B3609" s="8" t="s">
        <v>6301</v>
      </c>
      <c r="C3609" s="8">
        <v>30900846</v>
      </c>
      <c r="D3609" s="8">
        <v>5</v>
      </c>
      <c r="E3609" s="11">
        <v>43111</v>
      </c>
      <c r="F3609" s="8" t="s">
        <v>57</v>
      </c>
      <c r="G3609" s="11">
        <v>43114</v>
      </c>
      <c r="H3609" s="8" t="s">
        <v>25</v>
      </c>
      <c r="J3609" s="8" t="s">
        <v>25</v>
      </c>
      <c r="N3609" s="8" t="s">
        <v>58</v>
      </c>
      <c r="O3609" s="8" t="s">
        <v>59</v>
      </c>
      <c r="P3609" s="8" t="s">
        <v>59</v>
      </c>
      <c r="R3609" s="8">
        <v>0</v>
      </c>
      <c r="S3609" s="8">
        <v>0</v>
      </c>
      <c r="T3609" s="8">
        <v>1</v>
      </c>
      <c r="U3609" s="8">
        <v>2</v>
      </c>
      <c r="AG3609" s="8" t="str">
        <f t="shared" si="225"/>
        <v/>
      </c>
      <c r="AI3609" s="8" t="str">
        <f t="shared" si="226"/>
        <v/>
      </c>
      <c r="AJ3609" s="8" t="str">
        <f t="shared" si="227"/>
        <v/>
      </c>
      <c r="AL3609" s="8" t="str">
        <f t="shared" si="228"/>
        <v/>
      </c>
    </row>
    <row r="3610" spans="1:38" x14ac:dyDescent="0.25">
      <c r="A3610" s="8" t="s">
        <v>4525</v>
      </c>
      <c r="B3610" s="8" t="s">
        <v>4526</v>
      </c>
      <c r="C3610" s="8">
        <v>30862389</v>
      </c>
      <c r="D3610" s="8">
        <v>5</v>
      </c>
      <c r="E3610" s="11">
        <v>43110</v>
      </c>
      <c r="F3610" s="8" t="s">
        <v>57</v>
      </c>
      <c r="G3610" s="11">
        <v>43111</v>
      </c>
      <c r="H3610" s="8" t="s">
        <v>25</v>
      </c>
      <c r="J3610" s="8" t="s">
        <v>25</v>
      </c>
      <c r="N3610" s="8" t="s">
        <v>58</v>
      </c>
      <c r="O3610" s="8" t="s">
        <v>59</v>
      </c>
      <c r="P3610" s="8" t="s">
        <v>59</v>
      </c>
      <c r="R3610" s="8">
        <v>0</v>
      </c>
      <c r="S3610" s="8">
        <v>0</v>
      </c>
      <c r="T3610" s="8">
        <v>1</v>
      </c>
      <c r="U3610" s="8">
        <v>2</v>
      </c>
      <c r="AG3610" s="8" t="str">
        <f t="shared" si="225"/>
        <v/>
      </c>
      <c r="AI3610" s="8" t="str">
        <f t="shared" si="226"/>
        <v/>
      </c>
      <c r="AJ3610" s="8" t="str">
        <f t="shared" si="227"/>
        <v/>
      </c>
      <c r="AL3610" s="8" t="str">
        <f t="shared" si="228"/>
        <v/>
      </c>
    </row>
    <row r="3611" spans="1:38" x14ac:dyDescent="0.25">
      <c r="A3611" s="8" t="s">
        <v>6302</v>
      </c>
      <c r="B3611" s="8" t="s">
        <v>6303</v>
      </c>
      <c r="C3611" s="8">
        <v>30886759</v>
      </c>
      <c r="D3611" s="8">
        <v>5</v>
      </c>
      <c r="E3611" s="11">
        <v>43111</v>
      </c>
      <c r="F3611" s="8" t="s">
        <v>58</v>
      </c>
      <c r="G3611" s="11">
        <v>43112</v>
      </c>
      <c r="H3611" s="8" t="s">
        <v>25</v>
      </c>
      <c r="I3611" s="11">
        <v>43115</v>
      </c>
      <c r="J3611" s="8" t="s">
        <v>25</v>
      </c>
      <c r="N3611" s="8" t="s">
        <v>58</v>
      </c>
      <c r="O3611" s="8" t="s">
        <v>59</v>
      </c>
      <c r="P3611" s="8" t="s">
        <v>59</v>
      </c>
      <c r="R3611" s="8">
        <v>0</v>
      </c>
      <c r="S3611" s="8">
        <v>0</v>
      </c>
      <c r="T3611" s="8">
        <v>1</v>
      </c>
      <c r="U3611" s="8">
        <v>2</v>
      </c>
      <c r="X3611" s="8">
        <v>5</v>
      </c>
      <c r="AG3611" s="8" t="str">
        <f t="shared" si="225"/>
        <v/>
      </c>
      <c r="AI3611" s="8" t="str">
        <f t="shared" si="226"/>
        <v/>
      </c>
      <c r="AJ3611" s="8" t="str">
        <f t="shared" si="227"/>
        <v/>
      </c>
      <c r="AL3611" s="8" t="str">
        <f t="shared" si="228"/>
        <v/>
      </c>
    </row>
    <row r="3612" spans="1:38" x14ac:dyDescent="0.25">
      <c r="A3612" s="8" t="s">
        <v>6304</v>
      </c>
      <c r="B3612" s="8" t="s">
        <v>6305</v>
      </c>
      <c r="C3612" s="8">
        <v>30882769</v>
      </c>
      <c r="D3612" s="8">
        <v>4</v>
      </c>
      <c r="E3612" s="11">
        <v>43111</v>
      </c>
      <c r="F3612" s="8" t="s">
        <v>57</v>
      </c>
      <c r="G3612" s="11">
        <v>43112</v>
      </c>
      <c r="H3612" s="8" t="s">
        <v>25</v>
      </c>
      <c r="J3612" s="8" t="s">
        <v>25</v>
      </c>
      <c r="N3612" s="8" t="s">
        <v>58</v>
      </c>
      <c r="O3612" s="8" t="s">
        <v>59</v>
      </c>
      <c r="P3612" s="8" t="s">
        <v>59</v>
      </c>
      <c r="R3612" s="8">
        <v>0</v>
      </c>
      <c r="S3612" s="8">
        <v>0</v>
      </c>
      <c r="T3612" s="8">
        <v>1</v>
      </c>
      <c r="U3612" s="8">
        <v>2</v>
      </c>
      <c r="AG3612" s="8" t="str">
        <f t="shared" si="225"/>
        <v/>
      </c>
      <c r="AI3612" s="8" t="str">
        <f t="shared" si="226"/>
        <v/>
      </c>
      <c r="AJ3612" s="8" t="str">
        <f t="shared" si="227"/>
        <v/>
      </c>
      <c r="AL3612" s="8" t="str">
        <f t="shared" si="228"/>
        <v/>
      </c>
    </row>
    <row r="3613" spans="1:38" x14ac:dyDescent="0.25">
      <c r="A3613" s="8" t="s">
        <v>4527</v>
      </c>
      <c r="B3613" s="8" t="s">
        <v>4528</v>
      </c>
      <c r="C3613" s="8">
        <v>30890090</v>
      </c>
      <c r="D3613" s="8">
        <v>5</v>
      </c>
      <c r="E3613" s="11">
        <v>43111</v>
      </c>
      <c r="F3613" s="8" t="s">
        <v>58</v>
      </c>
      <c r="G3613" s="11">
        <v>43111</v>
      </c>
      <c r="H3613" s="8" t="s">
        <v>25</v>
      </c>
      <c r="I3613" s="11">
        <v>43111</v>
      </c>
      <c r="J3613" s="8" t="s">
        <v>25</v>
      </c>
      <c r="N3613" s="8" t="s">
        <v>58</v>
      </c>
      <c r="O3613" s="8" t="s">
        <v>59</v>
      </c>
      <c r="P3613" s="8" t="s">
        <v>59</v>
      </c>
      <c r="R3613" s="8">
        <v>0</v>
      </c>
      <c r="S3613" s="8">
        <v>0</v>
      </c>
      <c r="T3613" s="8">
        <v>1</v>
      </c>
      <c r="U3613" s="8">
        <v>2</v>
      </c>
      <c r="X3613" s="8">
        <v>5</v>
      </c>
      <c r="AG3613" s="8" t="str">
        <f t="shared" si="225"/>
        <v/>
      </c>
      <c r="AI3613" s="8" t="str">
        <f t="shared" si="226"/>
        <v/>
      </c>
      <c r="AJ3613" s="8" t="str">
        <f t="shared" si="227"/>
        <v/>
      </c>
      <c r="AL3613" s="8" t="str">
        <f t="shared" si="228"/>
        <v/>
      </c>
    </row>
    <row r="3614" spans="1:38" x14ac:dyDescent="0.25">
      <c r="A3614" s="8" t="s">
        <v>6306</v>
      </c>
      <c r="B3614" s="8" t="s">
        <v>6307</v>
      </c>
      <c r="C3614" s="8">
        <v>30885458</v>
      </c>
      <c r="D3614" s="8">
        <v>5</v>
      </c>
      <c r="E3614" s="11">
        <v>43111</v>
      </c>
      <c r="F3614" s="8" t="s">
        <v>57</v>
      </c>
      <c r="G3614" s="11">
        <v>43114</v>
      </c>
      <c r="H3614" s="8" t="s">
        <v>25</v>
      </c>
      <c r="J3614" s="8" t="s">
        <v>25</v>
      </c>
      <c r="N3614" s="8" t="s">
        <v>58</v>
      </c>
      <c r="O3614" s="8" t="s">
        <v>59</v>
      </c>
      <c r="P3614" s="8" t="s">
        <v>59</v>
      </c>
      <c r="R3614" s="8">
        <v>0</v>
      </c>
      <c r="S3614" s="8">
        <v>0</v>
      </c>
      <c r="T3614" s="8">
        <v>1</v>
      </c>
      <c r="U3614" s="8">
        <v>2</v>
      </c>
      <c r="AG3614" s="8" t="str">
        <f t="shared" si="225"/>
        <v/>
      </c>
      <c r="AI3614" s="8" t="str">
        <f t="shared" si="226"/>
        <v/>
      </c>
      <c r="AJ3614" s="8" t="str">
        <f t="shared" si="227"/>
        <v/>
      </c>
      <c r="AL3614" s="8" t="str">
        <f t="shared" si="228"/>
        <v/>
      </c>
    </row>
    <row r="3615" spans="1:38" x14ac:dyDescent="0.25">
      <c r="A3615" s="8" t="s">
        <v>6308</v>
      </c>
      <c r="B3615" s="8" t="s">
        <v>6309</v>
      </c>
      <c r="C3615" s="8">
        <v>30887453</v>
      </c>
      <c r="D3615" s="8">
        <v>5</v>
      </c>
      <c r="E3615" s="11">
        <v>43111</v>
      </c>
      <c r="F3615" s="8" t="s">
        <v>57</v>
      </c>
      <c r="G3615" s="11">
        <v>43114</v>
      </c>
      <c r="H3615" s="8" t="s">
        <v>25</v>
      </c>
      <c r="J3615" s="8" t="s">
        <v>25</v>
      </c>
      <c r="N3615" s="8" t="s">
        <v>58</v>
      </c>
      <c r="O3615" s="8" t="s">
        <v>59</v>
      </c>
      <c r="P3615" s="8" t="s">
        <v>59</v>
      </c>
      <c r="R3615" s="8">
        <v>0</v>
      </c>
      <c r="S3615" s="8">
        <v>0</v>
      </c>
      <c r="T3615" s="8">
        <v>1</v>
      </c>
      <c r="U3615" s="8">
        <v>2</v>
      </c>
      <c r="AG3615" s="8" t="str">
        <f t="shared" si="225"/>
        <v/>
      </c>
      <c r="AI3615" s="8" t="str">
        <f t="shared" si="226"/>
        <v/>
      </c>
      <c r="AJ3615" s="8" t="str">
        <f t="shared" si="227"/>
        <v/>
      </c>
      <c r="AL3615" s="8" t="str">
        <f t="shared" si="228"/>
        <v/>
      </c>
    </row>
    <row r="3616" spans="1:38" x14ac:dyDescent="0.25">
      <c r="A3616" s="8" t="s">
        <v>4529</v>
      </c>
      <c r="B3616" s="8" t="s">
        <v>4530</v>
      </c>
      <c r="C3616" s="8">
        <v>30900884</v>
      </c>
      <c r="D3616" s="8">
        <v>5</v>
      </c>
      <c r="E3616" s="11">
        <v>43111</v>
      </c>
      <c r="F3616" s="8" t="s">
        <v>58</v>
      </c>
      <c r="G3616" s="11">
        <v>43111</v>
      </c>
      <c r="H3616" s="8" t="s">
        <v>25</v>
      </c>
      <c r="I3616" s="11">
        <v>43111</v>
      </c>
      <c r="J3616" s="8" t="s">
        <v>25</v>
      </c>
      <c r="N3616" s="8" t="s">
        <v>58</v>
      </c>
      <c r="O3616" s="8" t="s">
        <v>59</v>
      </c>
      <c r="P3616" s="8" t="s">
        <v>59</v>
      </c>
      <c r="R3616" s="8">
        <v>0</v>
      </c>
      <c r="S3616" s="8">
        <v>0</v>
      </c>
      <c r="T3616" s="8">
        <v>1</v>
      </c>
      <c r="U3616" s="8">
        <v>2</v>
      </c>
      <c r="X3616" s="8">
        <v>5</v>
      </c>
      <c r="AG3616" s="8" t="str">
        <f t="shared" si="225"/>
        <v/>
      </c>
      <c r="AI3616" s="8" t="str">
        <f t="shared" si="226"/>
        <v/>
      </c>
      <c r="AJ3616" s="8" t="str">
        <f t="shared" si="227"/>
        <v/>
      </c>
      <c r="AL3616" s="8" t="str">
        <f t="shared" si="228"/>
        <v/>
      </c>
    </row>
    <row r="3617" spans="1:38" x14ac:dyDescent="0.25">
      <c r="A3617" s="8" t="s">
        <v>8055</v>
      </c>
      <c r="B3617" s="8" t="s">
        <v>8056</v>
      </c>
      <c r="C3617" s="8">
        <v>30944816</v>
      </c>
      <c r="D3617" s="8">
        <v>5</v>
      </c>
      <c r="E3617" s="11">
        <v>43115</v>
      </c>
      <c r="F3617" s="8" t="s">
        <v>57</v>
      </c>
      <c r="G3617" s="11">
        <v>43115</v>
      </c>
      <c r="H3617" s="8" t="s">
        <v>25</v>
      </c>
      <c r="J3617" s="8" t="s">
        <v>25</v>
      </c>
      <c r="N3617" s="8" t="s">
        <v>58</v>
      </c>
      <c r="O3617" s="8" t="s">
        <v>59</v>
      </c>
      <c r="P3617" s="8" t="s">
        <v>59</v>
      </c>
      <c r="R3617" s="8">
        <v>0</v>
      </c>
      <c r="S3617" s="8">
        <v>0</v>
      </c>
      <c r="T3617" s="8">
        <v>1</v>
      </c>
      <c r="U3617" s="8">
        <v>2</v>
      </c>
      <c r="AG3617" s="8" t="str">
        <f t="shared" si="225"/>
        <v/>
      </c>
      <c r="AI3617" s="8" t="str">
        <f t="shared" si="226"/>
        <v/>
      </c>
      <c r="AJ3617" s="8" t="str">
        <f t="shared" si="227"/>
        <v/>
      </c>
      <c r="AL3617" s="8" t="str">
        <f t="shared" si="228"/>
        <v/>
      </c>
    </row>
    <row r="3618" spans="1:38" x14ac:dyDescent="0.25">
      <c r="A3618" s="8" t="s">
        <v>6310</v>
      </c>
      <c r="B3618" s="8" t="s">
        <v>6311</v>
      </c>
      <c r="C3618" s="8">
        <v>30901998</v>
      </c>
      <c r="D3618" s="8">
        <v>4</v>
      </c>
      <c r="E3618" s="11">
        <v>43111</v>
      </c>
      <c r="F3618" s="8" t="s">
        <v>57</v>
      </c>
      <c r="G3618" s="11">
        <v>43112</v>
      </c>
      <c r="H3618" s="8" t="s">
        <v>25</v>
      </c>
      <c r="J3618" s="8" t="s">
        <v>25</v>
      </c>
      <c r="N3618" s="8" t="s">
        <v>58</v>
      </c>
      <c r="O3618" s="8" t="s">
        <v>59</v>
      </c>
      <c r="P3618" s="8" t="s">
        <v>59</v>
      </c>
      <c r="R3618" s="8">
        <v>0</v>
      </c>
      <c r="S3618" s="8">
        <v>0</v>
      </c>
      <c r="T3618" s="8">
        <v>1</v>
      </c>
      <c r="U3618" s="8">
        <v>2</v>
      </c>
      <c r="AG3618" s="8" t="str">
        <f t="shared" si="225"/>
        <v/>
      </c>
      <c r="AI3618" s="8" t="str">
        <f t="shared" si="226"/>
        <v/>
      </c>
      <c r="AJ3618" s="8" t="str">
        <f t="shared" si="227"/>
        <v/>
      </c>
      <c r="AL3618" s="8" t="str">
        <f t="shared" si="228"/>
        <v/>
      </c>
    </row>
    <row r="3619" spans="1:38" x14ac:dyDescent="0.25">
      <c r="A3619" s="8" t="s">
        <v>3090</v>
      </c>
      <c r="B3619" s="8" t="s">
        <v>3091</v>
      </c>
      <c r="C3619" s="8">
        <v>30845829</v>
      </c>
      <c r="D3619" s="8">
        <v>5</v>
      </c>
      <c r="E3619" s="11">
        <v>43109</v>
      </c>
      <c r="F3619" s="8" t="s">
        <v>57</v>
      </c>
      <c r="G3619" s="11">
        <v>43110</v>
      </c>
      <c r="H3619" s="8" t="s">
        <v>25</v>
      </c>
      <c r="J3619" s="8" t="s">
        <v>25</v>
      </c>
      <c r="N3619" s="8" t="s">
        <v>58</v>
      </c>
      <c r="O3619" s="8" t="s">
        <v>59</v>
      </c>
      <c r="P3619" s="8" t="s">
        <v>59</v>
      </c>
      <c r="R3619" s="8">
        <v>0</v>
      </c>
      <c r="S3619" s="8">
        <v>0</v>
      </c>
      <c r="T3619" s="8">
        <v>1</v>
      </c>
      <c r="U3619" s="8">
        <v>2</v>
      </c>
      <c r="AG3619" s="8" t="str">
        <f t="shared" si="225"/>
        <v/>
      </c>
      <c r="AI3619" s="8" t="str">
        <f t="shared" si="226"/>
        <v/>
      </c>
      <c r="AJ3619" s="8" t="str">
        <f t="shared" si="227"/>
        <v/>
      </c>
      <c r="AL3619" s="8" t="str">
        <f t="shared" si="228"/>
        <v/>
      </c>
    </row>
    <row r="3620" spans="1:38" x14ac:dyDescent="0.25">
      <c r="A3620" s="8" t="s">
        <v>3092</v>
      </c>
      <c r="B3620" s="8" t="s">
        <v>3093</v>
      </c>
      <c r="C3620" s="8">
        <v>30845406</v>
      </c>
      <c r="D3620" s="8">
        <v>5</v>
      </c>
      <c r="E3620" s="11">
        <v>43109</v>
      </c>
      <c r="F3620" s="8" t="s">
        <v>58</v>
      </c>
      <c r="G3620" s="11">
        <v>43110</v>
      </c>
      <c r="H3620" s="8" t="s">
        <v>25</v>
      </c>
      <c r="I3620" s="11">
        <v>43110</v>
      </c>
      <c r="J3620" s="8" t="s">
        <v>25</v>
      </c>
      <c r="N3620" s="8" t="s">
        <v>58</v>
      </c>
      <c r="O3620" s="8" t="s">
        <v>59</v>
      </c>
      <c r="P3620" s="8" t="s">
        <v>59</v>
      </c>
      <c r="R3620" s="8">
        <v>0</v>
      </c>
      <c r="S3620" s="8">
        <v>0</v>
      </c>
      <c r="T3620" s="8">
        <v>1</v>
      </c>
      <c r="U3620" s="8">
        <v>2</v>
      </c>
      <c r="X3620" s="8">
        <v>5</v>
      </c>
      <c r="AG3620" s="8" t="str">
        <f t="shared" si="225"/>
        <v/>
      </c>
      <c r="AI3620" s="8" t="str">
        <f t="shared" si="226"/>
        <v/>
      </c>
      <c r="AJ3620" s="8" t="str">
        <f t="shared" si="227"/>
        <v/>
      </c>
      <c r="AL3620" s="8" t="str">
        <f t="shared" si="228"/>
        <v/>
      </c>
    </row>
    <row r="3621" spans="1:38" x14ac:dyDescent="0.25">
      <c r="A3621" s="8" t="s">
        <v>8057</v>
      </c>
      <c r="B3621" s="8" t="s">
        <v>8058</v>
      </c>
      <c r="C3621" s="8">
        <v>30913236</v>
      </c>
      <c r="D3621" s="8">
        <v>4</v>
      </c>
      <c r="E3621" s="11">
        <v>43112</v>
      </c>
      <c r="F3621" s="8" t="s">
        <v>57</v>
      </c>
      <c r="G3621" s="11">
        <v>43115</v>
      </c>
      <c r="H3621" s="8" t="s">
        <v>25</v>
      </c>
      <c r="J3621" s="8" t="s">
        <v>25</v>
      </c>
      <c r="N3621" s="8" t="s">
        <v>58</v>
      </c>
      <c r="O3621" s="8" t="s">
        <v>59</v>
      </c>
      <c r="P3621" s="8" t="s">
        <v>59</v>
      </c>
      <c r="R3621" s="8">
        <v>0</v>
      </c>
      <c r="S3621" s="8">
        <v>0</v>
      </c>
      <c r="T3621" s="8">
        <v>1</v>
      </c>
      <c r="U3621" s="8">
        <v>2</v>
      </c>
      <c r="AG3621" s="8" t="str">
        <f t="shared" si="225"/>
        <v/>
      </c>
      <c r="AI3621" s="8" t="str">
        <f t="shared" si="226"/>
        <v/>
      </c>
      <c r="AJ3621" s="8" t="str">
        <f t="shared" si="227"/>
        <v/>
      </c>
      <c r="AL3621" s="8" t="str">
        <f t="shared" si="228"/>
        <v/>
      </c>
    </row>
    <row r="3622" spans="1:38" x14ac:dyDescent="0.25">
      <c r="A3622" s="8" t="s">
        <v>3094</v>
      </c>
      <c r="B3622" s="8" t="s">
        <v>3095</v>
      </c>
      <c r="C3622" s="8">
        <v>30871645</v>
      </c>
      <c r="D3622" s="8">
        <v>5</v>
      </c>
      <c r="E3622" s="11">
        <v>43110</v>
      </c>
      <c r="F3622" s="8" t="s">
        <v>57</v>
      </c>
      <c r="G3622" s="11">
        <v>43110</v>
      </c>
      <c r="H3622" s="8" t="s">
        <v>25</v>
      </c>
      <c r="J3622" s="8" t="s">
        <v>25</v>
      </c>
      <c r="N3622" s="8" t="s">
        <v>58</v>
      </c>
      <c r="O3622" s="8" t="s">
        <v>59</v>
      </c>
      <c r="P3622" s="8" t="s">
        <v>59</v>
      </c>
      <c r="R3622" s="8">
        <v>0</v>
      </c>
      <c r="S3622" s="8">
        <v>0</v>
      </c>
      <c r="T3622" s="8">
        <v>1</v>
      </c>
      <c r="U3622" s="8">
        <v>2</v>
      </c>
      <c r="AG3622" s="8" t="str">
        <f t="shared" si="225"/>
        <v/>
      </c>
      <c r="AI3622" s="8" t="str">
        <f t="shared" si="226"/>
        <v/>
      </c>
      <c r="AJ3622" s="8" t="str">
        <f t="shared" si="227"/>
        <v/>
      </c>
      <c r="AL3622" s="8" t="str">
        <f t="shared" si="228"/>
        <v/>
      </c>
    </row>
    <row r="3623" spans="1:38" x14ac:dyDescent="0.25">
      <c r="A3623" s="8" t="s">
        <v>4531</v>
      </c>
      <c r="B3623" s="8" t="s">
        <v>4532</v>
      </c>
      <c r="C3623" s="8">
        <v>30868000</v>
      </c>
      <c r="D3623" s="8">
        <v>5</v>
      </c>
      <c r="E3623" s="11">
        <v>43110</v>
      </c>
      <c r="F3623" s="8" t="s">
        <v>57</v>
      </c>
      <c r="G3623" s="11">
        <v>43111</v>
      </c>
      <c r="H3623" s="8" t="s">
        <v>25</v>
      </c>
      <c r="J3623" s="8" t="s">
        <v>25</v>
      </c>
      <c r="N3623" s="8" t="s">
        <v>58</v>
      </c>
      <c r="O3623" s="8" t="s">
        <v>59</v>
      </c>
      <c r="P3623" s="8" t="s">
        <v>59</v>
      </c>
      <c r="R3623" s="8">
        <v>0</v>
      </c>
      <c r="S3623" s="8">
        <v>0</v>
      </c>
      <c r="T3623" s="8">
        <v>1</v>
      </c>
      <c r="U3623" s="8">
        <v>2</v>
      </c>
      <c r="AG3623" s="8" t="str">
        <f t="shared" si="225"/>
        <v/>
      </c>
      <c r="AI3623" s="8" t="str">
        <f t="shared" si="226"/>
        <v/>
      </c>
      <c r="AJ3623" s="8" t="str">
        <f t="shared" si="227"/>
        <v/>
      </c>
      <c r="AL3623" s="8" t="str">
        <f t="shared" si="228"/>
        <v/>
      </c>
    </row>
    <row r="3624" spans="1:38" x14ac:dyDescent="0.25">
      <c r="A3624" s="8" t="s">
        <v>4533</v>
      </c>
      <c r="B3624" s="8" t="s">
        <v>4534</v>
      </c>
      <c r="C3624" s="8">
        <v>30857077</v>
      </c>
      <c r="D3624" s="8">
        <v>5</v>
      </c>
      <c r="E3624" s="11">
        <v>43110</v>
      </c>
      <c r="F3624" s="8" t="s">
        <v>57</v>
      </c>
      <c r="G3624" s="11">
        <v>43111</v>
      </c>
      <c r="H3624" s="8" t="s">
        <v>25</v>
      </c>
      <c r="J3624" s="8" t="s">
        <v>25</v>
      </c>
      <c r="N3624" s="8" t="s">
        <v>58</v>
      </c>
      <c r="O3624" s="8" t="s">
        <v>59</v>
      </c>
      <c r="P3624" s="8" t="s">
        <v>59</v>
      </c>
      <c r="R3624" s="8">
        <v>0</v>
      </c>
      <c r="S3624" s="8">
        <v>0</v>
      </c>
      <c r="T3624" s="8">
        <v>1</v>
      </c>
      <c r="U3624" s="8">
        <v>2</v>
      </c>
      <c r="AG3624" s="8" t="str">
        <f t="shared" si="225"/>
        <v/>
      </c>
      <c r="AI3624" s="8" t="str">
        <f t="shared" si="226"/>
        <v/>
      </c>
      <c r="AJ3624" s="8" t="str">
        <f t="shared" si="227"/>
        <v/>
      </c>
      <c r="AL3624" s="8" t="str">
        <f t="shared" si="228"/>
        <v/>
      </c>
    </row>
    <row r="3625" spans="1:38" x14ac:dyDescent="0.25">
      <c r="A3625" s="8" t="s">
        <v>4535</v>
      </c>
      <c r="B3625" s="8" t="s">
        <v>4536</v>
      </c>
      <c r="C3625" s="8">
        <v>30867797</v>
      </c>
      <c r="D3625" s="8">
        <v>5</v>
      </c>
      <c r="E3625" s="11">
        <v>43110</v>
      </c>
      <c r="F3625" s="8" t="s">
        <v>57</v>
      </c>
      <c r="G3625" s="11">
        <v>43111</v>
      </c>
      <c r="H3625" s="8" t="s">
        <v>25</v>
      </c>
      <c r="J3625" s="8" t="s">
        <v>25</v>
      </c>
      <c r="N3625" s="8" t="s">
        <v>58</v>
      </c>
      <c r="O3625" s="8" t="s">
        <v>59</v>
      </c>
      <c r="P3625" s="8" t="s">
        <v>59</v>
      </c>
      <c r="R3625" s="8">
        <v>0</v>
      </c>
      <c r="S3625" s="8">
        <v>0</v>
      </c>
      <c r="T3625" s="8">
        <v>1</v>
      </c>
      <c r="U3625" s="8">
        <v>2</v>
      </c>
      <c r="AG3625" s="8" t="str">
        <f t="shared" si="225"/>
        <v/>
      </c>
      <c r="AI3625" s="8" t="str">
        <f t="shared" si="226"/>
        <v/>
      </c>
      <c r="AJ3625" s="8" t="str">
        <f t="shared" si="227"/>
        <v/>
      </c>
      <c r="AL3625" s="8" t="str">
        <f t="shared" si="228"/>
        <v/>
      </c>
    </row>
    <row r="3626" spans="1:38" x14ac:dyDescent="0.25">
      <c r="A3626" s="8" t="s">
        <v>4537</v>
      </c>
      <c r="B3626" s="8" t="s">
        <v>4538</v>
      </c>
      <c r="C3626" s="8">
        <v>30867257</v>
      </c>
      <c r="D3626" s="8">
        <v>5</v>
      </c>
      <c r="E3626" s="11">
        <v>43110</v>
      </c>
      <c r="F3626" s="8" t="s">
        <v>57</v>
      </c>
      <c r="G3626" s="11">
        <v>43111</v>
      </c>
      <c r="H3626" s="8" t="s">
        <v>25</v>
      </c>
      <c r="J3626" s="8" t="s">
        <v>25</v>
      </c>
      <c r="N3626" s="8" t="s">
        <v>58</v>
      </c>
      <c r="O3626" s="8" t="s">
        <v>59</v>
      </c>
      <c r="P3626" s="8" t="s">
        <v>59</v>
      </c>
      <c r="R3626" s="8">
        <v>0</v>
      </c>
      <c r="S3626" s="8">
        <v>0</v>
      </c>
      <c r="T3626" s="8">
        <v>1</v>
      </c>
      <c r="U3626" s="8">
        <v>2</v>
      </c>
      <c r="AG3626" s="8" t="str">
        <f t="shared" si="225"/>
        <v/>
      </c>
      <c r="AI3626" s="8" t="str">
        <f t="shared" si="226"/>
        <v/>
      </c>
      <c r="AJ3626" s="8" t="str">
        <f t="shared" si="227"/>
        <v/>
      </c>
      <c r="AL3626" s="8" t="str">
        <f t="shared" si="228"/>
        <v/>
      </c>
    </row>
    <row r="3627" spans="1:38" x14ac:dyDescent="0.25">
      <c r="A3627" s="8" t="s">
        <v>4539</v>
      </c>
      <c r="B3627" s="8" t="s">
        <v>4540</v>
      </c>
      <c r="C3627" s="8">
        <v>30867575</v>
      </c>
      <c r="D3627" s="8">
        <v>5</v>
      </c>
      <c r="E3627" s="11">
        <v>43110</v>
      </c>
      <c r="F3627" s="8" t="s">
        <v>57</v>
      </c>
      <c r="G3627" s="11">
        <v>43111</v>
      </c>
      <c r="H3627" s="8" t="s">
        <v>25</v>
      </c>
      <c r="J3627" s="8" t="s">
        <v>25</v>
      </c>
      <c r="N3627" s="8" t="s">
        <v>58</v>
      </c>
      <c r="O3627" s="8" t="s">
        <v>59</v>
      </c>
      <c r="P3627" s="8" t="s">
        <v>59</v>
      </c>
      <c r="R3627" s="8">
        <v>0</v>
      </c>
      <c r="S3627" s="8">
        <v>0</v>
      </c>
      <c r="T3627" s="8">
        <v>1</v>
      </c>
      <c r="U3627" s="8">
        <v>2</v>
      </c>
      <c r="AG3627" s="8" t="str">
        <f t="shared" si="225"/>
        <v/>
      </c>
      <c r="AI3627" s="8" t="str">
        <f t="shared" si="226"/>
        <v/>
      </c>
      <c r="AJ3627" s="8" t="str">
        <f t="shared" si="227"/>
        <v/>
      </c>
      <c r="AL3627" s="8" t="str">
        <f t="shared" si="228"/>
        <v/>
      </c>
    </row>
    <row r="3628" spans="1:38" x14ac:dyDescent="0.25">
      <c r="A3628" s="8" t="s">
        <v>4541</v>
      </c>
      <c r="B3628" s="8" t="s">
        <v>4542</v>
      </c>
      <c r="C3628" s="8">
        <v>30857004</v>
      </c>
      <c r="D3628" s="8">
        <v>5</v>
      </c>
      <c r="E3628" s="11">
        <v>43110</v>
      </c>
      <c r="F3628" s="8" t="s">
        <v>57</v>
      </c>
      <c r="G3628" s="11">
        <v>43111</v>
      </c>
      <c r="H3628" s="8" t="s">
        <v>25</v>
      </c>
      <c r="J3628" s="8" t="s">
        <v>25</v>
      </c>
      <c r="N3628" s="8" t="s">
        <v>58</v>
      </c>
      <c r="O3628" s="8" t="s">
        <v>59</v>
      </c>
      <c r="P3628" s="8" t="s">
        <v>59</v>
      </c>
      <c r="R3628" s="8">
        <v>0</v>
      </c>
      <c r="S3628" s="8">
        <v>0</v>
      </c>
      <c r="T3628" s="8">
        <v>1</v>
      </c>
      <c r="U3628" s="8">
        <v>2</v>
      </c>
      <c r="AG3628" s="8" t="str">
        <f t="shared" si="225"/>
        <v/>
      </c>
      <c r="AI3628" s="8" t="str">
        <f t="shared" si="226"/>
        <v/>
      </c>
      <c r="AJ3628" s="8" t="str">
        <f t="shared" si="227"/>
        <v/>
      </c>
      <c r="AL3628" s="8" t="str">
        <f t="shared" si="228"/>
        <v/>
      </c>
    </row>
    <row r="3629" spans="1:38" x14ac:dyDescent="0.25">
      <c r="A3629" s="8" t="s">
        <v>8059</v>
      </c>
      <c r="B3629" s="8" t="s">
        <v>8060</v>
      </c>
      <c r="C3629" s="8">
        <v>30915233</v>
      </c>
      <c r="D3629" s="8">
        <v>5</v>
      </c>
      <c r="E3629" s="11">
        <v>43112</v>
      </c>
      <c r="F3629" s="8" t="s">
        <v>57</v>
      </c>
      <c r="G3629" s="11">
        <v>43115</v>
      </c>
      <c r="H3629" s="8" t="s">
        <v>25</v>
      </c>
      <c r="J3629" s="8" t="s">
        <v>25</v>
      </c>
      <c r="N3629" s="8" t="s">
        <v>58</v>
      </c>
      <c r="O3629" s="8" t="s">
        <v>59</v>
      </c>
      <c r="P3629" s="8" t="s">
        <v>59</v>
      </c>
      <c r="R3629" s="8">
        <v>0</v>
      </c>
      <c r="S3629" s="8">
        <v>0</v>
      </c>
      <c r="T3629" s="8">
        <v>1</v>
      </c>
      <c r="U3629" s="8">
        <v>2</v>
      </c>
      <c r="AG3629" s="8" t="str">
        <f t="shared" si="225"/>
        <v/>
      </c>
      <c r="AI3629" s="8" t="str">
        <f t="shared" si="226"/>
        <v/>
      </c>
      <c r="AJ3629" s="8" t="str">
        <f t="shared" si="227"/>
        <v/>
      </c>
      <c r="AL3629" s="8" t="str">
        <f t="shared" si="228"/>
        <v/>
      </c>
    </row>
    <row r="3630" spans="1:38" x14ac:dyDescent="0.25">
      <c r="A3630" s="8" t="s">
        <v>1498</v>
      </c>
      <c r="B3630" s="8" t="s">
        <v>1499</v>
      </c>
      <c r="C3630" s="8">
        <v>30817423</v>
      </c>
      <c r="D3630" s="8">
        <v>5</v>
      </c>
      <c r="E3630" s="11">
        <v>43108</v>
      </c>
      <c r="F3630" s="8" t="s">
        <v>58</v>
      </c>
      <c r="G3630" s="11">
        <v>43109</v>
      </c>
      <c r="H3630" s="8" t="s">
        <v>25</v>
      </c>
      <c r="I3630" s="11">
        <v>43111</v>
      </c>
      <c r="J3630" s="8" t="s">
        <v>25</v>
      </c>
      <c r="N3630" s="8" t="s">
        <v>58</v>
      </c>
      <c r="O3630" s="8" t="s">
        <v>59</v>
      </c>
      <c r="P3630" s="8" t="s">
        <v>59</v>
      </c>
      <c r="R3630" s="8">
        <v>0</v>
      </c>
      <c r="S3630" s="8">
        <v>0</v>
      </c>
      <c r="T3630" s="8">
        <v>1</v>
      </c>
      <c r="U3630" s="8">
        <v>2</v>
      </c>
      <c r="X3630" s="8">
        <v>5</v>
      </c>
      <c r="AG3630" s="8" t="str">
        <f t="shared" si="225"/>
        <v/>
      </c>
      <c r="AI3630" s="8" t="str">
        <f t="shared" si="226"/>
        <v/>
      </c>
      <c r="AJ3630" s="8" t="str">
        <f t="shared" si="227"/>
        <v/>
      </c>
      <c r="AL3630" s="8" t="str">
        <f t="shared" si="228"/>
        <v/>
      </c>
    </row>
    <row r="3631" spans="1:38" x14ac:dyDescent="0.25">
      <c r="A3631" s="8" t="s">
        <v>6312</v>
      </c>
      <c r="B3631" s="8" t="s">
        <v>6313</v>
      </c>
      <c r="C3631" s="8">
        <v>30881473</v>
      </c>
      <c r="D3631" s="8">
        <v>5</v>
      </c>
      <c r="E3631" s="11">
        <v>43111</v>
      </c>
      <c r="F3631" s="8" t="s">
        <v>57</v>
      </c>
      <c r="G3631" s="11">
        <v>43112</v>
      </c>
      <c r="H3631" s="8" t="s">
        <v>25</v>
      </c>
      <c r="J3631" s="8" t="s">
        <v>25</v>
      </c>
      <c r="N3631" s="8" t="s">
        <v>58</v>
      </c>
      <c r="O3631" s="8" t="s">
        <v>59</v>
      </c>
      <c r="P3631" s="8" t="s">
        <v>59</v>
      </c>
      <c r="R3631" s="8">
        <v>0</v>
      </c>
      <c r="S3631" s="8">
        <v>0</v>
      </c>
      <c r="T3631" s="8">
        <v>1</v>
      </c>
      <c r="U3631" s="8">
        <v>2</v>
      </c>
      <c r="AG3631" s="8" t="str">
        <f t="shared" si="225"/>
        <v/>
      </c>
      <c r="AI3631" s="8" t="str">
        <f t="shared" si="226"/>
        <v/>
      </c>
      <c r="AJ3631" s="8" t="str">
        <f t="shared" si="227"/>
        <v/>
      </c>
      <c r="AL3631" s="8" t="str">
        <f t="shared" si="228"/>
        <v/>
      </c>
    </row>
    <row r="3632" spans="1:38" x14ac:dyDescent="0.25">
      <c r="A3632" s="8" t="s">
        <v>8061</v>
      </c>
      <c r="B3632" s="8" t="s">
        <v>8062</v>
      </c>
      <c r="C3632" s="8">
        <v>30920716</v>
      </c>
      <c r="D3632" s="8">
        <v>5</v>
      </c>
      <c r="E3632" s="11">
        <v>43112</v>
      </c>
      <c r="F3632" s="8" t="s">
        <v>57</v>
      </c>
      <c r="G3632" s="11">
        <v>43115</v>
      </c>
      <c r="H3632" s="8" t="s">
        <v>25</v>
      </c>
      <c r="J3632" s="8" t="s">
        <v>25</v>
      </c>
      <c r="N3632" s="8" t="s">
        <v>58</v>
      </c>
      <c r="O3632" s="8" t="s">
        <v>59</v>
      </c>
      <c r="P3632" s="8" t="s">
        <v>59</v>
      </c>
      <c r="R3632" s="8">
        <v>0</v>
      </c>
      <c r="S3632" s="8">
        <v>0</v>
      </c>
      <c r="T3632" s="8">
        <v>1</v>
      </c>
      <c r="U3632" s="8">
        <v>2</v>
      </c>
      <c r="AG3632" s="8" t="str">
        <f t="shared" si="225"/>
        <v/>
      </c>
      <c r="AI3632" s="8" t="str">
        <f t="shared" si="226"/>
        <v/>
      </c>
      <c r="AJ3632" s="8" t="str">
        <f t="shared" si="227"/>
        <v/>
      </c>
      <c r="AL3632" s="8" t="str">
        <f t="shared" si="228"/>
        <v/>
      </c>
    </row>
    <row r="3633" spans="1:38" x14ac:dyDescent="0.25">
      <c r="A3633" s="8" t="s">
        <v>707</v>
      </c>
      <c r="B3633" s="8" t="s">
        <v>708</v>
      </c>
      <c r="C3633" s="8">
        <v>30812617</v>
      </c>
      <c r="D3633" s="8">
        <v>5</v>
      </c>
      <c r="E3633" s="11">
        <v>43108</v>
      </c>
      <c r="F3633" s="8" t="s">
        <v>58</v>
      </c>
      <c r="G3633" s="11">
        <v>43108</v>
      </c>
      <c r="H3633" s="8" t="s">
        <v>25</v>
      </c>
      <c r="I3633" s="11">
        <v>43109</v>
      </c>
      <c r="J3633" s="8" t="s">
        <v>25</v>
      </c>
      <c r="N3633" s="8" t="s">
        <v>58</v>
      </c>
      <c r="O3633" s="8" t="s">
        <v>59</v>
      </c>
      <c r="P3633" s="8" t="s">
        <v>59</v>
      </c>
      <c r="R3633" s="8">
        <v>0</v>
      </c>
      <c r="S3633" s="8">
        <v>0</v>
      </c>
      <c r="T3633" s="8">
        <v>1</v>
      </c>
      <c r="U3633" s="8">
        <v>2</v>
      </c>
      <c r="X3633" s="8">
        <v>5</v>
      </c>
      <c r="AG3633" s="8" t="str">
        <f t="shared" si="225"/>
        <v/>
      </c>
      <c r="AI3633" s="8" t="str">
        <f t="shared" si="226"/>
        <v/>
      </c>
      <c r="AJ3633" s="8" t="str">
        <f t="shared" si="227"/>
        <v/>
      </c>
      <c r="AL3633" s="8" t="str">
        <f t="shared" si="228"/>
        <v/>
      </c>
    </row>
    <row r="3634" spans="1:38" x14ac:dyDescent="0.25">
      <c r="A3634" s="8" t="s">
        <v>4543</v>
      </c>
      <c r="B3634" s="8" t="s">
        <v>4544</v>
      </c>
      <c r="C3634" s="8">
        <v>30871264</v>
      </c>
      <c r="D3634" s="8">
        <v>3</v>
      </c>
      <c r="E3634" s="11">
        <v>43110</v>
      </c>
      <c r="F3634" s="8" t="s">
        <v>57</v>
      </c>
      <c r="G3634" s="11">
        <v>43111</v>
      </c>
      <c r="H3634" s="8" t="s">
        <v>25</v>
      </c>
      <c r="J3634" s="8" t="s">
        <v>25</v>
      </c>
      <c r="N3634" s="8" t="s">
        <v>58</v>
      </c>
      <c r="O3634" s="8" t="s">
        <v>59</v>
      </c>
      <c r="P3634" s="8" t="s">
        <v>59</v>
      </c>
      <c r="R3634" s="8">
        <v>0</v>
      </c>
      <c r="S3634" s="8">
        <v>0</v>
      </c>
      <c r="T3634" s="8">
        <v>1</v>
      </c>
      <c r="U3634" s="8">
        <v>2</v>
      </c>
      <c r="AG3634" s="8" t="str">
        <f t="shared" si="225"/>
        <v/>
      </c>
      <c r="AI3634" s="8" t="str">
        <f t="shared" si="226"/>
        <v/>
      </c>
      <c r="AJ3634" s="8" t="str">
        <f t="shared" si="227"/>
        <v/>
      </c>
      <c r="AL3634" s="8" t="str">
        <f t="shared" si="228"/>
        <v/>
      </c>
    </row>
    <row r="3635" spans="1:38" x14ac:dyDescent="0.25">
      <c r="A3635" s="8" t="s">
        <v>6314</v>
      </c>
      <c r="B3635" s="8" t="s">
        <v>6315</v>
      </c>
      <c r="C3635" s="8">
        <v>30910853</v>
      </c>
      <c r="D3635" s="8">
        <v>3</v>
      </c>
      <c r="E3635" s="11">
        <v>43112</v>
      </c>
      <c r="F3635" s="8" t="s">
        <v>57</v>
      </c>
      <c r="G3635" s="11">
        <v>43114</v>
      </c>
      <c r="H3635" s="8" t="s">
        <v>25</v>
      </c>
      <c r="J3635" s="8" t="s">
        <v>25</v>
      </c>
      <c r="N3635" s="8" t="s">
        <v>58</v>
      </c>
      <c r="O3635" s="8" t="s">
        <v>59</v>
      </c>
      <c r="P3635" s="8" t="s">
        <v>59</v>
      </c>
      <c r="R3635" s="8">
        <v>0</v>
      </c>
      <c r="S3635" s="8">
        <v>0</v>
      </c>
      <c r="T3635" s="8">
        <v>1</v>
      </c>
      <c r="U3635" s="8">
        <v>2</v>
      </c>
      <c r="AG3635" s="8" t="str">
        <f t="shared" si="225"/>
        <v/>
      </c>
      <c r="AI3635" s="8" t="str">
        <f t="shared" si="226"/>
        <v/>
      </c>
      <c r="AJ3635" s="8" t="str">
        <f t="shared" si="227"/>
        <v/>
      </c>
      <c r="AL3635" s="8" t="str">
        <f t="shared" si="228"/>
        <v/>
      </c>
    </row>
    <row r="3636" spans="1:38" x14ac:dyDescent="0.25">
      <c r="A3636" s="8" t="s">
        <v>6316</v>
      </c>
      <c r="B3636" s="8" t="s">
        <v>6317</v>
      </c>
      <c r="C3636" s="8">
        <v>30909517</v>
      </c>
      <c r="D3636" s="8">
        <v>5</v>
      </c>
      <c r="E3636" s="11">
        <v>43112</v>
      </c>
      <c r="F3636" s="8" t="s">
        <v>57</v>
      </c>
      <c r="G3636" s="11">
        <v>43112</v>
      </c>
      <c r="H3636" s="8" t="s">
        <v>25</v>
      </c>
      <c r="J3636" s="8" t="s">
        <v>25</v>
      </c>
      <c r="N3636" s="8" t="s">
        <v>58</v>
      </c>
      <c r="O3636" s="8" t="s">
        <v>59</v>
      </c>
      <c r="P3636" s="8" t="s">
        <v>59</v>
      </c>
      <c r="R3636" s="8">
        <v>0</v>
      </c>
      <c r="S3636" s="8">
        <v>0</v>
      </c>
      <c r="T3636" s="8">
        <v>1</v>
      </c>
      <c r="U3636" s="8">
        <v>2</v>
      </c>
      <c r="AG3636" s="8" t="str">
        <f t="shared" si="225"/>
        <v/>
      </c>
      <c r="AI3636" s="8" t="str">
        <f t="shared" si="226"/>
        <v/>
      </c>
      <c r="AJ3636" s="8" t="str">
        <f t="shared" si="227"/>
        <v/>
      </c>
      <c r="AL3636" s="8" t="str">
        <f t="shared" si="228"/>
        <v/>
      </c>
    </row>
    <row r="3637" spans="1:38" x14ac:dyDescent="0.25">
      <c r="A3637" s="8" t="s">
        <v>8063</v>
      </c>
      <c r="B3637" s="8" t="s">
        <v>8064</v>
      </c>
      <c r="C3637" s="8">
        <v>30915235</v>
      </c>
      <c r="D3637" s="8">
        <v>4</v>
      </c>
      <c r="E3637" s="11">
        <v>43112</v>
      </c>
      <c r="F3637" s="8" t="s">
        <v>57</v>
      </c>
      <c r="G3637" s="11">
        <v>43115</v>
      </c>
      <c r="H3637" s="8" t="s">
        <v>25</v>
      </c>
      <c r="J3637" s="8" t="s">
        <v>25</v>
      </c>
      <c r="N3637" s="8" t="s">
        <v>58</v>
      </c>
      <c r="O3637" s="8" t="s">
        <v>59</v>
      </c>
      <c r="P3637" s="8" t="s">
        <v>59</v>
      </c>
      <c r="R3637" s="8">
        <v>0</v>
      </c>
      <c r="S3637" s="8">
        <v>0</v>
      </c>
      <c r="T3637" s="8">
        <v>1</v>
      </c>
      <c r="U3637" s="8">
        <v>2</v>
      </c>
      <c r="AG3637" s="8" t="str">
        <f t="shared" si="225"/>
        <v/>
      </c>
      <c r="AI3637" s="8" t="str">
        <f t="shared" si="226"/>
        <v/>
      </c>
      <c r="AJ3637" s="8" t="str">
        <f t="shared" si="227"/>
        <v/>
      </c>
      <c r="AL3637" s="8" t="str">
        <f t="shared" si="228"/>
        <v/>
      </c>
    </row>
    <row r="3638" spans="1:38" x14ac:dyDescent="0.25">
      <c r="A3638" s="8" t="s">
        <v>6318</v>
      </c>
      <c r="B3638" s="8" t="s">
        <v>6319</v>
      </c>
      <c r="C3638" s="8">
        <v>30913695</v>
      </c>
      <c r="D3638" s="8">
        <v>5</v>
      </c>
      <c r="E3638" s="11">
        <v>43112</v>
      </c>
      <c r="F3638" s="8" t="s">
        <v>57</v>
      </c>
      <c r="G3638" s="11">
        <v>43112</v>
      </c>
      <c r="H3638" s="8" t="s">
        <v>25</v>
      </c>
      <c r="J3638" s="8" t="s">
        <v>25</v>
      </c>
      <c r="N3638" s="8" t="s">
        <v>58</v>
      </c>
      <c r="O3638" s="8" t="s">
        <v>59</v>
      </c>
      <c r="P3638" s="8" t="s">
        <v>59</v>
      </c>
      <c r="R3638" s="8">
        <v>0</v>
      </c>
      <c r="S3638" s="8">
        <v>0</v>
      </c>
      <c r="T3638" s="8">
        <v>1</v>
      </c>
      <c r="U3638" s="8">
        <v>2</v>
      </c>
      <c r="AG3638" s="8" t="str">
        <f t="shared" si="225"/>
        <v/>
      </c>
      <c r="AI3638" s="8" t="str">
        <f t="shared" si="226"/>
        <v/>
      </c>
      <c r="AJ3638" s="8" t="str">
        <f t="shared" si="227"/>
        <v/>
      </c>
      <c r="AL3638" s="8" t="str">
        <f t="shared" si="228"/>
        <v/>
      </c>
    </row>
    <row r="3639" spans="1:38" x14ac:dyDescent="0.25">
      <c r="A3639" s="8" t="s">
        <v>8065</v>
      </c>
      <c r="B3639" s="8" t="s">
        <v>8066</v>
      </c>
      <c r="C3639" s="8">
        <v>30919993</v>
      </c>
      <c r="D3639" s="8">
        <v>5</v>
      </c>
      <c r="E3639" s="11">
        <v>43112</v>
      </c>
      <c r="F3639" s="8" t="s">
        <v>57</v>
      </c>
      <c r="G3639" s="11">
        <v>43115</v>
      </c>
      <c r="H3639" s="8" t="s">
        <v>25</v>
      </c>
      <c r="J3639" s="8" t="s">
        <v>25</v>
      </c>
      <c r="N3639" s="8" t="s">
        <v>58</v>
      </c>
      <c r="O3639" s="8" t="s">
        <v>59</v>
      </c>
      <c r="P3639" s="8" t="s">
        <v>59</v>
      </c>
      <c r="R3639" s="8">
        <v>0</v>
      </c>
      <c r="S3639" s="8">
        <v>0</v>
      </c>
      <c r="T3639" s="8">
        <v>1</v>
      </c>
      <c r="U3639" s="8">
        <v>2</v>
      </c>
      <c r="AG3639" s="8" t="str">
        <f t="shared" si="225"/>
        <v/>
      </c>
      <c r="AI3639" s="8" t="str">
        <f t="shared" si="226"/>
        <v/>
      </c>
      <c r="AJ3639" s="8" t="str">
        <f t="shared" si="227"/>
        <v/>
      </c>
      <c r="AL3639" s="8" t="str">
        <f t="shared" si="228"/>
        <v/>
      </c>
    </row>
    <row r="3640" spans="1:38" x14ac:dyDescent="0.25">
      <c r="A3640" s="8" t="s">
        <v>8067</v>
      </c>
      <c r="B3640" s="8" t="s">
        <v>8068</v>
      </c>
      <c r="C3640" s="8">
        <v>30915243</v>
      </c>
      <c r="D3640" s="8">
        <v>5</v>
      </c>
      <c r="E3640" s="11">
        <v>43112</v>
      </c>
      <c r="F3640" s="8" t="s">
        <v>57</v>
      </c>
      <c r="G3640" s="11">
        <v>43115</v>
      </c>
      <c r="H3640" s="8" t="s">
        <v>25</v>
      </c>
      <c r="J3640" s="8" t="s">
        <v>25</v>
      </c>
      <c r="N3640" s="8" t="s">
        <v>58</v>
      </c>
      <c r="O3640" s="8" t="s">
        <v>59</v>
      </c>
      <c r="P3640" s="8" t="s">
        <v>59</v>
      </c>
      <c r="R3640" s="8">
        <v>0</v>
      </c>
      <c r="S3640" s="8">
        <v>0</v>
      </c>
      <c r="T3640" s="8">
        <v>1</v>
      </c>
      <c r="U3640" s="8">
        <v>2</v>
      </c>
      <c r="AG3640" s="8" t="str">
        <f t="shared" si="225"/>
        <v/>
      </c>
      <c r="AI3640" s="8" t="str">
        <f t="shared" si="226"/>
        <v/>
      </c>
      <c r="AJ3640" s="8" t="str">
        <f t="shared" si="227"/>
        <v/>
      </c>
      <c r="AL3640" s="8" t="str">
        <f t="shared" si="228"/>
        <v/>
      </c>
    </row>
    <row r="3641" spans="1:38" x14ac:dyDescent="0.25">
      <c r="A3641" s="8" t="s">
        <v>8069</v>
      </c>
      <c r="B3641" s="8" t="s">
        <v>8070</v>
      </c>
      <c r="C3641" s="8">
        <v>30909300</v>
      </c>
      <c r="D3641" s="8">
        <v>4</v>
      </c>
      <c r="E3641" s="11">
        <v>43112</v>
      </c>
      <c r="F3641" s="8" t="s">
        <v>57</v>
      </c>
      <c r="G3641" s="11">
        <v>43115</v>
      </c>
      <c r="H3641" s="8" t="s">
        <v>25</v>
      </c>
      <c r="J3641" s="8" t="s">
        <v>25</v>
      </c>
      <c r="N3641" s="8" t="s">
        <v>58</v>
      </c>
      <c r="O3641" s="8" t="s">
        <v>59</v>
      </c>
      <c r="P3641" s="8" t="s">
        <v>59</v>
      </c>
      <c r="R3641" s="8">
        <v>0</v>
      </c>
      <c r="S3641" s="8">
        <v>0</v>
      </c>
      <c r="T3641" s="8">
        <v>1</v>
      </c>
      <c r="U3641" s="8">
        <v>2</v>
      </c>
      <c r="AG3641" s="8" t="str">
        <f t="shared" si="225"/>
        <v/>
      </c>
      <c r="AI3641" s="8" t="str">
        <f t="shared" si="226"/>
        <v/>
      </c>
      <c r="AJ3641" s="8" t="str">
        <f t="shared" si="227"/>
        <v/>
      </c>
      <c r="AL3641" s="8" t="str">
        <f t="shared" si="228"/>
        <v/>
      </c>
    </row>
    <row r="3642" spans="1:38" x14ac:dyDescent="0.25">
      <c r="A3642" s="8" t="s">
        <v>4545</v>
      </c>
      <c r="B3642" s="8" t="s">
        <v>4546</v>
      </c>
      <c r="C3642" s="8">
        <v>30866701</v>
      </c>
      <c r="D3642" s="8">
        <v>5</v>
      </c>
      <c r="E3642" s="11">
        <v>43110</v>
      </c>
      <c r="F3642" s="8" t="s">
        <v>57</v>
      </c>
      <c r="G3642" s="11">
        <v>43111</v>
      </c>
      <c r="H3642" s="8" t="s">
        <v>25</v>
      </c>
      <c r="J3642" s="8" t="s">
        <v>25</v>
      </c>
      <c r="N3642" s="8" t="s">
        <v>58</v>
      </c>
      <c r="O3642" s="8" t="s">
        <v>59</v>
      </c>
      <c r="P3642" s="8" t="s">
        <v>59</v>
      </c>
      <c r="R3642" s="8">
        <v>0</v>
      </c>
      <c r="S3642" s="8">
        <v>0</v>
      </c>
      <c r="T3642" s="8">
        <v>1</v>
      </c>
      <c r="U3642" s="8">
        <v>2</v>
      </c>
      <c r="AG3642" s="8" t="str">
        <f t="shared" si="225"/>
        <v/>
      </c>
      <c r="AI3642" s="8" t="str">
        <f t="shared" si="226"/>
        <v/>
      </c>
      <c r="AJ3642" s="8" t="str">
        <f t="shared" si="227"/>
        <v/>
      </c>
      <c r="AL3642" s="8" t="str">
        <f t="shared" si="228"/>
        <v/>
      </c>
    </row>
    <row r="3643" spans="1:38" x14ac:dyDescent="0.25">
      <c r="A3643" s="8" t="s">
        <v>3096</v>
      </c>
      <c r="B3643" s="8" t="s">
        <v>3097</v>
      </c>
      <c r="C3643" s="8">
        <v>30839830</v>
      </c>
      <c r="D3643" s="8">
        <v>4</v>
      </c>
      <c r="E3643" s="11">
        <v>43109</v>
      </c>
      <c r="F3643" s="8" t="s">
        <v>57</v>
      </c>
      <c r="G3643" s="11">
        <v>43110</v>
      </c>
      <c r="H3643" s="8" t="s">
        <v>25</v>
      </c>
      <c r="J3643" s="8" t="s">
        <v>25</v>
      </c>
      <c r="N3643" s="8" t="s">
        <v>58</v>
      </c>
      <c r="O3643" s="8" t="s">
        <v>59</v>
      </c>
      <c r="P3643" s="8" t="s">
        <v>59</v>
      </c>
      <c r="R3643" s="8">
        <v>0</v>
      </c>
      <c r="S3643" s="8">
        <v>0</v>
      </c>
      <c r="T3643" s="8">
        <v>1</v>
      </c>
      <c r="U3643" s="8">
        <v>2</v>
      </c>
      <c r="AG3643" s="8" t="str">
        <f t="shared" si="225"/>
        <v/>
      </c>
      <c r="AI3643" s="8" t="str">
        <f t="shared" si="226"/>
        <v/>
      </c>
      <c r="AJ3643" s="8" t="str">
        <f t="shared" si="227"/>
        <v/>
      </c>
      <c r="AL3643" s="8" t="str">
        <f t="shared" si="228"/>
        <v/>
      </c>
    </row>
    <row r="3644" spans="1:38" x14ac:dyDescent="0.25">
      <c r="A3644" s="8" t="s">
        <v>4547</v>
      </c>
      <c r="B3644" s="8" t="s">
        <v>4548</v>
      </c>
      <c r="C3644" s="8">
        <v>30863913</v>
      </c>
      <c r="D3644" s="8">
        <v>5</v>
      </c>
      <c r="E3644" s="11">
        <v>43110</v>
      </c>
      <c r="F3644" s="8" t="s">
        <v>57</v>
      </c>
      <c r="G3644" s="11">
        <v>43111</v>
      </c>
      <c r="H3644" s="8" t="s">
        <v>25</v>
      </c>
      <c r="J3644" s="8" t="s">
        <v>25</v>
      </c>
      <c r="N3644" s="8" t="s">
        <v>58</v>
      </c>
      <c r="O3644" s="8" t="s">
        <v>59</v>
      </c>
      <c r="P3644" s="8" t="s">
        <v>59</v>
      </c>
      <c r="R3644" s="8">
        <v>0</v>
      </c>
      <c r="S3644" s="8">
        <v>0</v>
      </c>
      <c r="T3644" s="8">
        <v>1</v>
      </c>
      <c r="U3644" s="8">
        <v>2</v>
      </c>
      <c r="AG3644" s="8" t="str">
        <f t="shared" si="225"/>
        <v/>
      </c>
      <c r="AI3644" s="8" t="str">
        <f t="shared" si="226"/>
        <v/>
      </c>
      <c r="AJ3644" s="8" t="str">
        <f t="shared" si="227"/>
        <v/>
      </c>
      <c r="AL3644" s="8" t="str">
        <f t="shared" si="228"/>
        <v/>
      </c>
    </row>
    <row r="3645" spans="1:38" x14ac:dyDescent="0.25">
      <c r="A3645" s="8" t="s">
        <v>3098</v>
      </c>
      <c r="B3645" s="8" t="s">
        <v>3099</v>
      </c>
      <c r="C3645" s="8">
        <v>30869617</v>
      </c>
      <c r="D3645" s="8">
        <v>5</v>
      </c>
      <c r="E3645" s="11">
        <v>43110</v>
      </c>
      <c r="F3645" s="8" t="s">
        <v>57</v>
      </c>
      <c r="G3645" s="11">
        <v>43110</v>
      </c>
      <c r="H3645" s="8" t="s">
        <v>25</v>
      </c>
      <c r="J3645" s="8" t="s">
        <v>25</v>
      </c>
      <c r="N3645" s="8" t="s">
        <v>58</v>
      </c>
      <c r="O3645" s="8" t="s">
        <v>59</v>
      </c>
      <c r="P3645" s="8" t="s">
        <v>59</v>
      </c>
      <c r="R3645" s="8">
        <v>0</v>
      </c>
      <c r="S3645" s="8">
        <v>0</v>
      </c>
      <c r="T3645" s="8">
        <v>1</v>
      </c>
      <c r="U3645" s="8">
        <v>2</v>
      </c>
      <c r="AG3645" s="8" t="str">
        <f t="shared" si="225"/>
        <v/>
      </c>
      <c r="AI3645" s="8" t="str">
        <f t="shared" si="226"/>
        <v/>
      </c>
      <c r="AJ3645" s="8" t="str">
        <f t="shared" si="227"/>
        <v/>
      </c>
      <c r="AL3645" s="8" t="str">
        <f t="shared" si="228"/>
        <v/>
      </c>
    </row>
    <row r="3646" spans="1:38" x14ac:dyDescent="0.25">
      <c r="A3646" s="8" t="s">
        <v>8071</v>
      </c>
      <c r="B3646" s="8" t="s">
        <v>8072</v>
      </c>
      <c r="C3646" s="8">
        <v>30912330</v>
      </c>
      <c r="D3646" s="8">
        <v>5</v>
      </c>
      <c r="E3646" s="11">
        <v>43112</v>
      </c>
      <c r="F3646" s="8" t="s">
        <v>57</v>
      </c>
      <c r="G3646" s="11">
        <v>43115</v>
      </c>
      <c r="H3646" s="8" t="s">
        <v>25</v>
      </c>
      <c r="J3646" s="8" t="s">
        <v>25</v>
      </c>
      <c r="N3646" s="8" t="s">
        <v>58</v>
      </c>
      <c r="O3646" s="8" t="s">
        <v>59</v>
      </c>
      <c r="P3646" s="8" t="s">
        <v>59</v>
      </c>
      <c r="R3646" s="8">
        <v>0</v>
      </c>
      <c r="S3646" s="8">
        <v>0</v>
      </c>
      <c r="T3646" s="8">
        <v>1</v>
      </c>
      <c r="U3646" s="8">
        <v>2</v>
      </c>
      <c r="AG3646" s="8" t="str">
        <f t="shared" si="225"/>
        <v/>
      </c>
      <c r="AI3646" s="8" t="str">
        <f t="shared" si="226"/>
        <v/>
      </c>
      <c r="AJ3646" s="8" t="str">
        <f t="shared" si="227"/>
        <v/>
      </c>
      <c r="AL3646" s="8" t="str">
        <f t="shared" si="228"/>
        <v/>
      </c>
    </row>
    <row r="3647" spans="1:38" x14ac:dyDescent="0.25">
      <c r="A3647" s="8" t="s">
        <v>4549</v>
      </c>
      <c r="B3647" s="8" t="s">
        <v>4550</v>
      </c>
      <c r="C3647" s="8">
        <v>30897333</v>
      </c>
      <c r="D3647" s="8">
        <v>4</v>
      </c>
      <c r="E3647" s="11">
        <v>43111</v>
      </c>
      <c r="F3647" s="8" t="s">
        <v>57</v>
      </c>
      <c r="G3647" s="11">
        <v>43111</v>
      </c>
      <c r="H3647" s="8" t="s">
        <v>25</v>
      </c>
      <c r="J3647" s="8" t="s">
        <v>25</v>
      </c>
      <c r="N3647" s="8" t="s">
        <v>58</v>
      </c>
      <c r="O3647" s="8" t="s">
        <v>59</v>
      </c>
      <c r="P3647" s="8" t="s">
        <v>59</v>
      </c>
      <c r="R3647" s="8">
        <v>0</v>
      </c>
      <c r="S3647" s="8">
        <v>0</v>
      </c>
      <c r="T3647" s="8">
        <v>1</v>
      </c>
      <c r="U3647" s="8">
        <v>2</v>
      </c>
      <c r="AG3647" s="8" t="str">
        <f t="shared" si="225"/>
        <v/>
      </c>
      <c r="AI3647" s="8" t="str">
        <f t="shared" si="226"/>
        <v/>
      </c>
      <c r="AJ3647" s="8" t="str">
        <f t="shared" si="227"/>
        <v/>
      </c>
      <c r="AL3647" s="8" t="str">
        <f t="shared" si="228"/>
        <v/>
      </c>
    </row>
    <row r="3648" spans="1:38" x14ac:dyDescent="0.25">
      <c r="A3648" s="8" t="s">
        <v>3100</v>
      </c>
      <c r="B3648" s="8" t="s">
        <v>3101</v>
      </c>
      <c r="C3648" s="8">
        <v>30858831</v>
      </c>
      <c r="D3648" s="8">
        <v>5</v>
      </c>
      <c r="E3648" s="11">
        <v>43110</v>
      </c>
      <c r="F3648" s="8" t="s">
        <v>57</v>
      </c>
      <c r="G3648" s="11">
        <v>43110</v>
      </c>
      <c r="H3648" s="8" t="s">
        <v>25</v>
      </c>
      <c r="J3648" s="8" t="s">
        <v>25</v>
      </c>
      <c r="N3648" s="8" t="s">
        <v>58</v>
      </c>
      <c r="O3648" s="8" t="s">
        <v>59</v>
      </c>
      <c r="P3648" s="8" t="s">
        <v>59</v>
      </c>
      <c r="R3648" s="8">
        <v>0</v>
      </c>
      <c r="S3648" s="8">
        <v>0</v>
      </c>
      <c r="T3648" s="8">
        <v>1</v>
      </c>
      <c r="U3648" s="8">
        <v>2</v>
      </c>
      <c r="AG3648" s="8" t="str">
        <f t="shared" si="225"/>
        <v/>
      </c>
      <c r="AI3648" s="8" t="str">
        <f t="shared" si="226"/>
        <v/>
      </c>
      <c r="AJ3648" s="8" t="str">
        <f t="shared" si="227"/>
        <v/>
      </c>
      <c r="AL3648" s="8" t="str">
        <f t="shared" si="228"/>
        <v/>
      </c>
    </row>
    <row r="3649" spans="1:38" x14ac:dyDescent="0.25">
      <c r="A3649" s="8" t="s">
        <v>3102</v>
      </c>
      <c r="B3649" s="8" t="s">
        <v>3103</v>
      </c>
      <c r="C3649" s="8">
        <v>30857708</v>
      </c>
      <c r="D3649" s="8">
        <v>5</v>
      </c>
      <c r="E3649" s="11">
        <v>43110</v>
      </c>
      <c r="F3649" s="8" t="s">
        <v>57</v>
      </c>
      <c r="G3649" s="11">
        <v>43110</v>
      </c>
      <c r="H3649" s="8" t="s">
        <v>25</v>
      </c>
      <c r="J3649" s="8" t="s">
        <v>25</v>
      </c>
      <c r="N3649" s="8" t="s">
        <v>58</v>
      </c>
      <c r="O3649" s="8" t="s">
        <v>59</v>
      </c>
      <c r="P3649" s="8" t="s">
        <v>59</v>
      </c>
      <c r="R3649" s="8">
        <v>0</v>
      </c>
      <c r="S3649" s="8">
        <v>0</v>
      </c>
      <c r="T3649" s="8">
        <v>1</v>
      </c>
      <c r="U3649" s="8">
        <v>2</v>
      </c>
      <c r="AG3649" s="8" t="str">
        <f t="shared" si="225"/>
        <v/>
      </c>
      <c r="AI3649" s="8" t="str">
        <f t="shared" si="226"/>
        <v/>
      </c>
      <c r="AJ3649" s="8" t="str">
        <f t="shared" si="227"/>
        <v/>
      </c>
      <c r="AL3649" s="8" t="str">
        <f t="shared" si="228"/>
        <v/>
      </c>
    </row>
    <row r="3650" spans="1:38" x14ac:dyDescent="0.25">
      <c r="A3650" s="8" t="s">
        <v>4551</v>
      </c>
      <c r="B3650" s="8" t="s">
        <v>4552</v>
      </c>
      <c r="C3650" s="8">
        <v>30870436</v>
      </c>
      <c r="D3650" s="8">
        <v>5</v>
      </c>
      <c r="E3650" s="11">
        <v>43110</v>
      </c>
      <c r="F3650" s="8" t="s">
        <v>57</v>
      </c>
      <c r="G3650" s="11">
        <v>43111</v>
      </c>
      <c r="H3650" s="8" t="s">
        <v>25</v>
      </c>
      <c r="J3650" s="8" t="s">
        <v>25</v>
      </c>
      <c r="N3650" s="8" t="s">
        <v>58</v>
      </c>
      <c r="O3650" s="8" t="s">
        <v>59</v>
      </c>
      <c r="P3650" s="8" t="s">
        <v>59</v>
      </c>
      <c r="R3650" s="8">
        <v>0</v>
      </c>
      <c r="S3650" s="8">
        <v>0</v>
      </c>
      <c r="T3650" s="8">
        <v>1</v>
      </c>
      <c r="U3650" s="8">
        <v>2</v>
      </c>
      <c r="AG3650" s="8" t="str">
        <f t="shared" si="225"/>
        <v/>
      </c>
      <c r="AI3650" s="8" t="str">
        <f t="shared" si="226"/>
        <v/>
      </c>
      <c r="AJ3650" s="8" t="str">
        <f t="shared" si="227"/>
        <v/>
      </c>
      <c r="AL3650" s="8" t="str">
        <f t="shared" si="228"/>
        <v/>
      </c>
    </row>
    <row r="3651" spans="1:38" x14ac:dyDescent="0.25">
      <c r="A3651" s="8" t="s">
        <v>709</v>
      </c>
      <c r="B3651" s="8" t="s">
        <v>710</v>
      </c>
      <c r="C3651" s="8">
        <v>30814009</v>
      </c>
      <c r="D3651" s="8">
        <v>5</v>
      </c>
      <c r="E3651" s="11">
        <v>43108</v>
      </c>
      <c r="F3651" s="8" t="s">
        <v>58</v>
      </c>
      <c r="G3651" s="11">
        <v>43108</v>
      </c>
      <c r="H3651" s="8" t="s">
        <v>25</v>
      </c>
      <c r="I3651" s="11">
        <v>43110</v>
      </c>
      <c r="J3651" s="8" t="s">
        <v>25</v>
      </c>
      <c r="N3651" s="8" t="s">
        <v>58</v>
      </c>
      <c r="O3651" s="8" t="s">
        <v>59</v>
      </c>
      <c r="P3651" s="8" t="s">
        <v>59</v>
      </c>
      <c r="R3651" s="8">
        <v>0</v>
      </c>
      <c r="S3651" s="8">
        <v>0</v>
      </c>
      <c r="T3651" s="8">
        <v>1</v>
      </c>
      <c r="U3651" s="8">
        <v>2</v>
      </c>
      <c r="X3651" s="8">
        <v>5</v>
      </c>
      <c r="AG3651" s="8" t="str">
        <f t="shared" ref="AG3651:AG3714" si="229">IF(AND(U3651="",G3651&lt;&gt;"",NOT(OR(R3651,S3651))),IF(NETWORKDAYS.INTL(G3651,TODAY(),11)&lt;5,"En Plazo",IF(NETWORKDAYS.INTL(G3651,TODAY(),11)=5,"Riesgo Incumplimiento","FALTA_02")),"")</f>
        <v/>
      </c>
      <c r="AI3651" s="8" t="str">
        <f t="shared" ref="AI3651:AI3714" si="230">IF(AND(O3651&lt;&gt;"B1",F3651="Rejected"),IF(W3651="","FALTA_04",""),"")</f>
        <v/>
      </c>
      <c r="AJ3651" s="8" t="str">
        <f t="shared" ref="AJ3651:AJ3714" si="231">IF(AND(X3651="",I3651&lt;&gt;"",NOT(OR(R3651,S3651))),IF(NETWORKDAYS.INTL(G3651,TODAY(),11)&lt;=1,"En Plazo",IF(OR(AND(X3651="",O3651&lt;&gt;"M1"),AND(O3651="M1",(OR(Q3651="S - S",Q3651="S - T",)))),"FALTA_05","")),"")</f>
        <v/>
      </c>
      <c r="AL3651" s="8" t="str">
        <f t="shared" ref="AL3651:AL3714" si="232">IF(AND(O3651="B1",F3651="Rejected"),IF(Z3651="","FALTA_07",""),"")</f>
        <v/>
      </c>
    </row>
    <row r="3652" spans="1:38" x14ac:dyDescent="0.25">
      <c r="A3652" s="8" t="s">
        <v>6320</v>
      </c>
      <c r="B3652" s="8" t="s">
        <v>6321</v>
      </c>
      <c r="C3652" s="8">
        <v>30886560</v>
      </c>
      <c r="D3652" s="8">
        <v>5</v>
      </c>
      <c r="E3652" s="11">
        <v>43111</v>
      </c>
      <c r="F3652" s="8" t="s">
        <v>57</v>
      </c>
      <c r="G3652" s="11">
        <v>43114</v>
      </c>
      <c r="H3652" s="8" t="s">
        <v>25</v>
      </c>
      <c r="J3652" s="8" t="s">
        <v>25</v>
      </c>
      <c r="N3652" s="8" t="s">
        <v>58</v>
      </c>
      <c r="O3652" s="8" t="s">
        <v>59</v>
      </c>
      <c r="P3652" s="8" t="s">
        <v>59</v>
      </c>
      <c r="R3652" s="8">
        <v>0</v>
      </c>
      <c r="S3652" s="8">
        <v>0</v>
      </c>
      <c r="T3652" s="8">
        <v>1</v>
      </c>
      <c r="U3652" s="8">
        <v>2</v>
      </c>
      <c r="AG3652" s="8" t="str">
        <f t="shared" si="229"/>
        <v/>
      </c>
      <c r="AI3652" s="8" t="str">
        <f t="shared" si="230"/>
        <v/>
      </c>
      <c r="AJ3652" s="8" t="str">
        <f t="shared" si="231"/>
        <v/>
      </c>
      <c r="AL3652" s="8" t="str">
        <f t="shared" si="232"/>
        <v/>
      </c>
    </row>
    <row r="3653" spans="1:38" x14ac:dyDescent="0.25">
      <c r="A3653" s="8" t="s">
        <v>1500</v>
      </c>
      <c r="B3653" s="8" t="s">
        <v>1501</v>
      </c>
      <c r="C3653" s="8">
        <v>30827714</v>
      </c>
      <c r="D3653" s="8">
        <v>5</v>
      </c>
      <c r="E3653" s="11">
        <v>43108</v>
      </c>
      <c r="F3653" s="8" t="s">
        <v>57</v>
      </c>
      <c r="G3653" s="11">
        <v>43109</v>
      </c>
      <c r="H3653" s="8" t="s">
        <v>25</v>
      </c>
      <c r="J3653" s="8" t="s">
        <v>25</v>
      </c>
      <c r="N3653" s="8" t="s">
        <v>58</v>
      </c>
      <c r="O3653" s="8" t="s">
        <v>59</v>
      </c>
      <c r="P3653" s="8" t="s">
        <v>59</v>
      </c>
      <c r="R3653" s="8">
        <v>0</v>
      </c>
      <c r="S3653" s="8">
        <v>0</v>
      </c>
      <c r="T3653" s="8">
        <v>1</v>
      </c>
      <c r="U3653" s="8">
        <v>2</v>
      </c>
      <c r="AG3653" s="8" t="str">
        <f t="shared" si="229"/>
        <v/>
      </c>
      <c r="AI3653" s="8" t="str">
        <f t="shared" si="230"/>
        <v/>
      </c>
      <c r="AJ3653" s="8" t="str">
        <f t="shared" si="231"/>
        <v/>
      </c>
      <c r="AL3653" s="8" t="str">
        <f t="shared" si="232"/>
        <v/>
      </c>
    </row>
    <row r="3654" spans="1:38" x14ac:dyDescent="0.25">
      <c r="A3654" s="8" t="s">
        <v>6322</v>
      </c>
      <c r="B3654" s="8" t="s">
        <v>6323</v>
      </c>
      <c r="C3654" s="8">
        <v>30900450</v>
      </c>
      <c r="D3654" s="8">
        <v>5</v>
      </c>
      <c r="E3654" s="11">
        <v>43111</v>
      </c>
      <c r="F3654" s="8" t="s">
        <v>57</v>
      </c>
      <c r="G3654" s="11">
        <v>43114</v>
      </c>
      <c r="H3654" s="8" t="s">
        <v>25</v>
      </c>
      <c r="J3654" s="8" t="s">
        <v>25</v>
      </c>
      <c r="N3654" s="8" t="s">
        <v>58</v>
      </c>
      <c r="O3654" s="8" t="s">
        <v>59</v>
      </c>
      <c r="P3654" s="8" t="s">
        <v>59</v>
      </c>
      <c r="R3654" s="8">
        <v>0</v>
      </c>
      <c r="S3654" s="8">
        <v>0</v>
      </c>
      <c r="T3654" s="8">
        <v>1</v>
      </c>
      <c r="U3654" s="8">
        <v>2</v>
      </c>
      <c r="AG3654" s="8" t="str">
        <f t="shared" si="229"/>
        <v/>
      </c>
      <c r="AI3654" s="8" t="str">
        <f t="shared" si="230"/>
        <v/>
      </c>
      <c r="AJ3654" s="8" t="str">
        <f t="shared" si="231"/>
        <v/>
      </c>
      <c r="AL3654" s="8" t="str">
        <f t="shared" si="232"/>
        <v/>
      </c>
    </row>
    <row r="3655" spans="1:38" x14ac:dyDescent="0.25">
      <c r="A3655" s="8" t="s">
        <v>8073</v>
      </c>
      <c r="B3655" s="8" t="s">
        <v>8074</v>
      </c>
      <c r="C3655" s="8">
        <v>30920569</v>
      </c>
      <c r="D3655" s="8">
        <v>5</v>
      </c>
      <c r="E3655" s="11">
        <v>43112</v>
      </c>
      <c r="F3655" s="8" t="s">
        <v>57</v>
      </c>
      <c r="G3655" s="11">
        <v>43115</v>
      </c>
      <c r="H3655" s="8" t="s">
        <v>25</v>
      </c>
      <c r="J3655" s="8" t="s">
        <v>25</v>
      </c>
      <c r="N3655" s="8" t="s">
        <v>58</v>
      </c>
      <c r="O3655" s="8" t="s">
        <v>59</v>
      </c>
      <c r="P3655" s="8" t="s">
        <v>59</v>
      </c>
      <c r="R3655" s="8">
        <v>0</v>
      </c>
      <c r="S3655" s="8">
        <v>0</v>
      </c>
      <c r="T3655" s="8">
        <v>1</v>
      </c>
      <c r="U3655" s="8">
        <v>2</v>
      </c>
      <c r="AG3655" s="8" t="str">
        <f t="shared" si="229"/>
        <v/>
      </c>
      <c r="AI3655" s="8" t="str">
        <f t="shared" si="230"/>
        <v/>
      </c>
      <c r="AJ3655" s="8" t="str">
        <f t="shared" si="231"/>
        <v/>
      </c>
      <c r="AL3655" s="8" t="str">
        <f t="shared" si="232"/>
        <v/>
      </c>
    </row>
    <row r="3656" spans="1:38" x14ac:dyDescent="0.25">
      <c r="A3656" s="8" t="s">
        <v>6324</v>
      </c>
      <c r="B3656" s="8" t="s">
        <v>6325</v>
      </c>
      <c r="C3656" s="8">
        <v>30882653</v>
      </c>
      <c r="D3656" s="8">
        <v>4</v>
      </c>
      <c r="E3656" s="11">
        <v>43111</v>
      </c>
      <c r="F3656" s="8" t="s">
        <v>57</v>
      </c>
      <c r="G3656" s="11">
        <v>43112</v>
      </c>
      <c r="H3656" s="8" t="s">
        <v>25</v>
      </c>
      <c r="J3656" s="8" t="s">
        <v>25</v>
      </c>
      <c r="N3656" s="8" t="s">
        <v>58</v>
      </c>
      <c r="O3656" s="8" t="s">
        <v>59</v>
      </c>
      <c r="P3656" s="8" t="s">
        <v>59</v>
      </c>
      <c r="R3656" s="8">
        <v>0</v>
      </c>
      <c r="S3656" s="8">
        <v>0</v>
      </c>
      <c r="T3656" s="8">
        <v>1</v>
      </c>
      <c r="U3656" s="8">
        <v>2</v>
      </c>
      <c r="AG3656" s="8" t="str">
        <f t="shared" si="229"/>
        <v/>
      </c>
      <c r="AI3656" s="8" t="str">
        <f t="shared" si="230"/>
        <v/>
      </c>
      <c r="AJ3656" s="8" t="str">
        <f t="shared" si="231"/>
        <v/>
      </c>
      <c r="AL3656" s="8" t="str">
        <f t="shared" si="232"/>
        <v/>
      </c>
    </row>
    <row r="3657" spans="1:38" x14ac:dyDescent="0.25">
      <c r="A3657" s="8" t="s">
        <v>4553</v>
      </c>
      <c r="B3657" s="8" t="s">
        <v>4554</v>
      </c>
      <c r="C3657" s="8">
        <v>30865226</v>
      </c>
      <c r="D3657" s="8">
        <v>4</v>
      </c>
      <c r="E3657" s="11">
        <v>43110</v>
      </c>
      <c r="F3657" s="8" t="s">
        <v>57</v>
      </c>
      <c r="G3657" s="11">
        <v>43111</v>
      </c>
      <c r="H3657" s="8" t="s">
        <v>25</v>
      </c>
      <c r="J3657" s="8" t="s">
        <v>25</v>
      </c>
      <c r="N3657" s="8" t="s">
        <v>58</v>
      </c>
      <c r="O3657" s="8" t="s">
        <v>59</v>
      </c>
      <c r="P3657" s="8" t="s">
        <v>59</v>
      </c>
      <c r="R3657" s="8">
        <v>0</v>
      </c>
      <c r="S3657" s="8">
        <v>0</v>
      </c>
      <c r="T3657" s="8">
        <v>1</v>
      </c>
      <c r="U3657" s="8">
        <v>2</v>
      </c>
      <c r="AG3657" s="8" t="str">
        <f t="shared" si="229"/>
        <v/>
      </c>
      <c r="AI3657" s="8" t="str">
        <f t="shared" si="230"/>
        <v/>
      </c>
      <c r="AJ3657" s="8" t="str">
        <f t="shared" si="231"/>
        <v/>
      </c>
      <c r="AL3657" s="8" t="str">
        <f t="shared" si="232"/>
        <v/>
      </c>
    </row>
    <row r="3658" spans="1:38" x14ac:dyDescent="0.25">
      <c r="A3658" s="8" t="s">
        <v>4555</v>
      </c>
      <c r="B3658" s="8" t="s">
        <v>4556</v>
      </c>
      <c r="C3658" s="8">
        <v>30891777</v>
      </c>
      <c r="D3658" s="8">
        <v>4</v>
      </c>
      <c r="E3658" s="11">
        <v>43111</v>
      </c>
      <c r="F3658" s="8" t="s">
        <v>57</v>
      </c>
      <c r="G3658" s="11">
        <v>43111</v>
      </c>
      <c r="H3658" s="8" t="s">
        <v>25</v>
      </c>
      <c r="J3658" s="8" t="s">
        <v>25</v>
      </c>
      <c r="N3658" s="8" t="s">
        <v>58</v>
      </c>
      <c r="O3658" s="8" t="s">
        <v>59</v>
      </c>
      <c r="P3658" s="8" t="s">
        <v>59</v>
      </c>
      <c r="R3658" s="8">
        <v>0</v>
      </c>
      <c r="S3658" s="8">
        <v>0</v>
      </c>
      <c r="T3658" s="8">
        <v>1</v>
      </c>
      <c r="U3658" s="8">
        <v>2</v>
      </c>
      <c r="AG3658" s="8" t="str">
        <f t="shared" si="229"/>
        <v/>
      </c>
      <c r="AI3658" s="8" t="str">
        <f t="shared" si="230"/>
        <v/>
      </c>
      <c r="AJ3658" s="8" t="str">
        <f t="shared" si="231"/>
        <v/>
      </c>
      <c r="AL3658" s="8" t="str">
        <f t="shared" si="232"/>
        <v/>
      </c>
    </row>
    <row r="3659" spans="1:38" x14ac:dyDescent="0.25">
      <c r="A3659" s="8" t="s">
        <v>6326</v>
      </c>
      <c r="B3659" s="8" t="s">
        <v>6327</v>
      </c>
      <c r="C3659" s="8">
        <v>30915236</v>
      </c>
      <c r="D3659" s="8">
        <v>4</v>
      </c>
      <c r="E3659" s="11">
        <v>43112</v>
      </c>
      <c r="F3659" s="8" t="s">
        <v>57</v>
      </c>
      <c r="G3659" s="11">
        <v>43112</v>
      </c>
      <c r="H3659" s="8" t="s">
        <v>25</v>
      </c>
      <c r="J3659" s="8" t="s">
        <v>25</v>
      </c>
      <c r="N3659" s="8" t="s">
        <v>58</v>
      </c>
      <c r="O3659" s="8" t="s">
        <v>59</v>
      </c>
      <c r="P3659" s="8" t="s">
        <v>59</v>
      </c>
      <c r="R3659" s="8">
        <v>0</v>
      </c>
      <c r="S3659" s="8">
        <v>0</v>
      </c>
      <c r="T3659" s="8">
        <v>1</v>
      </c>
      <c r="U3659" s="8">
        <v>2</v>
      </c>
      <c r="AG3659" s="8" t="str">
        <f t="shared" si="229"/>
        <v/>
      </c>
      <c r="AI3659" s="8" t="str">
        <f t="shared" si="230"/>
        <v/>
      </c>
      <c r="AJ3659" s="8" t="str">
        <f t="shared" si="231"/>
        <v/>
      </c>
      <c r="AL3659" s="8" t="str">
        <f t="shared" si="232"/>
        <v/>
      </c>
    </row>
    <row r="3660" spans="1:38" x14ac:dyDescent="0.25">
      <c r="A3660" s="8" t="s">
        <v>8075</v>
      </c>
      <c r="B3660" s="8" t="s">
        <v>8076</v>
      </c>
      <c r="C3660" s="8">
        <v>30918589</v>
      </c>
      <c r="D3660" s="8">
        <v>5</v>
      </c>
      <c r="E3660" s="11">
        <v>43112</v>
      </c>
      <c r="F3660" s="8" t="s">
        <v>57</v>
      </c>
      <c r="G3660" s="11">
        <v>43115</v>
      </c>
      <c r="H3660" s="8" t="s">
        <v>25</v>
      </c>
      <c r="J3660" s="8" t="s">
        <v>25</v>
      </c>
      <c r="N3660" s="8" t="s">
        <v>58</v>
      </c>
      <c r="O3660" s="8" t="s">
        <v>59</v>
      </c>
      <c r="P3660" s="8" t="s">
        <v>59</v>
      </c>
      <c r="R3660" s="8">
        <v>0</v>
      </c>
      <c r="S3660" s="8">
        <v>0</v>
      </c>
      <c r="T3660" s="8">
        <v>1</v>
      </c>
      <c r="U3660" s="8">
        <v>2</v>
      </c>
      <c r="AG3660" s="8" t="str">
        <f t="shared" si="229"/>
        <v/>
      </c>
      <c r="AI3660" s="8" t="str">
        <f t="shared" si="230"/>
        <v/>
      </c>
      <c r="AJ3660" s="8" t="str">
        <f t="shared" si="231"/>
        <v/>
      </c>
      <c r="AL3660" s="8" t="str">
        <f t="shared" si="232"/>
        <v/>
      </c>
    </row>
    <row r="3661" spans="1:38" x14ac:dyDescent="0.25">
      <c r="A3661" s="8" t="s">
        <v>1502</v>
      </c>
      <c r="B3661" s="8" t="s">
        <v>1503</v>
      </c>
      <c r="C3661" s="8">
        <v>30818415</v>
      </c>
      <c r="D3661" s="8">
        <v>4</v>
      </c>
      <c r="E3661" s="11">
        <v>43108</v>
      </c>
      <c r="F3661" s="8" t="s">
        <v>57</v>
      </c>
      <c r="G3661" s="11">
        <v>43109</v>
      </c>
      <c r="H3661" s="8" t="s">
        <v>25</v>
      </c>
      <c r="J3661" s="8" t="s">
        <v>25</v>
      </c>
      <c r="N3661" s="8" t="s">
        <v>58</v>
      </c>
      <c r="O3661" s="8" t="s">
        <v>59</v>
      </c>
      <c r="P3661" s="8" t="s">
        <v>59</v>
      </c>
      <c r="R3661" s="8">
        <v>0</v>
      </c>
      <c r="S3661" s="8">
        <v>0</v>
      </c>
      <c r="T3661" s="8">
        <v>1</v>
      </c>
      <c r="U3661" s="8">
        <v>2</v>
      </c>
      <c r="AG3661" s="8" t="str">
        <f t="shared" si="229"/>
        <v/>
      </c>
      <c r="AI3661" s="8" t="str">
        <f t="shared" si="230"/>
        <v/>
      </c>
      <c r="AJ3661" s="8" t="str">
        <f t="shared" si="231"/>
        <v/>
      </c>
      <c r="AL3661" s="8" t="str">
        <f t="shared" si="232"/>
        <v/>
      </c>
    </row>
    <row r="3662" spans="1:38" x14ac:dyDescent="0.25">
      <c r="A3662" s="8" t="s">
        <v>8077</v>
      </c>
      <c r="B3662" s="8" t="s">
        <v>8078</v>
      </c>
      <c r="C3662" s="8">
        <v>30917990</v>
      </c>
      <c r="D3662" s="8">
        <v>4</v>
      </c>
      <c r="E3662" s="11">
        <v>43112</v>
      </c>
      <c r="F3662" s="8" t="s">
        <v>57</v>
      </c>
      <c r="G3662" s="11">
        <v>43115</v>
      </c>
      <c r="H3662" s="8" t="s">
        <v>25</v>
      </c>
      <c r="J3662" s="8" t="s">
        <v>25</v>
      </c>
      <c r="N3662" s="8" t="s">
        <v>58</v>
      </c>
      <c r="O3662" s="8" t="s">
        <v>59</v>
      </c>
      <c r="P3662" s="8" t="s">
        <v>59</v>
      </c>
      <c r="R3662" s="8">
        <v>0</v>
      </c>
      <c r="S3662" s="8">
        <v>0</v>
      </c>
      <c r="T3662" s="8">
        <v>1</v>
      </c>
      <c r="U3662" s="8">
        <v>2</v>
      </c>
      <c r="AG3662" s="8" t="str">
        <f t="shared" si="229"/>
        <v/>
      </c>
      <c r="AI3662" s="8" t="str">
        <f t="shared" si="230"/>
        <v/>
      </c>
      <c r="AJ3662" s="8" t="str">
        <f t="shared" si="231"/>
        <v/>
      </c>
      <c r="AL3662" s="8" t="str">
        <f t="shared" si="232"/>
        <v/>
      </c>
    </row>
    <row r="3663" spans="1:38" x14ac:dyDescent="0.25">
      <c r="A3663" s="8" t="s">
        <v>1504</v>
      </c>
      <c r="B3663" s="8" t="s">
        <v>1505</v>
      </c>
      <c r="C3663" s="8">
        <v>30818416</v>
      </c>
      <c r="D3663" s="8">
        <v>5</v>
      </c>
      <c r="E3663" s="11">
        <v>43108</v>
      </c>
      <c r="F3663" s="8" t="s">
        <v>58</v>
      </c>
      <c r="G3663" s="11">
        <v>43109</v>
      </c>
      <c r="H3663" s="8" t="s">
        <v>25</v>
      </c>
      <c r="I3663" s="11">
        <v>43111</v>
      </c>
      <c r="J3663" s="8" t="s">
        <v>25</v>
      </c>
      <c r="N3663" s="8" t="s">
        <v>58</v>
      </c>
      <c r="O3663" s="8" t="s">
        <v>59</v>
      </c>
      <c r="P3663" s="8" t="s">
        <v>59</v>
      </c>
      <c r="R3663" s="8">
        <v>0</v>
      </c>
      <c r="S3663" s="8">
        <v>0</v>
      </c>
      <c r="T3663" s="8">
        <v>1</v>
      </c>
      <c r="U3663" s="8">
        <v>2</v>
      </c>
      <c r="X3663" s="8">
        <v>5</v>
      </c>
      <c r="AG3663" s="8" t="str">
        <f t="shared" si="229"/>
        <v/>
      </c>
      <c r="AI3663" s="8" t="str">
        <f t="shared" si="230"/>
        <v/>
      </c>
      <c r="AJ3663" s="8" t="str">
        <f t="shared" si="231"/>
        <v/>
      </c>
      <c r="AL3663" s="8" t="str">
        <f t="shared" si="232"/>
        <v/>
      </c>
    </row>
    <row r="3664" spans="1:38" x14ac:dyDescent="0.25">
      <c r="A3664" s="8" t="s">
        <v>3104</v>
      </c>
      <c r="B3664" s="8" t="s">
        <v>3105</v>
      </c>
      <c r="C3664" s="8">
        <v>30841508</v>
      </c>
      <c r="D3664" s="8">
        <v>5</v>
      </c>
      <c r="E3664" s="11">
        <v>43109</v>
      </c>
      <c r="F3664" s="8" t="s">
        <v>58</v>
      </c>
      <c r="G3664" s="11">
        <v>43110</v>
      </c>
      <c r="H3664" s="8" t="s">
        <v>25</v>
      </c>
      <c r="I3664" s="11">
        <v>43115</v>
      </c>
      <c r="J3664" s="8" t="s">
        <v>145</v>
      </c>
      <c r="N3664" s="8" t="s">
        <v>58</v>
      </c>
      <c r="O3664" s="8" t="s">
        <v>59</v>
      </c>
      <c r="P3664" s="8" t="s">
        <v>59</v>
      </c>
      <c r="R3664" s="8">
        <v>0</v>
      </c>
      <c r="S3664" s="8">
        <v>0</v>
      </c>
      <c r="T3664" s="8">
        <v>1</v>
      </c>
      <c r="U3664" s="8">
        <v>2</v>
      </c>
      <c r="X3664" s="8">
        <v>5</v>
      </c>
      <c r="AG3664" s="8" t="str">
        <f t="shared" si="229"/>
        <v/>
      </c>
      <c r="AI3664" s="8" t="str">
        <f t="shared" si="230"/>
        <v/>
      </c>
      <c r="AJ3664" s="8" t="str">
        <f t="shared" si="231"/>
        <v/>
      </c>
      <c r="AL3664" s="8" t="str">
        <f t="shared" si="232"/>
        <v/>
      </c>
    </row>
    <row r="3665" spans="1:38" x14ac:dyDescent="0.25">
      <c r="A3665" s="8" t="s">
        <v>3106</v>
      </c>
      <c r="B3665" s="8" t="s">
        <v>3107</v>
      </c>
      <c r="C3665" s="8">
        <v>30875209</v>
      </c>
      <c r="D3665" s="8">
        <v>4</v>
      </c>
      <c r="E3665" s="11">
        <v>43110</v>
      </c>
      <c r="F3665" s="8" t="s">
        <v>57</v>
      </c>
      <c r="G3665" s="11">
        <v>43110</v>
      </c>
      <c r="H3665" s="8" t="s">
        <v>25</v>
      </c>
      <c r="J3665" s="8" t="s">
        <v>25</v>
      </c>
      <c r="N3665" s="8" t="s">
        <v>58</v>
      </c>
      <c r="O3665" s="8" t="s">
        <v>59</v>
      </c>
      <c r="P3665" s="8" t="s">
        <v>59</v>
      </c>
      <c r="R3665" s="8">
        <v>0</v>
      </c>
      <c r="S3665" s="8">
        <v>0</v>
      </c>
      <c r="T3665" s="8">
        <v>1</v>
      </c>
      <c r="U3665" s="8">
        <v>2</v>
      </c>
      <c r="AG3665" s="8" t="str">
        <f t="shared" si="229"/>
        <v/>
      </c>
      <c r="AI3665" s="8" t="str">
        <f t="shared" si="230"/>
        <v/>
      </c>
      <c r="AJ3665" s="8" t="str">
        <f t="shared" si="231"/>
        <v/>
      </c>
      <c r="AL3665" s="8" t="str">
        <f t="shared" si="232"/>
        <v/>
      </c>
    </row>
    <row r="3666" spans="1:38" x14ac:dyDescent="0.25">
      <c r="A3666" s="8" t="s">
        <v>1506</v>
      </c>
      <c r="B3666" s="8" t="s">
        <v>1507</v>
      </c>
      <c r="C3666" s="8">
        <v>30826135</v>
      </c>
      <c r="D3666" s="8">
        <v>4</v>
      </c>
      <c r="E3666" s="11">
        <v>43108</v>
      </c>
      <c r="F3666" s="8" t="s">
        <v>58</v>
      </c>
      <c r="G3666" s="11">
        <v>43109</v>
      </c>
      <c r="H3666" s="8" t="s">
        <v>25</v>
      </c>
      <c r="I3666" s="11">
        <v>43111</v>
      </c>
      <c r="J3666" s="8" t="s">
        <v>25</v>
      </c>
      <c r="N3666" s="8" t="s">
        <v>58</v>
      </c>
      <c r="O3666" s="8" t="s">
        <v>59</v>
      </c>
      <c r="P3666" s="8" t="s">
        <v>59</v>
      </c>
      <c r="R3666" s="8">
        <v>0</v>
      </c>
      <c r="S3666" s="8">
        <v>0</v>
      </c>
      <c r="T3666" s="8">
        <v>1</v>
      </c>
      <c r="U3666" s="8">
        <v>2</v>
      </c>
      <c r="X3666" s="8">
        <v>5</v>
      </c>
      <c r="AG3666" s="8" t="str">
        <f t="shared" si="229"/>
        <v/>
      </c>
      <c r="AI3666" s="8" t="str">
        <f t="shared" si="230"/>
        <v/>
      </c>
      <c r="AJ3666" s="8" t="str">
        <f t="shared" si="231"/>
        <v/>
      </c>
      <c r="AL3666" s="8" t="str">
        <f t="shared" si="232"/>
        <v/>
      </c>
    </row>
    <row r="3667" spans="1:38" x14ac:dyDescent="0.25">
      <c r="A3667" s="8" t="s">
        <v>6328</v>
      </c>
      <c r="B3667" s="8" t="s">
        <v>6329</v>
      </c>
      <c r="C3667" s="8">
        <v>30866450</v>
      </c>
      <c r="D3667" s="8">
        <v>5</v>
      </c>
      <c r="E3667" s="11">
        <v>43110</v>
      </c>
      <c r="F3667" s="8" t="s">
        <v>57</v>
      </c>
      <c r="G3667" s="11">
        <v>43112</v>
      </c>
      <c r="H3667" s="8" t="s">
        <v>25</v>
      </c>
      <c r="J3667" s="8" t="s">
        <v>25</v>
      </c>
      <c r="N3667" s="8" t="s">
        <v>58</v>
      </c>
      <c r="O3667" s="8" t="s">
        <v>59</v>
      </c>
      <c r="P3667" s="8" t="s">
        <v>59</v>
      </c>
      <c r="R3667" s="8">
        <v>0</v>
      </c>
      <c r="S3667" s="8">
        <v>0</v>
      </c>
      <c r="T3667" s="8">
        <v>1</v>
      </c>
      <c r="U3667" s="8">
        <v>2</v>
      </c>
      <c r="AG3667" s="8" t="str">
        <f t="shared" si="229"/>
        <v/>
      </c>
      <c r="AI3667" s="8" t="str">
        <f t="shared" si="230"/>
        <v/>
      </c>
      <c r="AJ3667" s="8" t="str">
        <f t="shared" si="231"/>
        <v/>
      </c>
      <c r="AL3667" s="8" t="str">
        <f t="shared" si="232"/>
        <v/>
      </c>
    </row>
    <row r="3668" spans="1:38" x14ac:dyDescent="0.25">
      <c r="A3668" s="8" t="s">
        <v>6330</v>
      </c>
      <c r="B3668" s="8" t="s">
        <v>6331</v>
      </c>
      <c r="C3668" s="8">
        <v>30874013</v>
      </c>
      <c r="D3668" s="8">
        <v>5</v>
      </c>
      <c r="E3668" s="11">
        <v>43110</v>
      </c>
      <c r="F3668" s="8" t="s">
        <v>57</v>
      </c>
      <c r="G3668" s="11">
        <v>43112</v>
      </c>
      <c r="H3668" s="8" t="s">
        <v>25</v>
      </c>
      <c r="J3668" s="8" t="s">
        <v>25</v>
      </c>
      <c r="N3668" s="8" t="s">
        <v>58</v>
      </c>
      <c r="O3668" s="8" t="s">
        <v>59</v>
      </c>
      <c r="P3668" s="8" t="s">
        <v>59</v>
      </c>
      <c r="R3668" s="8">
        <v>0</v>
      </c>
      <c r="S3668" s="8">
        <v>0</v>
      </c>
      <c r="T3668" s="8">
        <v>1</v>
      </c>
      <c r="U3668" s="8">
        <v>2</v>
      </c>
      <c r="AG3668" s="8" t="str">
        <f t="shared" si="229"/>
        <v/>
      </c>
      <c r="AI3668" s="8" t="str">
        <f t="shared" si="230"/>
        <v/>
      </c>
      <c r="AJ3668" s="8" t="str">
        <f t="shared" si="231"/>
        <v/>
      </c>
      <c r="AL3668" s="8" t="str">
        <f t="shared" si="232"/>
        <v/>
      </c>
    </row>
    <row r="3669" spans="1:38" x14ac:dyDescent="0.25">
      <c r="A3669" s="8" t="s">
        <v>6332</v>
      </c>
      <c r="B3669" s="8" t="s">
        <v>6333</v>
      </c>
      <c r="C3669" s="8">
        <v>30900829</v>
      </c>
      <c r="D3669" s="8">
        <v>5</v>
      </c>
      <c r="E3669" s="11">
        <v>43111</v>
      </c>
      <c r="F3669" s="8" t="s">
        <v>57</v>
      </c>
      <c r="G3669" s="11">
        <v>43114</v>
      </c>
      <c r="H3669" s="8" t="s">
        <v>25</v>
      </c>
      <c r="J3669" s="8" t="s">
        <v>25</v>
      </c>
      <c r="N3669" s="8" t="s">
        <v>58</v>
      </c>
      <c r="O3669" s="8" t="s">
        <v>59</v>
      </c>
      <c r="P3669" s="8" t="s">
        <v>59</v>
      </c>
      <c r="R3669" s="8">
        <v>0</v>
      </c>
      <c r="S3669" s="8">
        <v>0</v>
      </c>
      <c r="T3669" s="8">
        <v>1</v>
      </c>
      <c r="U3669" s="8">
        <v>2</v>
      </c>
      <c r="AG3669" s="8" t="str">
        <f t="shared" si="229"/>
        <v/>
      </c>
      <c r="AI3669" s="8" t="str">
        <f t="shared" si="230"/>
        <v/>
      </c>
      <c r="AJ3669" s="8" t="str">
        <f t="shared" si="231"/>
        <v/>
      </c>
      <c r="AL3669" s="8" t="str">
        <f t="shared" si="232"/>
        <v/>
      </c>
    </row>
    <row r="3670" spans="1:38" x14ac:dyDescent="0.25">
      <c r="A3670" s="8" t="s">
        <v>6334</v>
      </c>
      <c r="B3670" s="8" t="s">
        <v>6335</v>
      </c>
      <c r="C3670" s="8">
        <v>30882232</v>
      </c>
      <c r="D3670" s="8">
        <v>5</v>
      </c>
      <c r="E3670" s="11">
        <v>43111</v>
      </c>
      <c r="F3670" s="8" t="s">
        <v>57</v>
      </c>
      <c r="G3670" s="11">
        <v>43112</v>
      </c>
      <c r="H3670" s="8" t="s">
        <v>25</v>
      </c>
      <c r="J3670" s="8" t="s">
        <v>25</v>
      </c>
      <c r="N3670" s="8" t="s">
        <v>58</v>
      </c>
      <c r="O3670" s="8" t="s">
        <v>59</v>
      </c>
      <c r="P3670" s="8" t="s">
        <v>59</v>
      </c>
      <c r="R3670" s="8">
        <v>0</v>
      </c>
      <c r="S3670" s="8">
        <v>0</v>
      </c>
      <c r="T3670" s="8">
        <v>1</v>
      </c>
      <c r="U3670" s="8">
        <v>2</v>
      </c>
      <c r="AG3670" s="8" t="str">
        <f t="shared" si="229"/>
        <v/>
      </c>
      <c r="AI3670" s="8" t="str">
        <f t="shared" si="230"/>
        <v/>
      </c>
      <c r="AJ3670" s="8" t="str">
        <f t="shared" si="231"/>
        <v/>
      </c>
      <c r="AL3670" s="8" t="str">
        <f t="shared" si="232"/>
        <v/>
      </c>
    </row>
    <row r="3671" spans="1:38" x14ac:dyDescent="0.25">
      <c r="A3671" s="8" t="s">
        <v>8079</v>
      </c>
      <c r="B3671" s="8" t="s">
        <v>8080</v>
      </c>
      <c r="C3671" s="8">
        <v>30915238</v>
      </c>
      <c r="D3671" s="8">
        <v>5</v>
      </c>
      <c r="E3671" s="11">
        <v>43112</v>
      </c>
      <c r="F3671" s="8" t="s">
        <v>57</v>
      </c>
      <c r="G3671" s="11">
        <v>43115</v>
      </c>
      <c r="H3671" s="8" t="s">
        <v>25</v>
      </c>
      <c r="J3671" s="8" t="s">
        <v>25</v>
      </c>
      <c r="N3671" s="8" t="s">
        <v>58</v>
      </c>
      <c r="O3671" s="8" t="s">
        <v>59</v>
      </c>
      <c r="P3671" s="8" t="s">
        <v>59</v>
      </c>
      <c r="R3671" s="8">
        <v>0</v>
      </c>
      <c r="S3671" s="8">
        <v>0</v>
      </c>
      <c r="T3671" s="8">
        <v>1</v>
      </c>
      <c r="U3671" s="8">
        <v>2</v>
      </c>
      <c r="AG3671" s="8" t="str">
        <f t="shared" si="229"/>
        <v/>
      </c>
      <c r="AI3671" s="8" t="str">
        <f t="shared" si="230"/>
        <v/>
      </c>
      <c r="AJ3671" s="8" t="str">
        <f t="shared" si="231"/>
        <v/>
      </c>
      <c r="AL3671" s="8" t="str">
        <f t="shared" si="232"/>
        <v/>
      </c>
    </row>
    <row r="3672" spans="1:38" x14ac:dyDescent="0.25">
      <c r="A3672" s="8" t="s">
        <v>4557</v>
      </c>
      <c r="B3672" s="8" t="s">
        <v>4558</v>
      </c>
      <c r="C3672" s="8">
        <v>30899237</v>
      </c>
      <c r="D3672" s="8">
        <v>5</v>
      </c>
      <c r="E3672" s="11">
        <v>43111</v>
      </c>
      <c r="F3672" s="8" t="s">
        <v>57</v>
      </c>
      <c r="G3672" s="11">
        <v>43111</v>
      </c>
      <c r="H3672" s="8" t="s">
        <v>25</v>
      </c>
      <c r="J3672" s="8" t="s">
        <v>25</v>
      </c>
      <c r="N3672" s="8" t="s">
        <v>58</v>
      </c>
      <c r="O3672" s="8" t="s">
        <v>59</v>
      </c>
      <c r="P3672" s="8" t="s">
        <v>59</v>
      </c>
      <c r="R3672" s="8">
        <v>0</v>
      </c>
      <c r="S3672" s="8">
        <v>0</v>
      </c>
      <c r="T3672" s="8">
        <v>1</v>
      </c>
      <c r="U3672" s="8">
        <v>2</v>
      </c>
      <c r="AG3672" s="8" t="str">
        <f t="shared" si="229"/>
        <v/>
      </c>
      <c r="AI3672" s="8" t="str">
        <f t="shared" si="230"/>
        <v/>
      </c>
      <c r="AJ3672" s="8" t="str">
        <f t="shared" si="231"/>
        <v/>
      </c>
      <c r="AL3672" s="8" t="str">
        <f t="shared" si="232"/>
        <v/>
      </c>
    </row>
    <row r="3673" spans="1:38" x14ac:dyDescent="0.25">
      <c r="A3673" s="8" t="s">
        <v>6336</v>
      </c>
      <c r="B3673" s="8" t="s">
        <v>6337</v>
      </c>
      <c r="C3673" s="8">
        <v>30894055</v>
      </c>
      <c r="D3673" s="8">
        <v>4</v>
      </c>
      <c r="E3673" s="11">
        <v>43111</v>
      </c>
      <c r="F3673" s="8" t="s">
        <v>57</v>
      </c>
      <c r="G3673" s="11">
        <v>43114</v>
      </c>
      <c r="H3673" s="8" t="s">
        <v>25</v>
      </c>
      <c r="J3673" s="8" t="s">
        <v>25</v>
      </c>
      <c r="N3673" s="8" t="s">
        <v>58</v>
      </c>
      <c r="O3673" s="8" t="s">
        <v>59</v>
      </c>
      <c r="P3673" s="8" t="s">
        <v>59</v>
      </c>
      <c r="R3673" s="8">
        <v>0</v>
      </c>
      <c r="S3673" s="8">
        <v>0</v>
      </c>
      <c r="T3673" s="8">
        <v>1</v>
      </c>
      <c r="U3673" s="8">
        <v>2</v>
      </c>
      <c r="AG3673" s="8" t="str">
        <f t="shared" si="229"/>
        <v/>
      </c>
      <c r="AI3673" s="8" t="str">
        <f t="shared" si="230"/>
        <v/>
      </c>
      <c r="AJ3673" s="8" t="str">
        <f t="shared" si="231"/>
        <v/>
      </c>
      <c r="AL3673" s="8" t="str">
        <f t="shared" si="232"/>
        <v/>
      </c>
    </row>
    <row r="3674" spans="1:38" x14ac:dyDescent="0.25">
      <c r="A3674" s="8" t="s">
        <v>1508</v>
      </c>
      <c r="B3674" s="8" t="s">
        <v>1509</v>
      </c>
      <c r="C3674" s="8">
        <v>30818417</v>
      </c>
      <c r="D3674" s="8">
        <v>5</v>
      </c>
      <c r="E3674" s="11">
        <v>43108</v>
      </c>
      <c r="F3674" s="8" t="s">
        <v>57</v>
      </c>
      <c r="G3674" s="11">
        <v>43109</v>
      </c>
      <c r="H3674" s="8" t="s">
        <v>25</v>
      </c>
      <c r="J3674" s="8" t="s">
        <v>25</v>
      </c>
      <c r="N3674" s="8" t="s">
        <v>58</v>
      </c>
      <c r="O3674" s="8" t="s">
        <v>59</v>
      </c>
      <c r="P3674" s="8" t="s">
        <v>59</v>
      </c>
      <c r="R3674" s="8">
        <v>0</v>
      </c>
      <c r="S3674" s="8">
        <v>0</v>
      </c>
      <c r="T3674" s="8">
        <v>1</v>
      </c>
      <c r="U3674" s="8">
        <v>2</v>
      </c>
      <c r="AG3674" s="8" t="str">
        <f t="shared" si="229"/>
        <v/>
      </c>
      <c r="AI3674" s="8" t="str">
        <f t="shared" si="230"/>
        <v/>
      </c>
      <c r="AJ3674" s="8" t="str">
        <f t="shared" si="231"/>
        <v/>
      </c>
      <c r="AL3674" s="8" t="str">
        <f t="shared" si="232"/>
        <v/>
      </c>
    </row>
    <row r="3675" spans="1:38" x14ac:dyDescent="0.25">
      <c r="A3675" s="8" t="s">
        <v>6338</v>
      </c>
      <c r="B3675" s="8" t="s">
        <v>6339</v>
      </c>
      <c r="C3675" s="8">
        <v>30891782</v>
      </c>
      <c r="D3675" s="8">
        <v>4</v>
      </c>
      <c r="E3675" s="11">
        <v>43111</v>
      </c>
      <c r="F3675" s="8" t="s">
        <v>57</v>
      </c>
      <c r="G3675" s="11">
        <v>43114</v>
      </c>
      <c r="H3675" s="8" t="s">
        <v>25</v>
      </c>
      <c r="J3675" s="8" t="s">
        <v>25</v>
      </c>
      <c r="N3675" s="8" t="s">
        <v>58</v>
      </c>
      <c r="O3675" s="8" t="s">
        <v>59</v>
      </c>
      <c r="P3675" s="8" t="s">
        <v>59</v>
      </c>
      <c r="R3675" s="8">
        <v>0</v>
      </c>
      <c r="S3675" s="8">
        <v>0</v>
      </c>
      <c r="T3675" s="8">
        <v>1</v>
      </c>
      <c r="U3675" s="8">
        <v>2</v>
      </c>
      <c r="AG3675" s="8" t="str">
        <f t="shared" si="229"/>
        <v/>
      </c>
      <c r="AI3675" s="8" t="str">
        <f t="shared" si="230"/>
        <v/>
      </c>
      <c r="AJ3675" s="8" t="str">
        <f t="shared" si="231"/>
        <v/>
      </c>
      <c r="AL3675" s="8" t="str">
        <f t="shared" si="232"/>
        <v/>
      </c>
    </row>
    <row r="3676" spans="1:38" x14ac:dyDescent="0.25">
      <c r="A3676" s="8" t="s">
        <v>4559</v>
      </c>
      <c r="B3676" s="8" t="s">
        <v>4560</v>
      </c>
      <c r="C3676" s="8">
        <v>30893041</v>
      </c>
      <c r="D3676" s="8">
        <v>5</v>
      </c>
      <c r="E3676" s="11">
        <v>43111</v>
      </c>
      <c r="F3676" s="8" t="s">
        <v>58</v>
      </c>
      <c r="G3676" s="11">
        <v>43111</v>
      </c>
      <c r="H3676" s="8" t="s">
        <v>25</v>
      </c>
      <c r="I3676" s="11">
        <v>43113</v>
      </c>
      <c r="J3676" s="8" t="s">
        <v>25</v>
      </c>
      <c r="N3676" s="8" t="s">
        <v>58</v>
      </c>
      <c r="O3676" s="8" t="s">
        <v>59</v>
      </c>
      <c r="P3676" s="8" t="s">
        <v>59</v>
      </c>
      <c r="R3676" s="8">
        <v>0</v>
      </c>
      <c r="S3676" s="8">
        <v>0</v>
      </c>
      <c r="T3676" s="8">
        <v>1</v>
      </c>
      <c r="U3676" s="8">
        <v>2</v>
      </c>
      <c r="X3676" s="8">
        <v>5</v>
      </c>
      <c r="AG3676" s="8" t="str">
        <f t="shared" si="229"/>
        <v/>
      </c>
      <c r="AI3676" s="8" t="str">
        <f t="shared" si="230"/>
        <v/>
      </c>
      <c r="AJ3676" s="8" t="str">
        <f t="shared" si="231"/>
        <v/>
      </c>
      <c r="AL3676" s="8" t="str">
        <f t="shared" si="232"/>
        <v/>
      </c>
    </row>
    <row r="3677" spans="1:38" x14ac:dyDescent="0.25">
      <c r="A3677" s="8" t="s">
        <v>4561</v>
      </c>
      <c r="B3677" s="8" t="s">
        <v>4562</v>
      </c>
      <c r="C3677" s="8">
        <v>30865225</v>
      </c>
      <c r="D3677" s="8">
        <v>5</v>
      </c>
      <c r="E3677" s="11">
        <v>43110</v>
      </c>
      <c r="F3677" s="8" t="s">
        <v>58</v>
      </c>
      <c r="G3677" s="11">
        <v>43111</v>
      </c>
      <c r="H3677" s="8" t="s">
        <v>25</v>
      </c>
      <c r="I3677" s="11">
        <v>43115</v>
      </c>
      <c r="J3677" s="8" t="s">
        <v>25</v>
      </c>
      <c r="N3677" s="8" t="s">
        <v>58</v>
      </c>
      <c r="O3677" s="8" t="s">
        <v>59</v>
      </c>
      <c r="P3677" s="8" t="s">
        <v>59</v>
      </c>
      <c r="R3677" s="8">
        <v>0</v>
      </c>
      <c r="S3677" s="8">
        <v>0</v>
      </c>
      <c r="T3677" s="8">
        <v>1</v>
      </c>
      <c r="U3677" s="8">
        <v>2</v>
      </c>
      <c r="X3677" s="8">
        <v>5</v>
      </c>
      <c r="AG3677" s="8" t="str">
        <f t="shared" si="229"/>
        <v/>
      </c>
      <c r="AI3677" s="8" t="str">
        <f t="shared" si="230"/>
        <v/>
      </c>
      <c r="AJ3677" s="8" t="str">
        <f t="shared" si="231"/>
        <v/>
      </c>
      <c r="AL3677" s="8" t="str">
        <f t="shared" si="232"/>
        <v/>
      </c>
    </row>
    <row r="3678" spans="1:38" x14ac:dyDescent="0.25">
      <c r="A3678" s="8" t="s">
        <v>6340</v>
      </c>
      <c r="B3678" s="8" t="s">
        <v>6341</v>
      </c>
      <c r="C3678" s="8">
        <v>30891783</v>
      </c>
      <c r="D3678" s="8">
        <v>5</v>
      </c>
      <c r="E3678" s="11">
        <v>43111</v>
      </c>
      <c r="F3678" s="8" t="s">
        <v>57</v>
      </c>
      <c r="G3678" s="11">
        <v>43112</v>
      </c>
      <c r="H3678" s="8" t="s">
        <v>25</v>
      </c>
      <c r="J3678" s="8" t="s">
        <v>25</v>
      </c>
      <c r="N3678" s="8" t="s">
        <v>58</v>
      </c>
      <c r="O3678" s="8" t="s">
        <v>59</v>
      </c>
      <c r="P3678" s="8" t="s">
        <v>59</v>
      </c>
      <c r="R3678" s="8">
        <v>0</v>
      </c>
      <c r="S3678" s="8">
        <v>0</v>
      </c>
      <c r="T3678" s="8">
        <v>1</v>
      </c>
      <c r="U3678" s="8">
        <v>2</v>
      </c>
      <c r="AG3678" s="8" t="str">
        <f t="shared" si="229"/>
        <v/>
      </c>
      <c r="AI3678" s="8" t="str">
        <f t="shared" si="230"/>
        <v/>
      </c>
      <c r="AJ3678" s="8" t="str">
        <f t="shared" si="231"/>
        <v/>
      </c>
      <c r="AL3678" s="8" t="str">
        <f t="shared" si="232"/>
        <v/>
      </c>
    </row>
    <row r="3679" spans="1:38" x14ac:dyDescent="0.25">
      <c r="A3679" s="8" t="s">
        <v>3108</v>
      </c>
      <c r="B3679" s="8" t="s">
        <v>3109</v>
      </c>
      <c r="C3679" s="8">
        <v>30809156</v>
      </c>
      <c r="D3679" s="8">
        <v>5</v>
      </c>
      <c r="E3679" s="11">
        <v>43108</v>
      </c>
      <c r="F3679" s="8" t="s">
        <v>57</v>
      </c>
      <c r="G3679" s="11">
        <v>43110</v>
      </c>
      <c r="H3679" s="8" t="s">
        <v>25</v>
      </c>
      <c r="J3679" s="8" t="s">
        <v>25</v>
      </c>
      <c r="N3679" s="8" t="s">
        <v>58</v>
      </c>
      <c r="O3679" s="8" t="s">
        <v>59</v>
      </c>
      <c r="P3679" s="8" t="s">
        <v>59</v>
      </c>
      <c r="R3679" s="8">
        <v>0</v>
      </c>
      <c r="S3679" s="8">
        <v>0</v>
      </c>
      <c r="T3679" s="8">
        <v>1</v>
      </c>
      <c r="U3679" s="8">
        <v>2</v>
      </c>
      <c r="AG3679" s="8" t="str">
        <f t="shared" si="229"/>
        <v/>
      </c>
      <c r="AI3679" s="8" t="str">
        <f t="shared" si="230"/>
        <v/>
      </c>
      <c r="AJ3679" s="8" t="str">
        <f t="shared" si="231"/>
        <v/>
      </c>
      <c r="AL3679" s="8" t="str">
        <f t="shared" si="232"/>
        <v/>
      </c>
    </row>
    <row r="3680" spans="1:38" x14ac:dyDescent="0.25">
      <c r="A3680" s="8" t="s">
        <v>6342</v>
      </c>
      <c r="B3680" s="8" t="s">
        <v>6343</v>
      </c>
      <c r="C3680" s="8">
        <v>30863957</v>
      </c>
      <c r="D3680" s="8">
        <v>4</v>
      </c>
      <c r="E3680" s="11">
        <v>43110</v>
      </c>
      <c r="F3680" s="8" t="s">
        <v>57</v>
      </c>
      <c r="G3680" s="11">
        <v>43112</v>
      </c>
      <c r="H3680" s="8" t="s">
        <v>25</v>
      </c>
      <c r="J3680" s="8" t="s">
        <v>25</v>
      </c>
      <c r="N3680" s="8" t="s">
        <v>58</v>
      </c>
      <c r="O3680" s="8" t="s">
        <v>59</v>
      </c>
      <c r="P3680" s="8" t="s">
        <v>59</v>
      </c>
      <c r="R3680" s="8">
        <v>0</v>
      </c>
      <c r="S3680" s="8">
        <v>0</v>
      </c>
      <c r="T3680" s="8">
        <v>1</v>
      </c>
      <c r="U3680" s="8">
        <v>2</v>
      </c>
      <c r="AG3680" s="8" t="str">
        <f t="shared" si="229"/>
        <v/>
      </c>
      <c r="AI3680" s="8" t="str">
        <f t="shared" si="230"/>
        <v/>
      </c>
      <c r="AJ3680" s="8" t="str">
        <f t="shared" si="231"/>
        <v/>
      </c>
      <c r="AL3680" s="8" t="str">
        <f t="shared" si="232"/>
        <v/>
      </c>
    </row>
    <row r="3681" spans="1:38" x14ac:dyDescent="0.25">
      <c r="A3681" s="8" t="s">
        <v>3110</v>
      </c>
      <c r="B3681" s="8" t="s">
        <v>3111</v>
      </c>
      <c r="C3681" s="8">
        <v>30841509</v>
      </c>
      <c r="D3681" s="8">
        <v>5</v>
      </c>
      <c r="E3681" s="11">
        <v>43109</v>
      </c>
      <c r="F3681" s="8" t="s">
        <v>57</v>
      </c>
      <c r="G3681" s="11">
        <v>43110</v>
      </c>
      <c r="H3681" s="8" t="s">
        <v>25</v>
      </c>
      <c r="J3681" s="8" t="s">
        <v>25</v>
      </c>
      <c r="N3681" s="8" t="s">
        <v>58</v>
      </c>
      <c r="O3681" s="8" t="s">
        <v>59</v>
      </c>
      <c r="P3681" s="8" t="s">
        <v>59</v>
      </c>
      <c r="R3681" s="8">
        <v>0</v>
      </c>
      <c r="S3681" s="8">
        <v>0</v>
      </c>
      <c r="T3681" s="8">
        <v>1</v>
      </c>
      <c r="U3681" s="8">
        <v>2</v>
      </c>
      <c r="AG3681" s="8" t="str">
        <f t="shared" si="229"/>
        <v/>
      </c>
      <c r="AI3681" s="8" t="str">
        <f t="shared" si="230"/>
        <v/>
      </c>
      <c r="AJ3681" s="8" t="str">
        <f t="shared" si="231"/>
        <v/>
      </c>
      <c r="AL3681" s="8" t="str">
        <f t="shared" si="232"/>
        <v/>
      </c>
    </row>
    <row r="3682" spans="1:38" x14ac:dyDescent="0.25">
      <c r="A3682" s="8" t="s">
        <v>8081</v>
      </c>
      <c r="B3682" s="8" t="s">
        <v>8082</v>
      </c>
      <c r="C3682" s="8">
        <v>30921264</v>
      </c>
      <c r="D3682" s="8">
        <v>5</v>
      </c>
      <c r="E3682" s="11">
        <v>43112</v>
      </c>
      <c r="F3682" s="8" t="s">
        <v>57</v>
      </c>
      <c r="G3682" s="11">
        <v>43115</v>
      </c>
      <c r="H3682" s="8" t="s">
        <v>25</v>
      </c>
      <c r="J3682" s="8" t="s">
        <v>25</v>
      </c>
      <c r="N3682" s="8" t="s">
        <v>58</v>
      </c>
      <c r="O3682" s="8" t="s">
        <v>59</v>
      </c>
      <c r="P3682" s="8" t="s">
        <v>59</v>
      </c>
      <c r="R3682" s="8">
        <v>0</v>
      </c>
      <c r="S3682" s="8">
        <v>0</v>
      </c>
      <c r="T3682" s="8">
        <v>1</v>
      </c>
      <c r="U3682" s="8">
        <v>2</v>
      </c>
      <c r="AG3682" s="8" t="str">
        <f t="shared" si="229"/>
        <v/>
      </c>
      <c r="AI3682" s="8" t="str">
        <f t="shared" si="230"/>
        <v/>
      </c>
      <c r="AJ3682" s="8" t="str">
        <f t="shared" si="231"/>
        <v/>
      </c>
      <c r="AL3682" s="8" t="str">
        <f t="shared" si="232"/>
        <v/>
      </c>
    </row>
    <row r="3683" spans="1:38" x14ac:dyDescent="0.25">
      <c r="A3683" s="8" t="s">
        <v>8083</v>
      </c>
      <c r="B3683" s="8" t="s">
        <v>8084</v>
      </c>
      <c r="C3683" s="8">
        <v>30921419</v>
      </c>
      <c r="D3683" s="8">
        <v>5</v>
      </c>
      <c r="E3683" s="11">
        <v>43112</v>
      </c>
      <c r="F3683" s="8" t="s">
        <v>57</v>
      </c>
      <c r="G3683" s="11">
        <v>43115</v>
      </c>
      <c r="H3683" s="8" t="s">
        <v>25</v>
      </c>
      <c r="J3683" s="8" t="s">
        <v>25</v>
      </c>
      <c r="N3683" s="8" t="s">
        <v>58</v>
      </c>
      <c r="O3683" s="8" t="s">
        <v>59</v>
      </c>
      <c r="P3683" s="8" t="s">
        <v>59</v>
      </c>
      <c r="R3683" s="8">
        <v>0</v>
      </c>
      <c r="S3683" s="8">
        <v>0</v>
      </c>
      <c r="T3683" s="8">
        <v>1</v>
      </c>
      <c r="U3683" s="8">
        <v>2</v>
      </c>
      <c r="AG3683" s="8" t="str">
        <f t="shared" si="229"/>
        <v/>
      </c>
      <c r="AI3683" s="8" t="str">
        <f t="shared" si="230"/>
        <v/>
      </c>
      <c r="AJ3683" s="8" t="str">
        <f t="shared" si="231"/>
        <v/>
      </c>
      <c r="AL3683" s="8" t="str">
        <f t="shared" si="232"/>
        <v/>
      </c>
    </row>
    <row r="3684" spans="1:38" x14ac:dyDescent="0.25">
      <c r="A3684" s="8" t="s">
        <v>1510</v>
      </c>
      <c r="B3684" s="8" t="s">
        <v>1511</v>
      </c>
      <c r="C3684" s="8">
        <v>30814699</v>
      </c>
      <c r="D3684" s="8">
        <v>5</v>
      </c>
      <c r="E3684" s="11">
        <v>43108</v>
      </c>
      <c r="F3684" s="8" t="s">
        <v>57</v>
      </c>
      <c r="G3684" s="11">
        <v>43109</v>
      </c>
      <c r="H3684" s="8" t="s">
        <v>25</v>
      </c>
      <c r="J3684" s="8" t="s">
        <v>25</v>
      </c>
      <c r="N3684" s="8" t="s">
        <v>58</v>
      </c>
      <c r="O3684" s="8" t="s">
        <v>59</v>
      </c>
      <c r="P3684" s="8" t="s">
        <v>59</v>
      </c>
      <c r="R3684" s="8">
        <v>0</v>
      </c>
      <c r="S3684" s="8">
        <v>0</v>
      </c>
      <c r="T3684" s="8">
        <v>1</v>
      </c>
      <c r="U3684" s="8">
        <v>2</v>
      </c>
      <c r="AG3684" s="8" t="str">
        <f t="shared" si="229"/>
        <v/>
      </c>
      <c r="AI3684" s="8" t="str">
        <f t="shared" si="230"/>
        <v/>
      </c>
      <c r="AJ3684" s="8" t="str">
        <f t="shared" si="231"/>
        <v/>
      </c>
      <c r="AL3684" s="8" t="str">
        <f t="shared" si="232"/>
        <v/>
      </c>
    </row>
    <row r="3685" spans="1:38" x14ac:dyDescent="0.25">
      <c r="A3685" s="8" t="s">
        <v>6344</v>
      </c>
      <c r="B3685" s="8" t="s">
        <v>6345</v>
      </c>
      <c r="C3685" s="8">
        <v>30867948</v>
      </c>
      <c r="D3685" s="8">
        <v>5</v>
      </c>
      <c r="E3685" s="11">
        <v>43110</v>
      </c>
      <c r="F3685" s="8" t="s">
        <v>57</v>
      </c>
      <c r="G3685" s="11">
        <v>43112</v>
      </c>
      <c r="H3685" s="8" t="s">
        <v>25</v>
      </c>
      <c r="J3685" s="8" t="s">
        <v>25</v>
      </c>
      <c r="N3685" s="8" t="s">
        <v>58</v>
      </c>
      <c r="O3685" s="8" t="s">
        <v>59</v>
      </c>
      <c r="P3685" s="8" t="s">
        <v>59</v>
      </c>
      <c r="R3685" s="8">
        <v>0</v>
      </c>
      <c r="S3685" s="8">
        <v>0</v>
      </c>
      <c r="T3685" s="8">
        <v>1</v>
      </c>
      <c r="U3685" s="8">
        <v>2</v>
      </c>
      <c r="AG3685" s="8" t="str">
        <f t="shared" si="229"/>
        <v/>
      </c>
      <c r="AI3685" s="8" t="str">
        <f t="shared" si="230"/>
        <v/>
      </c>
      <c r="AJ3685" s="8" t="str">
        <f t="shared" si="231"/>
        <v/>
      </c>
      <c r="AL3685" s="8" t="str">
        <f t="shared" si="232"/>
        <v/>
      </c>
    </row>
    <row r="3686" spans="1:38" x14ac:dyDescent="0.25">
      <c r="A3686" s="8" t="s">
        <v>6346</v>
      </c>
      <c r="B3686" s="8" t="s">
        <v>6347</v>
      </c>
      <c r="C3686" s="8">
        <v>30861324</v>
      </c>
      <c r="D3686" s="8">
        <v>5</v>
      </c>
      <c r="E3686" s="11">
        <v>43110</v>
      </c>
      <c r="F3686" s="8" t="s">
        <v>58</v>
      </c>
      <c r="G3686" s="11">
        <v>43112</v>
      </c>
      <c r="H3686" s="8" t="s">
        <v>25</v>
      </c>
      <c r="I3686" s="11">
        <v>43115</v>
      </c>
      <c r="J3686" s="8" t="s">
        <v>25</v>
      </c>
      <c r="N3686" s="8" t="s">
        <v>58</v>
      </c>
      <c r="O3686" s="8" t="s">
        <v>59</v>
      </c>
      <c r="P3686" s="8" t="s">
        <v>59</v>
      </c>
      <c r="R3686" s="8">
        <v>0</v>
      </c>
      <c r="S3686" s="8">
        <v>0</v>
      </c>
      <c r="T3686" s="8">
        <v>1</v>
      </c>
      <c r="U3686" s="8">
        <v>2</v>
      </c>
      <c r="X3686" s="8">
        <v>5</v>
      </c>
      <c r="AG3686" s="8" t="str">
        <f t="shared" si="229"/>
        <v/>
      </c>
      <c r="AI3686" s="8" t="str">
        <f t="shared" si="230"/>
        <v/>
      </c>
      <c r="AJ3686" s="8" t="str">
        <f t="shared" si="231"/>
        <v/>
      </c>
      <c r="AL3686" s="8" t="str">
        <f t="shared" si="232"/>
        <v/>
      </c>
    </row>
    <row r="3687" spans="1:38" x14ac:dyDescent="0.25">
      <c r="A3687" s="8" t="s">
        <v>6348</v>
      </c>
      <c r="B3687" s="8" t="s">
        <v>6349</v>
      </c>
      <c r="C3687" s="8">
        <v>30923100</v>
      </c>
      <c r="D3687" s="8">
        <v>5</v>
      </c>
      <c r="E3687" s="11">
        <v>43112</v>
      </c>
      <c r="F3687" s="8" t="s">
        <v>58</v>
      </c>
      <c r="G3687" s="11">
        <v>43112</v>
      </c>
      <c r="H3687" s="8" t="s">
        <v>25</v>
      </c>
      <c r="I3687" s="11">
        <v>43112</v>
      </c>
      <c r="J3687" s="8" t="s">
        <v>25</v>
      </c>
      <c r="N3687" s="8" t="s">
        <v>58</v>
      </c>
      <c r="O3687" s="8" t="s">
        <v>59</v>
      </c>
      <c r="P3687" s="8" t="s">
        <v>59</v>
      </c>
      <c r="R3687" s="8">
        <v>0</v>
      </c>
      <c r="S3687" s="8">
        <v>0</v>
      </c>
      <c r="T3687" s="8">
        <v>1</v>
      </c>
      <c r="U3687" s="8">
        <v>2</v>
      </c>
      <c r="X3687" s="8">
        <v>5</v>
      </c>
      <c r="AG3687" s="8" t="str">
        <f t="shared" si="229"/>
        <v/>
      </c>
      <c r="AI3687" s="8" t="str">
        <f t="shared" si="230"/>
        <v/>
      </c>
      <c r="AJ3687" s="8" t="str">
        <f t="shared" si="231"/>
        <v/>
      </c>
      <c r="AL3687" s="8" t="str">
        <f t="shared" si="232"/>
        <v/>
      </c>
    </row>
    <row r="3688" spans="1:38" x14ac:dyDescent="0.25">
      <c r="A3688" s="8" t="s">
        <v>6350</v>
      </c>
      <c r="B3688" s="8" t="s">
        <v>6351</v>
      </c>
      <c r="C3688" s="8">
        <v>30921454</v>
      </c>
      <c r="D3688" s="8">
        <v>5</v>
      </c>
      <c r="E3688" s="11">
        <v>43112</v>
      </c>
      <c r="F3688" s="8" t="s">
        <v>57</v>
      </c>
      <c r="G3688" s="11">
        <v>43112</v>
      </c>
      <c r="H3688" s="8" t="s">
        <v>25</v>
      </c>
      <c r="J3688" s="8" t="s">
        <v>25</v>
      </c>
      <c r="N3688" s="8" t="s">
        <v>58</v>
      </c>
      <c r="O3688" s="8" t="s">
        <v>59</v>
      </c>
      <c r="P3688" s="8" t="s">
        <v>59</v>
      </c>
      <c r="R3688" s="8">
        <v>0</v>
      </c>
      <c r="S3688" s="8">
        <v>0</v>
      </c>
      <c r="T3688" s="8">
        <v>1</v>
      </c>
      <c r="U3688" s="8">
        <v>2</v>
      </c>
      <c r="AG3688" s="8" t="str">
        <f t="shared" si="229"/>
        <v/>
      </c>
      <c r="AI3688" s="8" t="str">
        <f t="shared" si="230"/>
        <v/>
      </c>
      <c r="AJ3688" s="8" t="str">
        <f t="shared" si="231"/>
        <v/>
      </c>
      <c r="AL3688" s="8" t="str">
        <f t="shared" si="232"/>
        <v/>
      </c>
    </row>
    <row r="3689" spans="1:38" x14ac:dyDescent="0.25">
      <c r="A3689" s="8" t="s">
        <v>6352</v>
      </c>
      <c r="B3689" s="8" t="s">
        <v>6353</v>
      </c>
      <c r="C3689" s="8">
        <v>30921204</v>
      </c>
      <c r="D3689" s="8">
        <v>5</v>
      </c>
      <c r="E3689" s="11">
        <v>43112</v>
      </c>
      <c r="F3689" s="8" t="s">
        <v>57</v>
      </c>
      <c r="G3689" s="11">
        <v>43112</v>
      </c>
      <c r="H3689" s="8" t="s">
        <v>25</v>
      </c>
      <c r="J3689" s="8" t="s">
        <v>25</v>
      </c>
      <c r="N3689" s="8" t="s">
        <v>58</v>
      </c>
      <c r="O3689" s="8" t="s">
        <v>59</v>
      </c>
      <c r="P3689" s="8" t="s">
        <v>59</v>
      </c>
      <c r="R3689" s="8">
        <v>0</v>
      </c>
      <c r="S3689" s="8">
        <v>0</v>
      </c>
      <c r="T3689" s="8">
        <v>1</v>
      </c>
      <c r="U3689" s="8">
        <v>2</v>
      </c>
      <c r="AG3689" s="8" t="str">
        <f t="shared" si="229"/>
        <v/>
      </c>
      <c r="AI3689" s="8" t="str">
        <f t="shared" si="230"/>
        <v/>
      </c>
      <c r="AJ3689" s="8" t="str">
        <f t="shared" si="231"/>
        <v/>
      </c>
      <c r="AL3689" s="8" t="str">
        <f t="shared" si="232"/>
        <v/>
      </c>
    </row>
    <row r="3690" spans="1:38" x14ac:dyDescent="0.25">
      <c r="A3690" s="8" t="s">
        <v>3112</v>
      </c>
      <c r="B3690" s="8" t="s">
        <v>3113</v>
      </c>
      <c r="C3690" s="8">
        <v>30847736</v>
      </c>
      <c r="D3690" s="8">
        <v>5</v>
      </c>
      <c r="E3690" s="11">
        <v>43109</v>
      </c>
      <c r="F3690" s="8" t="s">
        <v>58</v>
      </c>
      <c r="G3690" s="11">
        <v>43110</v>
      </c>
      <c r="H3690" s="8" t="s">
        <v>25</v>
      </c>
      <c r="I3690" s="11">
        <v>43111</v>
      </c>
      <c r="J3690" s="8" t="s">
        <v>25</v>
      </c>
      <c r="N3690" s="8" t="s">
        <v>58</v>
      </c>
      <c r="O3690" s="8" t="s">
        <v>59</v>
      </c>
      <c r="P3690" s="8" t="s">
        <v>59</v>
      </c>
      <c r="R3690" s="8">
        <v>0</v>
      </c>
      <c r="S3690" s="8">
        <v>0</v>
      </c>
      <c r="T3690" s="8">
        <v>1</v>
      </c>
      <c r="U3690" s="8">
        <v>2</v>
      </c>
      <c r="X3690" s="8">
        <v>5</v>
      </c>
      <c r="AG3690" s="8" t="str">
        <f t="shared" si="229"/>
        <v/>
      </c>
      <c r="AI3690" s="8" t="str">
        <f t="shared" si="230"/>
        <v/>
      </c>
      <c r="AJ3690" s="8" t="str">
        <f t="shared" si="231"/>
        <v/>
      </c>
      <c r="AL3690" s="8" t="str">
        <f t="shared" si="232"/>
        <v/>
      </c>
    </row>
    <row r="3691" spans="1:38" x14ac:dyDescent="0.25">
      <c r="A3691" s="8" t="s">
        <v>711</v>
      </c>
      <c r="B3691" s="8" t="s">
        <v>712</v>
      </c>
      <c r="C3691" s="8">
        <v>30816090</v>
      </c>
      <c r="D3691" s="8">
        <v>5</v>
      </c>
      <c r="E3691" s="11">
        <v>43108</v>
      </c>
      <c r="F3691" s="8" t="s">
        <v>58</v>
      </c>
      <c r="G3691" s="11">
        <v>43108</v>
      </c>
      <c r="H3691" s="8" t="s">
        <v>25</v>
      </c>
      <c r="I3691" s="11">
        <v>43108</v>
      </c>
      <c r="J3691" s="8" t="s">
        <v>25</v>
      </c>
      <c r="N3691" s="8" t="s">
        <v>58</v>
      </c>
      <c r="O3691" s="8" t="s">
        <v>59</v>
      </c>
      <c r="P3691" s="8" t="s">
        <v>59</v>
      </c>
      <c r="R3691" s="8">
        <v>0</v>
      </c>
      <c r="S3691" s="8">
        <v>0</v>
      </c>
      <c r="T3691" s="8">
        <v>1</v>
      </c>
      <c r="U3691" s="8">
        <v>2</v>
      </c>
      <c r="X3691" s="8">
        <v>5</v>
      </c>
      <c r="AG3691" s="8" t="str">
        <f t="shared" si="229"/>
        <v/>
      </c>
      <c r="AI3691" s="8" t="str">
        <f t="shared" si="230"/>
        <v/>
      </c>
      <c r="AJ3691" s="8" t="str">
        <f t="shared" si="231"/>
        <v/>
      </c>
      <c r="AL3691" s="8" t="str">
        <f t="shared" si="232"/>
        <v/>
      </c>
    </row>
    <row r="3692" spans="1:38" x14ac:dyDescent="0.25">
      <c r="A3692" s="8" t="s">
        <v>4563</v>
      </c>
      <c r="B3692" s="8" t="s">
        <v>4564</v>
      </c>
      <c r="C3692" s="8">
        <v>30884803</v>
      </c>
      <c r="D3692" s="8">
        <v>5</v>
      </c>
      <c r="E3692" s="11">
        <v>43111</v>
      </c>
      <c r="F3692" s="8" t="s">
        <v>58</v>
      </c>
      <c r="G3692" s="11">
        <v>43111</v>
      </c>
      <c r="H3692" s="8" t="s">
        <v>25</v>
      </c>
      <c r="I3692" s="11">
        <v>43115</v>
      </c>
      <c r="J3692" s="8" t="s">
        <v>25</v>
      </c>
      <c r="N3692" s="8" t="s">
        <v>58</v>
      </c>
      <c r="O3692" s="8" t="s">
        <v>59</v>
      </c>
      <c r="P3692" s="8" t="s">
        <v>59</v>
      </c>
      <c r="R3692" s="8">
        <v>0</v>
      </c>
      <c r="S3692" s="8">
        <v>0</v>
      </c>
      <c r="T3692" s="8">
        <v>1</v>
      </c>
      <c r="U3692" s="8">
        <v>2</v>
      </c>
      <c r="X3692" s="8">
        <v>5</v>
      </c>
      <c r="AG3692" s="8" t="str">
        <f t="shared" si="229"/>
        <v/>
      </c>
      <c r="AI3692" s="8" t="str">
        <f t="shared" si="230"/>
        <v/>
      </c>
      <c r="AJ3692" s="8" t="str">
        <f t="shared" si="231"/>
        <v/>
      </c>
      <c r="AL3692" s="8" t="str">
        <f t="shared" si="232"/>
        <v/>
      </c>
    </row>
    <row r="3693" spans="1:38" x14ac:dyDescent="0.25">
      <c r="A3693" s="8" t="s">
        <v>6354</v>
      </c>
      <c r="B3693" s="8" t="s">
        <v>6355</v>
      </c>
      <c r="C3693" s="8">
        <v>30914115</v>
      </c>
      <c r="D3693" s="8">
        <v>5</v>
      </c>
      <c r="E3693" s="11">
        <v>43112</v>
      </c>
      <c r="F3693" s="8" t="s">
        <v>58</v>
      </c>
      <c r="G3693" s="11">
        <v>43112</v>
      </c>
      <c r="H3693" s="8" t="s">
        <v>25</v>
      </c>
      <c r="I3693" s="11">
        <v>43112</v>
      </c>
      <c r="J3693" s="8" t="s">
        <v>25</v>
      </c>
      <c r="N3693" s="8" t="s">
        <v>58</v>
      </c>
      <c r="O3693" s="8" t="s">
        <v>59</v>
      </c>
      <c r="P3693" s="8" t="s">
        <v>59</v>
      </c>
      <c r="R3693" s="8">
        <v>0</v>
      </c>
      <c r="S3693" s="8">
        <v>0</v>
      </c>
      <c r="T3693" s="8">
        <v>1</v>
      </c>
      <c r="U3693" s="8">
        <v>2</v>
      </c>
      <c r="X3693" s="8">
        <v>5</v>
      </c>
      <c r="AG3693" s="8" t="str">
        <f t="shared" si="229"/>
        <v/>
      </c>
      <c r="AI3693" s="8" t="str">
        <f t="shared" si="230"/>
        <v/>
      </c>
      <c r="AJ3693" s="8" t="str">
        <f t="shared" si="231"/>
        <v/>
      </c>
      <c r="AL3693" s="8" t="str">
        <f t="shared" si="232"/>
        <v/>
      </c>
    </row>
    <row r="3694" spans="1:38" x14ac:dyDescent="0.25">
      <c r="A3694" s="8" t="s">
        <v>713</v>
      </c>
      <c r="B3694" s="8" t="s">
        <v>714</v>
      </c>
      <c r="C3694" s="8">
        <v>30818563</v>
      </c>
      <c r="D3694" s="8">
        <v>5</v>
      </c>
      <c r="E3694" s="11">
        <v>43108</v>
      </c>
      <c r="F3694" s="8" t="s">
        <v>58</v>
      </c>
      <c r="G3694" s="11">
        <v>43108</v>
      </c>
      <c r="H3694" s="8" t="s">
        <v>25</v>
      </c>
      <c r="I3694" s="11">
        <v>43115</v>
      </c>
      <c r="J3694" s="8" t="s">
        <v>856</v>
      </c>
      <c r="N3694" s="8" t="s">
        <v>58</v>
      </c>
      <c r="O3694" s="8" t="s">
        <v>59</v>
      </c>
      <c r="P3694" s="8" t="s">
        <v>59</v>
      </c>
      <c r="R3694" s="8">
        <v>0</v>
      </c>
      <c r="S3694" s="8">
        <v>0</v>
      </c>
      <c r="T3694" s="8">
        <v>1</v>
      </c>
      <c r="U3694" s="8">
        <v>2</v>
      </c>
      <c r="X3694" s="8">
        <v>5</v>
      </c>
      <c r="AG3694" s="8" t="str">
        <f t="shared" si="229"/>
        <v/>
      </c>
      <c r="AI3694" s="8" t="str">
        <f t="shared" si="230"/>
        <v/>
      </c>
      <c r="AJ3694" s="8" t="str">
        <f t="shared" si="231"/>
        <v/>
      </c>
      <c r="AL3694" s="8" t="str">
        <f t="shared" si="232"/>
        <v/>
      </c>
    </row>
    <row r="3695" spans="1:38" x14ac:dyDescent="0.25">
      <c r="A3695" s="8" t="s">
        <v>715</v>
      </c>
      <c r="B3695" s="8" t="s">
        <v>716</v>
      </c>
      <c r="C3695" s="8">
        <v>30815505</v>
      </c>
      <c r="D3695" s="8">
        <v>5</v>
      </c>
      <c r="E3695" s="11">
        <v>43108</v>
      </c>
      <c r="F3695" s="8" t="s">
        <v>57</v>
      </c>
      <c r="G3695" s="11">
        <v>43108</v>
      </c>
      <c r="H3695" s="8" t="s">
        <v>25</v>
      </c>
      <c r="J3695" s="8" t="s">
        <v>25</v>
      </c>
      <c r="N3695" s="8" t="s">
        <v>58</v>
      </c>
      <c r="O3695" s="8" t="s">
        <v>59</v>
      </c>
      <c r="P3695" s="8" t="s">
        <v>59</v>
      </c>
      <c r="R3695" s="8">
        <v>0</v>
      </c>
      <c r="S3695" s="8">
        <v>0</v>
      </c>
      <c r="T3695" s="8">
        <v>1</v>
      </c>
      <c r="U3695" s="8">
        <v>2</v>
      </c>
      <c r="AG3695" s="8" t="str">
        <f t="shared" si="229"/>
        <v/>
      </c>
      <c r="AI3695" s="8" t="str">
        <f t="shared" si="230"/>
        <v/>
      </c>
      <c r="AJ3695" s="8" t="str">
        <f t="shared" si="231"/>
        <v/>
      </c>
      <c r="AL3695" s="8" t="str">
        <f t="shared" si="232"/>
        <v/>
      </c>
    </row>
    <row r="3696" spans="1:38" x14ac:dyDescent="0.25">
      <c r="A3696" s="8" t="s">
        <v>6356</v>
      </c>
      <c r="B3696" s="8" t="s">
        <v>6357</v>
      </c>
      <c r="C3696" s="8">
        <v>30916841</v>
      </c>
      <c r="D3696" s="8">
        <v>5</v>
      </c>
      <c r="E3696" s="11">
        <v>43112</v>
      </c>
      <c r="F3696" s="8" t="s">
        <v>58</v>
      </c>
      <c r="G3696" s="11">
        <v>43112</v>
      </c>
      <c r="H3696" s="8" t="s">
        <v>25</v>
      </c>
      <c r="I3696" s="11">
        <v>43115</v>
      </c>
      <c r="J3696" s="8" t="s">
        <v>25</v>
      </c>
      <c r="N3696" s="8" t="s">
        <v>58</v>
      </c>
      <c r="O3696" s="8" t="s">
        <v>59</v>
      </c>
      <c r="P3696" s="8" t="s">
        <v>59</v>
      </c>
      <c r="R3696" s="8">
        <v>0</v>
      </c>
      <c r="S3696" s="8">
        <v>0</v>
      </c>
      <c r="T3696" s="8">
        <v>1</v>
      </c>
      <c r="U3696" s="8">
        <v>2</v>
      </c>
      <c r="X3696" s="8">
        <v>5</v>
      </c>
      <c r="AG3696" s="8" t="str">
        <f t="shared" si="229"/>
        <v/>
      </c>
      <c r="AI3696" s="8" t="str">
        <f t="shared" si="230"/>
        <v/>
      </c>
      <c r="AJ3696" s="8" t="str">
        <f t="shared" si="231"/>
        <v/>
      </c>
      <c r="AL3696" s="8" t="str">
        <f t="shared" si="232"/>
        <v/>
      </c>
    </row>
    <row r="3697" spans="1:38" x14ac:dyDescent="0.25">
      <c r="A3697" s="8" t="s">
        <v>1512</v>
      </c>
      <c r="B3697" s="8" t="s">
        <v>1513</v>
      </c>
      <c r="C3697" s="8">
        <v>30833801</v>
      </c>
      <c r="D3697" s="8">
        <v>5</v>
      </c>
      <c r="E3697" s="11">
        <v>43109</v>
      </c>
      <c r="F3697" s="8" t="s">
        <v>58</v>
      </c>
      <c r="G3697" s="11">
        <v>43109</v>
      </c>
      <c r="H3697" s="8" t="s">
        <v>25</v>
      </c>
      <c r="I3697" s="11">
        <v>43109</v>
      </c>
      <c r="J3697" s="8" t="s">
        <v>25</v>
      </c>
      <c r="N3697" s="8" t="s">
        <v>58</v>
      </c>
      <c r="O3697" s="8" t="s">
        <v>59</v>
      </c>
      <c r="P3697" s="8" t="s">
        <v>59</v>
      </c>
      <c r="R3697" s="8">
        <v>0</v>
      </c>
      <c r="S3697" s="8">
        <v>0</v>
      </c>
      <c r="T3697" s="8">
        <v>1</v>
      </c>
      <c r="U3697" s="8">
        <v>2</v>
      </c>
      <c r="X3697" s="8">
        <v>5</v>
      </c>
      <c r="AG3697" s="8" t="str">
        <f t="shared" si="229"/>
        <v/>
      </c>
      <c r="AI3697" s="8" t="str">
        <f t="shared" si="230"/>
        <v/>
      </c>
      <c r="AJ3697" s="8" t="str">
        <f t="shared" si="231"/>
        <v/>
      </c>
      <c r="AL3697" s="8" t="str">
        <f t="shared" si="232"/>
        <v/>
      </c>
    </row>
    <row r="3698" spans="1:38" x14ac:dyDescent="0.25">
      <c r="A3698" s="8" t="s">
        <v>717</v>
      </c>
      <c r="B3698" s="8" t="s">
        <v>718</v>
      </c>
      <c r="C3698" s="8">
        <v>30818783</v>
      </c>
      <c r="D3698" s="8">
        <v>5</v>
      </c>
      <c r="E3698" s="11">
        <v>43108</v>
      </c>
      <c r="F3698" s="8" t="s">
        <v>58</v>
      </c>
      <c r="G3698" s="11">
        <v>43108</v>
      </c>
      <c r="H3698" s="8" t="s">
        <v>25</v>
      </c>
      <c r="I3698" s="11">
        <v>43111</v>
      </c>
      <c r="J3698" s="8" t="s">
        <v>25</v>
      </c>
      <c r="N3698" s="8" t="s">
        <v>58</v>
      </c>
      <c r="O3698" s="8" t="s">
        <v>59</v>
      </c>
      <c r="P3698" s="8" t="s">
        <v>59</v>
      </c>
      <c r="R3698" s="8">
        <v>0</v>
      </c>
      <c r="S3698" s="8">
        <v>0</v>
      </c>
      <c r="T3698" s="8">
        <v>1</v>
      </c>
      <c r="U3698" s="8">
        <v>2</v>
      </c>
      <c r="X3698" s="8">
        <v>5</v>
      </c>
      <c r="AG3698" s="8" t="str">
        <f t="shared" si="229"/>
        <v/>
      </c>
      <c r="AI3698" s="8" t="str">
        <f t="shared" si="230"/>
        <v/>
      </c>
      <c r="AJ3698" s="8" t="str">
        <f t="shared" si="231"/>
        <v/>
      </c>
      <c r="AL3698" s="8" t="str">
        <f t="shared" si="232"/>
        <v/>
      </c>
    </row>
    <row r="3699" spans="1:38" x14ac:dyDescent="0.25">
      <c r="A3699" s="8" t="s">
        <v>6358</v>
      </c>
      <c r="B3699" s="8" t="s">
        <v>6359</v>
      </c>
      <c r="C3699" s="8">
        <v>30906022</v>
      </c>
      <c r="D3699" s="8">
        <v>5</v>
      </c>
      <c r="E3699" s="11">
        <v>43112</v>
      </c>
      <c r="F3699" s="8" t="s">
        <v>57</v>
      </c>
      <c r="G3699" s="11">
        <v>43114</v>
      </c>
      <c r="H3699" s="8" t="s">
        <v>25</v>
      </c>
      <c r="J3699" s="8" t="s">
        <v>25</v>
      </c>
      <c r="N3699" s="8" t="s">
        <v>58</v>
      </c>
      <c r="O3699" s="8" t="s">
        <v>59</v>
      </c>
      <c r="P3699" s="8" t="s">
        <v>59</v>
      </c>
      <c r="R3699" s="8">
        <v>0</v>
      </c>
      <c r="S3699" s="8">
        <v>0</v>
      </c>
      <c r="T3699" s="8">
        <v>1</v>
      </c>
      <c r="U3699" s="8">
        <v>2</v>
      </c>
      <c r="AG3699" s="8" t="str">
        <f t="shared" si="229"/>
        <v/>
      </c>
      <c r="AI3699" s="8" t="str">
        <f t="shared" si="230"/>
        <v/>
      </c>
      <c r="AJ3699" s="8" t="str">
        <f t="shared" si="231"/>
        <v/>
      </c>
      <c r="AL3699" s="8" t="str">
        <f t="shared" si="232"/>
        <v/>
      </c>
    </row>
    <row r="3700" spans="1:38" x14ac:dyDescent="0.25">
      <c r="A3700" s="8" t="s">
        <v>3114</v>
      </c>
      <c r="B3700" s="8" t="s">
        <v>3115</v>
      </c>
      <c r="C3700" s="8">
        <v>30864481</v>
      </c>
      <c r="D3700" s="8">
        <v>5</v>
      </c>
      <c r="E3700" s="11">
        <v>43110</v>
      </c>
      <c r="F3700" s="8" t="s">
        <v>58</v>
      </c>
      <c r="G3700" s="11">
        <v>43110</v>
      </c>
      <c r="H3700" s="8" t="s">
        <v>25</v>
      </c>
      <c r="I3700" s="11">
        <v>43111</v>
      </c>
      <c r="J3700" s="8" t="s">
        <v>25</v>
      </c>
      <c r="N3700" s="8" t="s">
        <v>58</v>
      </c>
      <c r="O3700" s="8" t="s">
        <v>59</v>
      </c>
      <c r="P3700" s="8" t="s">
        <v>59</v>
      </c>
      <c r="R3700" s="8">
        <v>0</v>
      </c>
      <c r="S3700" s="8">
        <v>0</v>
      </c>
      <c r="T3700" s="8">
        <v>1</v>
      </c>
      <c r="U3700" s="8">
        <v>2</v>
      </c>
      <c r="X3700" s="8">
        <v>5</v>
      </c>
      <c r="AG3700" s="8" t="str">
        <f t="shared" si="229"/>
        <v/>
      </c>
      <c r="AI3700" s="8" t="str">
        <f t="shared" si="230"/>
        <v/>
      </c>
      <c r="AJ3700" s="8" t="str">
        <f t="shared" si="231"/>
        <v/>
      </c>
      <c r="AL3700" s="8" t="str">
        <f t="shared" si="232"/>
        <v/>
      </c>
    </row>
    <row r="3701" spans="1:38" x14ac:dyDescent="0.25">
      <c r="A3701" s="8" t="s">
        <v>1514</v>
      </c>
      <c r="B3701" s="8" t="s">
        <v>1515</v>
      </c>
      <c r="C3701" s="8">
        <v>30810056</v>
      </c>
      <c r="D3701" s="8">
        <v>5</v>
      </c>
      <c r="E3701" s="11">
        <v>43108</v>
      </c>
      <c r="F3701" s="8" t="s">
        <v>58</v>
      </c>
      <c r="G3701" s="11">
        <v>43109</v>
      </c>
      <c r="H3701" s="8" t="s">
        <v>25</v>
      </c>
      <c r="I3701" s="11">
        <v>43115</v>
      </c>
      <c r="J3701" s="8" t="s">
        <v>145</v>
      </c>
      <c r="N3701" s="8" t="s">
        <v>58</v>
      </c>
      <c r="O3701" s="8" t="s">
        <v>59</v>
      </c>
      <c r="P3701" s="8" t="s">
        <v>59</v>
      </c>
      <c r="R3701" s="8">
        <v>0</v>
      </c>
      <c r="S3701" s="8">
        <v>0</v>
      </c>
      <c r="T3701" s="8">
        <v>1</v>
      </c>
      <c r="U3701" s="8">
        <v>2</v>
      </c>
      <c r="X3701" s="8">
        <v>5</v>
      </c>
      <c r="AG3701" s="8" t="str">
        <f t="shared" si="229"/>
        <v/>
      </c>
      <c r="AI3701" s="8" t="str">
        <f t="shared" si="230"/>
        <v/>
      </c>
      <c r="AJ3701" s="8" t="str">
        <f t="shared" si="231"/>
        <v/>
      </c>
      <c r="AL3701" s="8" t="str">
        <f t="shared" si="232"/>
        <v/>
      </c>
    </row>
    <row r="3702" spans="1:38" x14ac:dyDescent="0.25">
      <c r="A3702" s="8" t="s">
        <v>3116</v>
      </c>
      <c r="B3702" s="8" t="s">
        <v>3117</v>
      </c>
      <c r="C3702" s="8">
        <v>30858727</v>
      </c>
      <c r="D3702" s="8">
        <v>5</v>
      </c>
      <c r="E3702" s="11">
        <v>43110</v>
      </c>
      <c r="F3702" s="8" t="s">
        <v>58</v>
      </c>
      <c r="G3702" s="11">
        <v>43110</v>
      </c>
      <c r="H3702" s="8" t="s">
        <v>25</v>
      </c>
      <c r="I3702" s="11">
        <v>43110</v>
      </c>
      <c r="J3702" s="8" t="s">
        <v>25</v>
      </c>
      <c r="N3702" s="8" t="s">
        <v>58</v>
      </c>
      <c r="O3702" s="8" t="s">
        <v>59</v>
      </c>
      <c r="P3702" s="8" t="s">
        <v>59</v>
      </c>
      <c r="R3702" s="8">
        <v>0</v>
      </c>
      <c r="S3702" s="8">
        <v>0</v>
      </c>
      <c r="T3702" s="8">
        <v>1</v>
      </c>
      <c r="U3702" s="8">
        <v>2</v>
      </c>
      <c r="X3702" s="8">
        <v>5</v>
      </c>
      <c r="AG3702" s="8" t="str">
        <f t="shared" si="229"/>
        <v/>
      </c>
      <c r="AI3702" s="8" t="str">
        <f t="shared" si="230"/>
        <v/>
      </c>
      <c r="AJ3702" s="8" t="str">
        <f t="shared" si="231"/>
        <v/>
      </c>
      <c r="AL3702" s="8" t="str">
        <f t="shared" si="232"/>
        <v/>
      </c>
    </row>
    <row r="3703" spans="1:38" x14ac:dyDescent="0.25">
      <c r="A3703" s="8" t="s">
        <v>1516</v>
      </c>
      <c r="B3703" s="8" t="s">
        <v>1517</v>
      </c>
      <c r="C3703" s="8">
        <v>30817249</v>
      </c>
      <c r="D3703" s="8">
        <v>5</v>
      </c>
      <c r="E3703" s="11">
        <v>43108</v>
      </c>
      <c r="F3703" s="8" t="s">
        <v>58</v>
      </c>
      <c r="G3703" s="11">
        <v>43109</v>
      </c>
      <c r="H3703" s="8" t="s">
        <v>25</v>
      </c>
      <c r="I3703" s="11">
        <v>43109</v>
      </c>
      <c r="J3703" s="8" t="s">
        <v>25</v>
      </c>
      <c r="N3703" s="8" t="s">
        <v>58</v>
      </c>
      <c r="O3703" s="8" t="s">
        <v>59</v>
      </c>
      <c r="P3703" s="8" t="s">
        <v>59</v>
      </c>
      <c r="R3703" s="8">
        <v>0</v>
      </c>
      <c r="S3703" s="8">
        <v>0</v>
      </c>
      <c r="T3703" s="8">
        <v>1</v>
      </c>
      <c r="U3703" s="8">
        <v>2</v>
      </c>
      <c r="X3703" s="8">
        <v>5</v>
      </c>
      <c r="AG3703" s="8" t="str">
        <f t="shared" si="229"/>
        <v/>
      </c>
      <c r="AI3703" s="8" t="str">
        <f t="shared" si="230"/>
        <v/>
      </c>
      <c r="AJ3703" s="8" t="str">
        <f t="shared" si="231"/>
        <v/>
      </c>
      <c r="AL3703" s="8" t="str">
        <f t="shared" si="232"/>
        <v/>
      </c>
    </row>
    <row r="3704" spans="1:38" x14ac:dyDescent="0.25">
      <c r="A3704" s="8" t="s">
        <v>8085</v>
      </c>
      <c r="B3704" s="8" t="s">
        <v>8086</v>
      </c>
      <c r="C3704" s="8">
        <v>30920398</v>
      </c>
      <c r="D3704" s="8">
        <v>5</v>
      </c>
      <c r="E3704" s="11">
        <v>43112</v>
      </c>
      <c r="F3704" s="8" t="s">
        <v>57</v>
      </c>
      <c r="G3704" s="11">
        <v>43115</v>
      </c>
      <c r="H3704" s="8" t="s">
        <v>25</v>
      </c>
      <c r="J3704" s="8" t="s">
        <v>25</v>
      </c>
      <c r="N3704" s="8" t="s">
        <v>58</v>
      </c>
      <c r="O3704" s="8" t="s">
        <v>59</v>
      </c>
      <c r="P3704" s="8" t="s">
        <v>59</v>
      </c>
      <c r="R3704" s="8">
        <v>0</v>
      </c>
      <c r="S3704" s="8">
        <v>0</v>
      </c>
      <c r="T3704" s="8">
        <v>1</v>
      </c>
      <c r="U3704" s="8">
        <v>2</v>
      </c>
      <c r="AG3704" s="8" t="str">
        <f t="shared" si="229"/>
        <v/>
      </c>
      <c r="AI3704" s="8" t="str">
        <f t="shared" si="230"/>
        <v/>
      </c>
      <c r="AJ3704" s="8" t="str">
        <f t="shared" si="231"/>
        <v/>
      </c>
      <c r="AL3704" s="8" t="str">
        <f t="shared" si="232"/>
        <v/>
      </c>
    </row>
    <row r="3705" spans="1:38" x14ac:dyDescent="0.25">
      <c r="A3705" s="8" t="s">
        <v>4565</v>
      </c>
      <c r="B3705" s="8" t="s">
        <v>4566</v>
      </c>
      <c r="C3705" s="8">
        <v>30881748</v>
      </c>
      <c r="D3705" s="8">
        <v>5</v>
      </c>
      <c r="E3705" s="11">
        <v>43111</v>
      </c>
      <c r="F3705" s="8" t="s">
        <v>58</v>
      </c>
      <c r="G3705" s="11">
        <v>43111</v>
      </c>
      <c r="H3705" s="8" t="s">
        <v>25</v>
      </c>
      <c r="I3705" s="11">
        <v>43111</v>
      </c>
      <c r="J3705" s="8" t="s">
        <v>25</v>
      </c>
      <c r="N3705" s="8" t="s">
        <v>58</v>
      </c>
      <c r="O3705" s="8" t="s">
        <v>59</v>
      </c>
      <c r="P3705" s="8" t="s">
        <v>59</v>
      </c>
      <c r="R3705" s="8">
        <v>0</v>
      </c>
      <c r="S3705" s="8">
        <v>0</v>
      </c>
      <c r="T3705" s="8">
        <v>1</v>
      </c>
      <c r="U3705" s="8">
        <v>2</v>
      </c>
      <c r="X3705" s="8">
        <v>5</v>
      </c>
      <c r="AG3705" s="8" t="str">
        <f t="shared" si="229"/>
        <v/>
      </c>
      <c r="AI3705" s="8" t="str">
        <f t="shared" si="230"/>
        <v/>
      </c>
      <c r="AJ3705" s="8" t="str">
        <f t="shared" si="231"/>
        <v/>
      </c>
      <c r="AL3705" s="8" t="str">
        <f t="shared" si="232"/>
        <v/>
      </c>
    </row>
    <row r="3706" spans="1:38" x14ac:dyDescent="0.25">
      <c r="A3706" s="8" t="s">
        <v>1518</v>
      </c>
      <c r="B3706" s="8" t="s">
        <v>1519</v>
      </c>
      <c r="C3706" s="8">
        <v>30846107</v>
      </c>
      <c r="D3706" s="8">
        <v>5</v>
      </c>
      <c r="E3706" s="11">
        <v>43109</v>
      </c>
      <c r="F3706" s="8" t="s">
        <v>58</v>
      </c>
      <c r="G3706" s="11">
        <v>43109</v>
      </c>
      <c r="H3706" s="8" t="s">
        <v>25</v>
      </c>
      <c r="I3706" s="11">
        <v>43115</v>
      </c>
      <c r="J3706" s="8" t="s">
        <v>145</v>
      </c>
      <c r="N3706" s="8" t="s">
        <v>58</v>
      </c>
      <c r="O3706" s="8" t="s">
        <v>59</v>
      </c>
      <c r="P3706" s="8" t="s">
        <v>59</v>
      </c>
      <c r="R3706" s="8">
        <v>0</v>
      </c>
      <c r="S3706" s="8">
        <v>0</v>
      </c>
      <c r="T3706" s="8">
        <v>1</v>
      </c>
      <c r="U3706" s="8">
        <v>2</v>
      </c>
      <c r="X3706" s="8">
        <v>5</v>
      </c>
      <c r="AG3706" s="8" t="str">
        <f t="shared" si="229"/>
        <v/>
      </c>
      <c r="AI3706" s="8" t="str">
        <f t="shared" si="230"/>
        <v/>
      </c>
      <c r="AJ3706" s="8" t="str">
        <f t="shared" si="231"/>
        <v/>
      </c>
      <c r="AL3706" s="8" t="str">
        <f t="shared" si="232"/>
        <v/>
      </c>
    </row>
    <row r="3707" spans="1:38" x14ac:dyDescent="0.25">
      <c r="A3707" s="8" t="s">
        <v>719</v>
      </c>
      <c r="B3707" s="8" t="s">
        <v>720</v>
      </c>
      <c r="C3707" s="8">
        <v>30820414</v>
      </c>
      <c r="D3707" s="8">
        <v>5</v>
      </c>
      <c r="E3707" s="11">
        <v>43108</v>
      </c>
      <c r="F3707" s="8" t="s">
        <v>58</v>
      </c>
      <c r="G3707" s="11">
        <v>43108</v>
      </c>
      <c r="H3707" s="8" t="s">
        <v>25</v>
      </c>
      <c r="I3707" s="11">
        <v>43111</v>
      </c>
      <c r="J3707" s="8" t="s">
        <v>25</v>
      </c>
      <c r="N3707" s="8" t="s">
        <v>58</v>
      </c>
      <c r="O3707" s="8" t="s">
        <v>59</v>
      </c>
      <c r="P3707" s="8" t="s">
        <v>59</v>
      </c>
      <c r="R3707" s="8">
        <v>0</v>
      </c>
      <c r="S3707" s="8">
        <v>0</v>
      </c>
      <c r="T3707" s="8">
        <v>1</v>
      </c>
      <c r="U3707" s="8">
        <v>2</v>
      </c>
      <c r="X3707" s="8">
        <v>5</v>
      </c>
      <c r="AG3707" s="8" t="str">
        <f t="shared" si="229"/>
        <v/>
      </c>
      <c r="AI3707" s="8" t="str">
        <f t="shared" si="230"/>
        <v/>
      </c>
      <c r="AJ3707" s="8" t="str">
        <f t="shared" si="231"/>
        <v/>
      </c>
      <c r="AL3707" s="8" t="str">
        <f t="shared" si="232"/>
        <v/>
      </c>
    </row>
    <row r="3708" spans="1:38" x14ac:dyDescent="0.25">
      <c r="A3708" s="8" t="s">
        <v>8087</v>
      </c>
      <c r="B3708" s="8" t="s">
        <v>8088</v>
      </c>
      <c r="C3708" s="8">
        <v>30923146</v>
      </c>
      <c r="D3708" s="8">
        <v>5</v>
      </c>
      <c r="E3708" s="11">
        <v>43112</v>
      </c>
      <c r="F3708" s="8" t="s">
        <v>57</v>
      </c>
      <c r="G3708" s="11">
        <v>43115</v>
      </c>
      <c r="H3708" s="8" t="s">
        <v>25</v>
      </c>
      <c r="J3708" s="8" t="s">
        <v>25</v>
      </c>
      <c r="N3708" s="8" t="s">
        <v>58</v>
      </c>
      <c r="O3708" s="8" t="s">
        <v>59</v>
      </c>
      <c r="P3708" s="8" t="s">
        <v>59</v>
      </c>
      <c r="R3708" s="8">
        <v>0</v>
      </c>
      <c r="S3708" s="8">
        <v>0</v>
      </c>
      <c r="T3708" s="8">
        <v>1</v>
      </c>
      <c r="U3708" s="8">
        <v>2</v>
      </c>
      <c r="AG3708" s="8" t="str">
        <f t="shared" si="229"/>
        <v/>
      </c>
      <c r="AI3708" s="8" t="str">
        <f t="shared" si="230"/>
        <v/>
      </c>
      <c r="AJ3708" s="8" t="str">
        <f t="shared" si="231"/>
        <v/>
      </c>
      <c r="AL3708" s="8" t="str">
        <f t="shared" si="232"/>
        <v/>
      </c>
    </row>
    <row r="3709" spans="1:38" x14ac:dyDescent="0.25">
      <c r="A3709" s="8" t="s">
        <v>1520</v>
      </c>
      <c r="B3709" s="8" t="s">
        <v>1521</v>
      </c>
      <c r="C3709" s="8">
        <v>30836990</v>
      </c>
      <c r="D3709" s="8">
        <v>5</v>
      </c>
      <c r="E3709" s="11">
        <v>43109</v>
      </c>
      <c r="F3709" s="8" t="s">
        <v>58</v>
      </c>
      <c r="G3709" s="11">
        <v>43109</v>
      </c>
      <c r="H3709" s="8" t="s">
        <v>25</v>
      </c>
      <c r="I3709" s="11">
        <v>43109</v>
      </c>
      <c r="J3709" s="8" t="s">
        <v>25</v>
      </c>
      <c r="N3709" s="8" t="s">
        <v>58</v>
      </c>
      <c r="O3709" s="8" t="s">
        <v>59</v>
      </c>
      <c r="P3709" s="8" t="s">
        <v>59</v>
      </c>
      <c r="R3709" s="8">
        <v>0</v>
      </c>
      <c r="S3709" s="8">
        <v>0</v>
      </c>
      <c r="T3709" s="8">
        <v>1</v>
      </c>
      <c r="U3709" s="8">
        <v>2</v>
      </c>
      <c r="X3709" s="8">
        <v>5</v>
      </c>
      <c r="AG3709" s="8" t="str">
        <f t="shared" si="229"/>
        <v/>
      </c>
      <c r="AI3709" s="8" t="str">
        <f t="shared" si="230"/>
        <v/>
      </c>
      <c r="AJ3709" s="8" t="str">
        <f t="shared" si="231"/>
        <v/>
      </c>
      <c r="AL3709" s="8" t="str">
        <f t="shared" si="232"/>
        <v/>
      </c>
    </row>
    <row r="3710" spans="1:38" x14ac:dyDescent="0.25">
      <c r="A3710" s="8" t="s">
        <v>6360</v>
      </c>
      <c r="B3710" s="8" t="s">
        <v>6361</v>
      </c>
      <c r="C3710" s="8">
        <v>30907198</v>
      </c>
      <c r="D3710" s="8">
        <v>5</v>
      </c>
      <c r="E3710" s="11">
        <v>43112</v>
      </c>
      <c r="F3710" s="8" t="s">
        <v>57</v>
      </c>
      <c r="G3710" s="11">
        <v>43112</v>
      </c>
      <c r="H3710" s="8" t="s">
        <v>25</v>
      </c>
      <c r="J3710" s="8" t="s">
        <v>25</v>
      </c>
      <c r="N3710" s="8" t="s">
        <v>58</v>
      </c>
      <c r="O3710" s="8" t="s">
        <v>59</v>
      </c>
      <c r="P3710" s="8" t="s">
        <v>59</v>
      </c>
      <c r="R3710" s="8">
        <v>0</v>
      </c>
      <c r="S3710" s="8">
        <v>0</v>
      </c>
      <c r="T3710" s="8">
        <v>1</v>
      </c>
      <c r="U3710" s="8">
        <v>2</v>
      </c>
      <c r="AG3710" s="8" t="str">
        <f t="shared" si="229"/>
        <v/>
      </c>
      <c r="AI3710" s="8" t="str">
        <f t="shared" si="230"/>
        <v/>
      </c>
      <c r="AJ3710" s="8" t="str">
        <f t="shared" si="231"/>
        <v/>
      </c>
      <c r="AL3710" s="8" t="str">
        <f t="shared" si="232"/>
        <v/>
      </c>
    </row>
    <row r="3711" spans="1:38" x14ac:dyDescent="0.25">
      <c r="A3711" s="8" t="s">
        <v>6362</v>
      </c>
      <c r="B3711" s="8" t="s">
        <v>6363</v>
      </c>
      <c r="C3711" s="8">
        <v>30908719</v>
      </c>
      <c r="D3711" s="8">
        <v>5</v>
      </c>
      <c r="E3711" s="11">
        <v>43112</v>
      </c>
      <c r="F3711" s="8" t="s">
        <v>57</v>
      </c>
      <c r="G3711" s="11">
        <v>43112</v>
      </c>
      <c r="H3711" s="8" t="s">
        <v>25</v>
      </c>
      <c r="J3711" s="8" t="s">
        <v>25</v>
      </c>
      <c r="N3711" s="8" t="s">
        <v>58</v>
      </c>
      <c r="O3711" s="8" t="s">
        <v>59</v>
      </c>
      <c r="P3711" s="8" t="s">
        <v>59</v>
      </c>
      <c r="R3711" s="8">
        <v>0</v>
      </c>
      <c r="S3711" s="8">
        <v>0</v>
      </c>
      <c r="T3711" s="8">
        <v>1</v>
      </c>
      <c r="U3711" s="8">
        <v>2</v>
      </c>
      <c r="AG3711" s="8" t="str">
        <f t="shared" si="229"/>
        <v/>
      </c>
      <c r="AI3711" s="8" t="str">
        <f t="shared" si="230"/>
        <v/>
      </c>
      <c r="AJ3711" s="8" t="str">
        <f t="shared" si="231"/>
        <v/>
      </c>
      <c r="AL3711" s="8" t="str">
        <f t="shared" si="232"/>
        <v/>
      </c>
    </row>
    <row r="3712" spans="1:38" x14ac:dyDescent="0.25">
      <c r="A3712" s="8" t="s">
        <v>6364</v>
      </c>
      <c r="B3712" s="8" t="s">
        <v>6365</v>
      </c>
      <c r="C3712" s="8">
        <v>30907204</v>
      </c>
      <c r="D3712" s="8">
        <v>5</v>
      </c>
      <c r="E3712" s="11">
        <v>43112</v>
      </c>
      <c r="F3712" s="8" t="s">
        <v>57</v>
      </c>
      <c r="G3712" s="11">
        <v>43112</v>
      </c>
      <c r="H3712" s="8" t="s">
        <v>25</v>
      </c>
      <c r="J3712" s="8" t="s">
        <v>25</v>
      </c>
      <c r="N3712" s="8" t="s">
        <v>58</v>
      </c>
      <c r="O3712" s="8" t="s">
        <v>59</v>
      </c>
      <c r="P3712" s="8" t="s">
        <v>59</v>
      </c>
      <c r="R3712" s="8">
        <v>0</v>
      </c>
      <c r="S3712" s="8">
        <v>0</v>
      </c>
      <c r="T3712" s="8">
        <v>1</v>
      </c>
      <c r="U3712" s="8">
        <v>2</v>
      </c>
      <c r="AG3712" s="8" t="str">
        <f t="shared" si="229"/>
        <v/>
      </c>
      <c r="AI3712" s="8" t="str">
        <f t="shared" si="230"/>
        <v/>
      </c>
      <c r="AJ3712" s="8" t="str">
        <f t="shared" si="231"/>
        <v/>
      </c>
      <c r="AL3712" s="8" t="str">
        <f t="shared" si="232"/>
        <v/>
      </c>
    </row>
    <row r="3713" spans="1:38" x14ac:dyDescent="0.25">
      <c r="A3713" s="8" t="s">
        <v>1522</v>
      </c>
      <c r="B3713" s="8" t="s">
        <v>1523</v>
      </c>
      <c r="C3713" s="8">
        <v>30841061</v>
      </c>
      <c r="D3713" s="8">
        <v>5</v>
      </c>
      <c r="E3713" s="11">
        <v>43109</v>
      </c>
      <c r="F3713" s="8" t="s">
        <v>58</v>
      </c>
      <c r="G3713" s="11">
        <v>43109</v>
      </c>
      <c r="H3713" s="8" t="s">
        <v>25</v>
      </c>
      <c r="I3713" s="11">
        <v>43115</v>
      </c>
      <c r="J3713" s="8" t="s">
        <v>145</v>
      </c>
      <c r="N3713" s="8" t="s">
        <v>58</v>
      </c>
      <c r="O3713" s="8" t="s">
        <v>59</v>
      </c>
      <c r="P3713" s="8" t="s">
        <v>59</v>
      </c>
      <c r="R3713" s="8">
        <v>0</v>
      </c>
      <c r="S3713" s="8">
        <v>0</v>
      </c>
      <c r="T3713" s="8">
        <v>1</v>
      </c>
      <c r="U3713" s="8">
        <v>2</v>
      </c>
      <c r="X3713" s="8">
        <v>5</v>
      </c>
      <c r="AG3713" s="8" t="str">
        <f t="shared" si="229"/>
        <v/>
      </c>
      <c r="AI3713" s="8" t="str">
        <f t="shared" si="230"/>
        <v/>
      </c>
      <c r="AJ3713" s="8" t="str">
        <f t="shared" si="231"/>
        <v/>
      </c>
      <c r="AL3713" s="8" t="str">
        <f t="shared" si="232"/>
        <v/>
      </c>
    </row>
    <row r="3714" spans="1:38" x14ac:dyDescent="0.25">
      <c r="A3714" s="8" t="s">
        <v>6366</v>
      </c>
      <c r="B3714" s="8" t="s">
        <v>6367</v>
      </c>
      <c r="C3714" s="8">
        <v>30915242</v>
      </c>
      <c r="D3714" s="8">
        <v>5</v>
      </c>
      <c r="E3714" s="11">
        <v>43112</v>
      </c>
      <c r="F3714" s="8" t="s">
        <v>57</v>
      </c>
      <c r="G3714" s="11">
        <v>43114</v>
      </c>
      <c r="H3714" s="8" t="s">
        <v>25</v>
      </c>
      <c r="J3714" s="8" t="s">
        <v>25</v>
      </c>
      <c r="N3714" s="8" t="s">
        <v>58</v>
      </c>
      <c r="O3714" s="8" t="s">
        <v>59</v>
      </c>
      <c r="P3714" s="8" t="s">
        <v>59</v>
      </c>
      <c r="R3714" s="8">
        <v>0</v>
      </c>
      <c r="S3714" s="8">
        <v>0</v>
      </c>
      <c r="T3714" s="8">
        <v>1</v>
      </c>
      <c r="U3714" s="8">
        <v>2</v>
      </c>
      <c r="AG3714" s="8" t="str">
        <f t="shared" si="229"/>
        <v/>
      </c>
      <c r="AI3714" s="8" t="str">
        <f t="shared" si="230"/>
        <v/>
      </c>
      <c r="AJ3714" s="8" t="str">
        <f t="shared" si="231"/>
        <v/>
      </c>
      <c r="AL3714" s="8" t="str">
        <f t="shared" si="232"/>
        <v/>
      </c>
    </row>
    <row r="3715" spans="1:38" x14ac:dyDescent="0.25">
      <c r="A3715" s="8" t="s">
        <v>8089</v>
      </c>
      <c r="B3715" s="8" t="s">
        <v>8090</v>
      </c>
      <c r="C3715" s="8">
        <v>30920372</v>
      </c>
      <c r="D3715" s="8">
        <v>5</v>
      </c>
      <c r="E3715" s="11">
        <v>43112</v>
      </c>
      <c r="F3715" s="8" t="s">
        <v>57</v>
      </c>
      <c r="G3715" s="11">
        <v>43115</v>
      </c>
      <c r="H3715" s="8" t="s">
        <v>25</v>
      </c>
      <c r="J3715" s="8" t="s">
        <v>25</v>
      </c>
      <c r="N3715" s="8" t="s">
        <v>58</v>
      </c>
      <c r="O3715" s="8" t="s">
        <v>59</v>
      </c>
      <c r="P3715" s="8" t="s">
        <v>59</v>
      </c>
      <c r="R3715" s="8">
        <v>0</v>
      </c>
      <c r="S3715" s="8">
        <v>0</v>
      </c>
      <c r="T3715" s="8">
        <v>1</v>
      </c>
      <c r="U3715" s="8">
        <v>2</v>
      </c>
      <c r="AG3715" s="8" t="str">
        <f t="shared" ref="AG3715:AG3778" si="233">IF(AND(U3715="",G3715&lt;&gt;"",NOT(OR(R3715,S3715))),IF(NETWORKDAYS.INTL(G3715,TODAY(),11)&lt;5,"En Plazo",IF(NETWORKDAYS.INTL(G3715,TODAY(),11)=5,"Riesgo Incumplimiento","FALTA_02")),"")</f>
        <v/>
      </c>
      <c r="AI3715" s="8" t="str">
        <f t="shared" ref="AI3715:AI3778" si="234">IF(AND(O3715&lt;&gt;"B1",F3715="Rejected"),IF(W3715="","FALTA_04",""),"")</f>
        <v/>
      </c>
      <c r="AJ3715" s="8" t="str">
        <f t="shared" ref="AJ3715:AJ3778" si="235">IF(AND(X3715="",I3715&lt;&gt;"",NOT(OR(R3715,S3715))),IF(NETWORKDAYS.INTL(G3715,TODAY(),11)&lt;=1,"En Plazo",IF(OR(AND(X3715="",O3715&lt;&gt;"M1"),AND(O3715="M1",(OR(Q3715="S - S",Q3715="S - T",)))),"FALTA_05","")),"")</f>
        <v/>
      </c>
      <c r="AL3715" s="8" t="str">
        <f t="shared" ref="AL3715:AL3778" si="236">IF(AND(O3715="B1",F3715="Rejected"),IF(Z3715="","FALTA_07",""),"")</f>
        <v/>
      </c>
    </row>
    <row r="3716" spans="1:38" x14ac:dyDescent="0.25">
      <c r="A3716" s="8" t="s">
        <v>6368</v>
      </c>
      <c r="B3716" s="8" t="s">
        <v>6369</v>
      </c>
      <c r="C3716" s="8">
        <v>30912483</v>
      </c>
      <c r="D3716" s="8">
        <v>5</v>
      </c>
      <c r="E3716" s="11">
        <v>43112</v>
      </c>
      <c r="F3716" s="8" t="s">
        <v>57</v>
      </c>
      <c r="G3716" s="11">
        <v>43114</v>
      </c>
      <c r="H3716" s="8" t="s">
        <v>25</v>
      </c>
      <c r="J3716" s="8" t="s">
        <v>25</v>
      </c>
      <c r="N3716" s="8" t="s">
        <v>58</v>
      </c>
      <c r="O3716" s="8" t="s">
        <v>59</v>
      </c>
      <c r="P3716" s="8" t="s">
        <v>59</v>
      </c>
      <c r="R3716" s="8">
        <v>0</v>
      </c>
      <c r="S3716" s="8">
        <v>0</v>
      </c>
      <c r="T3716" s="8">
        <v>1</v>
      </c>
      <c r="U3716" s="8">
        <v>2</v>
      </c>
      <c r="AG3716" s="8" t="str">
        <f t="shared" si="233"/>
        <v/>
      </c>
      <c r="AI3716" s="8" t="str">
        <f t="shared" si="234"/>
        <v/>
      </c>
      <c r="AJ3716" s="8" t="str">
        <f t="shared" si="235"/>
        <v/>
      </c>
      <c r="AL3716" s="8" t="str">
        <f t="shared" si="236"/>
        <v/>
      </c>
    </row>
    <row r="3717" spans="1:38" x14ac:dyDescent="0.25">
      <c r="A3717" s="8" t="s">
        <v>1524</v>
      </c>
      <c r="B3717" s="8" t="s">
        <v>1525</v>
      </c>
      <c r="C3717" s="8">
        <v>30809926</v>
      </c>
      <c r="D3717" s="8">
        <v>5</v>
      </c>
      <c r="E3717" s="11">
        <v>43108</v>
      </c>
      <c r="F3717" s="8" t="s">
        <v>58</v>
      </c>
      <c r="G3717" s="11">
        <v>43109</v>
      </c>
      <c r="H3717" s="8" t="s">
        <v>25</v>
      </c>
      <c r="I3717" s="11">
        <v>43109</v>
      </c>
      <c r="J3717" s="8" t="s">
        <v>25</v>
      </c>
      <c r="N3717" s="8" t="s">
        <v>58</v>
      </c>
      <c r="O3717" s="8" t="s">
        <v>59</v>
      </c>
      <c r="P3717" s="8" t="s">
        <v>59</v>
      </c>
      <c r="R3717" s="8">
        <v>0</v>
      </c>
      <c r="S3717" s="8">
        <v>0</v>
      </c>
      <c r="T3717" s="8">
        <v>1</v>
      </c>
      <c r="U3717" s="8">
        <v>2</v>
      </c>
      <c r="X3717" s="8">
        <v>5</v>
      </c>
      <c r="AG3717" s="8" t="str">
        <f t="shared" si="233"/>
        <v/>
      </c>
      <c r="AI3717" s="8" t="str">
        <f t="shared" si="234"/>
        <v/>
      </c>
      <c r="AJ3717" s="8" t="str">
        <f t="shared" si="235"/>
        <v/>
      </c>
      <c r="AL3717" s="8" t="str">
        <f t="shared" si="236"/>
        <v/>
      </c>
    </row>
    <row r="3718" spans="1:38" x14ac:dyDescent="0.25">
      <c r="A3718" s="8" t="s">
        <v>721</v>
      </c>
      <c r="B3718" s="8" t="s">
        <v>722</v>
      </c>
      <c r="C3718" s="8">
        <v>30809200</v>
      </c>
      <c r="D3718" s="8">
        <v>5</v>
      </c>
      <c r="E3718" s="11">
        <v>43108</v>
      </c>
      <c r="F3718" s="8" t="s">
        <v>58</v>
      </c>
      <c r="G3718" s="11">
        <v>43108</v>
      </c>
      <c r="H3718" s="8" t="s">
        <v>25</v>
      </c>
      <c r="I3718" s="11">
        <v>43111</v>
      </c>
      <c r="J3718" s="8" t="s">
        <v>25</v>
      </c>
      <c r="N3718" s="8" t="s">
        <v>58</v>
      </c>
      <c r="O3718" s="8" t="s">
        <v>59</v>
      </c>
      <c r="P3718" s="8" t="s">
        <v>59</v>
      </c>
      <c r="R3718" s="8">
        <v>0</v>
      </c>
      <c r="S3718" s="8">
        <v>0</v>
      </c>
      <c r="T3718" s="8">
        <v>1</v>
      </c>
      <c r="U3718" s="8">
        <v>2</v>
      </c>
      <c r="X3718" s="8">
        <v>5</v>
      </c>
      <c r="AG3718" s="8" t="str">
        <f t="shared" si="233"/>
        <v/>
      </c>
      <c r="AI3718" s="8" t="str">
        <f t="shared" si="234"/>
        <v/>
      </c>
      <c r="AJ3718" s="8" t="str">
        <f t="shared" si="235"/>
        <v/>
      </c>
      <c r="AL3718" s="8" t="str">
        <f t="shared" si="236"/>
        <v/>
      </c>
    </row>
    <row r="3719" spans="1:38" x14ac:dyDescent="0.25">
      <c r="A3719" s="8" t="s">
        <v>8091</v>
      </c>
      <c r="B3719" s="8" t="s">
        <v>8092</v>
      </c>
      <c r="C3719" s="8">
        <v>30935049</v>
      </c>
      <c r="D3719" s="8">
        <v>5</v>
      </c>
      <c r="E3719" s="11">
        <v>43115</v>
      </c>
      <c r="F3719" s="8" t="s">
        <v>57</v>
      </c>
      <c r="G3719" s="11">
        <v>43115</v>
      </c>
      <c r="H3719" s="8" t="s">
        <v>25</v>
      </c>
      <c r="J3719" s="8" t="s">
        <v>25</v>
      </c>
      <c r="N3719" s="8" t="s">
        <v>58</v>
      </c>
      <c r="O3719" s="8" t="s">
        <v>59</v>
      </c>
      <c r="P3719" s="8" t="s">
        <v>59</v>
      </c>
      <c r="R3719" s="8">
        <v>0</v>
      </c>
      <c r="S3719" s="8">
        <v>0</v>
      </c>
      <c r="T3719" s="8">
        <v>1</v>
      </c>
      <c r="U3719" s="8">
        <v>2</v>
      </c>
      <c r="AG3719" s="8" t="str">
        <f t="shared" si="233"/>
        <v/>
      </c>
      <c r="AI3719" s="8" t="str">
        <f t="shared" si="234"/>
        <v/>
      </c>
      <c r="AJ3719" s="8" t="str">
        <f t="shared" si="235"/>
        <v/>
      </c>
      <c r="AL3719" s="8" t="str">
        <f t="shared" si="236"/>
        <v/>
      </c>
    </row>
    <row r="3720" spans="1:38" x14ac:dyDescent="0.25">
      <c r="A3720" s="8" t="s">
        <v>1526</v>
      </c>
      <c r="B3720" s="8" t="s">
        <v>1527</v>
      </c>
      <c r="C3720" s="8">
        <v>30833105</v>
      </c>
      <c r="D3720" s="8">
        <v>5</v>
      </c>
      <c r="E3720" s="11">
        <v>43109</v>
      </c>
      <c r="F3720" s="8" t="s">
        <v>58</v>
      </c>
      <c r="G3720" s="11">
        <v>43109</v>
      </c>
      <c r="H3720" s="8" t="s">
        <v>25</v>
      </c>
      <c r="I3720" s="11">
        <v>43111</v>
      </c>
      <c r="J3720" s="8" t="s">
        <v>25</v>
      </c>
      <c r="N3720" s="8" t="s">
        <v>58</v>
      </c>
      <c r="O3720" s="8" t="s">
        <v>59</v>
      </c>
      <c r="P3720" s="8" t="s">
        <v>59</v>
      </c>
      <c r="R3720" s="8">
        <v>0</v>
      </c>
      <c r="S3720" s="8">
        <v>0</v>
      </c>
      <c r="T3720" s="8">
        <v>1</v>
      </c>
      <c r="U3720" s="8">
        <v>2</v>
      </c>
      <c r="X3720" s="8">
        <v>5</v>
      </c>
      <c r="AG3720" s="8" t="str">
        <f t="shared" si="233"/>
        <v/>
      </c>
      <c r="AI3720" s="8" t="str">
        <f t="shared" si="234"/>
        <v/>
      </c>
      <c r="AJ3720" s="8" t="str">
        <f t="shared" si="235"/>
        <v/>
      </c>
      <c r="AL3720" s="8" t="str">
        <f t="shared" si="236"/>
        <v/>
      </c>
    </row>
    <row r="3721" spans="1:38" x14ac:dyDescent="0.25">
      <c r="A3721" s="8" t="s">
        <v>1528</v>
      </c>
      <c r="B3721" s="8" t="s">
        <v>1529</v>
      </c>
      <c r="C3721" s="8">
        <v>30840632</v>
      </c>
      <c r="D3721" s="8">
        <v>5</v>
      </c>
      <c r="E3721" s="11">
        <v>43109</v>
      </c>
      <c r="F3721" s="8" t="s">
        <v>58</v>
      </c>
      <c r="G3721" s="11">
        <v>43109</v>
      </c>
      <c r="H3721" s="8" t="s">
        <v>25</v>
      </c>
      <c r="I3721" s="11">
        <v>43115</v>
      </c>
      <c r="J3721" s="8" t="s">
        <v>145</v>
      </c>
      <c r="N3721" s="8" t="s">
        <v>58</v>
      </c>
      <c r="O3721" s="8" t="s">
        <v>59</v>
      </c>
      <c r="P3721" s="8" t="s">
        <v>59</v>
      </c>
      <c r="R3721" s="8">
        <v>0</v>
      </c>
      <c r="S3721" s="8">
        <v>0</v>
      </c>
      <c r="T3721" s="8">
        <v>1</v>
      </c>
      <c r="U3721" s="8">
        <v>2</v>
      </c>
      <c r="X3721" s="8">
        <v>5</v>
      </c>
      <c r="AG3721" s="8" t="str">
        <f t="shared" si="233"/>
        <v/>
      </c>
      <c r="AI3721" s="8" t="str">
        <f t="shared" si="234"/>
        <v/>
      </c>
      <c r="AJ3721" s="8" t="str">
        <f t="shared" si="235"/>
        <v/>
      </c>
      <c r="AL3721" s="8" t="str">
        <f t="shared" si="236"/>
        <v/>
      </c>
    </row>
    <row r="3722" spans="1:38" x14ac:dyDescent="0.25">
      <c r="A3722" s="8" t="s">
        <v>1530</v>
      </c>
      <c r="B3722" s="8" t="s">
        <v>1531</v>
      </c>
      <c r="C3722" s="8">
        <v>30834274</v>
      </c>
      <c r="D3722" s="8">
        <v>4</v>
      </c>
      <c r="E3722" s="11">
        <v>43109</v>
      </c>
      <c r="F3722" s="8" t="s">
        <v>58</v>
      </c>
      <c r="G3722" s="11">
        <v>43109</v>
      </c>
      <c r="H3722" s="8" t="s">
        <v>25</v>
      </c>
      <c r="I3722" s="11">
        <v>43111</v>
      </c>
      <c r="J3722" s="8" t="s">
        <v>25</v>
      </c>
      <c r="N3722" s="8" t="s">
        <v>58</v>
      </c>
      <c r="O3722" s="8" t="s">
        <v>59</v>
      </c>
      <c r="P3722" s="8" t="s">
        <v>59</v>
      </c>
      <c r="R3722" s="8">
        <v>0</v>
      </c>
      <c r="S3722" s="8">
        <v>0</v>
      </c>
      <c r="T3722" s="8">
        <v>1</v>
      </c>
      <c r="U3722" s="8">
        <v>2</v>
      </c>
      <c r="X3722" s="8">
        <v>5</v>
      </c>
      <c r="AG3722" s="8" t="str">
        <f t="shared" si="233"/>
        <v/>
      </c>
      <c r="AI3722" s="8" t="str">
        <f t="shared" si="234"/>
        <v/>
      </c>
      <c r="AJ3722" s="8" t="str">
        <f t="shared" si="235"/>
        <v/>
      </c>
      <c r="AL3722" s="8" t="str">
        <f t="shared" si="236"/>
        <v/>
      </c>
    </row>
    <row r="3723" spans="1:38" x14ac:dyDescent="0.25">
      <c r="A3723" s="8" t="s">
        <v>8093</v>
      </c>
      <c r="B3723" s="8" t="s">
        <v>8094</v>
      </c>
      <c r="C3723" s="8">
        <v>30928872</v>
      </c>
      <c r="D3723" s="8">
        <v>5</v>
      </c>
      <c r="E3723" s="11">
        <v>43114</v>
      </c>
      <c r="F3723" s="8" t="s">
        <v>57</v>
      </c>
      <c r="G3723" s="11">
        <v>43115</v>
      </c>
      <c r="H3723" s="8" t="s">
        <v>25</v>
      </c>
      <c r="J3723" s="8" t="s">
        <v>25</v>
      </c>
      <c r="N3723" s="8" t="s">
        <v>58</v>
      </c>
      <c r="O3723" s="8" t="s">
        <v>59</v>
      </c>
      <c r="P3723" s="8" t="s">
        <v>59</v>
      </c>
      <c r="R3723" s="8">
        <v>0</v>
      </c>
      <c r="S3723" s="8">
        <v>0</v>
      </c>
      <c r="T3723" s="8">
        <v>1</v>
      </c>
      <c r="U3723" s="8">
        <v>2</v>
      </c>
      <c r="AG3723" s="8" t="str">
        <f t="shared" si="233"/>
        <v/>
      </c>
      <c r="AI3723" s="8" t="str">
        <f t="shared" si="234"/>
        <v/>
      </c>
      <c r="AJ3723" s="8" t="str">
        <f t="shared" si="235"/>
        <v/>
      </c>
      <c r="AL3723" s="8" t="str">
        <f t="shared" si="236"/>
        <v/>
      </c>
    </row>
    <row r="3724" spans="1:38" x14ac:dyDescent="0.25">
      <c r="A3724" s="8" t="s">
        <v>1532</v>
      </c>
      <c r="B3724" s="8" t="s">
        <v>1533</v>
      </c>
      <c r="C3724" s="8">
        <v>30820974</v>
      </c>
      <c r="D3724" s="8">
        <v>5</v>
      </c>
      <c r="E3724" s="11">
        <v>43108</v>
      </c>
      <c r="F3724" s="8" t="s">
        <v>57</v>
      </c>
      <c r="G3724" s="11">
        <v>43109</v>
      </c>
      <c r="H3724" s="8" t="s">
        <v>25</v>
      </c>
      <c r="J3724" s="8" t="s">
        <v>25</v>
      </c>
      <c r="N3724" s="8" t="s">
        <v>58</v>
      </c>
      <c r="O3724" s="8" t="s">
        <v>59</v>
      </c>
      <c r="P3724" s="8" t="s">
        <v>59</v>
      </c>
      <c r="R3724" s="8">
        <v>0</v>
      </c>
      <c r="S3724" s="8">
        <v>0</v>
      </c>
      <c r="T3724" s="8">
        <v>1</v>
      </c>
      <c r="U3724" s="8">
        <v>2</v>
      </c>
      <c r="AG3724" s="8" t="str">
        <f t="shared" si="233"/>
        <v/>
      </c>
      <c r="AI3724" s="8" t="str">
        <f t="shared" si="234"/>
        <v/>
      </c>
      <c r="AJ3724" s="8" t="str">
        <f t="shared" si="235"/>
        <v/>
      </c>
      <c r="AL3724" s="8" t="str">
        <f t="shared" si="236"/>
        <v/>
      </c>
    </row>
    <row r="3725" spans="1:38" x14ac:dyDescent="0.25">
      <c r="A3725" s="8" t="s">
        <v>8095</v>
      </c>
      <c r="B3725" s="8" t="s">
        <v>8096</v>
      </c>
      <c r="C3725" s="8">
        <v>30943910</v>
      </c>
      <c r="D3725" s="8">
        <v>5</v>
      </c>
      <c r="E3725" s="11">
        <v>43115</v>
      </c>
      <c r="F3725" s="8" t="s">
        <v>57</v>
      </c>
      <c r="G3725" s="11">
        <v>43115</v>
      </c>
      <c r="H3725" s="8" t="s">
        <v>25</v>
      </c>
      <c r="J3725" s="8" t="s">
        <v>25</v>
      </c>
      <c r="N3725" s="8" t="s">
        <v>58</v>
      </c>
      <c r="O3725" s="8" t="s">
        <v>59</v>
      </c>
      <c r="P3725" s="8" t="s">
        <v>59</v>
      </c>
      <c r="R3725" s="8">
        <v>0</v>
      </c>
      <c r="S3725" s="8">
        <v>0</v>
      </c>
      <c r="T3725" s="8">
        <v>1</v>
      </c>
      <c r="U3725" s="8">
        <v>2</v>
      </c>
      <c r="AG3725" s="8" t="str">
        <f t="shared" si="233"/>
        <v/>
      </c>
      <c r="AI3725" s="8" t="str">
        <f t="shared" si="234"/>
        <v/>
      </c>
      <c r="AJ3725" s="8" t="str">
        <f t="shared" si="235"/>
        <v/>
      </c>
      <c r="AL3725" s="8" t="str">
        <f t="shared" si="236"/>
        <v/>
      </c>
    </row>
    <row r="3726" spans="1:38" x14ac:dyDescent="0.25">
      <c r="A3726" s="8" t="s">
        <v>1534</v>
      </c>
      <c r="B3726" s="8" t="s">
        <v>1535</v>
      </c>
      <c r="C3726" s="8">
        <v>30832946</v>
      </c>
      <c r="D3726" s="8">
        <v>5</v>
      </c>
      <c r="E3726" s="11">
        <v>43109</v>
      </c>
      <c r="F3726" s="8" t="s">
        <v>58</v>
      </c>
      <c r="G3726" s="11">
        <v>43109</v>
      </c>
      <c r="H3726" s="8" t="s">
        <v>25</v>
      </c>
      <c r="I3726" s="11">
        <v>43109</v>
      </c>
      <c r="J3726" s="8" t="s">
        <v>25</v>
      </c>
      <c r="N3726" s="8" t="s">
        <v>58</v>
      </c>
      <c r="O3726" s="8" t="s">
        <v>59</v>
      </c>
      <c r="P3726" s="8" t="s">
        <v>59</v>
      </c>
      <c r="R3726" s="8">
        <v>0</v>
      </c>
      <c r="S3726" s="8">
        <v>0</v>
      </c>
      <c r="T3726" s="8">
        <v>1</v>
      </c>
      <c r="U3726" s="8">
        <v>2</v>
      </c>
      <c r="X3726" s="8">
        <v>5</v>
      </c>
      <c r="AG3726" s="8" t="str">
        <f t="shared" si="233"/>
        <v/>
      </c>
      <c r="AI3726" s="8" t="str">
        <f t="shared" si="234"/>
        <v/>
      </c>
      <c r="AJ3726" s="8" t="str">
        <f t="shared" si="235"/>
        <v/>
      </c>
      <c r="AL3726" s="8" t="str">
        <f t="shared" si="236"/>
        <v/>
      </c>
    </row>
    <row r="3727" spans="1:38" x14ac:dyDescent="0.25">
      <c r="A3727" s="8" t="s">
        <v>4567</v>
      </c>
      <c r="B3727" s="8" t="s">
        <v>4568</v>
      </c>
      <c r="C3727" s="8">
        <v>30893249</v>
      </c>
      <c r="D3727" s="8">
        <v>5</v>
      </c>
      <c r="E3727" s="11">
        <v>43111</v>
      </c>
      <c r="F3727" s="8" t="s">
        <v>58</v>
      </c>
      <c r="G3727" s="11">
        <v>43111</v>
      </c>
      <c r="H3727" s="8" t="s">
        <v>25</v>
      </c>
      <c r="I3727" s="11">
        <v>43111</v>
      </c>
      <c r="J3727" s="8" t="s">
        <v>25</v>
      </c>
      <c r="N3727" s="8" t="s">
        <v>58</v>
      </c>
      <c r="O3727" s="8" t="s">
        <v>59</v>
      </c>
      <c r="P3727" s="8" t="s">
        <v>59</v>
      </c>
      <c r="R3727" s="8">
        <v>0</v>
      </c>
      <c r="S3727" s="8">
        <v>0</v>
      </c>
      <c r="T3727" s="8">
        <v>1</v>
      </c>
      <c r="U3727" s="8">
        <v>2</v>
      </c>
      <c r="X3727" s="8">
        <v>5</v>
      </c>
      <c r="AG3727" s="8" t="str">
        <f t="shared" si="233"/>
        <v/>
      </c>
      <c r="AI3727" s="8" t="str">
        <f t="shared" si="234"/>
        <v/>
      </c>
      <c r="AJ3727" s="8" t="str">
        <f t="shared" si="235"/>
        <v/>
      </c>
      <c r="AL3727" s="8" t="str">
        <f t="shared" si="236"/>
        <v/>
      </c>
    </row>
    <row r="3728" spans="1:38" x14ac:dyDescent="0.25">
      <c r="A3728" s="8" t="s">
        <v>1536</v>
      </c>
      <c r="B3728" s="8" t="s">
        <v>1537</v>
      </c>
      <c r="C3728" s="8">
        <v>30811680</v>
      </c>
      <c r="D3728" s="8">
        <v>5</v>
      </c>
      <c r="E3728" s="11">
        <v>43108</v>
      </c>
      <c r="F3728" s="8" t="s">
        <v>58</v>
      </c>
      <c r="G3728" s="11">
        <v>43109</v>
      </c>
      <c r="H3728" s="8" t="s">
        <v>25</v>
      </c>
      <c r="I3728" s="11">
        <v>43109</v>
      </c>
      <c r="J3728" s="8" t="s">
        <v>25</v>
      </c>
      <c r="N3728" s="8" t="s">
        <v>58</v>
      </c>
      <c r="O3728" s="8" t="s">
        <v>59</v>
      </c>
      <c r="P3728" s="8" t="s">
        <v>59</v>
      </c>
      <c r="R3728" s="8">
        <v>0</v>
      </c>
      <c r="S3728" s="8">
        <v>0</v>
      </c>
      <c r="T3728" s="8">
        <v>1</v>
      </c>
      <c r="U3728" s="8">
        <v>2</v>
      </c>
      <c r="X3728" s="8">
        <v>5</v>
      </c>
      <c r="AG3728" s="8" t="str">
        <f t="shared" si="233"/>
        <v/>
      </c>
      <c r="AI3728" s="8" t="str">
        <f t="shared" si="234"/>
        <v/>
      </c>
      <c r="AJ3728" s="8" t="str">
        <f t="shared" si="235"/>
        <v/>
      </c>
      <c r="AL3728" s="8" t="str">
        <f t="shared" si="236"/>
        <v/>
      </c>
    </row>
    <row r="3729" spans="1:38" x14ac:dyDescent="0.25">
      <c r="A3729" s="8" t="s">
        <v>6370</v>
      </c>
      <c r="B3729" s="8" t="s">
        <v>6371</v>
      </c>
      <c r="C3729" s="8">
        <v>30911099</v>
      </c>
      <c r="D3729" s="8">
        <v>5</v>
      </c>
      <c r="E3729" s="11">
        <v>43112</v>
      </c>
      <c r="F3729" s="8" t="s">
        <v>58</v>
      </c>
      <c r="G3729" s="11">
        <v>43114</v>
      </c>
      <c r="H3729" s="8" t="s">
        <v>25</v>
      </c>
      <c r="I3729" s="11">
        <v>43115</v>
      </c>
      <c r="J3729" s="8" t="s">
        <v>25</v>
      </c>
      <c r="N3729" s="8" t="s">
        <v>58</v>
      </c>
      <c r="O3729" s="8" t="s">
        <v>59</v>
      </c>
      <c r="P3729" s="8" t="s">
        <v>59</v>
      </c>
      <c r="R3729" s="8">
        <v>0</v>
      </c>
      <c r="S3729" s="8">
        <v>0</v>
      </c>
      <c r="T3729" s="8">
        <v>1</v>
      </c>
      <c r="U3729" s="8">
        <v>2</v>
      </c>
      <c r="X3729" s="8">
        <v>5</v>
      </c>
      <c r="AG3729" s="8" t="str">
        <f t="shared" si="233"/>
        <v/>
      </c>
      <c r="AI3729" s="8" t="str">
        <f t="shared" si="234"/>
        <v/>
      </c>
      <c r="AJ3729" s="8" t="str">
        <f t="shared" si="235"/>
        <v/>
      </c>
      <c r="AL3729" s="8" t="str">
        <f t="shared" si="236"/>
        <v/>
      </c>
    </row>
    <row r="3730" spans="1:38" x14ac:dyDescent="0.25">
      <c r="A3730" s="8" t="s">
        <v>3118</v>
      </c>
      <c r="B3730" s="8" t="s">
        <v>3119</v>
      </c>
      <c r="C3730" s="8">
        <v>30866559</v>
      </c>
      <c r="D3730" s="8">
        <v>5</v>
      </c>
      <c r="E3730" s="11">
        <v>43110</v>
      </c>
      <c r="F3730" s="8" t="s">
        <v>58</v>
      </c>
      <c r="G3730" s="11">
        <v>43110</v>
      </c>
      <c r="H3730" s="8" t="s">
        <v>25</v>
      </c>
      <c r="I3730" s="11">
        <v>43110</v>
      </c>
      <c r="J3730" s="8" t="s">
        <v>25</v>
      </c>
      <c r="N3730" s="8" t="s">
        <v>58</v>
      </c>
      <c r="O3730" s="8" t="s">
        <v>59</v>
      </c>
      <c r="P3730" s="8" t="s">
        <v>59</v>
      </c>
      <c r="R3730" s="8">
        <v>0</v>
      </c>
      <c r="S3730" s="8">
        <v>0</v>
      </c>
      <c r="T3730" s="8">
        <v>1</v>
      </c>
      <c r="U3730" s="8">
        <v>2</v>
      </c>
      <c r="X3730" s="8">
        <v>5</v>
      </c>
      <c r="AG3730" s="8" t="str">
        <f t="shared" si="233"/>
        <v/>
      </c>
      <c r="AI3730" s="8" t="str">
        <f t="shared" si="234"/>
        <v/>
      </c>
      <c r="AJ3730" s="8" t="str">
        <f t="shared" si="235"/>
        <v/>
      </c>
      <c r="AL3730" s="8" t="str">
        <f t="shared" si="236"/>
        <v/>
      </c>
    </row>
    <row r="3731" spans="1:38" x14ac:dyDescent="0.25">
      <c r="A3731" s="8" t="s">
        <v>3120</v>
      </c>
      <c r="B3731" s="8" t="s">
        <v>3121</v>
      </c>
      <c r="C3731" s="8">
        <v>30863530</v>
      </c>
      <c r="D3731" s="8">
        <v>5</v>
      </c>
      <c r="E3731" s="11">
        <v>43110</v>
      </c>
      <c r="F3731" s="8" t="s">
        <v>58</v>
      </c>
      <c r="G3731" s="11">
        <v>43110</v>
      </c>
      <c r="H3731" s="8" t="s">
        <v>25</v>
      </c>
      <c r="I3731" s="11">
        <v>43110</v>
      </c>
      <c r="J3731" s="8" t="s">
        <v>25</v>
      </c>
      <c r="N3731" s="8" t="s">
        <v>58</v>
      </c>
      <c r="O3731" s="8" t="s">
        <v>59</v>
      </c>
      <c r="P3731" s="8" t="s">
        <v>59</v>
      </c>
      <c r="R3731" s="8">
        <v>0</v>
      </c>
      <c r="S3731" s="8">
        <v>0</v>
      </c>
      <c r="T3731" s="8">
        <v>1</v>
      </c>
      <c r="U3731" s="8">
        <v>2</v>
      </c>
      <c r="X3731" s="8">
        <v>5</v>
      </c>
      <c r="AG3731" s="8" t="str">
        <f t="shared" si="233"/>
        <v/>
      </c>
      <c r="AI3731" s="8" t="str">
        <f t="shared" si="234"/>
        <v/>
      </c>
      <c r="AJ3731" s="8" t="str">
        <f t="shared" si="235"/>
        <v/>
      </c>
      <c r="AL3731" s="8" t="str">
        <f t="shared" si="236"/>
        <v/>
      </c>
    </row>
    <row r="3732" spans="1:38" x14ac:dyDescent="0.25">
      <c r="A3732" s="8" t="s">
        <v>6372</v>
      </c>
      <c r="B3732" s="8" t="s">
        <v>6373</v>
      </c>
      <c r="C3732" s="8">
        <v>30906127</v>
      </c>
      <c r="D3732" s="8">
        <v>5</v>
      </c>
      <c r="E3732" s="11">
        <v>43112</v>
      </c>
      <c r="F3732" s="8" t="s">
        <v>57</v>
      </c>
      <c r="G3732" s="11">
        <v>43114</v>
      </c>
      <c r="H3732" s="8" t="s">
        <v>25</v>
      </c>
      <c r="J3732" s="8" t="s">
        <v>25</v>
      </c>
      <c r="N3732" s="8" t="s">
        <v>58</v>
      </c>
      <c r="O3732" s="8" t="s">
        <v>59</v>
      </c>
      <c r="P3732" s="8" t="s">
        <v>59</v>
      </c>
      <c r="R3732" s="8">
        <v>0</v>
      </c>
      <c r="S3732" s="8">
        <v>0</v>
      </c>
      <c r="T3732" s="8">
        <v>1</v>
      </c>
      <c r="U3732" s="8">
        <v>2</v>
      </c>
      <c r="AG3732" s="8" t="str">
        <f t="shared" si="233"/>
        <v/>
      </c>
      <c r="AI3732" s="8" t="str">
        <f t="shared" si="234"/>
        <v/>
      </c>
      <c r="AJ3732" s="8" t="str">
        <f t="shared" si="235"/>
        <v/>
      </c>
      <c r="AL3732" s="8" t="str">
        <f t="shared" si="236"/>
        <v/>
      </c>
    </row>
    <row r="3733" spans="1:38" x14ac:dyDescent="0.25">
      <c r="A3733" s="8" t="s">
        <v>4569</v>
      </c>
      <c r="B3733" s="8" t="s">
        <v>4570</v>
      </c>
      <c r="C3733" s="8">
        <v>30893071</v>
      </c>
      <c r="D3733" s="8">
        <v>5</v>
      </c>
      <c r="E3733" s="11">
        <v>43111</v>
      </c>
      <c r="F3733" s="8" t="s">
        <v>58</v>
      </c>
      <c r="G3733" s="11">
        <v>43111</v>
      </c>
      <c r="H3733" s="8" t="s">
        <v>25</v>
      </c>
      <c r="I3733" s="11">
        <v>43111</v>
      </c>
      <c r="J3733" s="8" t="s">
        <v>25</v>
      </c>
      <c r="N3733" s="8" t="s">
        <v>58</v>
      </c>
      <c r="O3733" s="8" t="s">
        <v>59</v>
      </c>
      <c r="P3733" s="8" t="s">
        <v>59</v>
      </c>
      <c r="R3733" s="8">
        <v>0</v>
      </c>
      <c r="S3733" s="8">
        <v>0</v>
      </c>
      <c r="T3733" s="8">
        <v>1</v>
      </c>
      <c r="U3733" s="8">
        <v>2</v>
      </c>
      <c r="X3733" s="8">
        <v>5</v>
      </c>
      <c r="AG3733" s="8" t="str">
        <f t="shared" si="233"/>
        <v/>
      </c>
      <c r="AI3733" s="8" t="str">
        <f t="shared" si="234"/>
        <v/>
      </c>
      <c r="AJ3733" s="8" t="str">
        <f t="shared" si="235"/>
        <v/>
      </c>
      <c r="AL3733" s="8" t="str">
        <f t="shared" si="236"/>
        <v/>
      </c>
    </row>
    <row r="3734" spans="1:38" x14ac:dyDescent="0.25">
      <c r="A3734" s="8" t="s">
        <v>4571</v>
      </c>
      <c r="B3734" s="8" t="s">
        <v>4572</v>
      </c>
      <c r="C3734" s="8">
        <v>30873383</v>
      </c>
      <c r="D3734" s="8">
        <v>5</v>
      </c>
      <c r="E3734" s="11">
        <v>43110</v>
      </c>
      <c r="F3734" s="8" t="s">
        <v>58</v>
      </c>
      <c r="G3734" s="11">
        <v>43111</v>
      </c>
      <c r="H3734" s="8" t="s">
        <v>25</v>
      </c>
      <c r="I3734" s="11">
        <v>43111</v>
      </c>
      <c r="J3734" s="8" t="s">
        <v>25</v>
      </c>
      <c r="N3734" s="8" t="s">
        <v>58</v>
      </c>
      <c r="O3734" s="8" t="s">
        <v>59</v>
      </c>
      <c r="P3734" s="8" t="s">
        <v>59</v>
      </c>
      <c r="R3734" s="8">
        <v>0</v>
      </c>
      <c r="S3734" s="8">
        <v>0</v>
      </c>
      <c r="T3734" s="8">
        <v>1</v>
      </c>
      <c r="U3734" s="8">
        <v>2</v>
      </c>
      <c r="X3734" s="8">
        <v>5</v>
      </c>
      <c r="AG3734" s="8" t="str">
        <f t="shared" si="233"/>
        <v/>
      </c>
      <c r="AI3734" s="8" t="str">
        <f t="shared" si="234"/>
        <v/>
      </c>
      <c r="AJ3734" s="8" t="str">
        <f t="shared" si="235"/>
        <v/>
      </c>
      <c r="AL3734" s="8" t="str">
        <f t="shared" si="236"/>
        <v/>
      </c>
    </row>
    <row r="3735" spans="1:38" x14ac:dyDescent="0.25">
      <c r="A3735" s="8" t="s">
        <v>4573</v>
      </c>
      <c r="B3735" s="8" t="s">
        <v>4574</v>
      </c>
      <c r="C3735" s="8">
        <v>30891065</v>
      </c>
      <c r="D3735" s="8">
        <v>5</v>
      </c>
      <c r="E3735" s="11">
        <v>43111</v>
      </c>
      <c r="F3735" s="8" t="s">
        <v>58</v>
      </c>
      <c r="G3735" s="11">
        <v>43111</v>
      </c>
      <c r="H3735" s="8" t="s">
        <v>25</v>
      </c>
      <c r="I3735" s="11">
        <v>43111</v>
      </c>
      <c r="J3735" s="8" t="s">
        <v>25</v>
      </c>
      <c r="N3735" s="8" t="s">
        <v>58</v>
      </c>
      <c r="O3735" s="8" t="s">
        <v>59</v>
      </c>
      <c r="P3735" s="8" t="s">
        <v>59</v>
      </c>
      <c r="R3735" s="8">
        <v>0</v>
      </c>
      <c r="S3735" s="8">
        <v>0</v>
      </c>
      <c r="T3735" s="8">
        <v>1</v>
      </c>
      <c r="U3735" s="8">
        <v>2</v>
      </c>
      <c r="X3735" s="8">
        <v>5</v>
      </c>
      <c r="AG3735" s="8" t="str">
        <f t="shared" si="233"/>
        <v/>
      </c>
      <c r="AI3735" s="8" t="str">
        <f t="shared" si="234"/>
        <v/>
      </c>
      <c r="AJ3735" s="8" t="str">
        <f t="shared" si="235"/>
        <v/>
      </c>
      <c r="AL3735" s="8" t="str">
        <f t="shared" si="236"/>
        <v/>
      </c>
    </row>
    <row r="3736" spans="1:38" x14ac:dyDescent="0.25">
      <c r="A3736" s="8" t="s">
        <v>1538</v>
      </c>
      <c r="B3736" s="8" t="s">
        <v>1539</v>
      </c>
      <c r="C3736" s="8">
        <v>30811744</v>
      </c>
      <c r="D3736" s="8">
        <v>5</v>
      </c>
      <c r="E3736" s="11">
        <v>43108</v>
      </c>
      <c r="F3736" s="8" t="s">
        <v>58</v>
      </c>
      <c r="G3736" s="11">
        <v>43109</v>
      </c>
      <c r="H3736" s="8" t="s">
        <v>25</v>
      </c>
      <c r="I3736" s="11">
        <v>43110</v>
      </c>
      <c r="J3736" s="8" t="s">
        <v>25</v>
      </c>
      <c r="N3736" s="8" t="s">
        <v>58</v>
      </c>
      <c r="O3736" s="8" t="s">
        <v>59</v>
      </c>
      <c r="P3736" s="8" t="s">
        <v>59</v>
      </c>
      <c r="R3736" s="8">
        <v>0</v>
      </c>
      <c r="S3736" s="8">
        <v>0</v>
      </c>
      <c r="T3736" s="8">
        <v>1</v>
      </c>
      <c r="U3736" s="8">
        <v>2</v>
      </c>
      <c r="X3736" s="8">
        <v>5</v>
      </c>
      <c r="AG3736" s="8" t="str">
        <f t="shared" si="233"/>
        <v/>
      </c>
      <c r="AI3736" s="8" t="str">
        <f t="shared" si="234"/>
        <v/>
      </c>
      <c r="AJ3736" s="8" t="str">
        <f t="shared" si="235"/>
        <v/>
      </c>
      <c r="AL3736" s="8" t="str">
        <f t="shared" si="236"/>
        <v/>
      </c>
    </row>
    <row r="3737" spans="1:38" x14ac:dyDescent="0.25">
      <c r="A3737" s="8" t="s">
        <v>1540</v>
      </c>
      <c r="B3737" s="8" t="s">
        <v>1541</v>
      </c>
      <c r="C3737" s="8">
        <v>30812183</v>
      </c>
      <c r="D3737" s="8">
        <v>5</v>
      </c>
      <c r="E3737" s="11">
        <v>43108</v>
      </c>
      <c r="F3737" s="8" t="s">
        <v>58</v>
      </c>
      <c r="G3737" s="11">
        <v>43109</v>
      </c>
      <c r="H3737" s="8" t="s">
        <v>25</v>
      </c>
      <c r="I3737" s="11">
        <v>43110</v>
      </c>
      <c r="J3737" s="8" t="s">
        <v>25</v>
      </c>
      <c r="N3737" s="8" t="s">
        <v>58</v>
      </c>
      <c r="O3737" s="8" t="s">
        <v>59</v>
      </c>
      <c r="P3737" s="8" t="s">
        <v>59</v>
      </c>
      <c r="R3737" s="8">
        <v>0</v>
      </c>
      <c r="S3737" s="8">
        <v>0</v>
      </c>
      <c r="T3737" s="8">
        <v>1</v>
      </c>
      <c r="U3737" s="8">
        <v>2</v>
      </c>
      <c r="X3737" s="8">
        <v>5</v>
      </c>
      <c r="AG3737" s="8" t="str">
        <f t="shared" si="233"/>
        <v/>
      </c>
      <c r="AI3737" s="8" t="str">
        <f t="shared" si="234"/>
        <v/>
      </c>
      <c r="AJ3737" s="8" t="str">
        <f t="shared" si="235"/>
        <v/>
      </c>
      <c r="AL3737" s="8" t="str">
        <f t="shared" si="236"/>
        <v/>
      </c>
    </row>
    <row r="3738" spans="1:38" x14ac:dyDescent="0.25">
      <c r="A3738" s="8" t="s">
        <v>6374</v>
      </c>
      <c r="B3738" s="8" t="s">
        <v>6375</v>
      </c>
      <c r="C3738" s="8">
        <v>30914359</v>
      </c>
      <c r="D3738" s="8">
        <v>5</v>
      </c>
      <c r="E3738" s="11">
        <v>43112</v>
      </c>
      <c r="F3738" s="8" t="s">
        <v>57</v>
      </c>
      <c r="G3738" s="11">
        <v>43114</v>
      </c>
      <c r="H3738" s="8" t="s">
        <v>25</v>
      </c>
      <c r="J3738" s="8" t="s">
        <v>25</v>
      </c>
      <c r="N3738" s="8" t="s">
        <v>58</v>
      </c>
      <c r="O3738" s="8" t="s">
        <v>59</v>
      </c>
      <c r="P3738" s="8" t="s">
        <v>59</v>
      </c>
      <c r="R3738" s="8">
        <v>0</v>
      </c>
      <c r="S3738" s="8">
        <v>0</v>
      </c>
      <c r="T3738" s="8">
        <v>1</v>
      </c>
      <c r="U3738" s="8">
        <v>2</v>
      </c>
      <c r="AG3738" s="8" t="str">
        <f t="shared" si="233"/>
        <v/>
      </c>
      <c r="AI3738" s="8" t="str">
        <f t="shared" si="234"/>
        <v/>
      </c>
      <c r="AJ3738" s="8" t="str">
        <f t="shared" si="235"/>
        <v/>
      </c>
      <c r="AL3738" s="8" t="str">
        <f t="shared" si="236"/>
        <v/>
      </c>
    </row>
    <row r="3739" spans="1:38" x14ac:dyDescent="0.25">
      <c r="A3739" s="8" t="s">
        <v>8097</v>
      </c>
      <c r="B3739" s="8" t="s">
        <v>8098</v>
      </c>
      <c r="C3739" s="8">
        <v>30934273</v>
      </c>
      <c r="D3739" s="8">
        <v>5</v>
      </c>
      <c r="E3739" s="11">
        <v>43115</v>
      </c>
      <c r="F3739" s="8" t="s">
        <v>58</v>
      </c>
      <c r="G3739" s="11">
        <v>43115</v>
      </c>
      <c r="H3739" s="8" t="s">
        <v>25</v>
      </c>
      <c r="I3739" s="11">
        <v>43115</v>
      </c>
      <c r="J3739" s="8" t="s">
        <v>25</v>
      </c>
      <c r="N3739" s="8" t="s">
        <v>58</v>
      </c>
      <c r="O3739" s="8" t="s">
        <v>59</v>
      </c>
      <c r="P3739" s="8" t="s">
        <v>59</v>
      </c>
      <c r="R3739" s="8">
        <v>0</v>
      </c>
      <c r="S3739" s="8">
        <v>0</v>
      </c>
      <c r="T3739" s="8">
        <v>1</v>
      </c>
      <c r="U3739" s="8">
        <v>2</v>
      </c>
      <c r="X3739" s="8">
        <v>5</v>
      </c>
      <c r="AG3739" s="8" t="str">
        <f t="shared" si="233"/>
        <v/>
      </c>
      <c r="AI3739" s="8" t="str">
        <f t="shared" si="234"/>
        <v/>
      </c>
      <c r="AJ3739" s="8" t="str">
        <f t="shared" si="235"/>
        <v/>
      </c>
      <c r="AL3739" s="8" t="str">
        <f t="shared" si="236"/>
        <v/>
      </c>
    </row>
    <row r="3740" spans="1:38" x14ac:dyDescent="0.25">
      <c r="A3740" s="8" t="s">
        <v>1542</v>
      </c>
      <c r="B3740" s="8" t="s">
        <v>1543</v>
      </c>
      <c r="C3740" s="8">
        <v>30837773</v>
      </c>
      <c r="D3740" s="8">
        <v>5</v>
      </c>
      <c r="E3740" s="11">
        <v>43109</v>
      </c>
      <c r="F3740" s="8" t="s">
        <v>58</v>
      </c>
      <c r="G3740" s="11">
        <v>43109</v>
      </c>
      <c r="H3740" s="8" t="s">
        <v>25</v>
      </c>
      <c r="I3740" s="11">
        <v>43109</v>
      </c>
      <c r="J3740" s="8" t="s">
        <v>25</v>
      </c>
      <c r="N3740" s="8" t="s">
        <v>58</v>
      </c>
      <c r="O3740" s="8" t="s">
        <v>59</v>
      </c>
      <c r="P3740" s="8" t="s">
        <v>59</v>
      </c>
      <c r="R3740" s="8">
        <v>0</v>
      </c>
      <c r="S3740" s="8">
        <v>0</v>
      </c>
      <c r="T3740" s="8">
        <v>1</v>
      </c>
      <c r="U3740" s="8">
        <v>2</v>
      </c>
      <c r="X3740" s="8">
        <v>5</v>
      </c>
      <c r="AG3740" s="8" t="str">
        <f t="shared" si="233"/>
        <v/>
      </c>
      <c r="AI3740" s="8" t="str">
        <f t="shared" si="234"/>
        <v/>
      </c>
      <c r="AJ3740" s="8" t="str">
        <f t="shared" si="235"/>
        <v/>
      </c>
      <c r="AL3740" s="8" t="str">
        <f t="shared" si="236"/>
        <v/>
      </c>
    </row>
    <row r="3741" spans="1:38" x14ac:dyDescent="0.25">
      <c r="A3741" s="8" t="s">
        <v>3122</v>
      </c>
      <c r="B3741" s="8" t="s">
        <v>3123</v>
      </c>
      <c r="C3741" s="8">
        <v>30861711</v>
      </c>
      <c r="D3741" s="8">
        <v>5</v>
      </c>
      <c r="E3741" s="11">
        <v>43110</v>
      </c>
      <c r="F3741" s="8" t="s">
        <v>57</v>
      </c>
      <c r="G3741" s="11">
        <v>43110</v>
      </c>
      <c r="H3741" s="8" t="s">
        <v>25</v>
      </c>
      <c r="J3741" s="8" t="s">
        <v>25</v>
      </c>
      <c r="N3741" s="8" t="s">
        <v>58</v>
      </c>
      <c r="O3741" s="8" t="s">
        <v>59</v>
      </c>
      <c r="P3741" s="8" t="s">
        <v>59</v>
      </c>
      <c r="R3741" s="8">
        <v>0</v>
      </c>
      <c r="S3741" s="8">
        <v>0</v>
      </c>
      <c r="T3741" s="8">
        <v>1</v>
      </c>
      <c r="U3741" s="8">
        <v>2</v>
      </c>
      <c r="Y3741" s="8">
        <v>6</v>
      </c>
      <c r="Z3741" s="8">
        <v>7</v>
      </c>
      <c r="AG3741" s="8" t="str">
        <f t="shared" si="233"/>
        <v/>
      </c>
      <c r="AI3741" s="8" t="str">
        <f t="shared" si="234"/>
        <v/>
      </c>
      <c r="AJ3741" s="8" t="str">
        <f t="shared" si="235"/>
        <v/>
      </c>
      <c r="AL3741" s="8" t="str">
        <f t="shared" si="236"/>
        <v/>
      </c>
    </row>
    <row r="3742" spans="1:38" x14ac:dyDescent="0.25">
      <c r="A3742" s="8" t="s">
        <v>3124</v>
      </c>
      <c r="B3742" s="8" t="s">
        <v>3125</v>
      </c>
      <c r="C3742" s="8">
        <v>30863581</v>
      </c>
      <c r="D3742" s="8">
        <v>5</v>
      </c>
      <c r="E3742" s="11">
        <v>43110</v>
      </c>
      <c r="F3742" s="8" t="s">
        <v>58</v>
      </c>
      <c r="G3742" s="11">
        <v>43110</v>
      </c>
      <c r="H3742" s="8" t="s">
        <v>25</v>
      </c>
      <c r="I3742" s="11">
        <v>43110</v>
      </c>
      <c r="J3742" s="8" t="s">
        <v>25</v>
      </c>
      <c r="N3742" s="8" t="s">
        <v>58</v>
      </c>
      <c r="O3742" s="8" t="s">
        <v>59</v>
      </c>
      <c r="P3742" s="8" t="s">
        <v>59</v>
      </c>
      <c r="R3742" s="8">
        <v>0</v>
      </c>
      <c r="S3742" s="8">
        <v>0</v>
      </c>
      <c r="T3742" s="8">
        <v>1</v>
      </c>
      <c r="U3742" s="8">
        <v>2</v>
      </c>
      <c r="X3742" s="8">
        <v>5</v>
      </c>
      <c r="AG3742" s="8" t="str">
        <f t="shared" si="233"/>
        <v/>
      </c>
      <c r="AI3742" s="8" t="str">
        <f t="shared" si="234"/>
        <v/>
      </c>
      <c r="AJ3742" s="8" t="str">
        <f t="shared" si="235"/>
        <v/>
      </c>
      <c r="AL3742" s="8" t="str">
        <f t="shared" si="236"/>
        <v/>
      </c>
    </row>
    <row r="3743" spans="1:38" x14ac:dyDescent="0.25">
      <c r="A3743" s="8" t="s">
        <v>723</v>
      </c>
      <c r="B3743" s="8" t="s">
        <v>724</v>
      </c>
      <c r="C3743" s="8">
        <v>30826055</v>
      </c>
      <c r="D3743" s="8">
        <v>5</v>
      </c>
      <c r="E3743" s="11">
        <v>43108</v>
      </c>
      <c r="F3743" s="8" t="s">
        <v>62</v>
      </c>
      <c r="G3743" s="11">
        <v>43115</v>
      </c>
      <c r="H3743" s="8" t="s">
        <v>856</v>
      </c>
      <c r="J3743" s="8" t="s">
        <v>25</v>
      </c>
      <c r="M3743" s="8" t="s">
        <v>66</v>
      </c>
      <c r="N3743" s="8" t="s">
        <v>63</v>
      </c>
      <c r="O3743" s="8" t="s">
        <v>59</v>
      </c>
      <c r="P3743" s="8" t="s">
        <v>59</v>
      </c>
      <c r="R3743" s="8">
        <v>0</v>
      </c>
      <c r="S3743" s="8">
        <v>0</v>
      </c>
      <c r="T3743" s="8">
        <v>1</v>
      </c>
      <c r="U3743" s="8">
        <v>2</v>
      </c>
      <c r="AG3743" s="8" t="str">
        <f t="shared" si="233"/>
        <v/>
      </c>
      <c r="AI3743" s="8" t="str">
        <f t="shared" si="234"/>
        <v/>
      </c>
      <c r="AJ3743" s="8" t="str">
        <f t="shared" si="235"/>
        <v/>
      </c>
      <c r="AL3743" s="8" t="str">
        <f t="shared" si="236"/>
        <v/>
      </c>
    </row>
    <row r="3744" spans="1:38" x14ac:dyDescent="0.25">
      <c r="A3744" s="8" t="s">
        <v>3126</v>
      </c>
      <c r="B3744" s="8" t="s">
        <v>3127</v>
      </c>
      <c r="C3744" s="8">
        <v>30847413</v>
      </c>
      <c r="D3744" s="8">
        <v>5</v>
      </c>
      <c r="E3744" s="11">
        <v>43109</v>
      </c>
      <c r="F3744" s="8" t="s">
        <v>58</v>
      </c>
      <c r="G3744" s="11">
        <v>43110</v>
      </c>
      <c r="H3744" s="8" t="s">
        <v>25</v>
      </c>
      <c r="I3744" s="11">
        <v>43110</v>
      </c>
      <c r="J3744" s="8" t="s">
        <v>25</v>
      </c>
      <c r="N3744" s="8" t="s">
        <v>58</v>
      </c>
      <c r="O3744" s="8" t="s">
        <v>59</v>
      </c>
      <c r="P3744" s="8" t="s">
        <v>59</v>
      </c>
      <c r="R3744" s="8">
        <v>0</v>
      </c>
      <c r="S3744" s="8">
        <v>0</v>
      </c>
      <c r="T3744" s="8">
        <v>1</v>
      </c>
      <c r="U3744" s="8">
        <v>2</v>
      </c>
      <c r="X3744" s="8">
        <v>5</v>
      </c>
      <c r="AG3744" s="8" t="str">
        <f t="shared" si="233"/>
        <v/>
      </c>
      <c r="AI3744" s="8" t="str">
        <f t="shared" si="234"/>
        <v/>
      </c>
      <c r="AJ3744" s="8" t="str">
        <f t="shared" si="235"/>
        <v/>
      </c>
      <c r="AL3744" s="8" t="str">
        <f t="shared" si="236"/>
        <v/>
      </c>
    </row>
    <row r="3745" spans="1:38" x14ac:dyDescent="0.25">
      <c r="A3745" s="8" t="s">
        <v>6376</v>
      </c>
      <c r="B3745" s="8" t="s">
        <v>6377</v>
      </c>
      <c r="C3745" s="8">
        <v>30911363</v>
      </c>
      <c r="D3745" s="8">
        <v>5</v>
      </c>
      <c r="E3745" s="11">
        <v>43112</v>
      </c>
      <c r="F3745" s="8" t="s">
        <v>58</v>
      </c>
      <c r="G3745" s="11">
        <v>43112</v>
      </c>
      <c r="H3745" s="8" t="s">
        <v>25</v>
      </c>
      <c r="I3745" s="11">
        <v>43112</v>
      </c>
      <c r="J3745" s="8" t="s">
        <v>25</v>
      </c>
      <c r="N3745" s="8" t="s">
        <v>58</v>
      </c>
      <c r="O3745" s="8" t="s">
        <v>59</v>
      </c>
      <c r="P3745" s="8" t="s">
        <v>59</v>
      </c>
      <c r="R3745" s="8">
        <v>0</v>
      </c>
      <c r="S3745" s="8">
        <v>0</v>
      </c>
      <c r="T3745" s="8">
        <v>1</v>
      </c>
      <c r="U3745" s="8">
        <v>2</v>
      </c>
      <c r="X3745" s="8">
        <v>5</v>
      </c>
      <c r="AG3745" s="8" t="str">
        <f t="shared" si="233"/>
        <v/>
      </c>
      <c r="AI3745" s="8" t="str">
        <f t="shared" si="234"/>
        <v/>
      </c>
      <c r="AJ3745" s="8" t="str">
        <f t="shared" si="235"/>
        <v/>
      </c>
      <c r="AL3745" s="8" t="str">
        <f t="shared" si="236"/>
        <v/>
      </c>
    </row>
    <row r="3746" spans="1:38" x14ac:dyDescent="0.25">
      <c r="A3746" s="8" t="s">
        <v>8099</v>
      </c>
      <c r="B3746" s="8" t="s">
        <v>8100</v>
      </c>
      <c r="C3746" s="8">
        <v>30928420</v>
      </c>
      <c r="D3746" s="8">
        <v>5</v>
      </c>
      <c r="E3746" s="11">
        <v>43114</v>
      </c>
      <c r="F3746" s="8" t="s">
        <v>57</v>
      </c>
      <c r="G3746" s="11">
        <v>43115</v>
      </c>
      <c r="H3746" s="8" t="s">
        <v>25</v>
      </c>
      <c r="J3746" s="8" t="s">
        <v>25</v>
      </c>
      <c r="N3746" s="8" t="s">
        <v>76</v>
      </c>
      <c r="O3746" s="8" t="s">
        <v>59</v>
      </c>
      <c r="P3746" s="8" t="s">
        <v>59</v>
      </c>
      <c r="R3746" s="8">
        <v>0</v>
      </c>
      <c r="S3746" s="8">
        <v>0</v>
      </c>
      <c r="T3746" s="8">
        <v>1</v>
      </c>
      <c r="U3746" s="8">
        <v>2</v>
      </c>
      <c r="AG3746" s="8" t="str">
        <f t="shared" si="233"/>
        <v/>
      </c>
      <c r="AI3746" s="8" t="str">
        <f t="shared" si="234"/>
        <v/>
      </c>
      <c r="AJ3746" s="8" t="str">
        <f t="shared" si="235"/>
        <v/>
      </c>
      <c r="AL3746" s="8" t="str">
        <f t="shared" si="236"/>
        <v/>
      </c>
    </row>
    <row r="3747" spans="1:38" x14ac:dyDescent="0.25">
      <c r="A3747" s="8" t="s">
        <v>6378</v>
      </c>
      <c r="B3747" s="8" t="s">
        <v>6379</v>
      </c>
      <c r="C3747" s="8">
        <v>30925800</v>
      </c>
      <c r="D3747" s="8">
        <v>5</v>
      </c>
      <c r="E3747" s="11">
        <v>43113</v>
      </c>
      <c r="F3747" s="8" t="s">
        <v>58</v>
      </c>
      <c r="G3747" s="11">
        <v>43113</v>
      </c>
      <c r="H3747" s="8" t="s">
        <v>25</v>
      </c>
      <c r="I3747" s="11">
        <v>43113</v>
      </c>
      <c r="J3747" s="8" t="s">
        <v>25</v>
      </c>
      <c r="N3747" s="8" t="s">
        <v>58</v>
      </c>
      <c r="O3747" s="8" t="s">
        <v>59</v>
      </c>
      <c r="P3747" s="8" t="s">
        <v>59</v>
      </c>
      <c r="R3747" s="8">
        <v>0</v>
      </c>
      <c r="S3747" s="8">
        <v>0</v>
      </c>
      <c r="T3747" s="8">
        <v>1</v>
      </c>
      <c r="U3747" s="8">
        <v>2</v>
      </c>
      <c r="X3747" s="8">
        <v>5</v>
      </c>
      <c r="AG3747" s="8" t="str">
        <f t="shared" si="233"/>
        <v/>
      </c>
      <c r="AI3747" s="8" t="str">
        <f t="shared" si="234"/>
        <v/>
      </c>
      <c r="AJ3747" s="8" t="str">
        <f t="shared" si="235"/>
        <v/>
      </c>
      <c r="AL3747" s="8" t="str">
        <f t="shared" si="236"/>
        <v/>
      </c>
    </row>
    <row r="3748" spans="1:38" x14ac:dyDescent="0.25">
      <c r="A3748" s="8" t="s">
        <v>8101</v>
      </c>
      <c r="B3748" s="8" t="s">
        <v>8102</v>
      </c>
      <c r="C3748" s="8">
        <v>30930332</v>
      </c>
      <c r="D3748" s="8">
        <v>5</v>
      </c>
      <c r="E3748" s="11">
        <v>43115</v>
      </c>
      <c r="F3748" s="8" t="s">
        <v>57</v>
      </c>
      <c r="G3748" s="11">
        <v>43115</v>
      </c>
      <c r="H3748" s="8" t="s">
        <v>25</v>
      </c>
      <c r="J3748" s="8" t="s">
        <v>25</v>
      </c>
      <c r="N3748" s="8" t="s">
        <v>58</v>
      </c>
      <c r="O3748" s="8" t="s">
        <v>59</v>
      </c>
      <c r="P3748" s="8" t="s">
        <v>59</v>
      </c>
      <c r="R3748" s="8">
        <v>0</v>
      </c>
      <c r="S3748" s="8">
        <v>0</v>
      </c>
      <c r="T3748" s="8">
        <v>1</v>
      </c>
      <c r="U3748" s="8">
        <v>2</v>
      </c>
      <c r="AG3748" s="8" t="str">
        <f t="shared" si="233"/>
        <v/>
      </c>
      <c r="AI3748" s="8" t="str">
        <f t="shared" si="234"/>
        <v/>
      </c>
      <c r="AJ3748" s="8" t="str">
        <f t="shared" si="235"/>
        <v/>
      </c>
      <c r="AL3748" s="8" t="str">
        <f t="shared" si="236"/>
        <v/>
      </c>
    </row>
    <row r="3749" spans="1:38" x14ac:dyDescent="0.25">
      <c r="A3749" s="8" t="s">
        <v>8103</v>
      </c>
      <c r="B3749" s="8" t="s">
        <v>8104</v>
      </c>
      <c r="C3749" s="8">
        <v>30947979</v>
      </c>
      <c r="D3749" s="8">
        <v>5</v>
      </c>
      <c r="E3749" s="11">
        <v>43115</v>
      </c>
      <c r="F3749" s="8" t="s">
        <v>57</v>
      </c>
      <c r="G3749" s="11">
        <v>43115</v>
      </c>
      <c r="H3749" s="8" t="s">
        <v>25</v>
      </c>
      <c r="J3749" s="8" t="s">
        <v>25</v>
      </c>
      <c r="N3749" s="8" t="s">
        <v>58</v>
      </c>
      <c r="O3749" s="8" t="s">
        <v>59</v>
      </c>
      <c r="P3749" s="8" t="s">
        <v>59</v>
      </c>
      <c r="R3749" s="8">
        <v>0</v>
      </c>
      <c r="S3749" s="8">
        <v>0</v>
      </c>
      <c r="T3749" s="8">
        <v>1</v>
      </c>
      <c r="U3749" s="8">
        <v>2</v>
      </c>
      <c r="AG3749" s="8" t="str">
        <f t="shared" si="233"/>
        <v/>
      </c>
      <c r="AI3749" s="8" t="str">
        <f t="shared" si="234"/>
        <v/>
      </c>
      <c r="AJ3749" s="8" t="str">
        <f t="shared" si="235"/>
        <v/>
      </c>
      <c r="AL3749" s="8" t="str">
        <f t="shared" si="236"/>
        <v/>
      </c>
    </row>
    <row r="3750" spans="1:38" x14ac:dyDescent="0.25">
      <c r="A3750" s="8" t="s">
        <v>1544</v>
      </c>
      <c r="B3750" s="8" t="s">
        <v>1545</v>
      </c>
      <c r="C3750" s="8">
        <v>30829395</v>
      </c>
      <c r="D3750" s="8">
        <v>5</v>
      </c>
      <c r="E3750" s="11">
        <v>43108</v>
      </c>
      <c r="F3750" s="8" t="s">
        <v>60</v>
      </c>
      <c r="G3750" s="11">
        <v>43109</v>
      </c>
      <c r="H3750" s="8" t="s">
        <v>25</v>
      </c>
      <c r="J3750" s="8" t="s">
        <v>25</v>
      </c>
      <c r="L3750" s="8" t="s">
        <v>828</v>
      </c>
      <c r="N3750" s="8" t="s">
        <v>58</v>
      </c>
      <c r="O3750" s="8" t="s">
        <v>59</v>
      </c>
      <c r="P3750" s="8" t="s">
        <v>59</v>
      </c>
      <c r="R3750" s="8">
        <v>0</v>
      </c>
      <c r="S3750" s="8">
        <v>0</v>
      </c>
      <c r="T3750" s="8">
        <v>1</v>
      </c>
      <c r="U3750" s="8">
        <v>2</v>
      </c>
      <c r="W3750" s="8">
        <v>4</v>
      </c>
      <c r="AG3750" s="8" t="str">
        <f t="shared" si="233"/>
        <v/>
      </c>
      <c r="AI3750" s="8" t="str">
        <f t="shared" si="234"/>
        <v/>
      </c>
      <c r="AJ3750" s="8" t="str">
        <f t="shared" si="235"/>
        <v/>
      </c>
      <c r="AL3750" s="8" t="str">
        <f t="shared" si="236"/>
        <v/>
      </c>
    </row>
    <row r="3751" spans="1:38" x14ac:dyDescent="0.25">
      <c r="A3751" s="8" t="s">
        <v>8105</v>
      </c>
      <c r="B3751" s="8" t="s">
        <v>8106</v>
      </c>
      <c r="C3751" s="8">
        <v>30938665</v>
      </c>
      <c r="D3751" s="8">
        <v>5</v>
      </c>
      <c r="E3751" s="11">
        <v>43115</v>
      </c>
      <c r="F3751" s="8" t="s">
        <v>57</v>
      </c>
      <c r="G3751" s="11">
        <v>43115</v>
      </c>
      <c r="H3751" s="8" t="s">
        <v>25</v>
      </c>
      <c r="J3751" s="8" t="s">
        <v>25</v>
      </c>
      <c r="N3751" s="8" t="s">
        <v>58</v>
      </c>
      <c r="O3751" s="8" t="s">
        <v>59</v>
      </c>
      <c r="P3751" s="8" t="s">
        <v>59</v>
      </c>
      <c r="R3751" s="8">
        <v>0</v>
      </c>
      <c r="S3751" s="8">
        <v>0</v>
      </c>
      <c r="T3751" s="8">
        <v>1</v>
      </c>
      <c r="U3751" s="8">
        <v>2</v>
      </c>
      <c r="AG3751" s="8" t="str">
        <f t="shared" si="233"/>
        <v/>
      </c>
      <c r="AI3751" s="8" t="str">
        <f t="shared" si="234"/>
        <v/>
      </c>
      <c r="AJ3751" s="8" t="str">
        <f t="shared" si="235"/>
        <v/>
      </c>
      <c r="AL3751" s="8" t="str">
        <f t="shared" si="236"/>
        <v/>
      </c>
    </row>
    <row r="3752" spans="1:38" x14ac:dyDescent="0.25">
      <c r="A3752" s="8" t="s">
        <v>4575</v>
      </c>
      <c r="B3752" s="8" t="s">
        <v>4576</v>
      </c>
      <c r="C3752" s="8">
        <v>30885772</v>
      </c>
      <c r="D3752" s="8">
        <v>5</v>
      </c>
      <c r="E3752" s="11">
        <v>43111</v>
      </c>
      <c r="F3752" s="8" t="s">
        <v>57</v>
      </c>
      <c r="G3752" s="11">
        <v>43111</v>
      </c>
      <c r="H3752" s="8" t="s">
        <v>25</v>
      </c>
      <c r="J3752" s="8" t="s">
        <v>25</v>
      </c>
      <c r="N3752" s="8" t="s">
        <v>58</v>
      </c>
      <c r="O3752" s="8" t="s">
        <v>59</v>
      </c>
      <c r="P3752" s="8" t="s">
        <v>59</v>
      </c>
      <c r="R3752" s="8">
        <v>0</v>
      </c>
      <c r="S3752" s="8">
        <v>0</v>
      </c>
      <c r="T3752" s="8">
        <v>1</v>
      </c>
      <c r="U3752" s="8">
        <v>2</v>
      </c>
      <c r="AG3752" s="8" t="str">
        <f t="shared" si="233"/>
        <v/>
      </c>
      <c r="AI3752" s="8" t="str">
        <f t="shared" si="234"/>
        <v/>
      </c>
      <c r="AJ3752" s="8" t="str">
        <f t="shared" si="235"/>
        <v/>
      </c>
      <c r="AL3752" s="8" t="str">
        <f t="shared" si="236"/>
        <v/>
      </c>
    </row>
    <row r="3753" spans="1:38" x14ac:dyDescent="0.25">
      <c r="A3753" s="8" t="s">
        <v>4577</v>
      </c>
      <c r="B3753" s="8" t="s">
        <v>4578</v>
      </c>
      <c r="C3753" s="8">
        <v>30881667</v>
      </c>
      <c r="D3753" s="8">
        <v>5</v>
      </c>
      <c r="E3753" s="11">
        <v>43111</v>
      </c>
      <c r="F3753" s="8" t="s">
        <v>58</v>
      </c>
      <c r="G3753" s="11">
        <v>43111</v>
      </c>
      <c r="H3753" s="8" t="s">
        <v>25</v>
      </c>
      <c r="I3753" s="11">
        <v>43111</v>
      </c>
      <c r="J3753" s="8" t="s">
        <v>25</v>
      </c>
      <c r="N3753" s="8" t="s">
        <v>58</v>
      </c>
      <c r="O3753" s="8" t="s">
        <v>59</v>
      </c>
      <c r="P3753" s="8" t="s">
        <v>59</v>
      </c>
      <c r="R3753" s="8">
        <v>0</v>
      </c>
      <c r="S3753" s="8">
        <v>0</v>
      </c>
      <c r="T3753" s="8">
        <v>1</v>
      </c>
      <c r="U3753" s="8">
        <v>2</v>
      </c>
      <c r="X3753" s="8">
        <v>5</v>
      </c>
      <c r="AG3753" s="8" t="str">
        <f t="shared" si="233"/>
        <v/>
      </c>
      <c r="AI3753" s="8" t="str">
        <f t="shared" si="234"/>
        <v/>
      </c>
      <c r="AJ3753" s="8" t="str">
        <f t="shared" si="235"/>
        <v/>
      </c>
      <c r="AL3753" s="8" t="str">
        <f t="shared" si="236"/>
        <v/>
      </c>
    </row>
    <row r="3754" spans="1:38" x14ac:dyDescent="0.25">
      <c r="A3754" s="8" t="s">
        <v>8107</v>
      </c>
      <c r="B3754" s="8" t="s">
        <v>8108</v>
      </c>
      <c r="C3754" s="8">
        <v>30935076</v>
      </c>
      <c r="D3754" s="8">
        <v>5</v>
      </c>
      <c r="E3754" s="11">
        <v>43115</v>
      </c>
      <c r="F3754" s="8" t="s">
        <v>58</v>
      </c>
      <c r="G3754" s="11">
        <v>43115</v>
      </c>
      <c r="H3754" s="8" t="s">
        <v>25</v>
      </c>
      <c r="I3754" s="11">
        <v>43115</v>
      </c>
      <c r="J3754" s="8" t="s">
        <v>25</v>
      </c>
      <c r="N3754" s="8" t="s">
        <v>58</v>
      </c>
      <c r="O3754" s="8" t="s">
        <v>59</v>
      </c>
      <c r="P3754" s="8" t="s">
        <v>59</v>
      </c>
      <c r="R3754" s="8">
        <v>0</v>
      </c>
      <c r="S3754" s="8">
        <v>0</v>
      </c>
      <c r="T3754" s="8">
        <v>1</v>
      </c>
      <c r="U3754" s="8">
        <v>2</v>
      </c>
      <c r="X3754" s="8">
        <v>5</v>
      </c>
      <c r="AG3754" s="8" t="str">
        <f t="shared" si="233"/>
        <v/>
      </c>
      <c r="AI3754" s="8" t="str">
        <f t="shared" si="234"/>
        <v/>
      </c>
      <c r="AJ3754" s="8" t="str">
        <f t="shared" si="235"/>
        <v/>
      </c>
      <c r="AL3754" s="8" t="str">
        <f t="shared" si="236"/>
        <v/>
      </c>
    </row>
    <row r="3755" spans="1:38" x14ac:dyDescent="0.25">
      <c r="A3755" s="8" t="s">
        <v>4579</v>
      </c>
      <c r="B3755" s="8" t="s">
        <v>141</v>
      </c>
      <c r="C3755" s="8">
        <v>30900827</v>
      </c>
      <c r="D3755" s="8">
        <v>5</v>
      </c>
      <c r="E3755" s="11">
        <v>43111</v>
      </c>
      <c r="F3755" s="8" t="s">
        <v>57</v>
      </c>
      <c r="G3755" s="11">
        <v>43111</v>
      </c>
      <c r="H3755" s="8" t="s">
        <v>25</v>
      </c>
      <c r="J3755" s="8" t="s">
        <v>25</v>
      </c>
      <c r="N3755" s="8" t="s">
        <v>58</v>
      </c>
      <c r="O3755" s="8" t="s">
        <v>59</v>
      </c>
      <c r="P3755" s="8" t="s">
        <v>59</v>
      </c>
      <c r="R3755" s="8">
        <v>0</v>
      </c>
      <c r="S3755" s="8">
        <v>0</v>
      </c>
      <c r="T3755" s="8">
        <v>1</v>
      </c>
      <c r="U3755" s="8">
        <v>2</v>
      </c>
      <c r="AG3755" s="8" t="str">
        <f t="shared" si="233"/>
        <v/>
      </c>
      <c r="AI3755" s="8" t="str">
        <f t="shared" si="234"/>
        <v/>
      </c>
      <c r="AJ3755" s="8" t="str">
        <f t="shared" si="235"/>
        <v/>
      </c>
      <c r="AL3755" s="8" t="str">
        <f t="shared" si="236"/>
        <v/>
      </c>
    </row>
    <row r="3756" spans="1:38" x14ac:dyDescent="0.25">
      <c r="A3756" s="8" t="s">
        <v>1546</v>
      </c>
      <c r="B3756" s="8" t="s">
        <v>1547</v>
      </c>
      <c r="C3756" s="8">
        <v>30837481</v>
      </c>
      <c r="D3756" s="8">
        <v>5</v>
      </c>
      <c r="E3756" s="11">
        <v>43109</v>
      </c>
      <c r="F3756" s="8" t="s">
        <v>57</v>
      </c>
      <c r="G3756" s="11">
        <v>43109</v>
      </c>
      <c r="H3756" s="8" t="s">
        <v>25</v>
      </c>
      <c r="J3756" s="8" t="s">
        <v>25</v>
      </c>
      <c r="N3756" s="8" t="s">
        <v>58</v>
      </c>
      <c r="O3756" s="8" t="s">
        <v>59</v>
      </c>
      <c r="P3756" s="8" t="s">
        <v>59</v>
      </c>
      <c r="R3756" s="8">
        <v>0</v>
      </c>
      <c r="S3756" s="8">
        <v>0</v>
      </c>
      <c r="T3756" s="8">
        <v>1</v>
      </c>
      <c r="U3756" s="8">
        <v>2</v>
      </c>
      <c r="AG3756" s="8" t="str">
        <f t="shared" si="233"/>
        <v/>
      </c>
      <c r="AI3756" s="8" t="str">
        <f t="shared" si="234"/>
        <v/>
      </c>
      <c r="AJ3756" s="8" t="str">
        <f t="shared" si="235"/>
        <v/>
      </c>
      <c r="AL3756" s="8" t="str">
        <f t="shared" si="236"/>
        <v/>
      </c>
    </row>
    <row r="3757" spans="1:38" x14ac:dyDescent="0.25">
      <c r="A3757" s="8" t="s">
        <v>1548</v>
      </c>
      <c r="B3757" s="8" t="s">
        <v>1549</v>
      </c>
      <c r="C3757" s="8">
        <v>30833502</v>
      </c>
      <c r="D3757" s="8">
        <v>5</v>
      </c>
      <c r="E3757" s="11">
        <v>43109</v>
      </c>
      <c r="F3757" s="8" t="s">
        <v>58</v>
      </c>
      <c r="G3757" s="11">
        <v>43109</v>
      </c>
      <c r="H3757" s="8" t="s">
        <v>25</v>
      </c>
      <c r="I3757" s="11">
        <v>43109</v>
      </c>
      <c r="J3757" s="8" t="s">
        <v>25</v>
      </c>
      <c r="N3757" s="8" t="s">
        <v>58</v>
      </c>
      <c r="O3757" s="8" t="s">
        <v>59</v>
      </c>
      <c r="P3757" s="8" t="s">
        <v>59</v>
      </c>
      <c r="R3757" s="8">
        <v>0</v>
      </c>
      <c r="S3757" s="8">
        <v>0</v>
      </c>
      <c r="T3757" s="8">
        <v>1</v>
      </c>
      <c r="U3757" s="8">
        <v>2</v>
      </c>
      <c r="X3757" s="8">
        <v>5</v>
      </c>
      <c r="AG3757" s="8" t="str">
        <f t="shared" si="233"/>
        <v/>
      </c>
      <c r="AI3757" s="8" t="str">
        <f t="shared" si="234"/>
        <v/>
      </c>
      <c r="AJ3757" s="8" t="str">
        <f t="shared" si="235"/>
        <v/>
      </c>
      <c r="AL3757" s="8" t="str">
        <f t="shared" si="236"/>
        <v/>
      </c>
    </row>
    <row r="3758" spans="1:38" x14ac:dyDescent="0.25">
      <c r="A3758" s="8" t="s">
        <v>6380</v>
      </c>
      <c r="B3758" s="8" t="s">
        <v>6381</v>
      </c>
      <c r="C3758" s="8">
        <v>30906212</v>
      </c>
      <c r="D3758" s="8">
        <v>5</v>
      </c>
      <c r="E3758" s="11">
        <v>43112</v>
      </c>
      <c r="F3758" s="8" t="s">
        <v>57</v>
      </c>
      <c r="G3758" s="11">
        <v>43114</v>
      </c>
      <c r="H3758" s="8" t="s">
        <v>25</v>
      </c>
      <c r="J3758" s="8" t="s">
        <v>25</v>
      </c>
      <c r="N3758" s="8" t="s">
        <v>58</v>
      </c>
      <c r="O3758" s="8" t="s">
        <v>59</v>
      </c>
      <c r="P3758" s="8" t="s">
        <v>59</v>
      </c>
      <c r="R3758" s="8">
        <v>0</v>
      </c>
      <c r="S3758" s="8">
        <v>0</v>
      </c>
      <c r="T3758" s="8">
        <v>1</v>
      </c>
      <c r="U3758" s="8">
        <v>2</v>
      </c>
      <c r="AG3758" s="8" t="str">
        <f t="shared" si="233"/>
        <v/>
      </c>
      <c r="AI3758" s="8" t="str">
        <f t="shared" si="234"/>
        <v/>
      </c>
      <c r="AJ3758" s="8" t="str">
        <f t="shared" si="235"/>
        <v/>
      </c>
      <c r="AL3758" s="8" t="str">
        <f t="shared" si="236"/>
        <v/>
      </c>
    </row>
    <row r="3759" spans="1:38" x14ac:dyDescent="0.25">
      <c r="A3759" s="8" t="s">
        <v>4580</v>
      </c>
      <c r="B3759" s="8" t="s">
        <v>4581</v>
      </c>
      <c r="C3759" s="8">
        <v>30888199</v>
      </c>
      <c r="D3759" s="8">
        <v>5</v>
      </c>
      <c r="E3759" s="11">
        <v>43111</v>
      </c>
      <c r="F3759" s="8" t="s">
        <v>58</v>
      </c>
      <c r="G3759" s="11">
        <v>43111</v>
      </c>
      <c r="H3759" s="8" t="s">
        <v>25</v>
      </c>
      <c r="I3759" s="11">
        <v>43112</v>
      </c>
      <c r="J3759" s="8" t="s">
        <v>25</v>
      </c>
      <c r="N3759" s="8" t="s">
        <v>58</v>
      </c>
      <c r="O3759" s="8" t="s">
        <v>59</v>
      </c>
      <c r="P3759" s="8" t="s">
        <v>59</v>
      </c>
      <c r="R3759" s="8">
        <v>0</v>
      </c>
      <c r="S3759" s="8">
        <v>0</v>
      </c>
      <c r="T3759" s="8">
        <v>1</v>
      </c>
      <c r="U3759" s="8">
        <v>2</v>
      </c>
      <c r="X3759" s="8">
        <v>5</v>
      </c>
      <c r="AG3759" s="8" t="str">
        <f t="shared" si="233"/>
        <v/>
      </c>
      <c r="AI3759" s="8" t="str">
        <f t="shared" si="234"/>
        <v/>
      </c>
      <c r="AJ3759" s="8" t="str">
        <f t="shared" si="235"/>
        <v/>
      </c>
      <c r="AL3759" s="8" t="str">
        <f t="shared" si="236"/>
        <v/>
      </c>
    </row>
    <row r="3760" spans="1:38" x14ac:dyDescent="0.25">
      <c r="A3760" s="8" t="s">
        <v>8109</v>
      </c>
      <c r="B3760" s="8" t="s">
        <v>8110</v>
      </c>
      <c r="C3760" s="8">
        <v>30929823</v>
      </c>
      <c r="D3760" s="8">
        <v>5</v>
      </c>
      <c r="E3760" s="11">
        <v>43115</v>
      </c>
      <c r="F3760" s="8" t="s">
        <v>58</v>
      </c>
      <c r="G3760" s="11">
        <v>43115</v>
      </c>
      <c r="H3760" s="8" t="s">
        <v>25</v>
      </c>
      <c r="I3760" s="11">
        <v>43115</v>
      </c>
      <c r="J3760" s="8" t="s">
        <v>25</v>
      </c>
      <c r="N3760" s="8" t="s">
        <v>58</v>
      </c>
      <c r="O3760" s="8" t="s">
        <v>59</v>
      </c>
      <c r="P3760" s="8" t="s">
        <v>59</v>
      </c>
      <c r="R3760" s="8">
        <v>0</v>
      </c>
      <c r="S3760" s="8">
        <v>0</v>
      </c>
      <c r="T3760" s="8">
        <v>1</v>
      </c>
      <c r="U3760" s="8">
        <v>2</v>
      </c>
      <c r="X3760" s="8">
        <v>5</v>
      </c>
      <c r="AG3760" s="8" t="str">
        <f t="shared" si="233"/>
        <v/>
      </c>
      <c r="AI3760" s="8" t="str">
        <f t="shared" si="234"/>
        <v/>
      </c>
      <c r="AJ3760" s="8" t="str">
        <f t="shared" si="235"/>
        <v/>
      </c>
      <c r="AL3760" s="8" t="str">
        <f t="shared" si="236"/>
        <v/>
      </c>
    </row>
    <row r="3761" spans="1:38" x14ac:dyDescent="0.25">
      <c r="A3761" s="8" t="s">
        <v>3128</v>
      </c>
      <c r="B3761" s="8" t="s">
        <v>3129</v>
      </c>
      <c r="C3761" s="8">
        <v>30864569</v>
      </c>
      <c r="D3761" s="8">
        <v>5</v>
      </c>
      <c r="E3761" s="11">
        <v>43110</v>
      </c>
      <c r="F3761" s="8" t="s">
        <v>58</v>
      </c>
      <c r="G3761" s="11">
        <v>43110</v>
      </c>
      <c r="H3761" s="8" t="s">
        <v>25</v>
      </c>
      <c r="I3761" s="11">
        <v>43112</v>
      </c>
      <c r="J3761" s="8" t="s">
        <v>25</v>
      </c>
      <c r="N3761" s="8" t="s">
        <v>58</v>
      </c>
      <c r="O3761" s="8" t="s">
        <v>59</v>
      </c>
      <c r="P3761" s="8" t="s">
        <v>59</v>
      </c>
      <c r="R3761" s="8">
        <v>0</v>
      </c>
      <c r="S3761" s="8">
        <v>0</v>
      </c>
      <c r="T3761" s="8">
        <v>1</v>
      </c>
      <c r="U3761" s="8">
        <v>2</v>
      </c>
      <c r="X3761" s="8">
        <v>5</v>
      </c>
      <c r="AG3761" s="8" t="str">
        <f t="shared" si="233"/>
        <v/>
      </c>
      <c r="AI3761" s="8" t="str">
        <f t="shared" si="234"/>
        <v/>
      </c>
      <c r="AJ3761" s="8" t="str">
        <f t="shared" si="235"/>
        <v/>
      </c>
      <c r="AL3761" s="8" t="str">
        <f t="shared" si="236"/>
        <v/>
      </c>
    </row>
    <row r="3762" spans="1:38" x14ac:dyDescent="0.25">
      <c r="A3762" s="8" t="s">
        <v>3130</v>
      </c>
      <c r="B3762" s="8" t="s">
        <v>3131</v>
      </c>
      <c r="C3762" s="8">
        <v>30870941</v>
      </c>
      <c r="D3762" s="8">
        <v>5</v>
      </c>
      <c r="E3762" s="11">
        <v>43110</v>
      </c>
      <c r="F3762" s="8" t="s">
        <v>58</v>
      </c>
      <c r="G3762" s="11">
        <v>43110</v>
      </c>
      <c r="H3762" s="8" t="s">
        <v>25</v>
      </c>
      <c r="I3762" s="11">
        <v>43110</v>
      </c>
      <c r="J3762" s="8" t="s">
        <v>25</v>
      </c>
      <c r="N3762" s="8" t="s">
        <v>58</v>
      </c>
      <c r="O3762" s="8" t="s">
        <v>59</v>
      </c>
      <c r="P3762" s="8" t="s">
        <v>59</v>
      </c>
      <c r="R3762" s="8">
        <v>0</v>
      </c>
      <c r="S3762" s="8">
        <v>0</v>
      </c>
      <c r="T3762" s="8">
        <v>1</v>
      </c>
      <c r="U3762" s="8">
        <v>2</v>
      </c>
      <c r="X3762" s="8">
        <v>5</v>
      </c>
      <c r="AG3762" s="8" t="str">
        <f t="shared" si="233"/>
        <v/>
      </c>
      <c r="AI3762" s="8" t="str">
        <f t="shared" si="234"/>
        <v/>
      </c>
      <c r="AJ3762" s="8" t="str">
        <f t="shared" si="235"/>
        <v/>
      </c>
      <c r="AL3762" s="8" t="str">
        <f t="shared" si="236"/>
        <v/>
      </c>
    </row>
    <row r="3763" spans="1:38" x14ac:dyDescent="0.25">
      <c r="A3763" s="8" t="s">
        <v>725</v>
      </c>
      <c r="B3763" s="8" t="s">
        <v>726</v>
      </c>
      <c r="C3763" s="8">
        <v>30807146</v>
      </c>
      <c r="D3763" s="8">
        <v>5</v>
      </c>
      <c r="E3763" s="11">
        <v>43108</v>
      </c>
      <c r="F3763" s="8" t="s">
        <v>58</v>
      </c>
      <c r="G3763" s="11">
        <v>43108</v>
      </c>
      <c r="H3763" s="8" t="s">
        <v>25</v>
      </c>
      <c r="I3763" s="11">
        <v>43115</v>
      </c>
      <c r="J3763" s="8" t="s">
        <v>856</v>
      </c>
      <c r="N3763" s="8" t="s">
        <v>58</v>
      </c>
      <c r="O3763" s="8" t="s">
        <v>59</v>
      </c>
      <c r="P3763" s="8" t="s">
        <v>59</v>
      </c>
      <c r="R3763" s="8">
        <v>0</v>
      </c>
      <c r="S3763" s="8">
        <v>0</v>
      </c>
      <c r="T3763" s="8">
        <v>1</v>
      </c>
      <c r="U3763" s="8">
        <v>2</v>
      </c>
      <c r="X3763" s="8">
        <v>5</v>
      </c>
      <c r="AG3763" s="8" t="str">
        <f t="shared" si="233"/>
        <v/>
      </c>
      <c r="AI3763" s="8" t="str">
        <f t="shared" si="234"/>
        <v/>
      </c>
      <c r="AJ3763" s="8" t="str">
        <f t="shared" si="235"/>
        <v/>
      </c>
      <c r="AL3763" s="8" t="str">
        <f t="shared" si="236"/>
        <v/>
      </c>
    </row>
    <row r="3764" spans="1:38" x14ac:dyDescent="0.25">
      <c r="A3764" s="8" t="s">
        <v>3132</v>
      </c>
      <c r="B3764" s="8" t="s">
        <v>3133</v>
      </c>
      <c r="C3764" s="8">
        <v>30858029</v>
      </c>
      <c r="D3764" s="8">
        <v>5</v>
      </c>
      <c r="E3764" s="11">
        <v>43110</v>
      </c>
      <c r="F3764" s="8" t="s">
        <v>58</v>
      </c>
      <c r="G3764" s="11">
        <v>43110</v>
      </c>
      <c r="H3764" s="8" t="s">
        <v>25</v>
      </c>
      <c r="I3764" s="11">
        <v>43110</v>
      </c>
      <c r="J3764" s="8" t="s">
        <v>25</v>
      </c>
      <c r="N3764" s="8" t="s">
        <v>58</v>
      </c>
      <c r="O3764" s="8" t="s">
        <v>59</v>
      </c>
      <c r="P3764" s="8" t="s">
        <v>59</v>
      </c>
      <c r="R3764" s="8">
        <v>0</v>
      </c>
      <c r="S3764" s="8">
        <v>0</v>
      </c>
      <c r="T3764" s="8">
        <v>1</v>
      </c>
      <c r="U3764" s="8">
        <v>2</v>
      </c>
      <c r="X3764" s="8">
        <v>5</v>
      </c>
      <c r="AG3764" s="8" t="str">
        <f t="shared" si="233"/>
        <v/>
      </c>
      <c r="AI3764" s="8" t="str">
        <f t="shared" si="234"/>
        <v/>
      </c>
      <c r="AJ3764" s="8" t="str">
        <f t="shared" si="235"/>
        <v/>
      </c>
      <c r="AL3764" s="8" t="str">
        <f t="shared" si="236"/>
        <v/>
      </c>
    </row>
    <row r="3765" spans="1:38" x14ac:dyDescent="0.25">
      <c r="A3765" s="8" t="s">
        <v>8111</v>
      </c>
      <c r="B3765" s="8" t="s">
        <v>8112</v>
      </c>
      <c r="C3765" s="8">
        <v>30926206</v>
      </c>
      <c r="D3765" s="8">
        <v>5</v>
      </c>
      <c r="E3765" s="11">
        <v>43113</v>
      </c>
      <c r="F3765" s="8" t="s">
        <v>57</v>
      </c>
      <c r="G3765" s="11">
        <v>43115</v>
      </c>
      <c r="H3765" s="8" t="s">
        <v>25</v>
      </c>
      <c r="J3765" s="8" t="s">
        <v>25</v>
      </c>
      <c r="N3765" s="8" t="s">
        <v>58</v>
      </c>
      <c r="O3765" s="8" t="s">
        <v>59</v>
      </c>
      <c r="P3765" s="8" t="s">
        <v>59</v>
      </c>
      <c r="R3765" s="8">
        <v>0</v>
      </c>
      <c r="S3765" s="8">
        <v>0</v>
      </c>
      <c r="T3765" s="8">
        <v>1</v>
      </c>
      <c r="U3765" s="8">
        <v>2</v>
      </c>
      <c r="AG3765" s="8" t="str">
        <f t="shared" si="233"/>
        <v/>
      </c>
      <c r="AI3765" s="8" t="str">
        <f t="shared" si="234"/>
        <v/>
      </c>
      <c r="AJ3765" s="8" t="str">
        <f t="shared" si="235"/>
        <v/>
      </c>
      <c r="AL3765" s="8" t="str">
        <f t="shared" si="236"/>
        <v/>
      </c>
    </row>
    <row r="3766" spans="1:38" x14ac:dyDescent="0.25">
      <c r="A3766" s="8" t="s">
        <v>4582</v>
      </c>
      <c r="B3766" s="8" t="s">
        <v>4583</v>
      </c>
      <c r="C3766" s="8">
        <v>30897284</v>
      </c>
      <c r="D3766" s="8">
        <v>5</v>
      </c>
      <c r="E3766" s="11">
        <v>43111</v>
      </c>
      <c r="F3766" s="8" t="s">
        <v>58</v>
      </c>
      <c r="G3766" s="11">
        <v>43111</v>
      </c>
      <c r="H3766" s="8" t="s">
        <v>25</v>
      </c>
      <c r="I3766" s="11">
        <v>43111</v>
      </c>
      <c r="J3766" s="8" t="s">
        <v>25</v>
      </c>
      <c r="N3766" s="8" t="s">
        <v>58</v>
      </c>
      <c r="O3766" s="8" t="s">
        <v>59</v>
      </c>
      <c r="P3766" s="8" t="s">
        <v>59</v>
      </c>
      <c r="R3766" s="8">
        <v>0</v>
      </c>
      <c r="S3766" s="8">
        <v>0</v>
      </c>
      <c r="T3766" s="8">
        <v>1</v>
      </c>
      <c r="U3766" s="8">
        <v>2</v>
      </c>
      <c r="X3766" s="8">
        <v>5</v>
      </c>
      <c r="AG3766" s="8" t="str">
        <f t="shared" si="233"/>
        <v/>
      </c>
      <c r="AI3766" s="8" t="str">
        <f t="shared" si="234"/>
        <v/>
      </c>
      <c r="AJ3766" s="8" t="str">
        <f t="shared" si="235"/>
        <v/>
      </c>
      <c r="AL3766" s="8" t="str">
        <f t="shared" si="236"/>
        <v/>
      </c>
    </row>
    <row r="3767" spans="1:38" x14ac:dyDescent="0.25">
      <c r="A3767" s="8" t="s">
        <v>3134</v>
      </c>
      <c r="B3767" s="8" t="s">
        <v>3135</v>
      </c>
      <c r="C3767" s="8">
        <v>30873845</v>
      </c>
      <c r="D3767" s="8">
        <v>5</v>
      </c>
      <c r="E3767" s="11">
        <v>43110</v>
      </c>
      <c r="F3767" s="8" t="s">
        <v>58</v>
      </c>
      <c r="G3767" s="11">
        <v>43110</v>
      </c>
      <c r="H3767" s="8" t="s">
        <v>25</v>
      </c>
      <c r="I3767" s="11">
        <v>43110</v>
      </c>
      <c r="J3767" s="8" t="s">
        <v>25</v>
      </c>
      <c r="N3767" s="8" t="s">
        <v>58</v>
      </c>
      <c r="O3767" s="8" t="s">
        <v>59</v>
      </c>
      <c r="P3767" s="8" t="s">
        <v>59</v>
      </c>
      <c r="R3767" s="8">
        <v>0</v>
      </c>
      <c r="S3767" s="8">
        <v>0</v>
      </c>
      <c r="T3767" s="8">
        <v>1</v>
      </c>
      <c r="U3767" s="8">
        <v>2</v>
      </c>
      <c r="X3767" s="8">
        <v>5</v>
      </c>
      <c r="AG3767" s="8" t="str">
        <f t="shared" si="233"/>
        <v/>
      </c>
      <c r="AI3767" s="8" t="str">
        <f t="shared" si="234"/>
        <v/>
      </c>
      <c r="AJ3767" s="8" t="str">
        <f t="shared" si="235"/>
        <v/>
      </c>
      <c r="AL3767" s="8" t="str">
        <f t="shared" si="236"/>
        <v/>
      </c>
    </row>
    <row r="3768" spans="1:38" x14ac:dyDescent="0.25">
      <c r="A3768" s="8" t="s">
        <v>3136</v>
      </c>
      <c r="B3768" s="8" t="s">
        <v>3137</v>
      </c>
      <c r="C3768" s="8">
        <v>30860180</v>
      </c>
      <c r="D3768" s="8">
        <v>5</v>
      </c>
      <c r="E3768" s="11">
        <v>43110</v>
      </c>
      <c r="F3768" s="8" t="s">
        <v>58</v>
      </c>
      <c r="G3768" s="11">
        <v>43110</v>
      </c>
      <c r="H3768" s="8" t="s">
        <v>25</v>
      </c>
      <c r="I3768" s="11">
        <v>43115</v>
      </c>
      <c r="J3768" s="8" t="s">
        <v>145</v>
      </c>
      <c r="N3768" s="8" t="s">
        <v>58</v>
      </c>
      <c r="O3768" s="8" t="s">
        <v>59</v>
      </c>
      <c r="P3768" s="8" t="s">
        <v>59</v>
      </c>
      <c r="R3768" s="8">
        <v>0</v>
      </c>
      <c r="S3768" s="8">
        <v>0</v>
      </c>
      <c r="T3768" s="8">
        <v>1</v>
      </c>
      <c r="U3768" s="8">
        <v>2</v>
      </c>
      <c r="X3768" s="8">
        <v>5</v>
      </c>
      <c r="AG3768" s="8" t="str">
        <f t="shared" si="233"/>
        <v/>
      </c>
      <c r="AI3768" s="8" t="str">
        <f t="shared" si="234"/>
        <v/>
      </c>
      <c r="AJ3768" s="8" t="str">
        <f t="shared" si="235"/>
        <v/>
      </c>
      <c r="AL3768" s="8" t="str">
        <f t="shared" si="236"/>
        <v/>
      </c>
    </row>
    <row r="3769" spans="1:38" x14ac:dyDescent="0.25">
      <c r="A3769" s="8" t="s">
        <v>727</v>
      </c>
      <c r="B3769" s="8" t="s">
        <v>728</v>
      </c>
      <c r="C3769" s="8">
        <v>30821665</v>
      </c>
      <c r="D3769" s="8">
        <v>5</v>
      </c>
      <c r="E3769" s="11">
        <v>43108</v>
      </c>
      <c r="F3769" s="8" t="s">
        <v>58</v>
      </c>
      <c r="G3769" s="11">
        <v>43108</v>
      </c>
      <c r="H3769" s="8" t="s">
        <v>25</v>
      </c>
      <c r="I3769" s="11">
        <v>43110</v>
      </c>
      <c r="J3769" s="8" t="s">
        <v>25</v>
      </c>
      <c r="N3769" s="8" t="s">
        <v>58</v>
      </c>
      <c r="O3769" s="8" t="s">
        <v>59</v>
      </c>
      <c r="P3769" s="8" t="s">
        <v>59</v>
      </c>
      <c r="R3769" s="8">
        <v>0</v>
      </c>
      <c r="S3769" s="8">
        <v>0</v>
      </c>
      <c r="T3769" s="8">
        <v>1</v>
      </c>
      <c r="U3769" s="8">
        <v>2</v>
      </c>
      <c r="X3769" s="8">
        <v>5</v>
      </c>
      <c r="AG3769" s="8" t="str">
        <f t="shared" si="233"/>
        <v/>
      </c>
      <c r="AI3769" s="8" t="str">
        <f t="shared" si="234"/>
        <v/>
      </c>
      <c r="AJ3769" s="8" t="str">
        <f t="shared" si="235"/>
        <v/>
      </c>
      <c r="AL3769" s="8" t="str">
        <f t="shared" si="236"/>
        <v/>
      </c>
    </row>
    <row r="3770" spans="1:38" x14ac:dyDescent="0.25">
      <c r="A3770" s="8" t="s">
        <v>6382</v>
      </c>
      <c r="B3770" s="8" t="s">
        <v>6383</v>
      </c>
      <c r="C3770" s="8">
        <v>30921384</v>
      </c>
      <c r="D3770" s="8">
        <v>5</v>
      </c>
      <c r="E3770" s="11">
        <v>43112</v>
      </c>
      <c r="F3770" s="8" t="s">
        <v>58</v>
      </c>
      <c r="G3770" s="11">
        <v>43112</v>
      </c>
      <c r="H3770" s="8" t="s">
        <v>25</v>
      </c>
      <c r="I3770" s="11">
        <v>43112</v>
      </c>
      <c r="J3770" s="8" t="s">
        <v>25</v>
      </c>
      <c r="N3770" s="8" t="s">
        <v>58</v>
      </c>
      <c r="O3770" s="8" t="s">
        <v>59</v>
      </c>
      <c r="P3770" s="8" t="s">
        <v>59</v>
      </c>
      <c r="R3770" s="8">
        <v>0</v>
      </c>
      <c r="S3770" s="8">
        <v>0</v>
      </c>
      <c r="T3770" s="8">
        <v>1</v>
      </c>
      <c r="U3770" s="8">
        <v>2</v>
      </c>
      <c r="X3770" s="8">
        <v>5</v>
      </c>
      <c r="AG3770" s="8" t="str">
        <f t="shared" si="233"/>
        <v/>
      </c>
      <c r="AI3770" s="8" t="str">
        <f t="shared" si="234"/>
        <v/>
      </c>
      <c r="AJ3770" s="8" t="str">
        <f t="shared" si="235"/>
        <v/>
      </c>
      <c r="AL3770" s="8" t="str">
        <f t="shared" si="236"/>
        <v/>
      </c>
    </row>
    <row r="3771" spans="1:38" x14ac:dyDescent="0.25">
      <c r="A3771" s="8" t="s">
        <v>4584</v>
      </c>
      <c r="B3771" s="8" t="s">
        <v>4585</v>
      </c>
      <c r="C3771" s="8">
        <v>30871784</v>
      </c>
      <c r="D3771" s="8">
        <v>5</v>
      </c>
      <c r="E3771" s="11">
        <v>43110</v>
      </c>
      <c r="F3771" s="8" t="s">
        <v>57</v>
      </c>
      <c r="G3771" s="11">
        <v>43111</v>
      </c>
      <c r="H3771" s="8" t="s">
        <v>25</v>
      </c>
      <c r="J3771" s="8" t="s">
        <v>25</v>
      </c>
      <c r="N3771" s="8" t="s">
        <v>58</v>
      </c>
      <c r="O3771" s="8" t="s">
        <v>59</v>
      </c>
      <c r="P3771" s="8" t="s">
        <v>59</v>
      </c>
      <c r="R3771" s="8">
        <v>0</v>
      </c>
      <c r="S3771" s="8">
        <v>0</v>
      </c>
      <c r="T3771" s="8">
        <v>1</v>
      </c>
      <c r="U3771" s="8">
        <v>2</v>
      </c>
      <c r="AG3771" s="8" t="str">
        <f t="shared" si="233"/>
        <v/>
      </c>
      <c r="AI3771" s="8" t="str">
        <f t="shared" si="234"/>
        <v/>
      </c>
      <c r="AJ3771" s="8" t="str">
        <f t="shared" si="235"/>
        <v/>
      </c>
      <c r="AL3771" s="8" t="str">
        <f t="shared" si="236"/>
        <v/>
      </c>
    </row>
    <row r="3772" spans="1:38" x14ac:dyDescent="0.25">
      <c r="A3772" s="8" t="s">
        <v>8113</v>
      </c>
      <c r="B3772" s="8" t="s">
        <v>8114</v>
      </c>
      <c r="C3772" s="8">
        <v>30935102</v>
      </c>
      <c r="D3772" s="8">
        <v>5</v>
      </c>
      <c r="E3772" s="11">
        <v>43115</v>
      </c>
      <c r="F3772" s="8" t="s">
        <v>57</v>
      </c>
      <c r="G3772" s="11">
        <v>43115</v>
      </c>
      <c r="H3772" s="8" t="s">
        <v>25</v>
      </c>
      <c r="J3772" s="8" t="s">
        <v>25</v>
      </c>
      <c r="N3772" s="8" t="s">
        <v>58</v>
      </c>
      <c r="O3772" s="8" t="s">
        <v>59</v>
      </c>
      <c r="P3772" s="8" t="s">
        <v>59</v>
      </c>
      <c r="R3772" s="8">
        <v>0</v>
      </c>
      <c r="S3772" s="8">
        <v>0</v>
      </c>
      <c r="T3772" s="8">
        <v>1</v>
      </c>
      <c r="U3772" s="8">
        <v>2</v>
      </c>
      <c r="AG3772" s="8" t="str">
        <f t="shared" si="233"/>
        <v/>
      </c>
      <c r="AI3772" s="8" t="str">
        <f t="shared" si="234"/>
        <v/>
      </c>
      <c r="AJ3772" s="8" t="str">
        <f t="shared" si="235"/>
        <v/>
      </c>
      <c r="AL3772" s="8" t="str">
        <f t="shared" si="236"/>
        <v/>
      </c>
    </row>
    <row r="3773" spans="1:38" x14ac:dyDescent="0.25">
      <c r="A3773" s="8" t="s">
        <v>8115</v>
      </c>
      <c r="B3773" s="8" t="s">
        <v>8116</v>
      </c>
      <c r="C3773" s="8">
        <v>30935074</v>
      </c>
      <c r="D3773" s="8">
        <v>5</v>
      </c>
      <c r="E3773" s="11">
        <v>43115</v>
      </c>
      <c r="F3773" s="8" t="s">
        <v>58</v>
      </c>
      <c r="G3773" s="11">
        <v>43115</v>
      </c>
      <c r="H3773" s="8" t="s">
        <v>25</v>
      </c>
      <c r="I3773" s="11">
        <v>43115</v>
      </c>
      <c r="J3773" s="8" t="s">
        <v>25</v>
      </c>
      <c r="N3773" s="8" t="s">
        <v>58</v>
      </c>
      <c r="O3773" s="8" t="s">
        <v>59</v>
      </c>
      <c r="P3773" s="8" t="s">
        <v>59</v>
      </c>
      <c r="R3773" s="8">
        <v>0</v>
      </c>
      <c r="S3773" s="8">
        <v>0</v>
      </c>
      <c r="T3773" s="8">
        <v>1</v>
      </c>
      <c r="U3773" s="8">
        <v>2</v>
      </c>
      <c r="X3773" s="8">
        <v>5</v>
      </c>
      <c r="AG3773" s="8" t="str">
        <f t="shared" si="233"/>
        <v/>
      </c>
      <c r="AI3773" s="8" t="str">
        <f t="shared" si="234"/>
        <v/>
      </c>
      <c r="AJ3773" s="8" t="str">
        <f t="shared" si="235"/>
        <v/>
      </c>
      <c r="AL3773" s="8" t="str">
        <f t="shared" si="236"/>
        <v/>
      </c>
    </row>
    <row r="3774" spans="1:38" x14ac:dyDescent="0.25">
      <c r="A3774" s="8" t="s">
        <v>8117</v>
      </c>
      <c r="B3774" s="8" t="s">
        <v>8118</v>
      </c>
      <c r="C3774" s="8">
        <v>30934810</v>
      </c>
      <c r="D3774" s="8">
        <v>5</v>
      </c>
      <c r="E3774" s="11">
        <v>43115</v>
      </c>
      <c r="F3774" s="8" t="s">
        <v>57</v>
      </c>
      <c r="G3774" s="11">
        <v>43115</v>
      </c>
      <c r="H3774" s="8" t="s">
        <v>25</v>
      </c>
      <c r="J3774" s="8" t="s">
        <v>25</v>
      </c>
      <c r="N3774" s="8" t="s">
        <v>58</v>
      </c>
      <c r="O3774" s="8" t="s">
        <v>59</v>
      </c>
      <c r="P3774" s="8" t="s">
        <v>59</v>
      </c>
      <c r="R3774" s="8">
        <v>0</v>
      </c>
      <c r="S3774" s="8">
        <v>0</v>
      </c>
      <c r="T3774" s="8">
        <v>1</v>
      </c>
      <c r="U3774" s="8">
        <v>2</v>
      </c>
      <c r="AG3774" s="8" t="str">
        <f t="shared" si="233"/>
        <v/>
      </c>
      <c r="AI3774" s="8" t="str">
        <f t="shared" si="234"/>
        <v/>
      </c>
      <c r="AJ3774" s="8" t="str">
        <f t="shared" si="235"/>
        <v/>
      </c>
      <c r="AL3774" s="8" t="str">
        <f t="shared" si="236"/>
        <v/>
      </c>
    </row>
    <row r="3775" spans="1:38" x14ac:dyDescent="0.25">
      <c r="A3775" s="8" t="s">
        <v>3138</v>
      </c>
      <c r="B3775" s="8" t="s">
        <v>3139</v>
      </c>
      <c r="C3775" s="8">
        <v>30863314</v>
      </c>
      <c r="D3775" s="8">
        <v>5</v>
      </c>
      <c r="E3775" s="11">
        <v>43110</v>
      </c>
      <c r="F3775" s="8" t="s">
        <v>57</v>
      </c>
      <c r="G3775" s="11">
        <v>43110</v>
      </c>
      <c r="H3775" s="8" t="s">
        <v>25</v>
      </c>
      <c r="J3775" s="8" t="s">
        <v>25</v>
      </c>
      <c r="N3775" s="8" t="s">
        <v>58</v>
      </c>
      <c r="O3775" s="8" t="s">
        <v>59</v>
      </c>
      <c r="P3775" s="8" t="s">
        <v>59</v>
      </c>
      <c r="R3775" s="8">
        <v>0</v>
      </c>
      <c r="S3775" s="8">
        <v>0</v>
      </c>
      <c r="T3775" s="8">
        <v>1</v>
      </c>
      <c r="U3775" s="8">
        <v>2</v>
      </c>
      <c r="AG3775" s="8" t="str">
        <f t="shared" si="233"/>
        <v/>
      </c>
      <c r="AI3775" s="8" t="str">
        <f t="shared" si="234"/>
        <v/>
      </c>
      <c r="AJ3775" s="8" t="str">
        <f t="shared" si="235"/>
        <v/>
      </c>
      <c r="AL3775" s="8" t="str">
        <f t="shared" si="236"/>
        <v/>
      </c>
    </row>
    <row r="3776" spans="1:38" x14ac:dyDescent="0.25">
      <c r="A3776" s="8" t="s">
        <v>4586</v>
      </c>
      <c r="B3776" s="8" t="s">
        <v>4587</v>
      </c>
      <c r="C3776" s="8">
        <v>30897756</v>
      </c>
      <c r="D3776" s="8">
        <v>5</v>
      </c>
      <c r="E3776" s="11">
        <v>43111</v>
      </c>
      <c r="F3776" s="8" t="s">
        <v>58</v>
      </c>
      <c r="G3776" s="11">
        <v>43111</v>
      </c>
      <c r="H3776" s="8" t="s">
        <v>25</v>
      </c>
      <c r="I3776" s="11">
        <v>43111</v>
      </c>
      <c r="J3776" s="8" t="s">
        <v>25</v>
      </c>
      <c r="N3776" s="8" t="s">
        <v>58</v>
      </c>
      <c r="O3776" s="8" t="s">
        <v>59</v>
      </c>
      <c r="P3776" s="8" t="s">
        <v>59</v>
      </c>
      <c r="R3776" s="8">
        <v>0</v>
      </c>
      <c r="S3776" s="8">
        <v>0</v>
      </c>
      <c r="T3776" s="8">
        <v>1</v>
      </c>
      <c r="U3776" s="8">
        <v>2</v>
      </c>
      <c r="X3776" s="8">
        <v>5</v>
      </c>
      <c r="AG3776" s="8" t="str">
        <f t="shared" si="233"/>
        <v/>
      </c>
      <c r="AI3776" s="8" t="str">
        <f t="shared" si="234"/>
        <v/>
      </c>
      <c r="AJ3776" s="8" t="str">
        <f t="shared" si="235"/>
        <v/>
      </c>
      <c r="AL3776" s="8" t="str">
        <f t="shared" si="236"/>
        <v/>
      </c>
    </row>
    <row r="3777" spans="1:38" x14ac:dyDescent="0.25">
      <c r="A3777" s="8" t="s">
        <v>3140</v>
      </c>
      <c r="B3777" s="8" t="s">
        <v>3141</v>
      </c>
      <c r="C3777" s="8">
        <v>30873178</v>
      </c>
      <c r="D3777" s="8">
        <v>5</v>
      </c>
      <c r="E3777" s="11">
        <v>43110</v>
      </c>
      <c r="F3777" s="8" t="s">
        <v>58</v>
      </c>
      <c r="G3777" s="11">
        <v>43110</v>
      </c>
      <c r="H3777" s="8" t="s">
        <v>25</v>
      </c>
      <c r="I3777" s="11">
        <v>43110</v>
      </c>
      <c r="J3777" s="8" t="s">
        <v>25</v>
      </c>
      <c r="N3777" s="8" t="s">
        <v>58</v>
      </c>
      <c r="O3777" s="8" t="s">
        <v>59</v>
      </c>
      <c r="P3777" s="8" t="s">
        <v>59</v>
      </c>
      <c r="R3777" s="8">
        <v>0</v>
      </c>
      <c r="S3777" s="8">
        <v>0</v>
      </c>
      <c r="T3777" s="8">
        <v>1</v>
      </c>
      <c r="U3777" s="8">
        <v>2</v>
      </c>
      <c r="X3777" s="8">
        <v>5</v>
      </c>
      <c r="AG3777" s="8" t="str">
        <f t="shared" si="233"/>
        <v/>
      </c>
      <c r="AI3777" s="8" t="str">
        <f t="shared" si="234"/>
        <v/>
      </c>
      <c r="AJ3777" s="8" t="str">
        <f t="shared" si="235"/>
        <v/>
      </c>
      <c r="AL3777" s="8" t="str">
        <f t="shared" si="236"/>
        <v/>
      </c>
    </row>
    <row r="3778" spans="1:38" x14ac:dyDescent="0.25">
      <c r="A3778" s="8" t="s">
        <v>4588</v>
      </c>
      <c r="B3778" s="8" t="s">
        <v>4589</v>
      </c>
      <c r="C3778" s="8">
        <v>30895836</v>
      </c>
      <c r="D3778" s="8">
        <v>5</v>
      </c>
      <c r="E3778" s="11">
        <v>43111</v>
      </c>
      <c r="F3778" s="8" t="s">
        <v>58</v>
      </c>
      <c r="G3778" s="11">
        <v>43111</v>
      </c>
      <c r="H3778" s="8" t="s">
        <v>25</v>
      </c>
      <c r="I3778" s="11">
        <v>43111</v>
      </c>
      <c r="J3778" s="8" t="s">
        <v>25</v>
      </c>
      <c r="N3778" s="8" t="s">
        <v>58</v>
      </c>
      <c r="O3778" s="8" t="s">
        <v>59</v>
      </c>
      <c r="P3778" s="8" t="s">
        <v>59</v>
      </c>
      <c r="R3778" s="8">
        <v>0</v>
      </c>
      <c r="S3778" s="8">
        <v>0</v>
      </c>
      <c r="T3778" s="8">
        <v>1</v>
      </c>
      <c r="U3778" s="8">
        <v>2</v>
      </c>
      <c r="X3778" s="8">
        <v>5</v>
      </c>
      <c r="AG3778" s="8" t="str">
        <f t="shared" si="233"/>
        <v/>
      </c>
      <c r="AI3778" s="8" t="str">
        <f t="shared" si="234"/>
        <v/>
      </c>
      <c r="AJ3778" s="8" t="str">
        <f t="shared" si="235"/>
        <v/>
      </c>
      <c r="AL3778" s="8" t="str">
        <f t="shared" si="236"/>
        <v/>
      </c>
    </row>
    <row r="3779" spans="1:38" x14ac:dyDescent="0.25">
      <c r="A3779" s="8" t="s">
        <v>4590</v>
      </c>
      <c r="B3779" s="8" t="s">
        <v>4591</v>
      </c>
      <c r="C3779" s="8">
        <v>30899515</v>
      </c>
      <c r="D3779" s="8">
        <v>5</v>
      </c>
      <c r="E3779" s="11">
        <v>43111</v>
      </c>
      <c r="F3779" s="8" t="s">
        <v>58</v>
      </c>
      <c r="G3779" s="11">
        <v>43111</v>
      </c>
      <c r="H3779" s="8" t="s">
        <v>25</v>
      </c>
      <c r="I3779" s="11">
        <v>43111</v>
      </c>
      <c r="J3779" s="8" t="s">
        <v>25</v>
      </c>
      <c r="N3779" s="8" t="s">
        <v>58</v>
      </c>
      <c r="O3779" s="8" t="s">
        <v>59</v>
      </c>
      <c r="P3779" s="8" t="s">
        <v>59</v>
      </c>
      <c r="R3779" s="8">
        <v>0</v>
      </c>
      <c r="S3779" s="8">
        <v>0</v>
      </c>
      <c r="T3779" s="8">
        <v>1</v>
      </c>
      <c r="U3779" s="8">
        <v>2</v>
      </c>
      <c r="X3779" s="8">
        <v>5</v>
      </c>
      <c r="AG3779" s="8" t="str">
        <f t="shared" ref="AG3779:AG3842" si="237">IF(AND(U3779="",G3779&lt;&gt;"",NOT(OR(R3779,S3779))),IF(NETWORKDAYS.INTL(G3779,TODAY(),11)&lt;5,"En Plazo",IF(NETWORKDAYS.INTL(G3779,TODAY(),11)=5,"Riesgo Incumplimiento","FALTA_02")),"")</f>
        <v/>
      </c>
      <c r="AI3779" s="8" t="str">
        <f t="shared" ref="AI3779:AI3842" si="238">IF(AND(O3779&lt;&gt;"B1",F3779="Rejected"),IF(W3779="","FALTA_04",""),"")</f>
        <v/>
      </c>
      <c r="AJ3779" s="8" t="str">
        <f t="shared" ref="AJ3779:AJ3842" si="239">IF(AND(X3779="",I3779&lt;&gt;"",NOT(OR(R3779,S3779))),IF(NETWORKDAYS.INTL(G3779,TODAY(),11)&lt;=1,"En Plazo",IF(OR(AND(X3779="",O3779&lt;&gt;"M1"),AND(O3779="M1",(OR(Q3779="S - S",Q3779="S - T",)))),"FALTA_05","")),"")</f>
        <v/>
      </c>
      <c r="AL3779" s="8" t="str">
        <f t="shared" ref="AL3779:AL3842" si="240">IF(AND(O3779="B1",F3779="Rejected"),IF(Z3779="","FALTA_07",""),"")</f>
        <v/>
      </c>
    </row>
    <row r="3780" spans="1:38" x14ac:dyDescent="0.25">
      <c r="A3780" s="8" t="s">
        <v>4592</v>
      </c>
      <c r="B3780" s="8" t="s">
        <v>4593</v>
      </c>
      <c r="C3780" s="8">
        <v>30898281</v>
      </c>
      <c r="D3780" s="8">
        <v>5</v>
      </c>
      <c r="E3780" s="11">
        <v>43111</v>
      </c>
      <c r="F3780" s="8" t="s">
        <v>58</v>
      </c>
      <c r="G3780" s="11">
        <v>43111</v>
      </c>
      <c r="H3780" s="8" t="s">
        <v>25</v>
      </c>
      <c r="I3780" s="11">
        <v>43111</v>
      </c>
      <c r="J3780" s="8" t="s">
        <v>25</v>
      </c>
      <c r="N3780" s="8" t="s">
        <v>58</v>
      </c>
      <c r="O3780" s="8" t="s">
        <v>59</v>
      </c>
      <c r="P3780" s="8" t="s">
        <v>59</v>
      </c>
      <c r="R3780" s="8">
        <v>0</v>
      </c>
      <c r="S3780" s="8">
        <v>0</v>
      </c>
      <c r="T3780" s="8">
        <v>1</v>
      </c>
      <c r="U3780" s="8">
        <v>2</v>
      </c>
      <c r="X3780" s="8">
        <v>5</v>
      </c>
      <c r="AG3780" s="8" t="str">
        <f t="shared" si="237"/>
        <v/>
      </c>
      <c r="AI3780" s="8" t="str">
        <f t="shared" si="238"/>
        <v/>
      </c>
      <c r="AJ3780" s="8" t="str">
        <f t="shared" si="239"/>
        <v/>
      </c>
      <c r="AL3780" s="8" t="str">
        <f t="shared" si="240"/>
        <v/>
      </c>
    </row>
    <row r="3781" spans="1:38" x14ac:dyDescent="0.25">
      <c r="A3781" s="8" t="s">
        <v>3142</v>
      </c>
      <c r="B3781" s="8" t="s">
        <v>3143</v>
      </c>
      <c r="C3781" s="8">
        <v>30874207</v>
      </c>
      <c r="D3781" s="8">
        <v>5</v>
      </c>
      <c r="E3781" s="11">
        <v>43110</v>
      </c>
      <c r="F3781" s="8" t="s">
        <v>58</v>
      </c>
      <c r="G3781" s="11">
        <v>43110</v>
      </c>
      <c r="H3781" s="8" t="s">
        <v>25</v>
      </c>
      <c r="I3781" s="11">
        <v>43110</v>
      </c>
      <c r="J3781" s="8" t="s">
        <v>25</v>
      </c>
      <c r="N3781" s="8" t="s">
        <v>58</v>
      </c>
      <c r="O3781" s="8" t="s">
        <v>59</v>
      </c>
      <c r="P3781" s="8" t="s">
        <v>59</v>
      </c>
      <c r="R3781" s="8">
        <v>0</v>
      </c>
      <c r="S3781" s="8">
        <v>0</v>
      </c>
      <c r="T3781" s="8">
        <v>1</v>
      </c>
      <c r="U3781" s="8">
        <v>2</v>
      </c>
      <c r="X3781" s="8">
        <v>5</v>
      </c>
      <c r="AG3781" s="8" t="str">
        <f t="shared" si="237"/>
        <v/>
      </c>
      <c r="AI3781" s="8" t="str">
        <f t="shared" si="238"/>
        <v/>
      </c>
      <c r="AJ3781" s="8" t="str">
        <f t="shared" si="239"/>
        <v/>
      </c>
      <c r="AL3781" s="8" t="str">
        <f t="shared" si="240"/>
        <v/>
      </c>
    </row>
    <row r="3782" spans="1:38" x14ac:dyDescent="0.25">
      <c r="A3782" s="8" t="s">
        <v>3144</v>
      </c>
      <c r="B3782" s="8" t="s">
        <v>3145</v>
      </c>
      <c r="C3782" s="8">
        <v>30874276</v>
      </c>
      <c r="D3782" s="8">
        <v>5</v>
      </c>
      <c r="E3782" s="11">
        <v>43110</v>
      </c>
      <c r="F3782" s="8" t="s">
        <v>58</v>
      </c>
      <c r="G3782" s="11">
        <v>43110</v>
      </c>
      <c r="H3782" s="8" t="s">
        <v>25</v>
      </c>
      <c r="I3782" s="11">
        <v>43110</v>
      </c>
      <c r="J3782" s="8" t="s">
        <v>25</v>
      </c>
      <c r="N3782" s="8" t="s">
        <v>58</v>
      </c>
      <c r="O3782" s="8" t="s">
        <v>59</v>
      </c>
      <c r="P3782" s="8" t="s">
        <v>59</v>
      </c>
      <c r="R3782" s="8">
        <v>0</v>
      </c>
      <c r="S3782" s="8">
        <v>0</v>
      </c>
      <c r="T3782" s="8">
        <v>1</v>
      </c>
      <c r="U3782" s="8">
        <v>2</v>
      </c>
      <c r="X3782" s="8">
        <v>5</v>
      </c>
      <c r="AG3782" s="8" t="str">
        <f t="shared" si="237"/>
        <v/>
      </c>
      <c r="AI3782" s="8" t="str">
        <f t="shared" si="238"/>
        <v/>
      </c>
      <c r="AJ3782" s="8" t="str">
        <f t="shared" si="239"/>
        <v/>
      </c>
      <c r="AL3782" s="8" t="str">
        <f t="shared" si="240"/>
        <v/>
      </c>
    </row>
    <row r="3783" spans="1:38" x14ac:dyDescent="0.25">
      <c r="A3783" s="8" t="s">
        <v>4594</v>
      </c>
      <c r="B3783" s="8" t="s">
        <v>4595</v>
      </c>
      <c r="C3783" s="8">
        <v>30885454</v>
      </c>
      <c r="D3783" s="8">
        <v>5</v>
      </c>
      <c r="E3783" s="11">
        <v>43111</v>
      </c>
      <c r="F3783" s="8" t="s">
        <v>58</v>
      </c>
      <c r="G3783" s="11">
        <v>43111</v>
      </c>
      <c r="H3783" s="8" t="s">
        <v>25</v>
      </c>
      <c r="I3783" s="11">
        <v>43111</v>
      </c>
      <c r="J3783" s="8" t="s">
        <v>25</v>
      </c>
      <c r="N3783" s="8" t="s">
        <v>58</v>
      </c>
      <c r="O3783" s="8" t="s">
        <v>59</v>
      </c>
      <c r="P3783" s="8" t="s">
        <v>59</v>
      </c>
      <c r="R3783" s="8">
        <v>0</v>
      </c>
      <c r="S3783" s="8">
        <v>0</v>
      </c>
      <c r="T3783" s="8">
        <v>1</v>
      </c>
      <c r="U3783" s="8">
        <v>2</v>
      </c>
      <c r="X3783" s="8">
        <v>5</v>
      </c>
      <c r="AG3783" s="8" t="str">
        <f t="shared" si="237"/>
        <v/>
      </c>
      <c r="AI3783" s="8" t="str">
        <f t="shared" si="238"/>
        <v/>
      </c>
      <c r="AJ3783" s="8" t="str">
        <f t="shared" si="239"/>
        <v/>
      </c>
      <c r="AL3783" s="8" t="str">
        <f t="shared" si="240"/>
        <v/>
      </c>
    </row>
    <row r="3784" spans="1:38" x14ac:dyDescent="0.25">
      <c r="A3784" s="8" t="s">
        <v>4596</v>
      </c>
      <c r="B3784" s="8" t="s">
        <v>4597</v>
      </c>
      <c r="C3784" s="8">
        <v>30898569</v>
      </c>
      <c r="D3784" s="8">
        <v>5</v>
      </c>
      <c r="E3784" s="11">
        <v>43111</v>
      </c>
      <c r="F3784" s="8" t="s">
        <v>58</v>
      </c>
      <c r="G3784" s="11">
        <v>43111</v>
      </c>
      <c r="H3784" s="8" t="s">
        <v>25</v>
      </c>
      <c r="I3784" s="11">
        <v>43111</v>
      </c>
      <c r="J3784" s="8" t="s">
        <v>25</v>
      </c>
      <c r="N3784" s="8" t="s">
        <v>58</v>
      </c>
      <c r="O3784" s="8" t="s">
        <v>59</v>
      </c>
      <c r="P3784" s="8" t="s">
        <v>59</v>
      </c>
      <c r="R3784" s="8">
        <v>0</v>
      </c>
      <c r="S3784" s="8">
        <v>0</v>
      </c>
      <c r="T3784" s="8">
        <v>1</v>
      </c>
      <c r="U3784" s="8">
        <v>2</v>
      </c>
      <c r="X3784" s="8">
        <v>5</v>
      </c>
      <c r="AG3784" s="8" t="str">
        <f t="shared" si="237"/>
        <v/>
      </c>
      <c r="AI3784" s="8" t="str">
        <f t="shared" si="238"/>
        <v/>
      </c>
      <c r="AJ3784" s="8" t="str">
        <f t="shared" si="239"/>
        <v/>
      </c>
      <c r="AL3784" s="8" t="str">
        <f t="shared" si="240"/>
        <v/>
      </c>
    </row>
    <row r="3785" spans="1:38" x14ac:dyDescent="0.25">
      <c r="A3785" s="8" t="s">
        <v>4598</v>
      </c>
      <c r="B3785" s="8" t="s">
        <v>4599</v>
      </c>
      <c r="C3785" s="8">
        <v>30894420</v>
      </c>
      <c r="D3785" s="8">
        <v>5</v>
      </c>
      <c r="E3785" s="11">
        <v>43111</v>
      </c>
      <c r="F3785" s="8" t="s">
        <v>58</v>
      </c>
      <c r="G3785" s="11">
        <v>43111</v>
      </c>
      <c r="H3785" s="8" t="s">
        <v>25</v>
      </c>
      <c r="I3785" s="11">
        <v>43111</v>
      </c>
      <c r="J3785" s="8" t="s">
        <v>25</v>
      </c>
      <c r="N3785" s="8" t="s">
        <v>58</v>
      </c>
      <c r="O3785" s="8" t="s">
        <v>59</v>
      </c>
      <c r="P3785" s="8" t="s">
        <v>59</v>
      </c>
      <c r="R3785" s="8">
        <v>0</v>
      </c>
      <c r="S3785" s="8">
        <v>0</v>
      </c>
      <c r="T3785" s="8">
        <v>1</v>
      </c>
      <c r="U3785" s="8">
        <v>2</v>
      </c>
      <c r="X3785" s="8">
        <v>5</v>
      </c>
      <c r="AG3785" s="8" t="str">
        <f t="shared" si="237"/>
        <v/>
      </c>
      <c r="AI3785" s="8" t="str">
        <f t="shared" si="238"/>
        <v/>
      </c>
      <c r="AJ3785" s="8" t="str">
        <f t="shared" si="239"/>
        <v/>
      </c>
      <c r="AL3785" s="8" t="str">
        <f t="shared" si="240"/>
        <v/>
      </c>
    </row>
    <row r="3786" spans="1:38" x14ac:dyDescent="0.25">
      <c r="A3786" s="8" t="s">
        <v>729</v>
      </c>
      <c r="B3786" s="8" t="s">
        <v>730</v>
      </c>
      <c r="C3786" s="8">
        <v>30826923</v>
      </c>
      <c r="D3786" s="8">
        <v>5</v>
      </c>
      <c r="E3786" s="11">
        <v>43108</v>
      </c>
      <c r="F3786" s="8" t="s">
        <v>58</v>
      </c>
      <c r="G3786" s="11">
        <v>43108</v>
      </c>
      <c r="H3786" s="8" t="s">
        <v>25</v>
      </c>
      <c r="I3786" s="11">
        <v>43108</v>
      </c>
      <c r="J3786" s="8" t="s">
        <v>25</v>
      </c>
      <c r="N3786" s="8" t="s">
        <v>58</v>
      </c>
      <c r="O3786" s="8" t="s">
        <v>59</v>
      </c>
      <c r="P3786" s="8" t="s">
        <v>59</v>
      </c>
      <c r="R3786" s="8">
        <v>0</v>
      </c>
      <c r="S3786" s="8">
        <v>0</v>
      </c>
      <c r="T3786" s="8">
        <v>1</v>
      </c>
      <c r="U3786" s="8">
        <v>2</v>
      </c>
      <c r="X3786" s="8">
        <v>5</v>
      </c>
      <c r="AG3786" s="8" t="str">
        <f t="shared" si="237"/>
        <v/>
      </c>
      <c r="AI3786" s="8" t="str">
        <f t="shared" si="238"/>
        <v/>
      </c>
      <c r="AJ3786" s="8" t="str">
        <f t="shared" si="239"/>
        <v/>
      </c>
      <c r="AL3786" s="8" t="str">
        <f t="shared" si="240"/>
        <v/>
      </c>
    </row>
    <row r="3787" spans="1:38" x14ac:dyDescent="0.25">
      <c r="A3787" s="8" t="s">
        <v>1550</v>
      </c>
      <c r="B3787" s="8" t="s">
        <v>1551</v>
      </c>
      <c r="C3787" s="8">
        <v>30811060</v>
      </c>
      <c r="D3787" s="8">
        <v>5</v>
      </c>
      <c r="E3787" s="11">
        <v>43108</v>
      </c>
      <c r="F3787" s="8" t="s">
        <v>57</v>
      </c>
      <c r="G3787" s="11">
        <v>43109</v>
      </c>
      <c r="H3787" s="8" t="s">
        <v>25</v>
      </c>
      <c r="J3787" s="8" t="s">
        <v>25</v>
      </c>
      <c r="N3787" s="8" t="s">
        <v>58</v>
      </c>
      <c r="O3787" s="8" t="s">
        <v>59</v>
      </c>
      <c r="P3787" s="8" t="s">
        <v>59</v>
      </c>
      <c r="R3787" s="8">
        <v>0</v>
      </c>
      <c r="S3787" s="8">
        <v>0</v>
      </c>
      <c r="T3787" s="8">
        <v>1</v>
      </c>
      <c r="U3787" s="8">
        <v>2</v>
      </c>
      <c r="AG3787" s="8" t="str">
        <f t="shared" si="237"/>
        <v/>
      </c>
      <c r="AI3787" s="8" t="str">
        <f t="shared" si="238"/>
        <v/>
      </c>
      <c r="AJ3787" s="8" t="str">
        <f t="shared" si="239"/>
        <v/>
      </c>
      <c r="AL3787" s="8" t="str">
        <f t="shared" si="240"/>
        <v/>
      </c>
    </row>
    <row r="3788" spans="1:38" x14ac:dyDescent="0.25">
      <c r="A3788" s="8" t="s">
        <v>731</v>
      </c>
      <c r="B3788" s="8" t="s">
        <v>732</v>
      </c>
      <c r="C3788" s="8">
        <v>30817420</v>
      </c>
      <c r="D3788" s="8">
        <v>5</v>
      </c>
      <c r="E3788" s="11">
        <v>43108</v>
      </c>
      <c r="F3788" s="8" t="s">
        <v>58</v>
      </c>
      <c r="G3788" s="11">
        <v>43108</v>
      </c>
      <c r="H3788" s="8" t="s">
        <v>25</v>
      </c>
      <c r="I3788" s="11">
        <v>43108</v>
      </c>
      <c r="J3788" s="8" t="s">
        <v>25</v>
      </c>
      <c r="N3788" s="8" t="s">
        <v>58</v>
      </c>
      <c r="O3788" s="8" t="s">
        <v>59</v>
      </c>
      <c r="P3788" s="8" t="s">
        <v>59</v>
      </c>
      <c r="R3788" s="8">
        <v>0</v>
      </c>
      <c r="S3788" s="8">
        <v>0</v>
      </c>
      <c r="T3788" s="8">
        <v>1</v>
      </c>
      <c r="U3788" s="8">
        <v>2</v>
      </c>
      <c r="X3788" s="8">
        <v>5</v>
      </c>
      <c r="AG3788" s="8" t="str">
        <f t="shared" si="237"/>
        <v/>
      </c>
      <c r="AI3788" s="8" t="str">
        <f t="shared" si="238"/>
        <v/>
      </c>
      <c r="AJ3788" s="8" t="str">
        <f t="shared" si="239"/>
        <v/>
      </c>
      <c r="AL3788" s="8" t="str">
        <f t="shared" si="240"/>
        <v/>
      </c>
    </row>
    <row r="3789" spans="1:38" x14ac:dyDescent="0.25">
      <c r="A3789" s="8" t="s">
        <v>3146</v>
      </c>
      <c r="B3789" s="8" t="s">
        <v>3147</v>
      </c>
      <c r="C3789" s="8">
        <v>30870435</v>
      </c>
      <c r="D3789" s="8">
        <v>5</v>
      </c>
      <c r="E3789" s="11">
        <v>43110</v>
      </c>
      <c r="F3789" s="8" t="s">
        <v>58</v>
      </c>
      <c r="G3789" s="11">
        <v>43110</v>
      </c>
      <c r="H3789" s="8" t="s">
        <v>25</v>
      </c>
      <c r="I3789" s="11">
        <v>43115</v>
      </c>
      <c r="J3789" s="8" t="s">
        <v>145</v>
      </c>
      <c r="N3789" s="8" t="s">
        <v>58</v>
      </c>
      <c r="O3789" s="8" t="s">
        <v>59</v>
      </c>
      <c r="P3789" s="8" t="s">
        <v>59</v>
      </c>
      <c r="R3789" s="8">
        <v>0</v>
      </c>
      <c r="S3789" s="8">
        <v>0</v>
      </c>
      <c r="T3789" s="8">
        <v>1</v>
      </c>
      <c r="U3789" s="8">
        <v>2</v>
      </c>
      <c r="X3789" s="8">
        <v>5</v>
      </c>
      <c r="AG3789" s="8" t="str">
        <f t="shared" si="237"/>
        <v/>
      </c>
      <c r="AI3789" s="8" t="str">
        <f t="shared" si="238"/>
        <v/>
      </c>
      <c r="AJ3789" s="8" t="str">
        <f t="shared" si="239"/>
        <v/>
      </c>
      <c r="AL3789" s="8" t="str">
        <f t="shared" si="240"/>
        <v/>
      </c>
    </row>
    <row r="3790" spans="1:38" x14ac:dyDescent="0.25">
      <c r="A3790" s="8" t="s">
        <v>4600</v>
      </c>
      <c r="B3790" s="8" t="s">
        <v>4601</v>
      </c>
      <c r="C3790" s="8">
        <v>30881572</v>
      </c>
      <c r="D3790" s="8">
        <v>5</v>
      </c>
      <c r="E3790" s="11">
        <v>43111</v>
      </c>
      <c r="F3790" s="8" t="s">
        <v>58</v>
      </c>
      <c r="G3790" s="11">
        <v>43111</v>
      </c>
      <c r="H3790" s="8" t="s">
        <v>25</v>
      </c>
      <c r="I3790" s="11">
        <v>43111</v>
      </c>
      <c r="J3790" s="8" t="s">
        <v>25</v>
      </c>
      <c r="N3790" s="8" t="s">
        <v>58</v>
      </c>
      <c r="O3790" s="8" t="s">
        <v>59</v>
      </c>
      <c r="P3790" s="8" t="s">
        <v>59</v>
      </c>
      <c r="R3790" s="8">
        <v>0</v>
      </c>
      <c r="S3790" s="8">
        <v>0</v>
      </c>
      <c r="T3790" s="8">
        <v>1</v>
      </c>
      <c r="U3790" s="8">
        <v>2</v>
      </c>
      <c r="X3790" s="8">
        <v>5</v>
      </c>
      <c r="AG3790" s="8" t="str">
        <f t="shared" si="237"/>
        <v/>
      </c>
      <c r="AI3790" s="8" t="str">
        <f t="shared" si="238"/>
        <v/>
      </c>
      <c r="AJ3790" s="8" t="str">
        <f t="shared" si="239"/>
        <v/>
      </c>
      <c r="AL3790" s="8" t="str">
        <f t="shared" si="240"/>
        <v/>
      </c>
    </row>
    <row r="3791" spans="1:38" x14ac:dyDescent="0.25">
      <c r="A3791" s="8" t="s">
        <v>3148</v>
      </c>
      <c r="B3791" s="8" t="s">
        <v>3149</v>
      </c>
      <c r="C3791" s="8">
        <v>30863452</v>
      </c>
      <c r="D3791" s="8">
        <v>5</v>
      </c>
      <c r="E3791" s="11">
        <v>43110</v>
      </c>
      <c r="F3791" s="8" t="s">
        <v>58</v>
      </c>
      <c r="G3791" s="11">
        <v>43110</v>
      </c>
      <c r="H3791" s="8" t="s">
        <v>25</v>
      </c>
      <c r="I3791" s="11">
        <v>43110</v>
      </c>
      <c r="J3791" s="8" t="s">
        <v>25</v>
      </c>
      <c r="N3791" s="8" t="s">
        <v>58</v>
      </c>
      <c r="O3791" s="8" t="s">
        <v>59</v>
      </c>
      <c r="P3791" s="8" t="s">
        <v>59</v>
      </c>
      <c r="R3791" s="8">
        <v>0</v>
      </c>
      <c r="S3791" s="8">
        <v>0</v>
      </c>
      <c r="T3791" s="8">
        <v>1</v>
      </c>
      <c r="U3791" s="8">
        <v>2</v>
      </c>
      <c r="X3791" s="8">
        <v>5</v>
      </c>
      <c r="AG3791" s="8" t="str">
        <f t="shared" si="237"/>
        <v/>
      </c>
      <c r="AI3791" s="8" t="str">
        <f t="shared" si="238"/>
        <v/>
      </c>
      <c r="AJ3791" s="8" t="str">
        <f t="shared" si="239"/>
        <v/>
      </c>
      <c r="AL3791" s="8" t="str">
        <f t="shared" si="240"/>
        <v/>
      </c>
    </row>
    <row r="3792" spans="1:38" x14ac:dyDescent="0.25">
      <c r="A3792" s="8" t="s">
        <v>8119</v>
      </c>
      <c r="B3792" s="8" t="s">
        <v>8120</v>
      </c>
      <c r="C3792" s="8">
        <v>30936980</v>
      </c>
      <c r="D3792" s="8">
        <v>5</v>
      </c>
      <c r="E3792" s="11">
        <v>43115</v>
      </c>
      <c r="F3792" s="8" t="s">
        <v>58</v>
      </c>
      <c r="G3792" s="11">
        <v>43115</v>
      </c>
      <c r="H3792" s="8" t="s">
        <v>25</v>
      </c>
      <c r="I3792" s="11">
        <v>43115</v>
      </c>
      <c r="J3792" s="8" t="s">
        <v>25</v>
      </c>
      <c r="N3792" s="8" t="s">
        <v>58</v>
      </c>
      <c r="O3792" s="8" t="s">
        <v>59</v>
      </c>
      <c r="P3792" s="8" t="s">
        <v>59</v>
      </c>
      <c r="R3792" s="8">
        <v>0</v>
      </c>
      <c r="S3792" s="8">
        <v>0</v>
      </c>
      <c r="T3792" s="8">
        <v>1</v>
      </c>
      <c r="U3792" s="8">
        <v>2</v>
      </c>
      <c r="X3792" s="8">
        <v>5</v>
      </c>
      <c r="AG3792" s="8" t="str">
        <f t="shared" si="237"/>
        <v/>
      </c>
      <c r="AI3792" s="8" t="str">
        <f t="shared" si="238"/>
        <v/>
      </c>
      <c r="AJ3792" s="8" t="str">
        <f t="shared" si="239"/>
        <v/>
      </c>
      <c r="AL3792" s="8" t="str">
        <f t="shared" si="240"/>
        <v/>
      </c>
    </row>
    <row r="3793" spans="1:38" x14ac:dyDescent="0.25">
      <c r="A3793" s="8" t="s">
        <v>6384</v>
      </c>
      <c r="B3793" s="8" t="s">
        <v>6385</v>
      </c>
      <c r="C3793" s="8">
        <v>30897177</v>
      </c>
      <c r="D3793" s="8">
        <v>5</v>
      </c>
      <c r="E3793" s="11">
        <v>43111</v>
      </c>
      <c r="F3793" s="8" t="s">
        <v>57</v>
      </c>
      <c r="G3793" s="11">
        <v>43112</v>
      </c>
      <c r="H3793" s="8" t="s">
        <v>25</v>
      </c>
      <c r="J3793" s="8" t="s">
        <v>25</v>
      </c>
      <c r="N3793" s="8" t="s">
        <v>58</v>
      </c>
      <c r="O3793" s="8" t="s">
        <v>59</v>
      </c>
      <c r="P3793" s="8" t="s">
        <v>59</v>
      </c>
      <c r="R3793" s="8">
        <v>0</v>
      </c>
      <c r="S3793" s="8">
        <v>0</v>
      </c>
      <c r="T3793" s="8">
        <v>1</v>
      </c>
      <c r="U3793" s="8">
        <v>2</v>
      </c>
      <c r="AG3793" s="8" t="str">
        <f t="shared" si="237"/>
        <v/>
      </c>
      <c r="AI3793" s="8" t="str">
        <f t="shared" si="238"/>
        <v/>
      </c>
      <c r="AJ3793" s="8" t="str">
        <f t="shared" si="239"/>
        <v/>
      </c>
      <c r="AL3793" s="8" t="str">
        <f t="shared" si="240"/>
        <v/>
      </c>
    </row>
    <row r="3794" spans="1:38" x14ac:dyDescent="0.25">
      <c r="A3794" s="8" t="s">
        <v>6386</v>
      </c>
      <c r="B3794" s="8" t="s">
        <v>6387</v>
      </c>
      <c r="C3794" s="8">
        <v>30897168</v>
      </c>
      <c r="D3794" s="8">
        <v>5</v>
      </c>
      <c r="E3794" s="11">
        <v>43111</v>
      </c>
      <c r="F3794" s="8" t="s">
        <v>57</v>
      </c>
      <c r="G3794" s="11">
        <v>43114</v>
      </c>
      <c r="H3794" s="8" t="s">
        <v>25</v>
      </c>
      <c r="J3794" s="8" t="s">
        <v>25</v>
      </c>
      <c r="N3794" s="8" t="s">
        <v>58</v>
      </c>
      <c r="O3794" s="8" t="s">
        <v>59</v>
      </c>
      <c r="P3794" s="8" t="s">
        <v>59</v>
      </c>
      <c r="R3794" s="8">
        <v>0</v>
      </c>
      <c r="S3794" s="8">
        <v>0</v>
      </c>
      <c r="T3794" s="8">
        <v>1</v>
      </c>
      <c r="U3794" s="8">
        <v>2</v>
      </c>
      <c r="AG3794" s="8" t="str">
        <f t="shared" si="237"/>
        <v/>
      </c>
      <c r="AI3794" s="8" t="str">
        <f t="shared" si="238"/>
        <v/>
      </c>
      <c r="AJ3794" s="8" t="str">
        <f t="shared" si="239"/>
        <v/>
      </c>
      <c r="AL3794" s="8" t="str">
        <f t="shared" si="240"/>
        <v/>
      </c>
    </row>
    <row r="3795" spans="1:38" x14ac:dyDescent="0.25">
      <c r="A3795" s="8" t="s">
        <v>6388</v>
      </c>
      <c r="B3795" s="8" t="s">
        <v>6389</v>
      </c>
      <c r="C3795" s="8">
        <v>30897173</v>
      </c>
      <c r="D3795" s="8">
        <v>5</v>
      </c>
      <c r="E3795" s="11">
        <v>43111</v>
      </c>
      <c r="F3795" s="8" t="s">
        <v>57</v>
      </c>
      <c r="G3795" s="11">
        <v>43114</v>
      </c>
      <c r="H3795" s="8" t="s">
        <v>25</v>
      </c>
      <c r="J3795" s="8" t="s">
        <v>25</v>
      </c>
      <c r="N3795" s="8" t="s">
        <v>58</v>
      </c>
      <c r="O3795" s="8" t="s">
        <v>59</v>
      </c>
      <c r="P3795" s="8" t="s">
        <v>59</v>
      </c>
      <c r="R3795" s="8">
        <v>0</v>
      </c>
      <c r="S3795" s="8">
        <v>0</v>
      </c>
      <c r="T3795" s="8">
        <v>1</v>
      </c>
      <c r="U3795" s="8">
        <v>2</v>
      </c>
      <c r="AG3795" s="8" t="str">
        <f t="shared" si="237"/>
        <v/>
      </c>
      <c r="AI3795" s="8" t="str">
        <f t="shared" si="238"/>
        <v/>
      </c>
      <c r="AJ3795" s="8" t="str">
        <f t="shared" si="239"/>
        <v/>
      </c>
      <c r="AL3795" s="8" t="str">
        <f t="shared" si="240"/>
        <v/>
      </c>
    </row>
    <row r="3796" spans="1:38" x14ac:dyDescent="0.25">
      <c r="A3796" s="8" t="s">
        <v>6390</v>
      </c>
      <c r="B3796" s="8" t="s">
        <v>6391</v>
      </c>
      <c r="C3796" s="8">
        <v>30897182</v>
      </c>
      <c r="D3796" s="8">
        <v>5</v>
      </c>
      <c r="E3796" s="11">
        <v>43111</v>
      </c>
      <c r="F3796" s="8" t="s">
        <v>57</v>
      </c>
      <c r="G3796" s="11">
        <v>43114</v>
      </c>
      <c r="H3796" s="8" t="s">
        <v>25</v>
      </c>
      <c r="J3796" s="8" t="s">
        <v>25</v>
      </c>
      <c r="N3796" s="8" t="s">
        <v>58</v>
      </c>
      <c r="O3796" s="8" t="s">
        <v>59</v>
      </c>
      <c r="P3796" s="8" t="s">
        <v>59</v>
      </c>
      <c r="R3796" s="8">
        <v>0</v>
      </c>
      <c r="S3796" s="8">
        <v>0</v>
      </c>
      <c r="T3796" s="8">
        <v>1</v>
      </c>
      <c r="U3796" s="8">
        <v>2</v>
      </c>
      <c r="AG3796" s="8" t="str">
        <f t="shared" si="237"/>
        <v/>
      </c>
      <c r="AI3796" s="8" t="str">
        <f t="shared" si="238"/>
        <v/>
      </c>
      <c r="AJ3796" s="8" t="str">
        <f t="shared" si="239"/>
        <v/>
      </c>
      <c r="AL3796" s="8" t="str">
        <f t="shared" si="240"/>
        <v/>
      </c>
    </row>
    <row r="3797" spans="1:38" x14ac:dyDescent="0.25">
      <c r="A3797" s="8" t="s">
        <v>6392</v>
      </c>
      <c r="B3797" s="8" t="s">
        <v>6393</v>
      </c>
      <c r="C3797" s="8">
        <v>30897174</v>
      </c>
      <c r="D3797" s="8">
        <v>5</v>
      </c>
      <c r="E3797" s="11">
        <v>43111</v>
      </c>
      <c r="F3797" s="8" t="s">
        <v>57</v>
      </c>
      <c r="G3797" s="11">
        <v>43114</v>
      </c>
      <c r="H3797" s="8" t="s">
        <v>25</v>
      </c>
      <c r="J3797" s="8" t="s">
        <v>25</v>
      </c>
      <c r="N3797" s="8" t="s">
        <v>58</v>
      </c>
      <c r="O3797" s="8" t="s">
        <v>59</v>
      </c>
      <c r="P3797" s="8" t="s">
        <v>59</v>
      </c>
      <c r="R3797" s="8">
        <v>0</v>
      </c>
      <c r="S3797" s="8">
        <v>0</v>
      </c>
      <c r="T3797" s="8">
        <v>1</v>
      </c>
      <c r="U3797" s="8">
        <v>2</v>
      </c>
      <c r="AG3797" s="8" t="str">
        <f t="shared" si="237"/>
        <v/>
      </c>
      <c r="AI3797" s="8" t="str">
        <f t="shared" si="238"/>
        <v/>
      </c>
      <c r="AJ3797" s="8" t="str">
        <f t="shared" si="239"/>
        <v/>
      </c>
      <c r="AL3797" s="8" t="str">
        <f t="shared" si="240"/>
        <v/>
      </c>
    </row>
    <row r="3798" spans="1:38" x14ac:dyDescent="0.25">
      <c r="A3798" s="8" t="s">
        <v>6394</v>
      </c>
      <c r="B3798" s="8" t="s">
        <v>6395</v>
      </c>
      <c r="C3798" s="8">
        <v>30897171</v>
      </c>
      <c r="D3798" s="8">
        <v>5</v>
      </c>
      <c r="E3798" s="11">
        <v>43111</v>
      </c>
      <c r="F3798" s="8" t="s">
        <v>57</v>
      </c>
      <c r="G3798" s="11">
        <v>43114</v>
      </c>
      <c r="H3798" s="8" t="s">
        <v>25</v>
      </c>
      <c r="J3798" s="8" t="s">
        <v>25</v>
      </c>
      <c r="N3798" s="8" t="s">
        <v>58</v>
      </c>
      <c r="O3798" s="8" t="s">
        <v>59</v>
      </c>
      <c r="P3798" s="8" t="s">
        <v>59</v>
      </c>
      <c r="R3798" s="8">
        <v>0</v>
      </c>
      <c r="S3798" s="8">
        <v>0</v>
      </c>
      <c r="T3798" s="8">
        <v>1</v>
      </c>
      <c r="U3798" s="8">
        <v>2</v>
      </c>
      <c r="AG3798" s="8" t="str">
        <f t="shared" si="237"/>
        <v/>
      </c>
      <c r="AI3798" s="8" t="str">
        <f t="shared" si="238"/>
        <v/>
      </c>
      <c r="AJ3798" s="8" t="str">
        <f t="shared" si="239"/>
        <v/>
      </c>
      <c r="AL3798" s="8" t="str">
        <f t="shared" si="240"/>
        <v/>
      </c>
    </row>
    <row r="3799" spans="1:38" x14ac:dyDescent="0.25">
      <c r="A3799" s="8" t="s">
        <v>6396</v>
      </c>
      <c r="B3799" s="8" t="s">
        <v>6397</v>
      </c>
      <c r="C3799" s="8">
        <v>30897176</v>
      </c>
      <c r="D3799" s="8">
        <v>5</v>
      </c>
      <c r="E3799" s="11">
        <v>43111</v>
      </c>
      <c r="F3799" s="8" t="s">
        <v>57</v>
      </c>
      <c r="G3799" s="11">
        <v>43114</v>
      </c>
      <c r="H3799" s="8" t="s">
        <v>25</v>
      </c>
      <c r="J3799" s="8" t="s">
        <v>25</v>
      </c>
      <c r="N3799" s="8" t="s">
        <v>58</v>
      </c>
      <c r="O3799" s="8" t="s">
        <v>59</v>
      </c>
      <c r="P3799" s="8" t="s">
        <v>59</v>
      </c>
      <c r="R3799" s="8">
        <v>0</v>
      </c>
      <c r="S3799" s="8">
        <v>0</v>
      </c>
      <c r="T3799" s="8">
        <v>1</v>
      </c>
      <c r="U3799" s="8">
        <v>2</v>
      </c>
      <c r="AG3799" s="8" t="str">
        <f t="shared" si="237"/>
        <v/>
      </c>
      <c r="AI3799" s="8" t="str">
        <f t="shared" si="238"/>
        <v/>
      </c>
      <c r="AJ3799" s="8" t="str">
        <f t="shared" si="239"/>
        <v/>
      </c>
      <c r="AL3799" s="8" t="str">
        <f t="shared" si="240"/>
        <v/>
      </c>
    </row>
    <row r="3800" spans="1:38" x14ac:dyDescent="0.25">
      <c r="A3800" s="8" t="s">
        <v>6398</v>
      </c>
      <c r="B3800" s="8" t="s">
        <v>6399</v>
      </c>
      <c r="C3800" s="8">
        <v>30897178</v>
      </c>
      <c r="D3800" s="8">
        <v>5</v>
      </c>
      <c r="E3800" s="11">
        <v>43111</v>
      </c>
      <c r="F3800" s="8" t="s">
        <v>57</v>
      </c>
      <c r="G3800" s="11">
        <v>43114</v>
      </c>
      <c r="H3800" s="8" t="s">
        <v>25</v>
      </c>
      <c r="J3800" s="8" t="s">
        <v>25</v>
      </c>
      <c r="N3800" s="8" t="s">
        <v>58</v>
      </c>
      <c r="O3800" s="8" t="s">
        <v>59</v>
      </c>
      <c r="P3800" s="8" t="s">
        <v>59</v>
      </c>
      <c r="R3800" s="8">
        <v>0</v>
      </c>
      <c r="S3800" s="8">
        <v>0</v>
      </c>
      <c r="T3800" s="8">
        <v>1</v>
      </c>
      <c r="U3800" s="8">
        <v>2</v>
      </c>
      <c r="AG3800" s="8" t="str">
        <f t="shared" si="237"/>
        <v/>
      </c>
      <c r="AI3800" s="8" t="str">
        <f t="shared" si="238"/>
        <v/>
      </c>
      <c r="AJ3800" s="8" t="str">
        <f t="shared" si="239"/>
        <v/>
      </c>
      <c r="AL3800" s="8" t="str">
        <f t="shared" si="240"/>
        <v/>
      </c>
    </row>
    <row r="3801" spans="1:38" x14ac:dyDescent="0.25">
      <c r="A3801" s="8" t="s">
        <v>733</v>
      </c>
      <c r="B3801" s="8" t="s">
        <v>734</v>
      </c>
      <c r="C3801" s="8">
        <v>30824620</v>
      </c>
      <c r="D3801" s="8">
        <v>5</v>
      </c>
      <c r="E3801" s="11">
        <v>43108</v>
      </c>
      <c r="F3801" s="8" t="s">
        <v>58</v>
      </c>
      <c r="G3801" s="11">
        <v>43108</v>
      </c>
      <c r="H3801" s="8" t="s">
        <v>25</v>
      </c>
      <c r="I3801" s="11">
        <v>43108</v>
      </c>
      <c r="J3801" s="8" t="s">
        <v>25</v>
      </c>
      <c r="N3801" s="8" t="s">
        <v>58</v>
      </c>
      <c r="O3801" s="8" t="s">
        <v>59</v>
      </c>
      <c r="P3801" s="8" t="s">
        <v>59</v>
      </c>
      <c r="R3801" s="8">
        <v>0</v>
      </c>
      <c r="S3801" s="8">
        <v>0</v>
      </c>
      <c r="T3801" s="8">
        <v>1</v>
      </c>
      <c r="U3801" s="8">
        <v>2</v>
      </c>
      <c r="X3801" s="8">
        <v>5</v>
      </c>
      <c r="AG3801" s="8" t="str">
        <f t="shared" si="237"/>
        <v/>
      </c>
      <c r="AI3801" s="8" t="str">
        <f t="shared" si="238"/>
        <v/>
      </c>
      <c r="AJ3801" s="8" t="str">
        <f t="shared" si="239"/>
        <v/>
      </c>
      <c r="AL3801" s="8" t="str">
        <f t="shared" si="240"/>
        <v/>
      </c>
    </row>
    <row r="3802" spans="1:38" x14ac:dyDescent="0.25">
      <c r="A3802" s="8" t="s">
        <v>3150</v>
      </c>
      <c r="B3802" s="8" t="s">
        <v>3151</v>
      </c>
      <c r="C3802" s="8">
        <v>30870409</v>
      </c>
      <c r="D3802" s="8">
        <v>5</v>
      </c>
      <c r="E3802" s="11">
        <v>43110</v>
      </c>
      <c r="F3802" s="8" t="s">
        <v>58</v>
      </c>
      <c r="G3802" s="11">
        <v>43110</v>
      </c>
      <c r="H3802" s="8" t="s">
        <v>25</v>
      </c>
      <c r="I3802" s="11">
        <v>43112</v>
      </c>
      <c r="J3802" s="8" t="s">
        <v>25</v>
      </c>
      <c r="N3802" s="8" t="s">
        <v>58</v>
      </c>
      <c r="O3802" s="8" t="s">
        <v>59</v>
      </c>
      <c r="P3802" s="8" t="s">
        <v>59</v>
      </c>
      <c r="R3802" s="8">
        <v>0</v>
      </c>
      <c r="S3802" s="8">
        <v>0</v>
      </c>
      <c r="T3802" s="8">
        <v>1</v>
      </c>
      <c r="U3802" s="8">
        <v>2</v>
      </c>
      <c r="X3802" s="8">
        <v>5</v>
      </c>
      <c r="AG3802" s="8" t="str">
        <f t="shared" si="237"/>
        <v/>
      </c>
      <c r="AI3802" s="8" t="str">
        <f t="shared" si="238"/>
        <v/>
      </c>
      <c r="AJ3802" s="8" t="str">
        <f t="shared" si="239"/>
        <v/>
      </c>
      <c r="AL3802" s="8" t="str">
        <f t="shared" si="240"/>
        <v/>
      </c>
    </row>
    <row r="3803" spans="1:38" x14ac:dyDescent="0.25">
      <c r="A3803" s="8" t="s">
        <v>6400</v>
      </c>
      <c r="B3803" s="8" t="s">
        <v>6401</v>
      </c>
      <c r="C3803" s="8">
        <v>30898435</v>
      </c>
      <c r="D3803" s="8">
        <v>5</v>
      </c>
      <c r="E3803" s="11">
        <v>43111</v>
      </c>
      <c r="F3803" s="8" t="s">
        <v>57</v>
      </c>
      <c r="G3803" s="11">
        <v>43114</v>
      </c>
      <c r="H3803" s="8" t="s">
        <v>25</v>
      </c>
      <c r="J3803" s="8" t="s">
        <v>25</v>
      </c>
      <c r="N3803" s="8" t="s">
        <v>58</v>
      </c>
      <c r="O3803" s="8" t="s">
        <v>59</v>
      </c>
      <c r="P3803" s="8" t="s">
        <v>59</v>
      </c>
      <c r="R3803" s="8">
        <v>0</v>
      </c>
      <c r="S3803" s="8">
        <v>0</v>
      </c>
      <c r="T3803" s="8">
        <v>1</v>
      </c>
      <c r="U3803" s="8">
        <v>2</v>
      </c>
      <c r="AG3803" s="8" t="str">
        <f t="shared" si="237"/>
        <v/>
      </c>
      <c r="AI3803" s="8" t="str">
        <f t="shared" si="238"/>
        <v/>
      </c>
      <c r="AJ3803" s="8" t="str">
        <f t="shared" si="239"/>
        <v/>
      </c>
      <c r="AL3803" s="8" t="str">
        <f t="shared" si="240"/>
        <v/>
      </c>
    </row>
    <row r="3804" spans="1:38" x14ac:dyDescent="0.25">
      <c r="A3804" s="8" t="s">
        <v>6402</v>
      </c>
      <c r="B3804" s="8" t="s">
        <v>6403</v>
      </c>
      <c r="C3804" s="8">
        <v>30912969</v>
      </c>
      <c r="D3804" s="8">
        <v>5</v>
      </c>
      <c r="E3804" s="11">
        <v>43112</v>
      </c>
      <c r="F3804" s="8" t="s">
        <v>57</v>
      </c>
      <c r="G3804" s="11">
        <v>43112</v>
      </c>
      <c r="H3804" s="8" t="s">
        <v>25</v>
      </c>
      <c r="J3804" s="8" t="s">
        <v>25</v>
      </c>
      <c r="N3804" s="8" t="s">
        <v>58</v>
      </c>
      <c r="O3804" s="8" t="s">
        <v>59</v>
      </c>
      <c r="P3804" s="8" t="s">
        <v>59</v>
      </c>
      <c r="R3804" s="8">
        <v>0</v>
      </c>
      <c r="S3804" s="8">
        <v>0</v>
      </c>
      <c r="T3804" s="8">
        <v>1</v>
      </c>
      <c r="U3804" s="8">
        <v>2</v>
      </c>
      <c r="AG3804" s="8" t="str">
        <f t="shared" si="237"/>
        <v/>
      </c>
      <c r="AI3804" s="8" t="str">
        <f t="shared" si="238"/>
        <v/>
      </c>
      <c r="AJ3804" s="8" t="str">
        <f t="shared" si="239"/>
        <v/>
      </c>
      <c r="AL3804" s="8" t="str">
        <f t="shared" si="240"/>
        <v/>
      </c>
    </row>
    <row r="3805" spans="1:38" x14ac:dyDescent="0.25">
      <c r="A3805" s="8" t="s">
        <v>3152</v>
      </c>
      <c r="B3805" s="8" t="s">
        <v>3153</v>
      </c>
      <c r="C3805" s="8">
        <v>30844575</v>
      </c>
      <c r="D3805" s="8">
        <v>5</v>
      </c>
      <c r="E3805" s="11">
        <v>43109</v>
      </c>
      <c r="F3805" s="8" t="s">
        <v>57</v>
      </c>
      <c r="G3805" s="11">
        <v>43110</v>
      </c>
      <c r="H3805" s="8" t="s">
        <v>25</v>
      </c>
      <c r="J3805" s="8" t="s">
        <v>25</v>
      </c>
      <c r="N3805" s="8" t="s">
        <v>58</v>
      </c>
      <c r="O3805" s="8" t="s">
        <v>59</v>
      </c>
      <c r="P3805" s="8" t="s">
        <v>59</v>
      </c>
      <c r="R3805" s="8">
        <v>0</v>
      </c>
      <c r="S3805" s="8">
        <v>0</v>
      </c>
      <c r="T3805" s="8">
        <v>1</v>
      </c>
      <c r="U3805" s="8">
        <v>2</v>
      </c>
      <c r="AG3805" s="8" t="str">
        <f t="shared" si="237"/>
        <v/>
      </c>
      <c r="AI3805" s="8" t="str">
        <f t="shared" si="238"/>
        <v/>
      </c>
      <c r="AJ3805" s="8" t="str">
        <f t="shared" si="239"/>
        <v/>
      </c>
      <c r="AL3805" s="8" t="str">
        <f t="shared" si="240"/>
        <v/>
      </c>
    </row>
    <row r="3806" spans="1:38" x14ac:dyDescent="0.25">
      <c r="A3806" s="8" t="s">
        <v>6404</v>
      </c>
      <c r="B3806" s="8" t="s">
        <v>6405</v>
      </c>
      <c r="C3806" s="8">
        <v>30920606</v>
      </c>
      <c r="D3806" s="8">
        <v>5</v>
      </c>
      <c r="E3806" s="11">
        <v>43112</v>
      </c>
      <c r="F3806" s="8" t="s">
        <v>58</v>
      </c>
      <c r="G3806" s="11">
        <v>43112</v>
      </c>
      <c r="H3806" s="8" t="s">
        <v>25</v>
      </c>
      <c r="I3806" s="11">
        <v>43112</v>
      </c>
      <c r="J3806" s="8" t="s">
        <v>25</v>
      </c>
      <c r="N3806" s="8" t="s">
        <v>58</v>
      </c>
      <c r="O3806" s="8" t="s">
        <v>59</v>
      </c>
      <c r="P3806" s="8" t="s">
        <v>59</v>
      </c>
      <c r="R3806" s="8">
        <v>0</v>
      </c>
      <c r="S3806" s="8">
        <v>0</v>
      </c>
      <c r="T3806" s="8">
        <v>1</v>
      </c>
      <c r="U3806" s="8">
        <v>2</v>
      </c>
      <c r="X3806" s="8">
        <v>5</v>
      </c>
      <c r="AG3806" s="8" t="str">
        <f t="shared" si="237"/>
        <v/>
      </c>
      <c r="AI3806" s="8" t="str">
        <f t="shared" si="238"/>
        <v/>
      </c>
      <c r="AJ3806" s="8" t="str">
        <f t="shared" si="239"/>
        <v/>
      </c>
      <c r="AL3806" s="8" t="str">
        <f t="shared" si="240"/>
        <v/>
      </c>
    </row>
    <row r="3807" spans="1:38" x14ac:dyDescent="0.25">
      <c r="A3807" s="8" t="s">
        <v>8121</v>
      </c>
      <c r="B3807" s="8" t="s">
        <v>8122</v>
      </c>
      <c r="C3807" s="8">
        <v>30930050</v>
      </c>
      <c r="D3807" s="8">
        <v>5</v>
      </c>
      <c r="E3807" s="11">
        <v>43115</v>
      </c>
      <c r="F3807" s="8" t="s">
        <v>57</v>
      </c>
      <c r="G3807" s="11">
        <v>43115</v>
      </c>
      <c r="H3807" s="8" t="s">
        <v>25</v>
      </c>
      <c r="J3807" s="8" t="s">
        <v>25</v>
      </c>
      <c r="N3807" s="8" t="s">
        <v>58</v>
      </c>
      <c r="O3807" s="8" t="s">
        <v>59</v>
      </c>
      <c r="P3807" s="8" t="s">
        <v>59</v>
      </c>
      <c r="R3807" s="8">
        <v>0</v>
      </c>
      <c r="S3807" s="8">
        <v>0</v>
      </c>
      <c r="T3807" s="8">
        <v>1</v>
      </c>
      <c r="U3807" s="8">
        <v>2</v>
      </c>
      <c r="AG3807" s="8" t="str">
        <f t="shared" si="237"/>
        <v/>
      </c>
      <c r="AI3807" s="8" t="str">
        <f t="shared" si="238"/>
        <v/>
      </c>
      <c r="AJ3807" s="8" t="str">
        <f t="shared" si="239"/>
        <v/>
      </c>
      <c r="AL3807" s="8" t="str">
        <f t="shared" si="240"/>
        <v/>
      </c>
    </row>
    <row r="3808" spans="1:38" x14ac:dyDescent="0.25">
      <c r="A3808" s="8" t="s">
        <v>6406</v>
      </c>
      <c r="B3808" s="8" t="s">
        <v>6407</v>
      </c>
      <c r="C3808" s="8">
        <v>30913852</v>
      </c>
      <c r="D3808" s="8">
        <v>5</v>
      </c>
      <c r="E3808" s="11">
        <v>43112</v>
      </c>
      <c r="F3808" s="8" t="s">
        <v>57</v>
      </c>
      <c r="G3808" s="11">
        <v>43114</v>
      </c>
      <c r="H3808" s="8" t="s">
        <v>25</v>
      </c>
      <c r="J3808" s="8" t="s">
        <v>25</v>
      </c>
      <c r="N3808" s="8" t="s">
        <v>58</v>
      </c>
      <c r="O3808" s="8" t="s">
        <v>59</v>
      </c>
      <c r="P3808" s="8" t="s">
        <v>59</v>
      </c>
      <c r="R3808" s="8">
        <v>0</v>
      </c>
      <c r="S3808" s="8">
        <v>0</v>
      </c>
      <c r="T3808" s="8">
        <v>1</v>
      </c>
      <c r="U3808" s="8">
        <v>2</v>
      </c>
      <c r="AG3808" s="8" t="str">
        <f t="shared" si="237"/>
        <v/>
      </c>
      <c r="AI3808" s="8" t="str">
        <f t="shared" si="238"/>
        <v/>
      </c>
      <c r="AJ3808" s="8" t="str">
        <f t="shared" si="239"/>
        <v/>
      </c>
      <c r="AL3808" s="8" t="str">
        <f t="shared" si="240"/>
        <v/>
      </c>
    </row>
    <row r="3809" spans="1:38" x14ac:dyDescent="0.25">
      <c r="A3809" s="8" t="s">
        <v>3154</v>
      </c>
      <c r="B3809" s="8" t="s">
        <v>3155</v>
      </c>
      <c r="C3809" s="8">
        <v>30864027</v>
      </c>
      <c r="D3809" s="8">
        <v>4</v>
      </c>
      <c r="E3809" s="11">
        <v>43110</v>
      </c>
      <c r="F3809" s="8" t="s">
        <v>57</v>
      </c>
      <c r="G3809" s="11">
        <v>43110</v>
      </c>
      <c r="H3809" s="8" t="s">
        <v>25</v>
      </c>
      <c r="J3809" s="8" t="s">
        <v>25</v>
      </c>
      <c r="N3809" s="8" t="s">
        <v>58</v>
      </c>
      <c r="O3809" s="8" t="s">
        <v>59</v>
      </c>
      <c r="P3809" s="8" t="s">
        <v>59</v>
      </c>
      <c r="R3809" s="8">
        <v>0</v>
      </c>
      <c r="S3809" s="8">
        <v>0</v>
      </c>
      <c r="T3809" s="8">
        <v>1</v>
      </c>
      <c r="U3809" s="8">
        <v>2</v>
      </c>
      <c r="AG3809" s="8" t="str">
        <f t="shared" si="237"/>
        <v/>
      </c>
      <c r="AI3809" s="8" t="str">
        <f t="shared" si="238"/>
        <v/>
      </c>
      <c r="AJ3809" s="8" t="str">
        <f t="shared" si="239"/>
        <v/>
      </c>
      <c r="AL3809" s="8" t="str">
        <f t="shared" si="240"/>
        <v/>
      </c>
    </row>
    <row r="3810" spans="1:38" x14ac:dyDescent="0.25">
      <c r="A3810" s="8" t="s">
        <v>1552</v>
      </c>
      <c r="B3810" s="8" t="s">
        <v>1553</v>
      </c>
      <c r="C3810" s="8">
        <v>30853325</v>
      </c>
      <c r="D3810" s="8">
        <v>5</v>
      </c>
      <c r="E3810" s="11">
        <v>43109</v>
      </c>
      <c r="F3810" s="8" t="s">
        <v>58</v>
      </c>
      <c r="G3810" s="11">
        <v>43109</v>
      </c>
      <c r="H3810" s="8" t="s">
        <v>25</v>
      </c>
      <c r="I3810" s="11">
        <v>43110</v>
      </c>
      <c r="J3810" s="8" t="s">
        <v>25</v>
      </c>
      <c r="N3810" s="8" t="s">
        <v>58</v>
      </c>
      <c r="O3810" s="8" t="s">
        <v>59</v>
      </c>
      <c r="P3810" s="8" t="s">
        <v>59</v>
      </c>
      <c r="R3810" s="8">
        <v>0</v>
      </c>
      <c r="S3810" s="8">
        <v>0</v>
      </c>
      <c r="T3810" s="8">
        <v>1</v>
      </c>
      <c r="U3810" s="8">
        <v>2</v>
      </c>
      <c r="X3810" s="8">
        <v>5</v>
      </c>
      <c r="AG3810" s="8" t="str">
        <f t="shared" si="237"/>
        <v/>
      </c>
      <c r="AI3810" s="8" t="str">
        <f t="shared" si="238"/>
        <v/>
      </c>
      <c r="AJ3810" s="8" t="str">
        <f t="shared" si="239"/>
        <v/>
      </c>
      <c r="AL3810" s="8" t="str">
        <f t="shared" si="240"/>
        <v/>
      </c>
    </row>
    <row r="3811" spans="1:38" x14ac:dyDescent="0.25">
      <c r="A3811" s="8" t="s">
        <v>8123</v>
      </c>
      <c r="B3811" s="8" t="s">
        <v>8124</v>
      </c>
      <c r="C3811" s="8">
        <v>30944103</v>
      </c>
      <c r="D3811" s="8">
        <v>5</v>
      </c>
      <c r="E3811" s="11">
        <v>43115</v>
      </c>
      <c r="F3811" s="8" t="s">
        <v>58</v>
      </c>
      <c r="G3811" s="11">
        <v>43115</v>
      </c>
      <c r="H3811" s="8" t="s">
        <v>25</v>
      </c>
      <c r="I3811" s="11">
        <v>43115</v>
      </c>
      <c r="J3811" s="8" t="s">
        <v>25</v>
      </c>
      <c r="N3811" s="8" t="s">
        <v>58</v>
      </c>
      <c r="O3811" s="8" t="s">
        <v>59</v>
      </c>
      <c r="P3811" s="8" t="s">
        <v>59</v>
      </c>
      <c r="R3811" s="8">
        <v>0</v>
      </c>
      <c r="S3811" s="8">
        <v>0</v>
      </c>
      <c r="T3811" s="8">
        <v>1</v>
      </c>
      <c r="U3811" s="8">
        <v>2</v>
      </c>
      <c r="X3811" s="8">
        <v>5</v>
      </c>
      <c r="AG3811" s="8" t="str">
        <f t="shared" si="237"/>
        <v/>
      </c>
      <c r="AI3811" s="8" t="str">
        <f t="shared" si="238"/>
        <v/>
      </c>
      <c r="AJ3811" s="8" t="str">
        <f t="shared" si="239"/>
        <v/>
      </c>
      <c r="AL3811" s="8" t="str">
        <f t="shared" si="240"/>
        <v/>
      </c>
    </row>
    <row r="3812" spans="1:38" x14ac:dyDescent="0.25">
      <c r="A3812" s="8" t="s">
        <v>8125</v>
      </c>
      <c r="B3812" s="8" t="s">
        <v>8126</v>
      </c>
      <c r="C3812" s="8">
        <v>30937994</v>
      </c>
      <c r="D3812" s="8">
        <v>5</v>
      </c>
      <c r="E3812" s="11">
        <v>43115</v>
      </c>
      <c r="F3812" s="8" t="s">
        <v>58</v>
      </c>
      <c r="G3812" s="11">
        <v>43115</v>
      </c>
      <c r="H3812" s="8" t="s">
        <v>25</v>
      </c>
      <c r="I3812" s="11">
        <v>43115</v>
      </c>
      <c r="J3812" s="8" t="s">
        <v>25</v>
      </c>
      <c r="N3812" s="8" t="s">
        <v>58</v>
      </c>
      <c r="O3812" s="8" t="s">
        <v>59</v>
      </c>
      <c r="P3812" s="8" t="s">
        <v>59</v>
      </c>
      <c r="R3812" s="8">
        <v>0</v>
      </c>
      <c r="S3812" s="8">
        <v>0</v>
      </c>
      <c r="T3812" s="8">
        <v>1</v>
      </c>
      <c r="U3812" s="8">
        <v>2</v>
      </c>
      <c r="X3812" s="8">
        <v>5</v>
      </c>
      <c r="AG3812" s="8" t="str">
        <f t="shared" si="237"/>
        <v/>
      </c>
      <c r="AI3812" s="8" t="str">
        <f t="shared" si="238"/>
        <v/>
      </c>
      <c r="AJ3812" s="8" t="str">
        <f t="shared" si="239"/>
        <v/>
      </c>
      <c r="AL3812" s="8" t="str">
        <f t="shared" si="240"/>
        <v/>
      </c>
    </row>
    <row r="3813" spans="1:38" x14ac:dyDescent="0.25">
      <c r="A3813" s="8" t="s">
        <v>6408</v>
      </c>
      <c r="B3813" s="8" t="s">
        <v>6409</v>
      </c>
      <c r="C3813" s="8">
        <v>30910490</v>
      </c>
      <c r="D3813" s="8">
        <v>5</v>
      </c>
      <c r="E3813" s="11">
        <v>43112</v>
      </c>
      <c r="F3813" s="8" t="s">
        <v>58</v>
      </c>
      <c r="G3813" s="11">
        <v>43112</v>
      </c>
      <c r="H3813" s="8" t="s">
        <v>25</v>
      </c>
      <c r="I3813" s="11">
        <v>43112</v>
      </c>
      <c r="J3813" s="8" t="s">
        <v>25</v>
      </c>
      <c r="N3813" s="8" t="s">
        <v>58</v>
      </c>
      <c r="O3813" s="8" t="s">
        <v>59</v>
      </c>
      <c r="P3813" s="8" t="s">
        <v>59</v>
      </c>
      <c r="R3813" s="8">
        <v>0</v>
      </c>
      <c r="S3813" s="8">
        <v>0</v>
      </c>
      <c r="T3813" s="8">
        <v>1</v>
      </c>
      <c r="U3813" s="8">
        <v>2</v>
      </c>
      <c r="X3813" s="8">
        <v>5</v>
      </c>
      <c r="AG3813" s="8" t="str">
        <f t="shared" si="237"/>
        <v/>
      </c>
      <c r="AI3813" s="8" t="str">
        <f t="shared" si="238"/>
        <v/>
      </c>
      <c r="AJ3813" s="8" t="str">
        <f t="shared" si="239"/>
        <v/>
      </c>
      <c r="AL3813" s="8" t="str">
        <f t="shared" si="240"/>
        <v/>
      </c>
    </row>
    <row r="3814" spans="1:38" x14ac:dyDescent="0.25">
      <c r="A3814" s="8" t="s">
        <v>4602</v>
      </c>
      <c r="B3814" s="8" t="s">
        <v>4603</v>
      </c>
      <c r="C3814" s="8">
        <v>30895563</v>
      </c>
      <c r="D3814" s="8">
        <v>5</v>
      </c>
      <c r="E3814" s="11">
        <v>43111</v>
      </c>
      <c r="F3814" s="8" t="s">
        <v>58</v>
      </c>
      <c r="G3814" s="11">
        <v>43111</v>
      </c>
      <c r="H3814" s="8" t="s">
        <v>25</v>
      </c>
      <c r="I3814" s="11">
        <v>43111</v>
      </c>
      <c r="J3814" s="8" t="s">
        <v>25</v>
      </c>
      <c r="N3814" s="8" t="s">
        <v>58</v>
      </c>
      <c r="O3814" s="8" t="s">
        <v>59</v>
      </c>
      <c r="P3814" s="8" t="s">
        <v>59</v>
      </c>
      <c r="R3814" s="8">
        <v>0</v>
      </c>
      <c r="S3814" s="8">
        <v>0</v>
      </c>
      <c r="T3814" s="8">
        <v>1</v>
      </c>
      <c r="U3814" s="8">
        <v>2</v>
      </c>
      <c r="X3814" s="8">
        <v>5</v>
      </c>
      <c r="AG3814" s="8" t="str">
        <f t="shared" si="237"/>
        <v/>
      </c>
      <c r="AI3814" s="8" t="str">
        <f t="shared" si="238"/>
        <v/>
      </c>
      <c r="AJ3814" s="8" t="str">
        <f t="shared" si="239"/>
        <v/>
      </c>
      <c r="AL3814" s="8" t="str">
        <f t="shared" si="240"/>
        <v/>
      </c>
    </row>
    <row r="3815" spans="1:38" x14ac:dyDescent="0.25">
      <c r="A3815" s="8" t="s">
        <v>735</v>
      </c>
      <c r="B3815" s="8" t="s">
        <v>736</v>
      </c>
      <c r="C3815" s="8">
        <v>30822003</v>
      </c>
      <c r="D3815" s="8">
        <v>5</v>
      </c>
      <c r="E3815" s="11">
        <v>43108</v>
      </c>
      <c r="F3815" s="8" t="s">
        <v>58</v>
      </c>
      <c r="G3815" s="11">
        <v>43108</v>
      </c>
      <c r="H3815" s="8" t="s">
        <v>25</v>
      </c>
      <c r="I3815" s="11">
        <v>43115</v>
      </c>
      <c r="J3815" s="8" t="s">
        <v>856</v>
      </c>
      <c r="N3815" s="8" t="s">
        <v>58</v>
      </c>
      <c r="O3815" s="8" t="s">
        <v>59</v>
      </c>
      <c r="P3815" s="8" t="s">
        <v>59</v>
      </c>
      <c r="R3815" s="8">
        <v>0</v>
      </c>
      <c r="S3815" s="8">
        <v>0</v>
      </c>
      <c r="T3815" s="8">
        <v>1</v>
      </c>
      <c r="U3815" s="8">
        <v>2</v>
      </c>
      <c r="X3815" s="8">
        <v>5</v>
      </c>
      <c r="AG3815" s="8" t="str">
        <f t="shared" si="237"/>
        <v/>
      </c>
      <c r="AI3815" s="8" t="str">
        <f t="shared" si="238"/>
        <v/>
      </c>
      <c r="AJ3815" s="8" t="str">
        <f t="shared" si="239"/>
        <v/>
      </c>
      <c r="AL3815" s="8" t="str">
        <f t="shared" si="240"/>
        <v/>
      </c>
    </row>
    <row r="3816" spans="1:38" x14ac:dyDescent="0.25">
      <c r="A3816" s="8" t="s">
        <v>3156</v>
      </c>
      <c r="B3816" s="8" t="s">
        <v>3157</v>
      </c>
      <c r="C3816" s="8">
        <v>30844332</v>
      </c>
      <c r="D3816" s="8">
        <v>5</v>
      </c>
      <c r="E3816" s="11">
        <v>43109</v>
      </c>
      <c r="F3816" s="8" t="s">
        <v>58</v>
      </c>
      <c r="G3816" s="11">
        <v>43110</v>
      </c>
      <c r="H3816" s="8" t="s">
        <v>25</v>
      </c>
      <c r="I3816" s="11">
        <v>43115</v>
      </c>
      <c r="J3816" s="8" t="s">
        <v>145</v>
      </c>
      <c r="N3816" s="8" t="s">
        <v>58</v>
      </c>
      <c r="O3816" s="8" t="s">
        <v>59</v>
      </c>
      <c r="P3816" s="8" t="s">
        <v>59</v>
      </c>
      <c r="R3816" s="8">
        <v>0</v>
      </c>
      <c r="S3816" s="8">
        <v>0</v>
      </c>
      <c r="T3816" s="8">
        <v>1</v>
      </c>
      <c r="U3816" s="8">
        <v>2</v>
      </c>
      <c r="X3816" s="8">
        <v>5</v>
      </c>
      <c r="AG3816" s="8" t="str">
        <f t="shared" si="237"/>
        <v/>
      </c>
      <c r="AI3816" s="8" t="str">
        <f t="shared" si="238"/>
        <v/>
      </c>
      <c r="AJ3816" s="8" t="str">
        <f t="shared" si="239"/>
        <v/>
      </c>
      <c r="AL3816" s="8" t="str">
        <f t="shared" si="240"/>
        <v/>
      </c>
    </row>
    <row r="3817" spans="1:38" x14ac:dyDescent="0.25">
      <c r="A3817" s="8" t="s">
        <v>6410</v>
      </c>
      <c r="B3817" s="8" t="s">
        <v>6411</v>
      </c>
      <c r="C3817" s="8">
        <v>30904181</v>
      </c>
      <c r="D3817" s="8">
        <v>5</v>
      </c>
      <c r="E3817" s="11">
        <v>43111</v>
      </c>
      <c r="F3817" s="8" t="s">
        <v>58</v>
      </c>
      <c r="G3817" s="11">
        <v>43114</v>
      </c>
      <c r="H3817" s="8" t="s">
        <v>25</v>
      </c>
      <c r="I3817" s="11">
        <v>43115</v>
      </c>
      <c r="J3817" s="8" t="s">
        <v>25</v>
      </c>
      <c r="N3817" s="8" t="s">
        <v>58</v>
      </c>
      <c r="O3817" s="8" t="s">
        <v>59</v>
      </c>
      <c r="P3817" s="8" t="s">
        <v>59</v>
      </c>
      <c r="R3817" s="8">
        <v>0</v>
      </c>
      <c r="S3817" s="8">
        <v>0</v>
      </c>
      <c r="T3817" s="8">
        <v>1</v>
      </c>
      <c r="U3817" s="8">
        <v>2</v>
      </c>
      <c r="X3817" s="8">
        <v>5</v>
      </c>
      <c r="AG3817" s="8" t="str">
        <f t="shared" si="237"/>
        <v/>
      </c>
      <c r="AI3817" s="8" t="str">
        <f t="shared" si="238"/>
        <v/>
      </c>
      <c r="AJ3817" s="8" t="str">
        <f t="shared" si="239"/>
        <v/>
      </c>
      <c r="AL3817" s="8" t="str">
        <f t="shared" si="240"/>
        <v/>
      </c>
    </row>
    <row r="3818" spans="1:38" x14ac:dyDescent="0.25">
      <c r="A3818" s="8" t="s">
        <v>1554</v>
      </c>
      <c r="B3818" s="8" t="s">
        <v>1555</v>
      </c>
      <c r="C3818" s="8">
        <v>30811489</v>
      </c>
      <c r="D3818" s="8">
        <v>5</v>
      </c>
      <c r="E3818" s="11">
        <v>43108</v>
      </c>
      <c r="F3818" s="8" t="s">
        <v>58</v>
      </c>
      <c r="G3818" s="11">
        <v>43109</v>
      </c>
      <c r="H3818" s="8" t="s">
        <v>25</v>
      </c>
      <c r="I3818" s="11">
        <v>43115</v>
      </c>
      <c r="J3818" s="8" t="s">
        <v>145</v>
      </c>
      <c r="N3818" s="8" t="s">
        <v>58</v>
      </c>
      <c r="O3818" s="8" t="s">
        <v>59</v>
      </c>
      <c r="P3818" s="8" t="s">
        <v>59</v>
      </c>
      <c r="R3818" s="8">
        <v>0</v>
      </c>
      <c r="S3818" s="8">
        <v>0</v>
      </c>
      <c r="T3818" s="8">
        <v>1</v>
      </c>
      <c r="U3818" s="8">
        <v>2</v>
      </c>
      <c r="X3818" s="8">
        <v>5</v>
      </c>
      <c r="AG3818" s="8" t="str">
        <f t="shared" si="237"/>
        <v/>
      </c>
      <c r="AI3818" s="8" t="str">
        <f t="shared" si="238"/>
        <v/>
      </c>
      <c r="AJ3818" s="8" t="str">
        <f t="shared" si="239"/>
        <v/>
      </c>
      <c r="AL3818" s="8" t="str">
        <f t="shared" si="240"/>
        <v/>
      </c>
    </row>
    <row r="3819" spans="1:38" x14ac:dyDescent="0.25">
      <c r="A3819" s="8" t="s">
        <v>6412</v>
      </c>
      <c r="B3819" s="8" t="s">
        <v>6413</v>
      </c>
      <c r="C3819" s="8">
        <v>30920140</v>
      </c>
      <c r="D3819" s="8">
        <v>5</v>
      </c>
      <c r="E3819" s="11">
        <v>43112</v>
      </c>
      <c r="F3819" s="8" t="s">
        <v>58</v>
      </c>
      <c r="G3819" s="11">
        <v>43112</v>
      </c>
      <c r="H3819" s="8" t="s">
        <v>25</v>
      </c>
      <c r="I3819" s="11">
        <v>43112</v>
      </c>
      <c r="J3819" s="8" t="s">
        <v>25</v>
      </c>
      <c r="N3819" s="8" t="s">
        <v>58</v>
      </c>
      <c r="O3819" s="8" t="s">
        <v>59</v>
      </c>
      <c r="P3819" s="8" t="s">
        <v>59</v>
      </c>
      <c r="R3819" s="8">
        <v>0</v>
      </c>
      <c r="S3819" s="8">
        <v>0</v>
      </c>
      <c r="T3819" s="8">
        <v>1</v>
      </c>
      <c r="U3819" s="8">
        <v>2</v>
      </c>
      <c r="X3819" s="8">
        <v>5</v>
      </c>
      <c r="AG3819" s="8" t="str">
        <f t="shared" si="237"/>
        <v/>
      </c>
      <c r="AI3819" s="8" t="str">
        <f t="shared" si="238"/>
        <v/>
      </c>
      <c r="AJ3819" s="8" t="str">
        <f t="shared" si="239"/>
        <v/>
      </c>
      <c r="AL3819" s="8" t="str">
        <f t="shared" si="240"/>
        <v/>
      </c>
    </row>
    <row r="3820" spans="1:38" x14ac:dyDescent="0.25">
      <c r="A3820" s="8" t="s">
        <v>6414</v>
      </c>
      <c r="B3820" s="8" t="s">
        <v>6415</v>
      </c>
      <c r="C3820" s="8">
        <v>30916015</v>
      </c>
      <c r="D3820" s="8">
        <v>5</v>
      </c>
      <c r="E3820" s="11">
        <v>43112</v>
      </c>
      <c r="F3820" s="8" t="s">
        <v>57</v>
      </c>
      <c r="G3820" s="11">
        <v>43114</v>
      </c>
      <c r="H3820" s="8" t="s">
        <v>25</v>
      </c>
      <c r="J3820" s="8" t="s">
        <v>25</v>
      </c>
      <c r="N3820" s="8" t="s">
        <v>58</v>
      </c>
      <c r="O3820" s="8" t="s">
        <v>59</v>
      </c>
      <c r="P3820" s="8" t="s">
        <v>59</v>
      </c>
      <c r="R3820" s="8">
        <v>0</v>
      </c>
      <c r="S3820" s="8">
        <v>0</v>
      </c>
      <c r="T3820" s="8">
        <v>1</v>
      </c>
      <c r="U3820" s="8">
        <v>2</v>
      </c>
      <c r="AG3820" s="8" t="str">
        <f t="shared" si="237"/>
        <v/>
      </c>
      <c r="AI3820" s="8" t="str">
        <f t="shared" si="238"/>
        <v/>
      </c>
      <c r="AJ3820" s="8" t="str">
        <f t="shared" si="239"/>
        <v/>
      </c>
      <c r="AL3820" s="8" t="str">
        <f t="shared" si="240"/>
        <v/>
      </c>
    </row>
    <row r="3821" spans="1:38" x14ac:dyDescent="0.25">
      <c r="A3821" s="8" t="s">
        <v>3158</v>
      </c>
      <c r="B3821" s="8" t="s">
        <v>3159</v>
      </c>
      <c r="C3821" s="8">
        <v>30847236</v>
      </c>
      <c r="D3821" s="8">
        <v>5</v>
      </c>
      <c r="E3821" s="11">
        <v>43109</v>
      </c>
      <c r="F3821" s="8" t="s">
        <v>57</v>
      </c>
      <c r="G3821" s="11">
        <v>43110</v>
      </c>
      <c r="H3821" s="8" t="s">
        <v>25</v>
      </c>
      <c r="J3821" s="8" t="s">
        <v>25</v>
      </c>
      <c r="N3821" s="8" t="s">
        <v>58</v>
      </c>
      <c r="O3821" s="8" t="s">
        <v>59</v>
      </c>
      <c r="P3821" s="8" t="s">
        <v>59</v>
      </c>
      <c r="R3821" s="8">
        <v>0</v>
      </c>
      <c r="S3821" s="8">
        <v>0</v>
      </c>
      <c r="T3821" s="8">
        <v>1</v>
      </c>
      <c r="U3821" s="8">
        <v>2</v>
      </c>
      <c r="AG3821" s="8" t="str">
        <f t="shared" si="237"/>
        <v/>
      </c>
      <c r="AI3821" s="8" t="str">
        <f t="shared" si="238"/>
        <v/>
      </c>
      <c r="AJ3821" s="8" t="str">
        <f t="shared" si="239"/>
        <v/>
      </c>
      <c r="AL3821" s="8" t="str">
        <f t="shared" si="240"/>
        <v/>
      </c>
    </row>
    <row r="3822" spans="1:38" x14ac:dyDescent="0.25">
      <c r="A3822" s="8" t="s">
        <v>6416</v>
      </c>
      <c r="B3822" s="8" t="s">
        <v>6417</v>
      </c>
      <c r="C3822" s="8">
        <v>30909608</v>
      </c>
      <c r="D3822" s="8">
        <v>5</v>
      </c>
      <c r="E3822" s="11">
        <v>43112</v>
      </c>
      <c r="F3822" s="8" t="s">
        <v>57</v>
      </c>
      <c r="G3822" s="11">
        <v>43114</v>
      </c>
      <c r="H3822" s="8" t="s">
        <v>25</v>
      </c>
      <c r="J3822" s="8" t="s">
        <v>25</v>
      </c>
      <c r="N3822" s="8" t="s">
        <v>58</v>
      </c>
      <c r="O3822" s="8" t="s">
        <v>59</v>
      </c>
      <c r="P3822" s="8" t="s">
        <v>59</v>
      </c>
      <c r="R3822" s="8">
        <v>0</v>
      </c>
      <c r="S3822" s="8">
        <v>0</v>
      </c>
      <c r="T3822" s="8">
        <v>1</v>
      </c>
      <c r="U3822" s="8">
        <v>2</v>
      </c>
      <c r="AG3822" s="8" t="str">
        <f t="shared" si="237"/>
        <v/>
      </c>
      <c r="AI3822" s="8" t="str">
        <f t="shared" si="238"/>
        <v/>
      </c>
      <c r="AJ3822" s="8" t="str">
        <f t="shared" si="239"/>
        <v/>
      </c>
      <c r="AL3822" s="8" t="str">
        <f t="shared" si="240"/>
        <v/>
      </c>
    </row>
    <row r="3823" spans="1:38" x14ac:dyDescent="0.25">
      <c r="A3823" s="8" t="s">
        <v>6418</v>
      </c>
      <c r="B3823" s="8" t="s">
        <v>6419</v>
      </c>
      <c r="C3823" s="8">
        <v>30910127</v>
      </c>
      <c r="D3823" s="8">
        <v>5</v>
      </c>
      <c r="E3823" s="11">
        <v>43112</v>
      </c>
      <c r="F3823" s="8" t="s">
        <v>57</v>
      </c>
      <c r="G3823" s="11">
        <v>43114</v>
      </c>
      <c r="H3823" s="8" t="s">
        <v>25</v>
      </c>
      <c r="J3823" s="8" t="s">
        <v>25</v>
      </c>
      <c r="N3823" s="8" t="s">
        <v>58</v>
      </c>
      <c r="O3823" s="8" t="s">
        <v>59</v>
      </c>
      <c r="P3823" s="8" t="s">
        <v>59</v>
      </c>
      <c r="R3823" s="8">
        <v>0</v>
      </c>
      <c r="S3823" s="8">
        <v>0</v>
      </c>
      <c r="T3823" s="8">
        <v>1</v>
      </c>
      <c r="U3823" s="8">
        <v>2</v>
      </c>
      <c r="AG3823" s="8" t="str">
        <f t="shared" si="237"/>
        <v/>
      </c>
      <c r="AI3823" s="8" t="str">
        <f t="shared" si="238"/>
        <v/>
      </c>
      <c r="AJ3823" s="8" t="str">
        <f t="shared" si="239"/>
        <v/>
      </c>
      <c r="AL3823" s="8" t="str">
        <f t="shared" si="240"/>
        <v/>
      </c>
    </row>
    <row r="3824" spans="1:38" x14ac:dyDescent="0.25">
      <c r="A3824" s="8" t="s">
        <v>6420</v>
      </c>
      <c r="B3824" s="8" t="s">
        <v>6421</v>
      </c>
      <c r="C3824" s="8">
        <v>30910394</v>
      </c>
      <c r="D3824" s="8">
        <v>5</v>
      </c>
      <c r="E3824" s="11">
        <v>43112</v>
      </c>
      <c r="F3824" s="8" t="s">
        <v>57</v>
      </c>
      <c r="G3824" s="11">
        <v>43114</v>
      </c>
      <c r="H3824" s="8" t="s">
        <v>25</v>
      </c>
      <c r="J3824" s="8" t="s">
        <v>25</v>
      </c>
      <c r="N3824" s="8" t="s">
        <v>58</v>
      </c>
      <c r="O3824" s="8" t="s">
        <v>59</v>
      </c>
      <c r="P3824" s="8" t="s">
        <v>59</v>
      </c>
      <c r="R3824" s="8">
        <v>0</v>
      </c>
      <c r="S3824" s="8">
        <v>0</v>
      </c>
      <c r="T3824" s="8">
        <v>1</v>
      </c>
      <c r="U3824" s="8">
        <v>2</v>
      </c>
      <c r="AG3824" s="8" t="str">
        <f t="shared" si="237"/>
        <v/>
      </c>
      <c r="AI3824" s="8" t="str">
        <f t="shared" si="238"/>
        <v/>
      </c>
      <c r="AJ3824" s="8" t="str">
        <f t="shared" si="239"/>
        <v/>
      </c>
      <c r="AL3824" s="8" t="str">
        <f t="shared" si="240"/>
        <v/>
      </c>
    </row>
    <row r="3825" spans="1:38" x14ac:dyDescent="0.25">
      <c r="A3825" s="8" t="s">
        <v>4604</v>
      </c>
      <c r="B3825" s="8" t="s">
        <v>4605</v>
      </c>
      <c r="C3825" s="8">
        <v>30893958</v>
      </c>
      <c r="D3825" s="8">
        <v>5</v>
      </c>
      <c r="E3825" s="11">
        <v>43111</v>
      </c>
      <c r="F3825" s="8" t="s">
        <v>58</v>
      </c>
      <c r="G3825" s="11">
        <v>43111</v>
      </c>
      <c r="H3825" s="8" t="s">
        <v>25</v>
      </c>
      <c r="I3825" s="11">
        <v>43112</v>
      </c>
      <c r="J3825" s="8" t="s">
        <v>25</v>
      </c>
      <c r="N3825" s="8" t="s">
        <v>58</v>
      </c>
      <c r="O3825" s="8" t="s">
        <v>59</v>
      </c>
      <c r="P3825" s="8" t="s">
        <v>59</v>
      </c>
      <c r="R3825" s="8">
        <v>0</v>
      </c>
      <c r="S3825" s="8">
        <v>0</v>
      </c>
      <c r="T3825" s="8">
        <v>1</v>
      </c>
      <c r="U3825" s="8">
        <v>2</v>
      </c>
      <c r="X3825" s="8">
        <v>5</v>
      </c>
      <c r="AG3825" s="8" t="str">
        <f t="shared" si="237"/>
        <v/>
      </c>
      <c r="AI3825" s="8" t="str">
        <f t="shared" si="238"/>
        <v/>
      </c>
      <c r="AJ3825" s="8" t="str">
        <f t="shared" si="239"/>
        <v/>
      </c>
      <c r="AL3825" s="8" t="str">
        <f t="shared" si="240"/>
        <v/>
      </c>
    </row>
    <row r="3826" spans="1:38" x14ac:dyDescent="0.25">
      <c r="A3826" s="8" t="s">
        <v>4606</v>
      </c>
      <c r="B3826" s="8" t="s">
        <v>4607</v>
      </c>
      <c r="C3826" s="8">
        <v>30874185</v>
      </c>
      <c r="D3826" s="8">
        <v>5</v>
      </c>
      <c r="E3826" s="11">
        <v>43110</v>
      </c>
      <c r="F3826" s="8" t="s">
        <v>57</v>
      </c>
      <c r="G3826" s="11">
        <v>43111</v>
      </c>
      <c r="H3826" s="8" t="s">
        <v>25</v>
      </c>
      <c r="J3826" s="8" t="s">
        <v>25</v>
      </c>
      <c r="N3826" s="8" t="s">
        <v>58</v>
      </c>
      <c r="O3826" s="8" t="s">
        <v>59</v>
      </c>
      <c r="P3826" s="8" t="s">
        <v>59</v>
      </c>
      <c r="R3826" s="8">
        <v>0</v>
      </c>
      <c r="S3826" s="8">
        <v>0</v>
      </c>
      <c r="T3826" s="8">
        <v>1</v>
      </c>
      <c r="U3826" s="8">
        <v>2</v>
      </c>
      <c r="AG3826" s="8" t="str">
        <f t="shared" si="237"/>
        <v/>
      </c>
      <c r="AI3826" s="8" t="str">
        <f t="shared" si="238"/>
        <v/>
      </c>
      <c r="AJ3826" s="8" t="str">
        <f t="shared" si="239"/>
        <v/>
      </c>
      <c r="AL3826" s="8" t="str">
        <f t="shared" si="240"/>
        <v/>
      </c>
    </row>
    <row r="3827" spans="1:38" x14ac:dyDescent="0.25">
      <c r="A3827" s="8" t="s">
        <v>1556</v>
      </c>
      <c r="B3827" s="8" t="s">
        <v>1557</v>
      </c>
      <c r="C3827" s="8">
        <v>30846973</v>
      </c>
      <c r="D3827" s="8">
        <v>5</v>
      </c>
      <c r="E3827" s="11">
        <v>43109</v>
      </c>
      <c r="F3827" s="8" t="s">
        <v>58</v>
      </c>
      <c r="G3827" s="11">
        <v>43109</v>
      </c>
      <c r="H3827" s="8" t="s">
        <v>25</v>
      </c>
      <c r="I3827" s="11">
        <v>43109</v>
      </c>
      <c r="J3827" s="8" t="s">
        <v>25</v>
      </c>
      <c r="N3827" s="8" t="s">
        <v>58</v>
      </c>
      <c r="O3827" s="8" t="s">
        <v>59</v>
      </c>
      <c r="P3827" s="8" t="s">
        <v>59</v>
      </c>
      <c r="R3827" s="8">
        <v>0</v>
      </c>
      <c r="S3827" s="8">
        <v>0</v>
      </c>
      <c r="T3827" s="8">
        <v>1</v>
      </c>
      <c r="U3827" s="8">
        <v>2</v>
      </c>
      <c r="X3827" s="8">
        <v>5</v>
      </c>
      <c r="AG3827" s="8" t="str">
        <f t="shared" si="237"/>
        <v/>
      </c>
      <c r="AI3827" s="8" t="str">
        <f t="shared" si="238"/>
        <v/>
      </c>
      <c r="AJ3827" s="8" t="str">
        <f t="shared" si="239"/>
        <v/>
      </c>
      <c r="AL3827" s="8" t="str">
        <f t="shared" si="240"/>
        <v/>
      </c>
    </row>
    <row r="3828" spans="1:38" x14ac:dyDescent="0.25">
      <c r="A3828" s="8" t="s">
        <v>8127</v>
      </c>
      <c r="B3828" s="8" t="s">
        <v>8128</v>
      </c>
      <c r="C3828" s="8">
        <v>30932361</v>
      </c>
      <c r="D3828" s="8">
        <v>5</v>
      </c>
      <c r="E3828" s="11">
        <v>43115</v>
      </c>
      <c r="F3828" s="8" t="s">
        <v>58</v>
      </c>
      <c r="G3828" s="11">
        <v>43115</v>
      </c>
      <c r="H3828" s="8" t="s">
        <v>25</v>
      </c>
      <c r="I3828" s="11">
        <v>43115</v>
      </c>
      <c r="J3828" s="8" t="s">
        <v>25</v>
      </c>
      <c r="N3828" s="8" t="s">
        <v>58</v>
      </c>
      <c r="O3828" s="8" t="s">
        <v>59</v>
      </c>
      <c r="P3828" s="8" t="s">
        <v>59</v>
      </c>
      <c r="R3828" s="8">
        <v>0</v>
      </c>
      <c r="S3828" s="8">
        <v>0</v>
      </c>
      <c r="T3828" s="8">
        <v>1</v>
      </c>
      <c r="U3828" s="8">
        <v>2</v>
      </c>
      <c r="X3828" s="8">
        <v>5</v>
      </c>
      <c r="AG3828" s="8" t="str">
        <f t="shared" si="237"/>
        <v/>
      </c>
      <c r="AI3828" s="8" t="str">
        <f t="shared" si="238"/>
        <v/>
      </c>
      <c r="AJ3828" s="8" t="str">
        <f t="shared" si="239"/>
        <v/>
      </c>
      <c r="AL3828" s="8" t="str">
        <f t="shared" si="240"/>
        <v/>
      </c>
    </row>
    <row r="3829" spans="1:38" x14ac:dyDescent="0.25">
      <c r="A3829" s="8" t="s">
        <v>4608</v>
      </c>
      <c r="B3829" s="8" t="s">
        <v>4609</v>
      </c>
      <c r="C3829" s="8">
        <v>30893997</v>
      </c>
      <c r="D3829" s="8">
        <v>5</v>
      </c>
      <c r="E3829" s="11">
        <v>43111</v>
      </c>
      <c r="F3829" s="8" t="s">
        <v>58</v>
      </c>
      <c r="G3829" s="11">
        <v>43111</v>
      </c>
      <c r="H3829" s="8" t="s">
        <v>25</v>
      </c>
      <c r="I3829" s="11">
        <v>43111</v>
      </c>
      <c r="J3829" s="8" t="s">
        <v>25</v>
      </c>
      <c r="N3829" s="8" t="s">
        <v>58</v>
      </c>
      <c r="O3829" s="8" t="s">
        <v>59</v>
      </c>
      <c r="P3829" s="8" t="s">
        <v>59</v>
      </c>
      <c r="R3829" s="8">
        <v>0</v>
      </c>
      <c r="S3829" s="8">
        <v>0</v>
      </c>
      <c r="T3829" s="8">
        <v>1</v>
      </c>
      <c r="U3829" s="8">
        <v>2</v>
      </c>
      <c r="X3829" s="8">
        <v>5</v>
      </c>
      <c r="AG3829" s="8" t="str">
        <f t="shared" si="237"/>
        <v/>
      </c>
      <c r="AI3829" s="8" t="str">
        <f t="shared" si="238"/>
        <v/>
      </c>
      <c r="AJ3829" s="8" t="str">
        <f t="shared" si="239"/>
        <v/>
      </c>
      <c r="AL3829" s="8" t="str">
        <f t="shared" si="240"/>
        <v/>
      </c>
    </row>
    <row r="3830" spans="1:38" x14ac:dyDescent="0.25">
      <c r="A3830" s="8" t="s">
        <v>1558</v>
      </c>
      <c r="B3830" s="8" t="s">
        <v>1559</v>
      </c>
      <c r="C3830" s="8">
        <v>30824261</v>
      </c>
      <c r="D3830" s="8">
        <v>5</v>
      </c>
      <c r="E3830" s="11">
        <v>43108</v>
      </c>
      <c r="F3830" s="8" t="s">
        <v>57</v>
      </c>
      <c r="G3830" s="11">
        <v>43109</v>
      </c>
      <c r="H3830" s="8" t="s">
        <v>25</v>
      </c>
      <c r="J3830" s="8" t="s">
        <v>25</v>
      </c>
      <c r="N3830" s="8" t="s">
        <v>58</v>
      </c>
      <c r="O3830" s="8" t="s">
        <v>59</v>
      </c>
      <c r="P3830" s="8" t="s">
        <v>59</v>
      </c>
      <c r="R3830" s="8">
        <v>0</v>
      </c>
      <c r="S3830" s="8">
        <v>0</v>
      </c>
      <c r="T3830" s="8">
        <v>1</v>
      </c>
      <c r="U3830" s="8">
        <v>2</v>
      </c>
      <c r="AG3830" s="8" t="str">
        <f t="shared" si="237"/>
        <v/>
      </c>
      <c r="AI3830" s="8" t="str">
        <f t="shared" si="238"/>
        <v/>
      </c>
      <c r="AJ3830" s="8" t="str">
        <f t="shared" si="239"/>
        <v/>
      </c>
      <c r="AL3830" s="8" t="str">
        <f t="shared" si="240"/>
        <v/>
      </c>
    </row>
    <row r="3831" spans="1:38" x14ac:dyDescent="0.25">
      <c r="A3831" s="8" t="s">
        <v>6422</v>
      </c>
      <c r="B3831" s="8" t="s">
        <v>6423</v>
      </c>
      <c r="C3831" s="8">
        <v>30915241</v>
      </c>
      <c r="D3831" s="8">
        <v>5</v>
      </c>
      <c r="E3831" s="11">
        <v>43112</v>
      </c>
      <c r="F3831" s="8" t="s">
        <v>57</v>
      </c>
      <c r="G3831" s="11">
        <v>43112</v>
      </c>
      <c r="H3831" s="8" t="s">
        <v>25</v>
      </c>
      <c r="J3831" s="8" t="s">
        <v>25</v>
      </c>
      <c r="N3831" s="8" t="s">
        <v>58</v>
      </c>
      <c r="O3831" s="8" t="s">
        <v>59</v>
      </c>
      <c r="P3831" s="8" t="s">
        <v>59</v>
      </c>
      <c r="R3831" s="8">
        <v>0</v>
      </c>
      <c r="S3831" s="8">
        <v>0</v>
      </c>
      <c r="T3831" s="8">
        <v>1</v>
      </c>
      <c r="U3831" s="8">
        <v>2</v>
      </c>
      <c r="AG3831" s="8" t="str">
        <f t="shared" si="237"/>
        <v/>
      </c>
      <c r="AI3831" s="8" t="str">
        <f t="shared" si="238"/>
        <v/>
      </c>
      <c r="AJ3831" s="8" t="str">
        <f t="shared" si="239"/>
        <v/>
      </c>
      <c r="AL3831" s="8" t="str">
        <f t="shared" si="240"/>
        <v/>
      </c>
    </row>
    <row r="3832" spans="1:38" x14ac:dyDescent="0.25">
      <c r="A3832" s="8" t="s">
        <v>8129</v>
      </c>
      <c r="B3832" s="8" t="s">
        <v>8130</v>
      </c>
      <c r="C3832" s="8">
        <v>30943975</v>
      </c>
      <c r="D3832" s="8">
        <v>5</v>
      </c>
      <c r="E3832" s="11">
        <v>43115</v>
      </c>
      <c r="F3832" s="8" t="s">
        <v>58</v>
      </c>
      <c r="G3832" s="11">
        <v>43115</v>
      </c>
      <c r="H3832" s="8" t="s">
        <v>25</v>
      </c>
      <c r="I3832" s="11">
        <v>43115</v>
      </c>
      <c r="J3832" s="8" t="s">
        <v>25</v>
      </c>
      <c r="N3832" s="8" t="s">
        <v>58</v>
      </c>
      <c r="O3832" s="8" t="s">
        <v>59</v>
      </c>
      <c r="P3832" s="8" t="s">
        <v>59</v>
      </c>
      <c r="R3832" s="8">
        <v>0</v>
      </c>
      <c r="S3832" s="8">
        <v>0</v>
      </c>
      <c r="T3832" s="8">
        <v>1</v>
      </c>
      <c r="U3832" s="8">
        <v>2</v>
      </c>
      <c r="X3832" s="8">
        <v>5</v>
      </c>
      <c r="AG3832" s="8" t="str">
        <f t="shared" si="237"/>
        <v/>
      </c>
      <c r="AI3832" s="8" t="str">
        <f t="shared" si="238"/>
        <v/>
      </c>
      <c r="AJ3832" s="8" t="str">
        <f t="shared" si="239"/>
        <v/>
      </c>
      <c r="AL3832" s="8" t="str">
        <f t="shared" si="240"/>
        <v/>
      </c>
    </row>
    <row r="3833" spans="1:38" x14ac:dyDescent="0.25">
      <c r="A3833" s="8" t="s">
        <v>8131</v>
      </c>
      <c r="B3833" s="8" t="s">
        <v>8132</v>
      </c>
      <c r="C3833" s="8">
        <v>30930482</v>
      </c>
      <c r="D3833" s="8">
        <v>5</v>
      </c>
      <c r="E3833" s="11">
        <v>43115</v>
      </c>
      <c r="F3833" s="8" t="s">
        <v>57</v>
      </c>
      <c r="G3833" s="11">
        <v>43115</v>
      </c>
      <c r="H3833" s="8" t="s">
        <v>25</v>
      </c>
      <c r="J3833" s="8" t="s">
        <v>25</v>
      </c>
      <c r="N3833" s="8" t="s">
        <v>58</v>
      </c>
      <c r="O3833" s="8" t="s">
        <v>59</v>
      </c>
      <c r="P3833" s="8" t="s">
        <v>59</v>
      </c>
      <c r="R3833" s="8">
        <v>0</v>
      </c>
      <c r="S3833" s="8">
        <v>0</v>
      </c>
      <c r="T3833" s="8">
        <v>1</v>
      </c>
      <c r="U3833" s="8">
        <v>2</v>
      </c>
      <c r="AG3833" s="8" t="str">
        <f t="shared" si="237"/>
        <v/>
      </c>
      <c r="AI3833" s="8" t="str">
        <f t="shared" si="238"/>
        <v/>
      </c>
      <c r="AJ3833" s="8" t="str">
        <f t="shared" si="239"/>
        <v/>
      </c>
      <c r="AL3833" s="8" t="str">
        <f t="shared" si="240"/>
        <v/>
      </c>
    </row>
    <row r="3834" spans="1:38" x14ac:dyDescent="0.25">
      <c r="A3834" s="8" t="s">
        <v>4610</v>
      </c>
      <c r="B3834" s="8" t="s">
        <v>4611</v>
      </c>
      <c r="C3834" s="8">
        <v>30882779</v>
      </c>
      <c r="D3834" s="8">
        <v>5</v>
      </c>
      <c r="E3834" s="11">
        <v>43111</v>
      </c>
      <c r="F3834" s="8" t="s">
        <v>58</v>
      </c>
      <c r="G3834" s="11">
        <v>43111</v>
      </c>
      <c r="H3834" s="8" t="s">
        <v>25</v>
      </c>
      <c r="I3834" s="11">
        <v>43111</v>
      </c>
      <c r="J3834" s="8" t="s">
        <v>25</v>
      </c>
      <c r="N3834" s="8" t="s">
        <v>58</v>
      </c>
      <c r="O3834" s="8" t="s">
        <v>59</v>
      </c>
      <c r="P3834" s="8" t="s">
        <v>59</v>
      </c>
      <c r="R3834" s="8">
        <v>0</v>
      </c>
      <c r="S3834" s="8">
        <v>0</v>
      </c>
      <c r="T3834" s="8">
        <v>1</v>
      </c>
      <c r="U3834" s="8">
        <v>2</v>
      </c>
      <c r="X3834" s="8">
        <v>5</v>
      </c>
      <c r="AG3834" s="8" t="str">
        <f t="shared" si="237"/>
        <v/>
      </c>
      <c r="AI3834" s="8" t="str">
        <f t="shared" si="238"/>
        <v/>
      </c>
      <c r="AJ3834" s="8" t="str">
        <f t="shared" si="239"/>
        <v/>
      </c>
      <c r="AL3834" s="8" t="str">
        <f t="shared" si="240"/>
        <v/>
      </c>
    </row>
    <row r="3835" spans="1:38" x14ac:dyDescent="0.25">
      <c r="A3835" s="8" t="s">
        <v>3160</v>
      </c>
      <c r="B3835" s="8" t="s">
        <v>3161</v>
      </c>
      <c r="C3835" s="8">
        <v>30868764</v>
      </c>
      <c r="D3835" s="8">
        <v>5</v>
      </c>
      <c r="E3835" s="11">
        <v>43110</v>
      </c>
      <c r="F3835" s="8" t="s">
        <v>58</v>
      </c>
      <c r="G3835" s="11">
        <v>43110</v>
      </c>
      <c r="H3835" s="8" t="s">
        <v>25</v>
      </c>
      <c r="I3835" s="11">
        <v>43112</v>
      </c>
      <c r="J3835" s="8" t="s">
        <v>25</v>
      </c>
      <c r="N3835" s="8" t="s">
        <v>58</v>
      </c>
      <c r="O3835" s="8" t="s">
        <v>59</v>
      </c>
      <c r="P3835" s="8" t="s">
        <v>59</v>
      </c>
      <c r="R3835" s="8">
        <v>0</v>
      </c>
      <c r="S3835" s="8">
        <v>0</v>
      </c>
      <c r="T3835" s="8">
        <v>1</v>
      </c>
      <c r="U3835" s="8">
        <v>2</v>
      </c>
      <c r="X3835" s="8">
        <v>5</v>
      </c>
      <c r="AG3835" s="8" t="str">
        <f t="shared" si="237"/>
        <v/>
      </c>
      <c r="AI3835" s="8" t="str">
        <f t="shared" si="238"/>
        <v/>
      </c>
      <c r="AJ3835" s="8" t="str">
        <f t="shared" si="239"/>
        <v/>
      </c>
      <c r="AL3835" s="8" t="str">
        <f t="shared" si="240"/>
        <v/>
      </c>
    </row>
    <row r="3836" spans="1:38" x14ac:dyDescent="0.25">
      <c r="A3836" s="8" t="s">
        <v>6424</v>
      </c>
      <c r="B3836" s="8" t="s">
        <v>6425</v>
      </c>
      <c r="C3836" s="8">
        <v>30912754</v>
      </c>
      <c r="D3836" s="8">
        <v>4</v>
      </c>
      <c r="E3836" s="11">
        <v>43112</v>
      </c>
      <c r="F3836" s="8" t="s">
        <v>57</v>
      </c>
      <c r="G3836" s="11">
        <v>43112</v>
      </c>
      <c r="H3836" s="8" t="s">
        <v>25</v>
      </c>
      <c r="J3836" s="8" t="s">
        <v>25</v>
      </c>
      <c r="N3836" s="8" t="s">
        <v>58</v>
      </c>
      <c r="O3836" s="8" t="s">
        <v>59</v>
      </c>
      <c r="P3836" s="8" t="s">
        <v>59</v>
      </c>
      <c r="R3836" s="8">
        <v>0</v>
      </c>
      <c r="S3836" s="8">
        <v>0</v>
      </c>
      <c r="T3836" s="8">
        <v>1</v>
      </c>
      <c r="U3836" s="8">
        <v>2</v>
      </c>
      <c r="AG3836" s="8" t="str">
        <f t="shared" si="237"/>
        <v/>
      </c>
      <c r="AI3836" s="8" t="str">
        <f t="shared" si="238"/>
        <v/>
      </c>
      <c r="AJ3836" s="8" t="str">
        <f t="shared" si="239"/>
        <v/>
      </c>
      <c r="AL3836" s="8" t="str">
        <f t="shared" si="240"/>
        <v/>
      </c>
    </row>
    <row r="3837" spans="1:38" x14ac:dyDescent="0.25">
      <c r="A3837" s="8" t="s">
        <v>4612</v>
      </c>
      <c r="B3837" s="8" t="s">
        <v>4613</v>
      </c>
      <c r="C3837" s="8">
        <v>30893043</v>
      </c>
      <c r="D3837" s="8">
        <v>5</v>
      </c>
      <c r="E3837" s="11">
        <v>43111</v>
      </c>
      <c r="F3837" s="8" t="s">
        <v>58</v>
      </c>
      <c r="G3837" s="11">
        <v>43111</v>
      </c>
      <c r="H3837" s="8" t="s">
        <v>25</v>
      </c>
      <c r="I3837" s="11">
        <v>43115</v>
      </c>
      <c r="J3837" s="8" t="s">
        <v>25</v>
      </c>
      <c r="N3837" s="8" t="s">
        <v>58</v>
      </c>
      <c r="O3837" s="8" t="s">
        <v>59</v>
      </c>
      <c r="P3837" s="8" t="s">
        <v>59</v>
      </c>
      <c r="R3837" s="8">
        <v>0</v>
      </c>
      <c r="S3837" s="8">
        <v>0</v>
      </c>
      <c r="T3837" s="8">
        <v>1</v>
      </c>
      <c r="U3837" s="8">
        <v>2</v>
      </c>
      <c r="X3837" s="8">
        <v>5</v>
      </c>
      <c r="AG3837" s="8" t="str">
        <f t="shared" si="237"/>
        <v/>
      </c>
      <c r="AI3837" s="8" t="str">
        <f t="shared" si="238"/>
        <v/>
      </c>
      <c r="AJ3837" s="8" t="str">
        <f t="shared" si="239"/>
        <v/>
      </c>
      <c r="AL3837" s="8" t="str">
        <f t="shared" si="240"/>
        <v/>
      </c>
    </row>
    <row r="3838" spans="1:38" x14ac:dyDescent="0.25">
      <c r="A3838" s="8" t="s">
        <v>8133</v>
      </c>
      <c r="B3838" s="8" t="s">
        <v>8134</v>
      </c>
      <c r="C3838" s="8">
        <v>30944513</v>
      </c>
      <c r="D3838" s="8">
        <v>5</v>
      </c>
      <c r="E3838" s="11">
        <v>43115</v>
      </c>
      <c r="F3838" s="8" t="s">
        <v>58</v>
      </c>
      <c r="G3838" s="11">
        <v>43115</v>
      </c>
      <c r="H3838" s="8" t="s">
        <v>25</v>
      </c>
      <c r="I3838" s="11">
        <v>43115</v>
      </c>
      <c r="J3838" s="8" t="s">
        <v>25</v>
      </c>
      <c r="N3838" s="8" t="s">
        <v>58</v>
      </c>
      <c r="O3838" s="8" t="s">
        <v>59</v>
      </c>
      <c r="P3838" s="8" t="s">
        <v>59</v>
      </c>
      <c r="R3838" s="8">
        <v>0</v>
      </c>
      <c r="S3838" s="8">
        <v>0</v>
      </c>
      <c r="T3838" s="8">
        <v>1</v>
      </c>
      <c r="U3838" s="8">
        <v>2</v>
      </c>
      <c r="X3838" s="8">
        <v>5</v>
      </c>
      <c r="AG3838" s="8" t="str">
        <f t="shared" si="237"/>
        <v/>
      </c>
      <c r="AI3838" s="8" t="str">
        <f t="shared" si="238"/>
        <v/>
      </c>
      <c r="AJ3838" s="8" t="str">
        <f t="shared" si="239"/>
        <v/>
      </c>
      <c r="AL3838" s="8" t="str">
        <f t="shared" si="240"/>
        <v/>
      </c>
    </row>
    <row r="3839" spans="1:38" x14ac:dyDescent="0.25">
      <c r="A3839" s="8" t="s">
        <v>4614</v>
      </c>
      <c r="B3839" s="8" t="s">
        <v>4615</v>
      </c>
      <c r="C3839" s="8">
        <v>30872356</v>
      </c>
      <c r="D3839" s="8">
        <v>5</v>
      </c>
      <c r="E3839" s="11">
        <v>43110</v>
      </c>
      <c r="F3839" s="8" t="s">
        <v>58</v>
      </c>
      <c r="G3839" s="11">
        <v>43111</v>
      </c>
      <c r="H3839" s="8" t="s">
        <v>25</v>
      </c>
      <c r="I3839" s="11">
        <v>43115</v>
      </c>
      <c r="J3839" s="8" t="s">
        <v>25</v>
      </c>
      <c r="N3839" s="8" t="s">
        <v>58</v>
      </c>
      <c r="O3839" s="8" t="s">
        <v>59</v>
      </c>
      <c r="P3839" s="8" t="s">
        <v>59</v>
      </c>
      <c r="R3839" s="8">
        <v>0</v>
      </c>
      <c r="S3839" s="8">
        <v>0</v>
      </c>
      <c r="T3839" s="8">
        <v>1</v>
      </c>
      <c r="U3839" s="8">
        <v>2</v>
      </c>
      <c r="X3839" s="8">
        <v>5</v>
      </c>
      <c r="AG3839" s="8" t="str">
        <f t="shared" si="237"/>
        <v/>
      </c>
      <c r="AI3839" s="8" t="str">
        <f t="shared" si="238"/>
        <v/>
      </c>
      <c r="AJ3839" s="8" t="str">
        <f t="shared" si="239"/>
        <v/>
      </c>
      <c r="AL3839" s="8" t="str">
        <f t="shared" si="240"/>
        <v/>
      </c>
    </row>
    <row r="3840" spans="1:38" x14ac:dyDescent="0.25">
      <c r="A3840" s="8" t="s">
        <v>3162</v>
      </c>
      <c r="B3840" s="8" t="s">
        <v>3163</v>
      </c>
      <c r="C3840" s="8">
        <v>30872385</v>
      </c>
      <c r="D3840" s="8">
        <v>5</v>
      </c>
      <c r="E3840" s="11">
        <v>43110</v>
      </c>
      <c r="F3840" s="8" t="s">
        <v>58</v>
      </c>
      <c r="G3840" s="11">
        <v>43110</v>
      </c>
      <c r="H3840" s="8" t="s">
        <v>25</v>
      </c>
      <c r="I3840" s="11">
        <v>43110</v>
      </c>
      <c r="J3840" s="8" t="s">
        <v>25</v>
      </c>
      <c r="N3840" s="8" t="s">
        <v>58</v>
      </c>
      <c r="O3840" s="8" t="s">
        <v>59</v>
      </c>
      <c r="P3840" s="8" t="s">
        <v>59</v>
      </c>
      <c r="R3840" s="8">
        <v>0</v>
      </c>
      <c r="S3840" s="8">
        <v>0</v>
      </c>
      <c r="T3840" s="8">
        <v>1</v>
      </c>
      <c r="U3840" s="8">
        <v>2</v>
      </c>
      <c r="X3840" s="8">
        <v>5</v>
      </c>
      <c r="AG3840" s="8" t="str">
        <f t="shared" si="237"/>
        <v/>
      </c>
      <c r="AI3840" s="8" t="str">
        <f t="shared" si="238"/>
        <v/>
      </c>
      <c r="AJ3840" s="8" t="str">
        <f t="shared" si="239"/>
        <v/>
      </c>
      <c r="AL3840" s="8" t="str">
        <f t="shared" si="240"/>
        <v/>
      </c>
    </row>
    <row r="3841" spans="1:38" x14ac:dyDescent="0.25">
      <c r="A3841" s="8" t="s">
        <v>8135</v>
      </c>
      <c r="B3841" s="8" t="s">
        <v>8136</v>
      </c>
      <c r="C3841" s="8">
        <v>30935542</v>
      </c>
      <c r="D3841" s="8">
        <v>5</v>
      </c>
      <c r="E3841" s="11">
        <v>43115</v>
      </c>
      <c r="F3841" s="8" t="s">
        <v>58</v>
      </c>
      <c r="G3841" s="11">
        <v>43115</v>
      </c>
      <c r="H3841" s="8" t="s">
        <v>25</v>
      </c>
      <c r="I3841" s="11">
        <v>43115</v>
      </c>
      <c r="J3841" s="8" t="s">
        <v>25</v>
      </c>
      <c r="N3841" s="8" t="s">
        <v>58</v>
      </c>
      <c r="O3841" s="8" t="s">
        <v>59</v>
      </c>
      <c r="P3841" s="8" t="s">
        <v>59</v>
      </c>
      <c r="R3841" s="8">
        <v>0</v>
      </c>
      <c r="S3841" s="8">
        <v>0</v>
      </c>
      <c r="T3841" s="8">
        <v>1</v>
      </c>
      <c r="U3841" s="8">
        <v>2</v>
      </c>
      <c r="X3841" s="8">
        <v>5</v>
      </c>
      <c r="AG3841" s="8" t="str">
        <f t="shared" si="237"/>
        <v/>
      </c>
      <c r="AI3841" s="8" t="str">
        <f t="shared" si="238"/>
        <v/>
      </c>
      <c r="AJ3841" s="8" t="str">
        <f t="shared" si="239"/>
        <v/>
      </c>
      <c r="AL3841" s="8" t="str">
        <f t="shared" si="240"/>
        <v/>
      </c>
    </row>
    <row r="3842" spans="1:38" x14ac:dyDescent="0.25">
      <c r="A3842" s="8" t="s">
        <v>3164</v>
      </c>
      <c r="B3842" s="8" t="s">
        <v>3165</v>
      </c>
      <c r="C3842" s="8">
        <v>30865227</v>
      </c>
      <c r="D3842" s="8">
        <v>5</v>
      </c>
      <c r="E3842" s="11">
        <v>43110</v>
      </c>
      <c r="F3842" s="8" t="s">
        <v>57</v>
      </c>
      <c r="G3842" s="11">
        <v>43110</v>
      </c>
      <c r="H3842" s="8" t="s">
        <v>25</v>
      </c>
      <c r="J3842" s="8" t="s">
        <v>25</v>
      </c>
      <c r="N3842" s="8" t="s">
        <v>58</v>
      </c>
      <c r="O3842" s="8" t="s">
        <v>59</v>
      </c>
      <c r="P3842" s="8" t="s">
        <v>59</v>
      </c>
      <c r="R3842" s="8">
        <v>0</v>
      </c>
      <c r="S3842" s="8">
        <v>0</v>
      </c>
      <c r="T3842" s="8">
        <v>1</v>
      </c>
      <c r="U3842" s="8">
        <v>2</v>
      </c>
      <c r="AG3842" s="8" t="str">
        <f t="shared" si="237"/>
        <v/>
      </c>
      <c r="AI3842" s="8" t="str">
        <f t="shared" si="238"/>
        <v/>
      </c>
      <c r="AJ3842" s="8" t="str">
        <f t="shared" si="239"/>
        <v/>
      </c>
      <c r="AL3842" s="8" t="str">
        <f t="shared" si="240"/>
        <v/>
      </c>
    </row>
    <row r="3843" spans="1:38" x14ac:dyDescent="0.25">
      <c r="A3843" s="8" t="s">
        <v>4616</v>
      </c>
      <c r="B3843" s="8" t="s">
        <v>4617</v>
      </c>
      <c r="C3843" s="8">
        <v>30874489</v>
      </c>
      <c r="D3843" s="8">
        <v>5</v>
      </c>
      <c r="E3843" s="11">
        <v>43110</v>
      </c>
      <c r="F3843" s="8" t="s">
        <v>58</v>
      </c>
      <c r="G3843" s="11">
        <v>43111</v>
      </c>
      <c r="H3843" s="8" t="s">
        <v>25</v>
      </c>
      <c r="I3843" s="11">
        <v>43112</v>
      </c>
      <c r="J3843" s="8" t="s">
        <v>25</v>
      </c>
      <c r="N3843" s="8" t="s">
        <v>58</v>
      </c>
      <c r="O3843" s="8" t="s">
        <v>59</v>
      </c>
      <c r="P3843" s="8" t="s">
        <v>59</v>
      </c>
      <c r="R3843" s="8">
        <v>0</v>
      </c>
      <c r="S3843" s="8">
        <v>0</v>
      </c>
      <c r="T3843" s="8">
        <v>1</v>
      </c>
      <c r="U3843" s="8">
        <v>2</v>
      </c>
      <c r="X3843" s="8">
        <v>5</v>
      </c>
      <c r="AG3843" s="8" t="str">
        <f t="shared" ref="AG3843:AG3906" si="241">IF(AND(U3843="",G3843&lt;&gt;"",NOT(OR(R3843,S3843))),IF(NETWORKDAYS.INTL(G3843,TODAY(),11)&lt;5,"En Plazo",IF(NETWORKDAYS.INTL(G3843,TODAY(),11)=5,"Riesgo Incumplimiento","FALTA_02")),"")</f>
        <v/>
      </c>
      <c r="AI3843" s="8" t="str">
        <f t="shared" ref="AI3843:AI3906" si="242">IF(AND(O3843&lt;&gt;"B1",F3843="Rejected"),IF(W3843="","FALTA_04",""),"")</f>
        <v/>
      </c>
      <c r="AJ3843" s="8" t="str">
        <f t="shared" ref="AJ3843:AJ3906" si="243">IF(AND(X3843="",I3843&lt;&gt;"",NOT(OR(R3843,S3843))),IF(NETWORKDAYS.INTL(G3843,TODAY(),11)&lt;=1,"En Plazo",IF(OR(AND(X3843="",O3843&lt;&gt;"M1"),AND(O3843="M1",(OR(Q3843="S - S",Q3843="S - T",)))),"FALTA_05","")),"")</f>
        <v/>
      </c>
      <c r="AL3843" s="8" t="str">
        <f t="shared" ref="AL3843:AL3906" si="244">IF(AND(O3843="B1",F3843="Rejected"),IF(Z3843="","FALTA_07",""),"")</f>
        <v/>
      </c>
    </row>
    <row r="3844" spans="1:38" x14ac:dyDescent="0.25">
      <c r="A3844" s="8" t="s">
        <v>4618</v>
      </c>
      <c r="B3844" s="8" t="s">
        <v>4619</v>
      </c>
      <c r="C3844" s="8">
        <v>30894233</v>
      </c>
      <c r="D3844" s="8">
        <v>5</v>
      </c>
      <c r="E3844" s="11">
        <v>43111</v>
      </c>
      <c r="F3844" s="8" t="s">
        <v>58</v>
      </c>
      <c r="G3844" s="11">
        <v>43111</v>
      </c>
      <c r="H3844" s="8" t="s">
        <v>25</v>
      </c>
      <c r="I3844" s="11">
        <v>43112</v>
      </c>
      <c r="J3844" s="8" t="s">
        <v>25</v>
      </c>
      <c r="N3844" s="8" t="s">
        <v>58</v>
      </c>
      <c r="O3844" s="8" t="s">
        <v>59</v>
      </c>
      <c r="P3844" s="8" t="s">
        <v>59</v>
      </c>
      <c r="R3844" s="8">
        <v>0</v>
      </c>
      <c r="S3844" s="8">
        <v>0</v>
      </c>
      <c r="T3844" s="8">
        <v>1</v>
      </c>
      <c r="U3844" s="8">
        <v>2</v>
      </c>
      <c r="X3844" s="8">
        <v>5</v>
      </c>
      <c r="AG3844" s="8" t="str">
        <f t="shared" si="241"/>
        <v/>
      </c>
      <c r="AI3844" s="8" t="str">
        <f t="shared" si="242"/>
        <v/>
      </c>
      <c r="AJ3844" s="8" t="str">
        <f t="shared" si="243"/>
        <v/>
      </c>
      <c r="AL3844" s="8" t="str">
        <f t="shared" si="244"/>
        <v/>
      </c>
    </row>
    <row r="3845" spans="1:38" x14ac:dyDescent="0.25">
      <c r="A3845" s="8" t="s">
        <v>3166</v>
      </c>
      <c r="B3845" s="8" t="s">
        <v>3167</v>
      </c>
      <c r="C3845" s="8">
        <v>30862489</v>
      </c>
      <c r="D3845" s="8">
        <v>5</v>
      </c>
      <c r="E3845" s="11">
        <v>43110</v>
      </c>
      <c r="F3845" s="8" t="s">
        <v>57</v>
      </c>
      <c r="G3845" s="11">
        <v>43110</v>
      </c>
      <c r="H3845" s="8" t="s">
        <v>25</v>
      </c>
      <c r="J3845" s="8" t="s">
        <v>25</v>
      </c>
      <c r="N3845" s="8" t="s">
        <v>58</v>
      </c>
      <c r="O3845" s="8" t="s">
        <v>59</v>
      </c>
      <c r="P3845" s="8" t="s">
        <v>59</v>
      </c>
      <c r="R3845" s="8">
        <v>0</v>
      </c>
      <c r="S3845" s="8">
        <v>0</v>
      </c>
      <c r="T3845" s="8">
        <v>1</v>
      </c>
      <c r="U3845" s="8">
        <v>2</v>
      </c>
      <c r="AG3845" s="8" t="str">
        <f t="shared" si="241"/>
        <v/>
      </c>
      <c r="AI3845" s="8" t="str">
        <f t="shared" si="242"/>
        <v/>
      </c>
      <c r="AJ3845" s="8" t="str">
        <f t="shared" si="243"/>
        <v/>
      </c>
      <c r="AL3845" s="8" t="str">
        <f t="shared" si="244"/>
        <v/>
      </c>
    </row>
    <row r="3846" spans="1:38" x14ac:dyDescent="0.25">
      <c r="A3846" s="8" t="s">
        <v>737</v>
      </c>
      <c r="B3846" s="8" t="s">
        <v>738</v>
      </c>
      <c r="C3846" s="8">
        <v>30815968</v>
      </c>
      <c r="D3846" s="8">
        <v>5</v>
      </c>
      <c r="E3846" s="11">
        <v>43108</v>
      </c>
      <c r="F3846" s="8" t="s">
        <v>58</v>
      </c>
      <c r="G3846" s="11">
        <v>43108</v>
      </c>
      <c r="H3846" s="8" t="s">
        <v>25</v>
      </c>
      <c r="I3846" s="11">
        <v>43111</v>
      </c>
      <c r="J3846" s="8" t="s">
        <v>25</v>
      </c>
      <c r="N3846" s="8" t="s">
        <v>58</v>
      </c>
      <c r="O3846" s="8" t="s">
        <v>59</v>
      </c>
      <c r="P3846" s="8" t="s">
        <v>59</v>
      </c>
      <c r="R3846" s="8">
        <v>0</v>
      </c>
      <c r="S3846" s="8">
        <v>0</v>
      </c>
      <c r="T3846" s="8">
        <v>1</v>
      </c>
      <c r="U3846" s="8">
        <v>2</v>
      </c>
      <c r="X3846" s="8">
        <v>5</v>
      </c>
      <c r="AG3846" s="8" t="str">
        <f t="shared" si="241"/>
        <v/>
      </c>
      <c r="AI3846" s="8" t="str">
        <f t="shared" si="242"/>
        <v/>
      </c>
      <c r="AJ3846" s="8" t="str">
        <f t="shared" si="243"/>
        <v/>
      </c>
      <c r="AL3846" s="8" t="str">
        <f t="shared" si="244"/>
        <v/>
      </c>
    </row>
    <row r="3847" spans="1:38" x14ac:dyDescent="0.25">
      <c r="A3847" s="8" t="s">
        <v>4620</v>
      </c>
      <c r="B3847" s="8" t="s">
        <v>4621</v>
      </c>
      <c r="C3847" s="8">
        <v>30872196</v>
      </c>
      <c r="D3847" s="8">
        <v>5</v>
      </c>
      <c r="E3847" s="11">
        <v>43110</v>
      </c>
      <c r="F3847" s="8" t="s">
        <v>57</v>
      </c>
      <c r="G3847" s="11">
        <v>43111</v>
      </c>
      <c r="H3847" s="8" t="s">
        <v>25</v>
      </c>
      <c r="J3847" s="8" t="s">
        <v>25</v>
      </c>
      <c r="N3847" s="8" t="s">
        <v>58</v>
      </c>
      <c r="O3847" s="8" t="s">
        <v>59</v>
      </c>
      <c r="P3847" s="8" t="s">
        <v>59</v>
      </c>
      <c r="R3847" s="8">
        <v>0</v>
      </c>
      <c r="S3847" s="8">
        <v>0</v>
      </c>
      <c r="T3847" s="8">
        <v>1</v>
      </c>
      <c r="U3847" s="8">
        <v>2</v>
      </c>
      <c r="AG3847" s="8" t="str">
        <f t="shared" si="241"/>
        <v/>
      </c>
      <c r="AI3847" s="8" t="str">
        <f t="shared" si="242"/>
        <v/>
      </c>
      <c r="AJ3847" s="8" t="str">
        <f t="shared" si="243"/>
        <v/>
      </c>
      <c r="AL3847" s="8" t="str">
        <f t="shared" si="244"/>
        <v/>
      </c>
    </row>
    <row r="3848" spans="1:38" x14ac:dyDescent="0.25">
      <c r="A3848" s="8" t="s">
        <v>4622</v>
      </c>
      <c r="B3848" s="8" t="s">
        <v>4623</v>
      </c>
      <c r="C3848" s="8">
        <v>30871864</v>
      </c>
      <c r="D3848" s="8">
        <v>5</v>
      </c>
      <c r="E3848" s="11">
        <v>43110</v>
      </c>
      <c r="F3848" s="8" t="s">
        <v>58</v>
      </c>
      <c r="G3848" s="11">
        <v>43111</v>
      </c>
      <c r="H3848" s="8" t="s">
        <v>25</v>
      </c>
      <c r="I3848" s="11">
        <v>43111</v>
      </c>
      <c r="J3848" s="8" t="s">
        <v>25</v>
      </c>
      <c r="N3848" s="8" t="s">
        <v>58</v>
      </c>
      <c r="O3848" s="8" t="s">
        <v>59</v>
      </c>
      <c r="P3848" s="8" t="s">
        <v>59</v>
      </c>
      <c r="R3848" s="8">
        <v>0</v>
      </c>
      <c r="S3848" s="8">
        <v>0</v>
      </c>
      <c r="T3848" s="8">
        <v>1</v>
      </c>
      <c r="U3848" s="8">
        <v>2</v>
      </c>
      <c r="X3848" s="8">
        <v>5</v>
      </c>
      <c r="AG3848" s="8" t="str">
        <f t="shared" si="241"/>
        <v/>
      </c>
      <c r="AI3848" s="8" t="str">
        <f t="shared" si="242"/>
        <v/>
      </c>
      <c r="AJ3848" s="8" t="str">
        <f t="shared" si="243"/>
        <v/>
      </c>
      <c r="AL3848" s="8" t="str">
        <f t="shared" si="244"/>
        <v/>
      </c>
    </row>
    <row r="3849" spans="1:38" x14ac:dyDescent="0.25">
      <c r="A3849" s="8" t="s">
        <v>4624</v>
      </c>
      <c r="B3849" s="8" t="s">
        <v>4625</v>
      </c>
      <c r="C3849" s="8">
        <v>30899432</v>
      </c>
      <c r="D3849" s="8">
        <v>4</v>
      </c>
      <c r="E3849" s="11">
        <v>43111</v>
      </c>
      <c r="F3849" s="8" t="s">
        <v>57</v>
      </c>
      <c r="G3849" s="11">
        <v>43111</v>
      </c>
      <c r="H3849" s="8" t="s">
        <v>25</v>
      </c>
      <c r="J3849" s="8" t="s">
        <v>25</v>
      </c>
      <c r="N3849" s="8" t="s">
        <v>58</v>
      </c>
      <c r="O3849" s="8" t="s">
        <v>59</v>
      </c>
      <c r="P3849" s="8" t="s">
        <v>59</v>
      </c>
      <c r="R3849" s="8">
        <v>0</v>
      </c>
      <c r="S3849" s="8">
        <v>0</v>
      </c>
      <c r="T3849" s="8">
        <v>1</v>
      </c>
      <c r="U3849" s="8">
        <v>2</v>
      </c>
      <c r="AG3849" s="8" t="str">
        <f t="shared" si="241"/>
        <v/>
      </c>
      <c r="AI3849" s="8" t="str">
        <f t="shared" si="242"/>
        <v/>
      </c>
      <c r="AJ3849" s="8" t="str">
        <f t="shared" si="243"/>
        <v/>
      </c>
      <c r="AL3849" s="8" t="str">
        <f t="shared" si="244"/>
        <v/>
      </c>
    </row>
    <row r="3850" spans="1:38" x14ac:dyDescent="0.25">
      <c r="A3850" s="8" t="s">
        <v>1560</v>
      </c>
      <c r="B3850" s="8" t="s">
        <v>1561</v>
      </c>
      <c r="C3850" s="8">
        <v>30835648</v>
      </c>
      <c r="D3850" s="8">
        <v>5</v>
      </c>
      <c r="E3850" s="11">
        <v>43109</v>
      </c>
      <c r="F3850" s="8" t="s">
        <v>58</v>
      </c>
      <c r="G3850" s="11">
        <v>43109</v>
      </c>
      <c r="H3850" s="8" t="s">
        <v>25</v>
      </c>
      <c r="I3850" s="11">
        <v>43109</v>
      </c>
      <c r="J3850" s="8" t="s">
        <v>25</v>
      </c>
      <c r="N3850" s="8" t="s">
        <v>58</v>
      </c>
      <c r="O3850" s="8" t="s">
        <v>59</v>
      </c>
      <c r="P3850" s="8" t="s">
        <v>59</v>
      </c>
      <c r="R3850" s="8">
        <v>0</v>
      </c>
      <c r="S3850" s="8">
        <v>0</v>
      </c>
      <c r="T3850" s="8">
        <v>1</v>
      </c>
      <c r="U3850" s="8">
        <v>2</v>
      </c>
      <c r="X3850" s="8">
        <v>5</v>
      </c>
      <c r="AG3850" s="8" t="str">
        <f t="shared" si="241"/>
        <v/>
      </c>
      <c r="AI3850" s="8" t="str">
        <f t="shared" si="242"/>
        <v/>
      </c>
      <c r="AJ3850" s="8" t="str">
        <f t="shared" si="243"/>
        <v/>
      </c>
      <c r="AL3850" s="8" t="str">
        <f t="shared" si="244"/>
        <v/>
      </c>
    </row>
    <row r="3851" spans="1:38" x14ac:dyDescent="0.25">
      <c r="A3851" s="8" t="s">
        <v>739</v>
      </c>
      <c r="B3851" s="8" t="s">
        <v>740</v>
      </c>
      <c r="C3851" s="8">
        <v>30811386</v>
      </c>
      <c r="D3851" s="8">
        <v>5</v>
      </c>
      <c r="E3851" s="11">
        <v>43108</v>
      </c>
      <c r="F3851" s="8" t="s">
        <v>58</v>
      </c>
      <c r="G3851" s="11">
        <v>43108</v>
      </c>
      <c r="H3851" s="8" t="s">
        <v>25</v>
      </c>
      <c r="I3851" s="11">
        <v>43110</v>
      </c>
      <c r="J3851" s="8" t="s">
        <v>25</v>
      </c>
      <c r="N3851" s="8" t="s">
        <v>58</v>
      </c>
      <c r="O3851" s="8" t="s">
        <v>59</v>
      </c>
      <c r="P3851" s="8" t="s">
        <v>59</v>
      </c>
      <c r="R3851" s="8">
        <v>0</v>
      </c>
      <c r="S3851" s="8">
        <v>0</v>
      </c>
      <c r="T3851" s="8">
        <v>1</v>
      </c>
      <c r="U3851" s="8">
        <v>2</v>
      </c>
      <c r="X3851" s="8">
        <v>5</v>
      </c>
      <c r="AG3851" s="8" t="str">
        <f t="shared" si="241"/>
        <v/>
      </c>
      <c r="AI3851" s="8" t="str">
        <f t="shared" si="242"/>
        <v/>
      </c>
      <c r="AJ3851" s="8" t="str">
        <f t="shared" si="243"/>
        <v/>
      </c>
      <c r="AL3851" s="8" t="str">
        <f t="shared" si="244"/>
        <v/>
      </c>
    </row>
    <row r="3852" spans="1:38" x14ac:dyDescent="0.25">
      <c r="A3852" s="8" t="s">
        <v>1562</v>
      </c>
      <c r="B3852" s="8" t="s">
        <v>1563</v>
      </c>
      <c r="C3852" s="8">
        <v>30838903</v>
      </c>
      <c r="D3852" s="8">
        <v>5</v>
      </c>
      <c r="E3852" s="11">
        <v>43109</v>
      </c>
      <c r="F3852" s="8" t="s">
        <v>58</v>
      </c>
      <c r="G3852" s="11">
        <v>43109</v>
      </c>
      <c r="H3852" s="8" t="s">
        <v>25</v>
      </c>
      <c r="I3852" s="11">
        <v>43110</v>
      </c>
      <c r="J3852" s="8" t="s">
        <v>25</v>
      </c>
      <c r="N3852" s="8" t="s">
        <v>58</v>
      </c>
      <c r="O3852" s="8" t="s">
        <v>59</v>
      </c>
      <c r="P3852" s="8" t="s">
        <v>59</v>
      </c>
      <c r="R3852" s="8">
        <v>0</v>
      </c>
      <c r="S3852" s="8">
        <v>0</v>
      </c>
      <c r="T3852" s="8">
        <v>1</v>
      </c>
      <c r="U3852" s="8">
        <v>2</v>
      </c>
      <c r="X3852" s="8">
        <v>5</v>
      </c>
      <c r="AG3852" s="8" t="str">
        <f t="shared" si="241"/>
        <v/>
      </c>
      <c r="AI3852" s="8" t="str">
        <f t="shared" si="242"/>
        <v/>
      </c>
      <c r="AJ3852" s="8" t="str">
        <f t="shared" si="243"/>
        <v/>
      </c>
      <c r="AL3852" s="8" t="str">
        <f t="shared" si="244"/>
        <v/>
      </c>
    </row>
    <row r="3853" spans="1:38" x14ac:dyDescent="0.25">
      <c r="A3853" s="8" t="s">
        <v>4626</v>
      </c>
      <c r="B3853" s="8" t="s">
        <v>4627</v>
      </c>
      <c r="C3853" s="8">
        <v>30888255</v>
      </c>
      <c r="D3853" s="8">
        <v>5</v>
      </c>
      <c r="E3853" s="11">
        <v>43111</v>
      </c>
      <c r="F3853" s="8" t="s">
        <v>57</v>
      </c>
      <c r="G3853" s="11">
        <v>43111</v>
      </c>
      <c r="H3853" s="8" t="s">
        <v>25</v>
      </c>
      <c r="J3853" s="8" t="s">
        <v>25</v>
      </c>
      <c r="N3853" s="8" t="s">
        <v>58</v>
      </c>
      <c r="O3853" s="8" t="s">
        <v>59</v>
      </c>
      <c r="P3853" s="8" t="s">
        <v>59</v>
      </c>
      <c r="R3853" s="8">
        <v>0</v>
      </c>
      <c r="S3853" s="8">
        <v>0</v>
      </c>
      <c r="T3853" s="8">
        <v>1</v>
      </c>
      <c r="U3853" s="8">
        <v>2</v>
      </c>
      <c r="AG3853" s="8" t="str">
        <f t="shared" si="241"/>
        <v/>
      </c>
      <c r="AI3853" s="8" t="str">
        <f t="shared" si="242"/>
        <v/>
      </c>
      <c r="AJ3853" s="8" t="str">
        <f t="shared" si="243"/>
        <v/>
      </c>
      <c r="AL3853" s="8" t="str">
        <f t="shared" si="244"/>
        <v/>
      </c>
    </row>
    <row r="3854" spans="1:38" x14ac:dyDescent="0.25">
      <c r="A3854" s="8" t="s">
        <v>3168</v>
      </c>
      <c r="B3854" s="8" t="s">
        <v>3169</v>
      </c>
      <c r="C3854" s="8">
        <v>30847414</v>
      </c>
      <c r="D3854" s="8">
        <v>5</v>
      </c>
      <c r="E3854" s="11">
        <v>43109</v>
      </c>
      <c r="F3854" s="8" t="s">
        <v>57</v>
      </c>
      <c r="G3854" s="11">
        <v>43110</v>
      </c>
      <c r="H3854" s="8" t="s">
        <v>25</v>
      </c>
      <c r="J3854" s="8" t="s">
        <v>25</v>
      </c>
      <c r="N3854" s="8" t="s">
        <v>58</v>
      </c>
      <c r="O3854" s="8" t="s">
        <v>59</v>
      </c>
      <c r="P3854" s="8" t="s">
        <v>59</v>
      </c>
      <c r="R3854" s="8">
        <v>0</v>
      </c>
      <c r="S3854" s="8">
        <v>0</v>
      </c>
      <c r="T3854" s="8">
        <v>1</v>
      </c>
      <c r="U3854" s="8">
        <v>2</v>
      </c>
      <c r="AG3854" s="8" t="str">
        <f t="shared" si="241"/>
        <v/>
      </c>
      <c r="AI3854" s="8" t="str">
        <f t="shared" si="242"/>
        <v/>
      </c>
      <c r="AJ3854" s="8" t="str">
        <f t="shared" si="243"/>
        <v/>
      </c>
      <c r="AL3854" s="8" t="str">
        <f t="shared" si="244"/>
        <v/>
      </c>
    </row>
    <row r="3855" spans="1:38" x14ac:dyDescent="0.25">
      <c r="A3855" s="8" t="s">
        <v>1564</v>
      </c>
      <c r="B3855" s="8" t="s">
        <v>1565</v>
      </c>
      <c r="C3855" s="8">
        <v>30832047</v>
      </c>
      <c r="D3855" s="8">
        <v>5</v>
      </c>
      <c r="E3855" s="11">
        <v>43109</v>
      </c>
      <c r="F3855" s="8" t="s">
        <v>58</v>
      </c>
      <c r="G3855" s="11">
        <v>43109</v>
      </c>
      <c r="H3855" s="8" t="s">
        <v>25</v>
      </c>
      <c r="I3855" s="11">
        <v>43110</v>
      </c>
      <c r="J3855" s="8" t="s">
        <v>25</v>
      </c>
      <c r="N3855" s="8" t="s">
        <v>58</v>
      </c>
      <c r="O3855" s="8" t="s">
        <v>59</v>
      </c>
      <c r="P3855" s="8" t="s">
        <v>59</v>
      </c>
      <c r="R3855" s="8">
        <v>0</v>
      </c>
      <c r="S3855" s="8">
        <v>0</v>
      </c>
      <c r="T3855" s="8">
        <v>1</v>
      </c>
      <c r="U3855" s="8">
        <v>2</v>
      </c>
      <c r="X3855" s="8">
        <v>5</v>
      </c>
      <c r="AG3855" s="8" t="str">
        <f t="shared" si="241"/>
        <v/>
      </c>
      <c r="AI3855" s="8" t="str">
        <f t="shared" si="242"/>
        <v/>
      </c>
      <c r="AJ3855" s="8" t="str">
        <f t="shared" si="243"/>
        <v/>
      </c>
      <c r="AL3855" s="8" t="str">
        <f t="shared" si="244"/>
        <v/>
      </c>
    </row>
    <row r="3856" spans="1:38" x14ac:dyDescent="0.25">
      <c r="A3856" s="8" t="s">
        <v>1566</v>
      </c>
      <c r="B3856" s="8" t="s">
        <v>1567</v>
      </c>
      <c r="C3856" s="8">
        <v>30839691</v>
      </c>
      <c r="D3856" s="8">
        <v>5</v>
      </c>
      <c r="E3856" s="11">
        <v>43109</v>
      </c>
      <c r="F3856" s="8" t="s">
        <v>58</v>
      </c>
      <c r="G3856" s="11">
        <v>43109</v>
      </c>
      <c r="H3856" s="8" t="s">
        <v>25</v>
      </c>
      <c r="I3856" s="11">
        <v>43115</v>
      </c>
      <c r="J3856" s="8" t="s">
        <v>145</v>
      </c>
      <c r="N3856" s="8" t="s">
        <v>58</v>
      </c>
      <c r="O3856" s="8" t="s">
        <v>59</v>
      </c>
      <c r="P3856" s="8" t="s">
        <v>59</v>
      </c>
      <c r="R3856" s="8">
        <v>0</v>
      </c>
      <c r="S3856" s="8">
        <v>0</v>
      </c>
      <c r="T3856" s="8">
        <v>1</v>
      </c>
      <c r="U3856" s="8">
        <v>2</v>
      </c>
      <c r="X3856" s="8">
        <v>5</v>
      </c>
      <c r="AG3856" s="8" t="str">
        <f t="shared" si="241"/>
        <v/>
      </c>
      <c r="AI3856" s="8" t="str">
        <f t="shared" si="242"/>
        <v/>
      </c>
      <c r="AJ3856" s="8" t="str">
        <f t="shared" si="243"/>
        <v/>
      </c>
      <c r="AL3856" s="8" t="str">
        <f t="shared" si="244"/>
        <v/>
      </c>
    </row>
    <row r="3857" spans="1:38" x14ac:dyDescent="0.25">
      <c r="A3857" s="8" t="s">
        <v>3170</v>
      </c>
      <c r="B3857" s="8" t="s">
        <v>3171</v>
      </c>
      <c r="C3857" s="8">
        <v>30837332</v>
      </c>
      <c r="D3857" s="8">
        <v>5</v>
      </c>
      <c r="E3857" s="11">
        <v>43109</v>
      </c>
      <c r="F3857" s="8" t="s">
        <v>57</v>
      </c>
      <c r="G3857" s="11">
        <v>43110</v>
      </c>
      <c r="H3857" s="8" t="s">
        <v>25</v>
      </c>
      <c r="J3857" s="8" t="s">
        <v>25</v>
      </c>
      <c r="N3857" s="8" t="s">
        <v>58</v>
      </c>
      <c r="O3857" s="8" t="s">
        <v>59</v>
      </c>
      <c r="P3857" s="8" t="s">
        <v>59</v>
      </c>
      <c r="R3857" s="8">
        <v>0</v>
      </c>
      <c r="S3857" s="8">
        <v>0</v>
      </c>
      <c r="T3857" s="8">
        <v>1</v>
      </c>
      <c r="U3857" s="8">
        <v>2</v>
      </c>
      <c r="AG3857" s="8" t="str">
        <f t="shared" si="241"/>
        <v/>
      </c>
      <c r="AI3857" s="8" t="str">
        <f t="shared" si="242"/>
        <v/>
      </c>
      <c r="AJ3857" s="8" t="str">
        <f t="shared" si="243"/>
        <v/>
      </c>
      <c r="AL3857" s="8" t="str">
        <f t="shared" si="244"/>
        <v/>
      </c>
    </row>
    <row r="3858" spans="1:38" x14ac:dyDescent="0.25">
      <c r="A3858" s="8" t="s">
        <v>3172</v>
      </c>
      <c r="B3858" s="8" t="s">
        <v>3173</v>
      </c>
      <c r="C3858" s="8">
        <v>30865228</v>
      </c>
      <c r="D3858" s="8">
        <v>5</v>
      </c>
      <c r="E3858" s="11">
        <v>43110</v>
      </c>
      <c r="F3858" s="8" t="s">
        <v>58</v>
      </c>
      <c r="G3858" s="11">
        <v>43110</v>
      </c>
      <c r="H3858" s="8" t="s">
        <v>25</v>
      </c>
      <c r="I3858" s="11">
        <v>43115</v>
      </c>
      <c r="J3858" s="8" t="s">
        <v>145</v>
      </c>
      <c r="N3858" s="8" t="s">
        <v>58</v>
      </c>
      <c r="O3858" s="8" t="s">
        <v>59</v>
      </c>
      <c r="P3858" s="8" t="s">
        <v>59</v>
      </c>
      <c r="R3858" s="8">
        <v>0</v>
      </c>
      <c r="S3858" s="8">
        <v>0</v>
      </c>
      <c r="T3858" s="8">
        <v>1</v>
      </c>
      <c r="U3858" s="8">
        <v>2</v>
      </c>
      <c r="X3858" s="8">
        <v>5</v>
      </c>
      <c r="AG3858" s="8" t="str">
        <f t="shared" si="241"/>
        <v/>
      </c>
      <c r="AI3858" s="8" t="str">
        <f t="shared" si="242"/>
        <v/>
      </c>
      <c r="AJ3858" s="8" t="str">
        <f t="shared" si="243"/>
        <v/>
      </c>
      <c r="AL3858" s="8" t="str">
        <f t="shared" si="244"/>
        <v/>
      </c>
    </row>
    <row r="3859" spans="1:38" x14ac:dyDescent="0.25">
      <c r="A3859" s="8" t="s">
        <v>741</v>
      </c>
      <c r="B3859" s="8" t="s">
        <v>742</v>
      </c>
      <c r="C3859" s="8">
        <v>30822710</v>
      </c>
      <c r="D3859" s="8">
        <v>5</v>
      </c>
      <c r="E3859" s="11">
        <v>43108</v>
      </c>
      <c r="F3859" s="8" t="s">
        <v>60</v>
      </c>
      <c r="G3859" s="11">
        <v>43108</v>
      </c>
      <c r="H3859" s="8" t="s">
        <v>25</v>
      </c>
      <c r="J3859" s="8" t="s">
        <v>25</v>
      </c>
      <c r="L3859" s="8" t="s">
        <v>3287</v>
      </c>
      <c r="N3859" s="8" t="s">
        <v>58</v>
      </c>
      <c r="O3859" s="8" t="s">
        <v>59</v>
      </c>
      <c r="P3859" s="8" t="s">
        <v>59</v>
      </c>
      <c r="R3859" s="8">
        <v>0</v>
      </c>
      <c r="S3859" s="8">
        <v>0</v>
      </c>
      <c r="T3859" s="8">
        <v>1</v>
      </c>
      <c r="U3859" s="8">
        <v>2</v>
      </c>
      <c r="W3859" s="8">
        <v>4</v>
      </c>
      <c r="AG3859" s="8" t="str">
        <f t="shared" si="241"/>
        <v/>
      </c>
      <c r="AI3859" s="8" t="str">
        <f t="shared" si="242"/>
        <v/>
      </c>
      <c r="AJ3859" s="8" t="str">
        <f t="shared" si="243"/>
        <v/>
      </c>
      <c r="AL3859" s="8" t="str">
        <f t="shared" si="244"/>
        <v/>
      </c>
    </row>
    <row r="3860" spans="1:38" x14ac:dyDescent="0.25">
      <c r="A3860" s="8" t="s">
        <v>1568</v>
      </c>
      <c r="B3860" s="8" t="s">
        <v>1569</v>
      </c>
      <c r="C3860" s="8">
        <v>30815576</v>
      </c>
      <c r="D3860" s="8">
        <v>5</v>
      </c>
      <c r="E3860" s="11">
        <v>43108</v>
      </c>
      <c r="F3860" s="8" t="s">
        <v>58</v>
      </c>
      <c r="G3860" s="11">
        <v>43109</v>
      </c>
      <c r="H3860" s="8" t="s">
        <v>25</v>
      </c>
      <c r="I3860" s="11">
        <v>43109</v>
      </c>
      <c r="J3860" s="8" t="s">
        <v>25</v>
      </c>
      <c r="N3860" s="8" t="s">
        <v>58</v>
      </c>
      <c r="O3860" s="8" t="s">
        <v>59</v>
      </c>
      <c r="P3860" s="8" t="s">
        <v>59</v>
      </c>
      <c r="R3860" s="8">
        <v>0</v>
      </c>
      <c r="S3860" s="8">
        <v>0</v>
      </c>
      <c r="T3860" s="8">
        <v>1</v>
      </c>
      <c r="U3860" s="8">
        <v>2</v>
      </c>
      <c r="X3860" s="8">
        <v>5</v>
      </c>
      <c r="AG3860" s="8" t="str">
        <f t="shared" si="241"/>
        <v/>
      </c>
      <c r="AI3860" s="8" t="str">
        <f t="shared" si="242"/>
        <v/>
      </c>
      <c r="AJ3860" s="8" t="str">
        <f t="shared" si="243"/>
        <v/>
      </c>
      <c r="AL3860" s="8" t="str">
        <f t="shared" si="244"/>
        <v/>
      </c>
    </row>
    <row r="3861" spans="1:38" x14ac:dyDescent="0.25">
      <c r="A3861" s="8" t="s">
        <v>1570</v>
      </c>
      <c r="B3861" s="8" t="s">
        <v>1571</v>
      </c>
      <c r="C3861" s="8">
        <v>30841366</v>
      </c>
      <c r="D3861" s="8">
        <v>5</v>
      </c>
      <c r="E3861" s="11">
        <v>43109</v>
      </c>
      <c r="F3861" s="8" t="s">
        <v>58</v>
      </c>
      <c r="G3861" s="11">
        <v>43109</v>
      </c>
      <c r="H3861" s="8" t="s">
        <v>25</v>
      </c>
      <c r="I3861" s="11">
        <v>43112</v>
      </c>
      <c r="J3861" s="8" t="s">
        <v>25</v>
      </c>
      <c r="N3861" s="8" t="s">
        <v>58</v>
      </c>
      <c r="O3861" s="8" t="s">
        <v>59</v>
      </c>
      <c r="P3861" s="8" t="s">
        <v>59</v>
      </c>
      <c r="R3861" s="8">
        <v>0</v>
      </c>
      <c r="S3861" s="8">
        <v>0</v>
      </c>
      <c r="T3861" s="8">
        <v>1</v>
      </c>
      <c r="U3861" s="8">
        <v>2</v>
      </c>
      <c r="X3861" s="8">
        <v>5</v>
      </c>
      <c r="AG3861" s="8" t="str">
        <f t="shared" si="241"/>
        <v/>
      </c>
      <c r="AI3861" s="8" t="str">
        <f t="shared" si="242"/>
        <v/>
      </c>
      <c r="AJ3861" s="8" t="str">
        <f t="shared" si="243"/>
        <v/>
      </c>
      <c r="AL3861" s="8" t="str">
        <f t="shared" si="244"/>
        <v/>
      </c>
    </row>
    <row r="3862" spans="1:38" x14ac:dyDescent="0.25">
      <c r="A3862" s="8" t="s">
        <v>8137</v>
      </c>
      <c r="B3862" s="8" t="s">
        <v>8138</v>
      </c>
      <c r="C3862" s="8">
        <v>30941357</v>
      </c>
      <c r="D3862" s="8">
        <v>3</v>
      </c>
      <c r="E3862" s="11">
        <v>43115</v>
      </c>
      <c r="F3862" s="8" t="s">
        <v>57</v>
      </c>
      <c r="G3862" s="11">
        <v>43115</v>
      </c>
      <c r="H3862" s="8" t="s">
        <v>25</v>
      </c>
      <c r="J3862" s="8" t="s">
        <v>25</v>
      </c>
      <c r="N3862" s="8" t="s">
        <v>58</v>
      </c>
      <c r="O3862" s="8" t="s">
        <v>59</v>
      </c>
      <c r="P3862" s="8" t="s">
        <v>59</v>
      </c>
      <c r="R3862" s="8">
        <v>0</v>
      </c>
      <c r="S3862" s="8">
        <v>0</v>
      </c>
      <c r="T3862" s="8">
        <v>1</v>
      </c>
      <c r="U3862" s="8">
        <v>2</v>
      </c>
      <c r="AG3862" s="8" t="str">
        <f t="shared" si="241"/>
        <v/>
      </c>
      <c r="AI3862" s="8" t="str">
        <f t="shared" si="242"/>
        <v/>
      </c>
      <c r="AJ3862" s="8" t="str">
        <f t="shared" si="243"/>
        <v/>
      </c>
      <c r="AL3862" s="8" t="str">
        <f t="shared" si="244"/>
        <v/>
      </c>
    </row>
    <row r="3863" spans="1:38" x14ac:dyDescent="0.25">
      <c r="A3863" s="8" t="s">
        <v>4628</v>
      </c>
      <c r="B3863" s="8" t="s">
        <v>4629</v>
      </c>
      <c r="C3863" s="8">
        <v>30889948</v>
      </c>
      <c r="D3863" s="8">
        <v>5</v>
      </c>
      <c r="E3863" s="11">
        <v>43111</v>
      </c>
      <c r="F3863" s="8" t="s">
        <v>57</v>
      </c>
      <c r="G3863" s="11">
        <v>43111</v>
      </c>
      <c r="H3863" s="8" t="s">
        <v>25</v>
      </c>
      <c r="J3863" s="8" t="s">
        <v>25</v>
      </c>
      <c r="N3863" s="8" t="s">
        <v>58</v>
      </c>
      <c r="O3863" s="8" t="s">
        <v>59</v>
      </c>
      <c r="P3863" s="8" t="s">
        <v>59</v>
      </c>
      <c r="R3863" s="8">
        <v>0</v>
      </c>
      <c r="S3863" s="8">
        <v>0</v>
      </c>
      <c r="T3863" s="8">
        <v>1</v>
      </c>
      <c r="U3863" s="8">
        <v>2</v>
      </c>
      <c r="AG3863" s="8" t="str">
        <f t="shared" si="241"/>
        <v/>
      </c>
      <c r="AI3863" s="8" t="str">
        <f t="shared" si="242"/>
        <v/>
      </c>
      <c r="AJ3863" s="8" t="str">
        <f t="shared" si="243"/>
        <v/>
      </c>
      <c r="AL3863" s="8" t="str">
        <f t="shared" si="244"/>
        <v/>
      </c>
    </row>
    <row r="3864" spans="1:38" x14ac:dyDescent="0.25">
      <c r="A3864" s="8" t="s">
        <v>1572</v>
      </c>
      <c r="B3864" s="8" t="s">
        <v>1573</v>
      </c>
      <c r="C3864" s="8">
        <v>30833163</v>
      </c>
      <c r="D3864" s="8">
        <v>5</v>
      </c>
      <c r="E3864" s="11">
        <v>43109</v>
      </c>
      <c r="F3864" s="8" t="s">
        <v>57</v>
      </c>
      <c r="G3864" s="11">
        <v>43109</v>
      </c>
      <c r="H3864" s="8" t="s">
        <v>25</v>
      </c>
      <c r="J3864" s="8" t="s">
        <v>25</v>
      </c>
      <c r="N3864" s="8" t="s">
        <v>58</v>
      </c>
      <c r="O3864" s="8" t="s">
        <v>59</v>
      </c>
      <c r="P3864" s="8" t="s">
        <v>59</v>
      </c>
      <c r="R3864" s="8">
        <v>0</v>
      </c>
      <c r="S3864" s="8">
        <v>0</v>
      </c>
      <c r="T3864" s="8">
        <v>1</v>
      </c>
      <c r="U3864" s="8">
        <v>2</v>
      </c>
      <c r="AG3864" s="8" t="str">
        <f t="shared" si="241"/>
        <v/>
      </c>
      <c r="AI3864" s="8" t="str">
        <f t="shared" si="242"/>
        <v/>
      </c>
      <c r="AJ3864" s="8" t="str">
        <f t="shared" si="243"/>
        <v/>
      </c>
      <c r="AL3864" s="8" t="str">
        <f t="shared" si="244"/>
        <v/>
      </c>
    </row>
    <row r="3865" spans="1:38" x14ac:dyDescent="0.25">
      <c r="A3865" s="8" t="s">
        <v>4630</v>
      </c>
      <c r="B3865" s="8" t="s">
        <v>4631</v>
      </c>
      <c r="C3865" s="8">
        <v>30895385</v>
      </c>
      <c r="D3865" s="8">
        <v>5</v>
      </c>
      <c r="E3865" s="11">
        <v>43111</v>
      </c>
      <c r="F3865" s="8" t="s">
        <v>57</v>
      </c>
      <c r="G3865" s="11">
        <v>43111</v>
      </c>
      <c r="H3865" s="8" t="s">
        <v>25</v>
      </c>
      <c r="J3865" s="8" t="s">
        <v>25</v>
      </c>
      <c r="N3865" s="8" t="s">
        <v>58</v>
      </c>
      <c r="O3865" s="8" t="s">
        <v>59</v>
      </c>
      <c r="P3865" s="8" t="s">
        <v>59</v>
      </c>
      <c r="R3865" s="8">
        <v>0</v>
      </c>
      <c r="S3865" s="8">
        <v>0</v>
      </c>
      <c r="T3865" s="8">
        <v>1</v>
      </c>
      <c r="U3865" s="8">
        <v>2</v>
      </c>
      <c r="AG3865" s="8" t="str">
        <f t="shared" si="241"/>
        <v/>
      </c>
      <c r="AI3865" s="8" t="str">
        <f t="shared" si="242"/>
        <v/>
      </c>
      <c r="AJ3865" s="8" t="str">
        <f t="shared" si="243"/>
        <v/>
      </c>
      <c r="AL3865" s="8" t="str">
        <f t="shared" si="244"/>
        <v/>
      </c>
    </row>
    <row r="3866" spans="1:38" x14ac:dyDescent="0.25">
      <c r="A3866" s="8" t="s">
        <v>6426</v>
      </c>
      <c r="B3866" s="8" t="s">
        <v>6427</v>
      </c>
      <c r="C3866" s="8">
        <v>30916252</v>
      </c>
      <c r="D3866" s="8">
        <v>5</v>
      </c>
      <c r="E3866" s="11">
        <v>43112</v>
      </c>
      <c r="F3866" s="8" t="s">
        <v>57</v>
      </c>
      <c r="G3866" s="11">
        <v>43114</v>
      </c>
      <c r="H3866" s="8" t="s">
        <v>25</v>
      </c>
      <c r="J3866" s="8" t="s">
        <v>25</v>
      </c>
      <c r="N3866" s="8" t="s">
        <v>58</v>
      </c>
      <c r="O3866" s="8" t="s">
        <v>59</v>
      </c>
      <c r="P3866" s="8" t="s">
        <v>59</v>
      </c>
      <c r="R3866" s="8">
        <v>0</v>
      </c>
      <c r="S3866" s="8">
        <v>0</v>
      </c>
      <c r="T3866" s="8">
        <v>1</v>
      </c>
      <c r="U3866" s="8">
        <v>2</v>
      </c>
      <c r="AG3866" s="8" t="str">
        <f t="shared" si="241"/>
        <v/>
      </c>
      <c r="AI3866" s="8" t="str">
        <f t="shared" si="242"/>
        <v/>
      </c>
      <c r="AJ3866" s="8" t="str">
        <f t="shared" si="243"/>
        <v/>
      </c>
      <c r="AL3866" s="8" t="str">
        <f t="shared" si="244"/>
        <v/>
      </c>
    </row>
    <row r="3867" spans="1:38" x14ac:dyDescent="0.25">
      <c r="A3867" s="8" t="s">
        <v>4632</v>
      </c>
      <c r="B3867" s="8" t="s">
        <v>4633</v>
      </c>
      <c r="C3867" s="8">
        <v>30894774</v>
      </c>
      <c r="D3867" s="8">
        <v>5</v>
      </c>
      <c r="E3867" s="11">
        <v>43111</v>
      </c>
      <c r="F3867" s="8" t="s">
        <v>57</v>
      </c>
      <c r="G3867" s="11">
        <v>43111</v>
      </c>
      <c r="H3867" s="8" t="s">
        <v>25</v>
      </c>
      <c r="J3867" s="8" t="s">
        <v>25</v>
      </c>
      <c r="N3867" s="8" t="s">
        <v>58</v>
      </c>
      <c r="O3867" s="8" t="s">
        <v>59</v>
      </c>
      <c r="P3867" s="8" t="s">
        <v>59</v>
      </c>
      <c r="R3867" s="8">
        <v>0</v>
      </c>
      <c r="S3867" s="8">
        <v>0</v>
      </c>
      <c r="T3867" s="8">
        <v>1</v>
      </c>
      <c r="U3867" s="8">
        <v>2</v>
      </c>
      <c r="AG3867" s="8" t="str">
        <f t="shared" si="241"/>
        <v/>
      </c>
      <c r="AI3867" s="8" t="str">
        <f t="shared" si="242"/>
        <v/>
      </c>
      <c r="AJ3867" s="8" t="str">
        <f t="shared" si="243"/>
        <v/>
      </c>
      <c r="AL3867" s="8" t="str">
        <f t="shared" si="244"/>
        <v/>
      </c>
    </row>
    <row r="3868" spans="1:38" x14ac:dyDescent="0.25">
      <c r="A3868" s="8" t="s">
        <v>3174</v>
      </c>
      <c r="B3868" s="8" t="s">
        <v>3175</v>
      </c>
      <c r="C3868" s="8">
        <v>30843312</v>
      </c>
      <c r="D3868" s="8">
        <v>2</v>
      </c>
      <c r="E3868" s="11">
        <v>43109</v>
      </c>
      <c r="F3868" s="8" t="s">
        <v>57</v>
      </c>
      <c r="G3868" s="11">
        <v>43110</v>
      </c>
      <c r="H3868" s="8" t="s">
        <v>25</v>
      </c>
      <c r="J3868" s="8" t="s">
        <v>25</v>
      </c>
      <c r="N3868" s="8" t="s">
        <v>58</v>
      </c>
      <c r="O3868" s="8" t="s">
        <v>59</v>
      </c>
      <c r="P3868" s="8" t="s">
        <v>59</v>
      </c>
      <c r="R3868" s="8">
        <v>0</v>
      </c>
      <c r="S3868" s="8">
        <v>0</v>
      </c>
      <c r="T3868" s="8">
        <v>1</v>
      </c>
      <c r="U3868" s="8">
        <v>2</v>
      </c>
      <c r="AG3868" s="8" t="str">
        <f t="shared" si="241"/>
        <v/>
      </c>
      <c r="AI3868" s="8" t="str">
        <f t="shared" si="242"/>
        <v/>
      </c>
      <c r="AJ3868" s="8" t="str">
        <f t="shared" si="243"/>
        <v/>
      </c>
      <c r="AL3868" s="8" t="str">
        <f t="shared" si="244"/>
        <v/>
      </c>
    </row>
    <row r="3869" spans="1:38" x14ac:dyDescent="0.25">
      <c r="A3869" s="8" t="s">
        <v>3176</v>
      </c>
      <c r="B3869" s="8" t="s">
        <v>3177</v>
      </c>
      <c r="C3869" s="8">
        <v>30864633</v>
      </c>
      <c r="D3869" s="8">
        <v>5</v>
      </c>
      <c r="E3869" s="11">
        <v>43110</v>
      </c>
      <c r="F3869" s="8" t="s">
        <v>57</v>
      </c>
      <c r="G3869" s="11">
        <v>43110</v>
      </c>
      <c r="H3869" s="8" t="s">
        <v>25</v>
      </c>
      <c r="J3869" s="8" t="s">
        <v>25</v>
      </c>
      <c r="N3869" s="8" t="s">
        <v>58</v>
      </c>
      <c r="O3869" s="8" t="s">
        <v>59</v>
      </c>
      <c r="P3869" s="8" t="s">
        <v>59</v>
      </c>
      <c r="R3869" s="8">
        <v>0</v>
      </c>
      <c r="S3869" s="8">
        <v>0</v>
      </c>
      <c r="T3869" s="8">
        <v>1</v>
      </c>
      <c r="U3869" s="8">
        <v>2</v>
      </c>
      <c r="AG3869" s="8" t="str">
        <f t="shared" si="241"/>
        <v/>
      </c>
      <c r="AI3869" s="8" t="str">
        <f t="shared" si="242"/>
        <v/>
      </c>
      <c r="AJ3869" s="8" t="str">
        <f t="shared" si="243"/>
        <v/>
      </c>
      <c r="AL3869" s="8" t="str">
        <f t="shared" si="244"/>
        <v/>
      </c>
    </row>
    <row r="3870" spans="1:38" x14ac:dyDescent="0.25">
      <c r="A3870" s="8" t="s">
        <v>6428</v>
      </c>
      <c r="B3870" s="8" t="s">
        <v>6429</v>
      </c>
      <c r="C3870" s="8">
        <v>30906594</v>
      </c>
      <c r="D3870" s="8">
        <v>5</v>
      </c>
      <c r="E3870" s="11">
        <v>43112</v>
      </c>
      <c r="F3870" s="8" t="s">
        <v>57</v>
      </c>
      <c r="G3870" s="11">
        <v>43114</v>
      </c>
      <c r="H3870" s="8" t="s">
        <v>25</v>
      </c>
      <c r="J3870" s="8" t="s">
        <v>25</v>
      </c>
      <c r="N3870" s="8" t="s">
        <v>58</v>
      </c>
      <c r="O3870" s="8" t="s">
        <v>59</v>
      </c>
      <c r="P3870" s="8" t="s">
        <v>59</v>
      </c>
      <c r="R3870" s="8">
        <v>0</v>
      </c>
      <c r="S3870" s="8">
        <v>0</v>
      </c>
      <c r="T3870" s="8">
        <v>1</v>
      </c>
      <c r="U3870" s="8">
        <v>2</v>
      </c>
      <c r="AG3870" s="8" t="str">
        <f t="shared" si="241"/>
        <v/>
      </c>
      <c r="AI3870" s="8" t="str">
        <f t="shared" si="242"/>
        <v/>
      </c>
      <c r="AJ3870" s="8" t="str">
        <f t="shared" si="243"/>
        <v/>
      </c>
      <c r="AL3870" s="8" t="str">
        <f t="shared" si="244"/>
        <v/>
      </c>
    </row>
    <row r="3871" spans="1:38" x14ac:dyDescent="0.25">
      <c r="A3871" s="8" t="s">
        <v>8139</v>
      </c>
      <c r="B3871" s="8" t="s">
        <v>8140</v>
      </c>
      <c r="C3871" s="8">
        <v>30931421</v>
      </c>
      <c r="D3871" s="8">
        <v>5</v>
      </c>
      <c r="E3871" s="11">
        <v>43115</v>
      </c>
      <c r="F3871" s="8" t="s">
        <v>57</v>
      </c>
      <c r="G3871" s="11">
        <v>43115</v>
      </c>
      <c r="H3871" s="8" t="s">
        <v>25</v>
      </c>
      <c r="J3871" s="8" t="s">
        <v>25</v>
      </c>
      <c r="N3871" s="8" t="s">
        <v>58</v>
      </c>
      <c r="O3871" s="8" t="s">
        <v>59</v>
      </c>
      <c r="P3871" s="8" t="s">
        <v>59</v>
      </c>
      <c r="R3871" s="8">
        <v>0</v>
      </c>
      <c r="S3871" s="8">
        <v>0</v>
      </c>
      <c r="T3871" s="8">
        <v>1</v>
      </c>
      <c r="U3871" s="8">
        <v>2</v>
      </c>
      <c r="AG3871" s="8" t="str">
        <f t="shared" si="241"/>
        <v/>
      </c>
      <c r="AI3871" s="8" t="str">
        <f t="shared" si="242"/>
        <v/>
      </c>
      <c r="AJ3871" s="8" t="str">
        <f t="shared" si="243"/>
        <v/>
      </c>
      <c r="AL3871" s="8" t="str">
        <f t="shared" si="244"/>
        <v/>
      </c>
    </row>
    <row r="3872" spans="1:38" x14ac:dyDescent="0.25">
      <c r="A3872" s="8" t="s">
        <v>1574</v>
      </c>
      <c r="B3872" s="8" t="s">
        <v>1575</v>
      </c>
      <c r="C3872" s="8">
        <v>30809071</v>
      </c>
      <c r="D3872" s="8">
        <v>5</v>
      </c>
      <c r="E3872" s="11">
        <v>43108</v>
      </c>
      <c r="F3872" s="8" t="s">
        <v>58</v>
      </c>
      <c r="G3872" s="11">
        <v>43109</v>
      </c>
      <c r="H3872" s="8" t="s">
        <v>25</v>
      </c>
      <c r="I3872" s="11">
        <v>43115</v>
      </c>
      <c r="J3872" s="8" t="s">
        <v>145</v>
      </c>
      <c r="N3872" s="8" t="s">
        <v>58</v>
      </c>
      <c r="O3872" s="8" t="s">
        <v>59</v>
      </c>
      <c r="P3872" s="8" t="s">
        <v>59</v>
      </c>
      <c r="R3872" s="8">
        <v>0</v>
      </c>
      <c r="S3872" s="8">
        <v>0</v>
      </c>
      <c r="T3872" s="8">
        <v>1</v>
      </c>
      <c r="U3872" s="8">
        <v>2</v>
      </c>
      <c r="X3872" s="8">
        <v>5</v>
      </c>
      <c r="AG3872" s="8" t="str">
        <f t="shared" si="241"/>
        <v/>
      </c>
      <c r="AI3872" s="8" t="str">
        <f t="shared" si="242"/>
        <v/>
      </c>
      <c r="AJ3872" s="8" t="str">
        <f t="shared" si="243"/>
        <v/>
      </c>
      <c r="AL3872" s="8" t="str">
        <f t="shared" si="244"/>
        <v/>
      </c>
    </row>
    <row r="3873" spans="1:38" x14ac:dyDescent="0.25">
      <c r="A3873" s="8" t="s">
        <v>8141</v>
      </c>
      <c r="B3873" s="8" t="s">
        <v>8142</v>
      </c>
      <c r="C3873" s="8">
        <v>30932693</v>
      </c>
      <c r="D3873" s="8">
        <v>5</v>
      </c>
      <c r="E3873" s="11">
        <v>43115</v>
      </c>
      <c r="F3873" s="8" t="s">
        <v>57</v>
      </c>
      <c r="G3873" s="11">
        <v>43115</v>
      </c>
      <c r="H3873" s="8" t="s">
        <v>25</v>
      </c>
      <c r="J3873" s="8" t="s">
        <v>25</v>
      </c>
      <c r="N3873" s="8" t="s">
        <v>58</v>
      </c>
      <c r="O3873" s="8" t="s">
        <v>59</v>
      </c>
      <c r="P3873" s="8" t="s">
        <v>59</v>
      </c>
      <c r="R3873" s="8">
        <v>0</v>
      </c>
      <c r="S3873" s="8">
        <v>0</v>
      </c>
      <c r="T3873" s="8">
        <v>1</v>
      </c>
      <c r="U3873" s="8">
        <v>2</v>
      </c>
      <c r="AG3873" s="8" t="str">
        <f t="shared" si="241"/>
        <v/>
      </c>
      <c r="AI3873" s="8" t="str">
        <f t="shared" si="242"/>
        <v/>
      </c>
      <c r="AJ3873" s="8" t="str">
        <f t="shared" si="243"/>
        <v/>
      </c>
      <c r="AL3873" s="8" t="str">
        <f t="shared" si="244"/>
        <v/>
      </c>
    </row>
    <row r="3874" spans="1:38" x14ac:dyDescent="0.25">
      <c r="A3874" s="8" t="s">
        <v>1576</v>
      </c>
      <c r="B3874" s="8" t="s">
        <v>1577</v>
      </c>
      <c r="C3874" s="8">
        <v>30825534</v>
      </c>
      <c r="D3874" s="8">
        <v>3</v>
      </c>
      <c r="E3874" s="11">
        <v>43108</v>
      </c>
      <c r="F3874" s="8" t="s">
        <v>57</v>
      </c>
      <c r="G3874" s="11">
        <v>43109</v>
      </c>
      <c r="H3874" s="8" t="s">
        <v>25</v>
      </c>
      <c r="J3874" s="8" t="s">
        <v>25</v>
      </c>
      <c r="N3874" s="8" t="s">
        <v>58</v>
      </c>
      <c r="O3874" s="8" t="s">
        <v>59</v>
      </c>
      <c r="P3874" s="8" t="s">
        <v>59</v>
      </c>
      <c r="R3874" s="8">
        <v>0</v>
      </c>
      <c r="S3874" s="8">
        <v>0</v>
      </c>
      <c r="T3874" s="8">
        <v>1</v>
      </c>
      <c r="U3874" s="8">
        <v>2</v>
      </c>
      <c r="AG3874" s="8" t="str">
        <f t="shared" si="241"/>
        <v/>
      </c>
      <c r="AI3874" s="8" t="str">
        <f t="shared" si="242"/>
        <v/>
      </c>
      <c r="AJ3874" s="8" t="str">
        <f t="shared" si="243"/>
        <v/>
      </c>
      <c r="AL3874" s="8" t="str">
        <f t="shared" si="244"/>
        <v/>
      </c>
    </row>
    <row r="3875" spans="1:38" x14ac:dyDescent="0.25">
      <c r="A3875" s="8" t="s">
        <v>8143</v>
      </c>
      <c r="B3875" s="8" t="s">
        <v>8144</v>
      </c>
      <c r="C3875" s="8">
        <v>30924663</v>
      </c>
      <c r="D3875" s="8">
        <v>5</v>
      </c>
      <c r="E3875" s="11">
        <v>43112</v>
      </c>
      <c r="F3875" s="8" t="s">
        <v>57</v>
      </c>
      <c r="G3875" s="11">
        <v>43115</v>
      </c>
      <c r="H3875" s="8" t="s">
        <v>25</v>
      </c>
      <c r="J3875" s="8" t="s">
        <v>25</v>
      </c>
      <c r="N3875" s="8" t="s">
        <v>58</v>
      </c>
      <c r="O3875" s="8" t="s">
        <v>59</v>
      </c>
      <c r="P3875" s="8" t="s">
        <v>59</v>
      </c>
      <c r="R3875" s="8">
        <v>0</v>
      </c>
      <c r="S3875" s="8">
        <v>0</v>
      </c>
      <c r="T3875" s="8">
        <v>1</v>
      </c>
      <c r="U3875" s="8">
        <v>2</v>
      </c>
      <c r="AG3875" s="8" t="str">
        <f t="shared" si="241"/>
        <v/>
      </c>
      <c r="AI3875" s="8" t="str">
        <f t="shared" si="242"/>
        <v/>
      </c>
      <c r="AJ3875" s="8" t="str">
        <f t="shared" si="243"/>
        <v/>
      </c>
      <c r="AL3875" s="8" t="str">
        <f t="shared" si="244"/>
        <v/>
      </c>
    </row>
    <row r="3876" spans="1:38" x14ac:dyDescent="0.25">
      <c r="A3876" s="8" t="s">
        <v>6430</v>
      </c>
      <c r="B3876" s="8" t="s">
        <v>6431</v>
      </c>
      <c r="C3876" s="8">
        <v>30915362</v>
      </c>
      <c r="D3876" s="8">
        <v>5</v>
      </c>
      <c r="E3876" s="11">
        <v>43112</v>
      </c>
      <c r="F3876" s="8" t="s">
        <v>57</v>
      </c>
      <c r="G3876" s="11">
        <v>43114</v>
      </c>
      <c r="H3876" s="8" t="s">
        <v>25</v>
      </c>
      <c r="J3876" s="8" t="s">
        <v>25</v>
      </c>
      <c r="N3876" s="8" t="s">
        <v>58</v>
      </c>
      <c r="O3876" s="8" t="s">
        <v>59</v>
      </c>
      <c r="P3876" s="8" t="s">
        <v>59</v>
      </c>
      <c r="R3876" s="8">
        <v>0</v>
      </c>
      <c r="S3876" s="8">
        <v>0</v>
      </c>
      <c r="T3876" s="8">
        <v>1</v>
      </c>
      <c r="U3876" s="8">
        <v>2</v>
      </c>
      <c r="AG3876" s="8" t="str">
        <f t="shared" si="241"/>
        <v/>
      </c>
      <c r="AI3876" s="8" t="str">
        <f t="shared" si="242"/>
        <v/>
      </c>
      <c r="AJ3876" s="8" t="str">
        <f t="shared" si="243"/>
        <v/>
      </c>
      <c r="AL3876" s="8" t="str">
        <f t="shared" si="244"/>
        <v/>
      </c>
    </row>
    <row r="3877" spans="1:38" x14ac:dyDescent="0.25">
      <c r="A3877" s="8" t="s">
        <v>6432</v>
      </c>
      <c r="B3877" s="8" t="s">
        <v>6433</v>
      </c>
      <c r="C3877" s="8">
        <v>30917358</v>
      </c>
      <c r="D3877" s="8">
        <v>5</v>
      </c>
      <c r="E3877" s="11">
        <v>43112</v>
      </c>
      <c r="F3877" s="8" t="s">
        <v>57</v>
      </c>
      <c r="G3877" s="11">
        <v>43114</v>
      </c>
      <c r="H3877" s="8" t="s">
        <v>25</v>
      </c>
      <c r="J3877" s="8" t="s">
        <v>25</v>
      </c>
      <c r="N3877" s="8" t="s">
        <v>58</v>
      </c>
      <c r="O3877" s="8" t="s">
        <v>59</v>
      </c>
      <c r="P3877" s="8" t="s">
        <v>59</v>
      </c>
      <c r="R3877" s="8">
        <v>0</v>
      </c>
      <c r="S3877" s="8">
        <v>0</v>
      </c>
      <c r="T3877" s="8">
        <v>1</v>
      </c>
      <c r="U3877" s="8">
        <v>2</v>
      </c>
      <c r="AG3877" s="8" t="str">
        <f t="shared" si="241"/>
        <v/>
      </c>
      <c r="AI3877" s="8" t="str">
        <f t="shared" si="242"/>
        <v/>
      </c>
      <c r="AJ3877" s="8" t="str">
        <f t="shared" si="243"/>
        <v/>
      </c>
      <c r="AL3877" s="8" t="str">
        <f t="shared" si="244"/>
        <v/>
      </c>
    </row>
    <row r="3878" spans="1:38" x14ac:dyDescent="0.25">
      <c r="A3878" s="8" t="s">
        <v>3178</v>
      </c>
      <c r="B3878" s="8" t="s">
        <v>3179</v>
      </c>
      <c r="C3878" s="8">
        <v>30870099</v>
      </c>
      <c r="D3878" s="8">
        <v>5</v>
      </c>
      <c r="E3878" s="11">
        <v>43110</v>
      </c>
      <c r="F3878" s="8" t="s">
        <v>58</v>
      </c>
      <c r="G3878" s="11">
        <v>43110</v>
      </c>
      <c r="H3878" s="8" t="s">
        <v>25</v>
      </c>
      <c r="I3878" s="11">
        <v>43112</v>
      </c>
      <c r="J3878" s="8" t="s">
        <v>25</v>
      </c>
      <c r="N3878" s="8" t="s">
        <v>58</v>
      </c>
      <c r="O3878" s="8" t="s">
        <v>59</v>
      </c>
      <c r="P3878" s="8" t="s">
        <v>59</v>
      </c>
      <c r="R3878" s="8">
        <v>0</v>
      </c>
      <c r="S3878" s="8">
        <v>0</v>
      </c>
      <c r="T3878" s="8">
        <v>1</v>
      </c>
      <c r="U3878" s="8">
        <v>2</v>
      </c>
      <c r="X3878" s="8">
        <v>5</v>
      </c>
      <c r="AG3878" s="8" t="str">
        <f t="shared" si="241"/>
        <v/>
      </c>
      <c r="AI3878" s="8" t="str">
        <f t="shared" si="242"/>
        <v/>
      </c>
      <c r="AJ3878" s="8" t="str">
        <f t="shared" si="243"/>
        <v/>
      </c>
      <c r="AL3878" s="8" t="str">
        <f t="shared" si="244"/>
        <v/>
      </c>
    </row>
    <row r="3879" spans="1:38" x14ac:dyDescent="0.25">
      <c r="A3879" s="8" t="s">
        <v>1578</v>
      </c>
      <c r="B3879" s="8" t="s">
        <v>1579</v>
      </c>
      <c r="C3879" s="8">
        <v>30822367</v>
      </c>
      <c r="D3879" s="8">
        <v>5</v>
      </c>
      <c r="E3879" s="11">
        <v>43108</v>
      </c>
      <c r="F3879" s="8" t="s">
        <v>60</v>
      </c>
      <c r="G3879" s="11">
        <v>43109</v>
      </c>
      <c r="H3879" s="8" t="s">
        <v>25</v>
      </c>
      <c r="J3879" s="8" t="s">
        <v>25</v>
      </c>
      <c r="L3879" s="8" t="s">
        <v>3287</v>
      </c>
      <c r="N3879" s="8" t="s">
        <v>58</v>
      </c>
      <c r="O3879" s="8" t="s">
        <v>59</v>
      </c>
      <c r="P3879" s="8" t="s">
        <v>59</v>
      </c>
      <c r="R3879" s="8">
        <v>0</v>
      </c>
      <c r="S3879" s="8">
        <v>0</v>
      </c>
      <c r="T3879" s="8">
        <v>1</v>
      </c>
      <c r="U3879" s="8">
        <v>2</v>
      </c>
      <c r="W3879" s="8">
        <v>4</v>
      </c>
      <c r="AG3879" s="8" t="str">
        <f t="shared" si="241"/>
        <v/>
      </c>
      <c r="AI3879" s="8" t="str">
        <f t="shared" si="242"/>
        <v/>
      </c>
      <c r="AJ3879" s="8" t="str">
        <f t="shared" si="243"/>
        <v/>
      </c>
      <c r="AL3879" s="8" t="str">
        <f t="shared" si="244"/>
        <v/>
      </c>
    </row>
    <row r="3880" spans="1:38" x14ac:dyDescent="0.25">
      <c r="A3880" s="8" t="s">
        <v>6434</v>
      </c>
      <c r="B3880" s="8" t="s">
        <v>1579</v>
      </c>
      <c r="C3880" s="8">
        <v>30916122</v>
      </c>
      <c r="D3880" s="8">
        <v>5</v>
      </c>
      <c r="E3880" s="11">
        <v>43112</v>
      </c>
      <c r="F3880" s="8" t="s">
        <v>57</v>
      </c>
      <c r="G3880" s="11">
        <v>43112</v>
      </c>
      <c r="H3880" s="8" t="s">
        <v>25</v>
      </c>
      <c r="J3880" s="8" t="s">
        <v>25</v>
      </c>
      <c r="N3880" s="8" t="s">
        <v>58</v>
      </c>
      <c r="O3880" s="8" t="s">
        <v>59</v>
      </c>
      <c r="P3880" s="8" t="s">
        <v>59</v>
      </c>
      <c r="R3880" s="8">
        <v>0</v>
      </c>
      <c r="S3880" s="8">
        <v>0</v>
      </c>
      <c r="T3880" s="8">
        <v>1</v>
      </c>
      <c r="U3880" s="8">
        <v>2</v>
      </c>
      <c r="AG3880" s="8" t="str">
        <f t="shared" si="241"/>
        <v/>
      </c>
      <c r="AI3880" s="8" t="str">
        <f t="shared" si="242"/>
        <v/>
      </c>
      <c r="AJ3880" s="8" t="str">
        <f t="shared" si="243"/>
        <v/>
      </c>
      <c r="AL3880" s="8" t="str">
        <f t="shared" si="244"/>
        <v/>
      </c>
    </row>
    <row r="3881" spans="1:38" x14ac:dyDescent="0.25">
      <c r="A3881" s="8" t="s">
        <v>1580</v>
      </c>
      <c r="B3881" s="8" t="s">
        <v>1581</v>
      </c>
      <c r="C3881" s="8">
        <v>30822741</v>
      </c>
      <c r="D3881" s="8">
        <v>5</v>
      </c>
      <c r="E3881" s="11">
        <v>43108</v>
      </c>
      <c r="F3881" s="8" t="s">
        <v>58</v>
      </c>
      <c r="G3881" s="11">
        <v>43109</v>
      </c>
      <c r="H3881" s="8" t="s">
        <v>25</v>
      </c>
      <c r="I3881" s="11">
        <v>43111</v>
      </c>
      <c r="J3881" s="8" t="s">
        <v>25</v>
      </c>
      <c r="N3881" s="8" t="s">
        <v>58</v>
      </c>
      <c r="O3881" s="8" t="s">
        <v>59</v>
      </c>
      <c r="P3881" s="8" t="s">
        <v>59</v>
      </c>
      <c r="R3881" s="8">
        <v>0</v>
      </c>
      <c r="S3881" s="8">
        <v>0</v>
      </c>
      <c r="T3881" s="8">
        <v>1</v>
      </c>
      <c r="U3881" s="8">
        <v>2</v>
      </c>
      <c r="X3881" s="8">
        <v>5</v>
      </c>
      <c r="AG3881" s="8" t="str">
        <f t="shared" si="241"/>
        <v/>
      </c>
      <c r="AI3881" s="8" t="str">
        <f t="shared" si="242"/>
        <v/>
      </c>
      <c r="AJ3881" s="8" t="str">
        <f t="shared" si="243"/>
        <v/>
      </c>
      <c r="AL3881" s="8" t="str">
        <f t="shared" si="244"/>
        <v/>
      </c>
    </row>
    <row r="3882" spans="1:38" x14ac:dyDescent="0.25">
      <c r="A3882" s="8" t="s">
        <v>3180</v>
      </c>
      <c r="B3882" s="8" t="s">
        <v>3181</v>
      </c>
      <c r="C3882" s="8">
        <v>30840528</v>
      </c>
      <c r="D3882" s="8">
        <v>4</v>
      </c>
      <c r="E3882" s="11">
        <v>43109</v>
      </c>
      <c r="F3882" s="8" t="s">
        <v>58</v>
      </c>
      <c r="G3882" s="11">
        <v>43110</v>
      </c>
      <c r="H3882" s="8" t="s">
        <v>25</v>
      </c>
      <c r="I3882" s="11">
        <v>43110</v>
      </c>
      <c r="J3882" s="8" t="s">
        <v>25</v>
      </c>
      <c r="N3882" s="8" t="s">
        <v>58</v>
      </c>
      <c r="O3882" s="8" t="s">
        <v>59</v>
      </c>
      <c r="P3882" s="8" t="s">
        <v>59</v>
      </c>
      <c r="R3882" s="8">
        <v>0</v>
      </c>
      <c r="S3882" s="8">
        <v>0</v>
      </c>
      <c r="T3882" s="8">
        <v>1</v>
      </c>
      <c r="U3882" s="8">
        <v>2</v>
      </c>
      <c r="X3882" s="8">
        <v>5</v>
      </c>
      <c r="AG3882" s="8" t="str">
        <f t="shared" si="241"/>
        <v/>
      </c>
      <c r="AI3882" s="8" t="str">
        <f t="shared" si="242"/>
        <v/>
      </c>
      <c r="AJ3882" s="8" t="str">
        <f t="shared" si="243"/>
        <v/>
      </c>
      <c r="AL3882" s="8" t="str">
        <f t="shared" si="244"/>
        <v/>
      </c>
    </row>
    <row r="3883" spans="1:38" x14ac:dyDescent="0.25">
      <c r="A3883" s="8" t="s">
        <v>1582</v>
      </c>
      <c r="B3883" s="8" t="s">
        <v>1583</v>
      </c>
      <c r="C3883" s="8">
        <v>30809017</v>
      </c>
      <c r="D3883" s="8">
        <v>5</v>
      </c>
      <c r="E3883" s="11">
        <v>43108</v>
      </c>
      <c r="F3883" s="8" t="s">
        <v>57</v>
      </c>
      <c r="G3883" s="11">
        <v>43109</v>
      </c>
      <c r="H3883" s="8" t="s">
        <v>25</v>
      </c>
      <c r="J3883" s="8" t="s">
        <v>25</v>
      </c>
      <c r="N3883" s="8" t="s">
        <v>58</v>
      </c>
      <c r="O3883" s="8" t="s">
        <v>59</v>
      </c>
      <c r="P3883" s="8" t="s">
        <v>59</v>
      </c>
      <c r="R3883" s="8">
        <v>0</v>
      </c>
      <c r="S3883" s="8">
        <v>0</v>
      </c>
      <c r="T3883" s="8">
        <v>1</v>
      </c>
      <c r="U3883" s="8">
        <v>2</v>
      </c>
      <c r="AG3883" s="8" t="str">
        <f t="shared" si="241"/>
        <v/>
      </c>
      <c r="AI3883" s="8" t="str">
        <f t="shared" si="242"/>
        <v/>
      </c>
      <c r="AJ3883" s="8" t="str">
        <f t="shared" si="243"/>
        <v/>
      </c>
      <c r="AL3883" s="8" t="str">
        <f t="shared" si="244"/>
        <v/>
      </c>
    </row>
    <row r="3884" spans="1:38" x14ac:dyDescent="0.25">
      <c r="A3884" s="8" t="s">
        <v>4634</v>
      </c>
      <c r="B3884" s="8" t="s">
        <v>4635</v>
      </c>
      <c r="C3884" s="8">
        <v>30882131</v>
      </c>
      <c r="D3884" s="8">
        <v>5</v>
      </c>
      <c r="E3884" s="11">
        <v>43111</v>
      </c>
      <c r="F3884" s="8" t="s">
        <v>58</v>
      </c>
      <c r="G3884" s="11">
        <v>43111</v>
      </c>
      <c r="H3884" s="8" t="s">
        <v>25</v>
      </c>
      <c r="I3884" s="11">
        <v>43112</v>
      </c>
      <c r="J3884" s="8" t="s">
        <v>25</v>
      </c>
      <c r="N3884" s="8" t="s">
        <v>58</v>
      </c>
      <c r="O3884" s="8" t="s">
        <v>59</v>
      </c>
      <c r="P3884" s="8" t="s">
        <v>59</v>
      </c>
      <c r="R3884" s="8">
        <v>0</v>
      </c>
      <c r="S3884" s="8">
        <v>0</v>
      </c>
      <c r="T3884" s="8">
        <v>1</v>
      </c>
      <c r="U3884" s="8">
        <v>2</v>
      </c>
      <c r="X3884" s="8">
        <v>5</v>
      </c>
      <c r="AG3884" s="8" t="str">
        <f t="shared" si="241"/>
        <v/>
      </c>
      <c r="AI3884" s="8" t="str">
        <f t="shared" si="242"/>
        <v/>
      </c>
      <c r="AJ3884" s="8" t="str">
        <f t="shared" si="243"/>
        <v/>
      </c>
      <c r="AL3884" s="8" t="str">
        <f t="shared" si="244"/>
        <v/>
      </c>
    </row>
    <row r="3885" spans="1:38" x14ac:dyDescent="0.25">
      <c r="A3885" s="8" t="s">
        <v>1584</v>
      </c>
      <c r="B3885" s="8" t="s">
        <v>1585</v>
      </c>
      <c r="C3885" s="8">
        <v>30841513</v>
      </c>
      <c r="D3885" s="8">
        <v>5</v>
      </c>
      <c r="E3885" s="11">
        <v>43109</v>
      </c>
      <c r="F3885" s="8" t="s">
        <v>58</v>
      </c>
      <c r="G3885" s="11">
        <v>43109</v>
      </c>
      <c r="H3885" s="8" t="s">
        <v>25</v>
      </c>
      <c r="I3885" s="11">
        <v>43111</v>
      </c>
      <c r="J3885" s="8" t="s">
        <v>25</v>
      </c>
      <c r="N3885" s="8" t="s">
        <v>58</v>
      </c>
      <c r="O3885" s="8" t="s">
        <v>59</v>
      </c>
      <c r="P3885" s="8" t="s">
        <v>59</v>
      </c>
      <c r="R3885" s="8">
        <v>0</v>
      </c>
      <c r="S3885" s="8">
        <v>0</v>
      </c>
      <c r="T3885" s="8">
        <v>1</v>
      </c>
      <c r="U3885" s="8">
        <v>2</v>
      </c>
      <c r="X3885" s="8">
        <v>5</v>
      </c>
      <c r="AG3885" s="8" t="str">
        <f t="shared" si="241"/>
        <v/>
      </c>
      <c r="AI3885" s="8" t="str">
        <f t="shared" si="242"/>
        <v/>
      </c>
      <c r="AJ3885" s="8" t="str">
        <f t="shared" si="243"/>
        <v/>
      </c>
      <c r="AL3885" s="8" t="str">
        <f t="shared" si="244"/>
        <v/>
      </c>
    </row>
    <row r="3886" spans="1:38" x14ac:dyDescent="0.25">
      <c r="A3886" s="8" t="s">
        <v>4636</v>
      </c>
      <c r="B3886" s="8" t="s">
        <v>4637</v>
      </c>
      <c r="C3886" s="8">
        <v>30887760</v>
      </c>
      <c r="D3886" s="8">
        <v>5</v>
      </c>
      <c r="E3886" s="11">
        <v>43111</v>
      </c>
      <c r="F3886" s="8" t="s">
        <v>57</v>
      </c>
      <c r="G3886" s="11">
        <v>43111</v>
      </c>
      <c r="H3886" s="8" t="s">
        <v>25</v>
      </c>
      <c r="J3886" s="8" t="s">
        <v>25</v>
      </c>
      <c r="N3886" s="8" t="s">
        <v>58</v>
      </c>
      <c r="O3886" s="8" t="s">
        <v>59</v>
      </c>
      <c r="P3886" s="8" t="s">
        <v>59</v>
      </c>
      <c r="R3886" s="8">
        <v>0</v>
      </c>
      <c r="S3886" s="8">
        <v>0</v>
      </c>
      <c r="T3886" s="8">
        <v>1</v>
      </c>
      <c r="U3886" s="8">
        <v>2</v>
      </c>
      <c r="AG3886" s="8" t="str">
        <f t="shared" si="241"/>
        <v/>
      </c>
      <c r="AI3886" s="8" t="str">
        <f t="shared" si="242"/>
        <v/>
      </c>
      <c r="AJ3886" s="8" t="str">
        <f t="shared" si="243"/>
        <v/>
      </c>
      <c r="AL3886" s="8" t="str">
        <f t="shared" si="244"/>
        <v/>
      </c>
    </row>
    <row r="3887" spans="1:38" x14ac:dyDescent="0.25">
      <c r="A3887" s="8" t="s">
        <v>3182</v>
      </c>
      <c r="B3887" s="8" t="s">
        <v>3183</v>
      </c>
      <c r="C3887" s="8">
        <v>30821619</v>
      </c>
      <c r="D3887" s="8">
        <v>4</v>
      </c>
      <c r="E3887" s="11">
        <v>43108</v>
      </c>
      <c r="F3887" s="8" t="s">
        <v>58</v>
      </c>
      <c r="G3887" s="11">
        <v>43110</v>
      </c>
      <c r="H3887" s="8" t="s">
        <v>25</v>
      </c>
      <c r="I3887" s="11">
        <v>43110</v>
      </c>
      <c r="J3887" s="8" t="s">
        <v>25</v>
      </c>
      <c r="N3887" s="8" t="s">
        <v>58</v>
      </c>
      <c r="O3887" s="8" t="s">
        <v>59</v>
      </c>
      <c r="P3887" s="8" t="s">
        <v>59</v>
      </c>
      <c r="R3887" s="8">
        <v>0</v>
      </c>
      <c r="S3887" s="8">
        <v>0</v>
      </c>
      <c r="T3887" s="8">
        <v>1</v>
      </c>
      <c r="U3887" s="8">
        <v>2</v>
      </c>
      <c r="X3887" s="8">
        <v>5</v>
      </c>
      <c r="AG3887" s="8" t="str">
        <f t="shared" si="241"/>
        <v/>
      </c>
      <c r="AI3887" s="8" t="str">
        <f t="shared" si="242"/>
        <v/>
      </c>
      <c r="AJ3887" s="8" t="str">
        <f t="shared" si="243"/>
        <v/>
      </c>
      <c r="AL3887" s="8" t="str">
        <f t="shared" si="244"/>
        <v/>
      </c>
    </row>
    <row r="3888" spans="1:38" x14ac:dyDescent="0.25">
      <c r="A3888" s="8" t="s">
        <v>3184</v>
      </c>
      <c r="B3888" s="8" t="s">
        <v>3185</v>
      </c>
      <c r="C3888" s="8">
        <v>30858153</v>
      </c>
      <c r="D3888" s="8">
        <v>5</v>
      </c>
      <c r="E3888" s="11">
        <v>43110</v>
      </c>
      <c r="F3888" s="8" t="s">
        <v>58</v>
      </c>
      <c r="G3888" s="11">
        <v>43110</v>
      </c>
      <c r="H3888" s="8" t="s">
        <v>25</v>
      </c>
      <c r="I3888" s="11">
        <v>43115</v>
      </c>
      <c r="J3888" s="8" t="s">
        <v>145</v>
      </c>
      <c r="N3888" s="8" t="s">
        <v>58</v>
      </c>
      <c r="O3888" s="8" t="s">
        <v>59</v>
      </c>
      <c r="P3888" s="8" t="s">
        <v>59</v>
      </c>
      <c r="R3888" s="8">
        <v>0</v>
      </c>
      <c r="S3888" s="8">
        <v>0</v>
      </c>
      <c r="T3888" s="8">
        <v>1</v>
      </c>
      <c r="U3888" s="8">
        <v>2</v>
      </c>
      <c r="X3888" s="8">
        <v>5</v>
      </c>
      <c r="AG3888" s="8" t="str">
        <f t="shared" si="241"/>
        <v/>
      </c>
      <c r="AI3888" s="8" t="str">
        <f t="shared" si="242"/>
        <v/>
      </c>
      <c r="AJ3888" s="8" t="str">
        <f t="shared" si="243"/>
        <v/>
      </c>
      <c r="AL3888" s="8" t="str">
        <f t="shared" si="244"/>
        <v/>
      </c>
    </row>
    <row r="3889" spans="1:38" x14ac:dyDescent="0.25">
      <c r="A3889" s="8" t="s">
        <v>3186</v>
      </c>
      <c r="B3889" s="8" t="s">
        <v>3187</v>
      </c>
      <c r="C3889" s="8">
        <v>30849256</v>
      </c>
      <c r="D3889" s="8">
        <v>5</v>
      </c>
      <c r="E3889" s="11">
        <v>43109</v>
      </c>
      <c r="F3889" s="8" t="s">
        <v>57</v>
      </c>
      <c r="G3889" s="11">
        <v>43110</v>
      </c>
      <c r="H3889" s="8" t="s">
        <v>25</v>
      </c>
      <c r="J3889" s="8" t="s">
        <v>25</v>
      </c>
      <c r="N3889" s="8" t="s">
        <v>58</v>
      </c>
      <c r="O3889" s="8" t="s">
        <v>59</v>
      </c>
      <c r="P3889" s="8" t="s">
        <v>59</v>
      </c>
      <c r="R3889" s="8">
        <v>0</v>
      </c>
      <c r="S3889" s="8">
        <v>0</v>
      </c>
      <c r="T3889" s="8">
        <v>1</v>
      </c>
      <c r="U3889" s="8">
        <v>2</v>
      </c>
      <c r="AG3889" s="8" t="str">
        <f t="shared" si="241"/>
        <v/>
      </c>
      <c r="AI3889" s="8" t="str">
        <f t="shared" si="242"/>
        <v/>
      </c>
      <c r="AJ3889" s="8" t="str">
        <f t="shared" si="243"/>
        <v/>
      </c>
      <c r="AL3889" s="8" t="str">
        <f t="shared" si="244"/>
        <v/>
      </c>
    </row>
    <row r="3890" spans="1:38" x14ac:dyDescent="0.25">
      <c r="A3890" s="8" t="s">
        <v>3188</v>
      </c>
      <c r="B3890" s="8" t="s">
        <v>3189</v>
      </c>
      <c r="C3890" s="8">
        <v>30849263</v>
      </c>
      <c r="D3890" s="8">
        <v>5</v>
      </c>
      <c r="E3890" s="11">
        <v>43109</v>
      </c>
      <c r="F3890" s="8" t="s">
        <v>57</v>
      </c>
      <c r="G3890" s="11">
        <v>43110</v>
      </c>
      <c r="H3890" s="8" t="s">
        <v>25</v>
      </c>
      <c r="J3890" s="8" t="s">
        <v>25</v>
      </c>
      <c r="N3890" s="8" t="s">
        <v>58</v>
      </c>
      <c r="O3890" s="8" t="s">
        <v>59</v>
      </c>
      <c r="P3890" s="8" t="s">
        <v>59</v>
      </c>
      <c r="R3890" s="8">
        <v>0</v>
      </c>
      <c r="S3890" s="8">
        <v>0</v>
      </c>
      <c r="T3890" s="8">
        <v>1</v>
      </c>
      <c r="U3890" s="8">
        <v>2</v>
      </c>
      <c r="AG3890" s="8" t="str">
        <f t="shared" si="241"/>
        <v/>
      </c>
      <c r="AI3890" s="8" t="str">
        <f t="shared" si="242"/>
        <v/>
      </c>
      <c r="AJ3890" s="8" t="str">
        <f t="shared" si="243"/>
        <v/>
      </c>
      <c r="AL3890" s="8" t="str">
        <f t="shared" si="244"/>
        <v/>
      </c>
    </row>
    <row r="3891" spans="1:38" x14ac:dyDescent="0.25">
      <c r="A3891" s="8" t="s">
        <v>3190</v>
      </c>
      <c r="B3891" s="8" t="s">
        <v>3191</v>
      </c>
      <c r="C3891" s="8">
        <v>30859592</v>
      </c>
      <c r="D3891" s="8">
        <v>5</v>
      </c>
      <c r="E3891" s="11">
        <v>43110</v>
      </c>
      <c r="F3891" s="8" t="s">
        <v>58</v>
      </c>
      <c r="G3891" s="11">
        <v>43110</v>
      </c>
      <c r="H3891" s="8" t="s">
        <v>25</v>
      </c>
      <c r="I3891" s="11">
        <v>43111</v>
      </c>
      <c r="J3891" s="8" t="s">
        <v>25</v>
      </c>
      <c r="N3891" s="8" t="s">
        <v>58</v>
      </c>
      <c r="O3891" s="8" t="s">
        <v>59</v>
      </c>
      <c r="P3891" s="8" t="s">
        <v>59</v>
      </c>
      <c r="R3891" s="8">
        <v>0</v>
      </c>
      <c r="S3891" s="8">
        <v>0</v>
      </c>
      <c r="T3891" s="8">
        <v>1</v>
      </c>
      <c r="U3891" s="8">
        <v>2</v>
      </c>
      <c r="X3891" s="8">
        <v>5</v>
      </c>
      <c r="AG3891" s="8" t="str">
        <f t="shared" si="241"/>
        <v/>
      </c>
      <c r="AI3891" s="8" t="str">
        <f t="shared" si="242"/>
        <v/>
      </c>
      <c r="AJ3891" s="8" t="str">
        <f t="shared" si="243"/>
        <v/>
      </c>
      <c r="AL3891" s="8" t="str">
        <f t="shared" si="244"/>
        <v/>
      </c>
    </row>
    <row r="3892" spans="1:38" x14ac:dyDescent="0.25">
      <c r="A3892" s="8" t="s">
        <v>6435</v>
      </c>
      <c r="B3892" s="8" t="s">
        <v>6436</v>
      </c>
      <c r="C3892" s="8">
        <v>30911259</v>
      </c>
      <c r="D3892" s="8">
        <v>5</v>
      </c>
      <c r="E3892" s="11">
        <v>43112</v>
      </c>
      <c r="F3892" s="8" t="s">
        <v>57</v>
      </c>
      <c r="G3892" s="11">
        <v>43112</v>
      </c>
      <c r="H3892" s="8" t="s">
        <v>25</v>
      </c>
      <c r="J3892" s="8" t="s">
        <v>25</v>
      </c>
      <c r="N3892" s="8" t="s">
        <v>58</v>
      </c>
      <c r="O3892" s="8" t="s">
        <v>59</v>
      </c>
      <c r="P3892" s="8" t="s">
        <v>59</v>
      </c>
      <c r="R3892" s="8">
        <v>0</v>
      </c>
      <c r="S3892" s="8">
        <v>0</v>
      </c>
      <c r="T3892" s="8">
        <v>1</v>
      </c>
      <c r="U3892" s="8">
        <v>2</v>
      </c>
      <c r="AG3892" s="8" t="str">
        <f t="shared" si="241"/>
        <v/>
      </c>
      <c r="AI3892" s="8" t="str">
        <f t="shared" si="242"/>
        <v/>
      </c>
      <c r="AJ3892" s="8" t="str">
        <f t="shared" si="243"/>
        <v/>
      </c>
      <c r="AL3892" s="8" t="str">
        <f t="shared" si="244"/>
        <v/>
      </c>
    </row>
    <row r="3893" spans="1:38" x14ac:dyDescent="0.25">
      <c r="A3893" s="8" t="s">
        <v>3192</v>
      </c>
      <c r="B3893" s="8" t="s">
        <v>3193</v>
      </c>
      <c r="C3893" s="8">
        <v>30839545</v>
      </c>
      <c r="D3893" s="8">
        <v>5</v>
      </c>
      <c r="E3893" s="11">
        <v>43109</v>
      </c>
      <c r="F3893" s="8" t="s">
        <v>58</v>
      </c>
      <c r="G3893" s="11">
        <v>43110</v>
      </c>
      <c r="H3893" s="8" t="s">
        <v>25</v>
      </c>
      <c r="I3893" s="11">
        <v>43112</v>
      </c>
      <c r="J3893" s="8" t="s">
        <v>25</v>
      </c>
      <c r="N3893" s="8" t="s">
        <v>58</v>
      </c>
      <c r="O3893" s="8" t="s">
        <v>59</v>
      </c>
      <c r="P3893" s="8" t="s">
        <v>59</v>
      </c>
      <c r="R3893" s="8">
        <v>0</v>
      </c>
      <c r="S3893" s="8">
        <v>0</v>
      </c>
      <c r="T3893" s="8">
        <v>1</v>
      </c>
      <c r="U3893" s="8">
        <v>2</v>
      </c>
      <c r="X3893" s="8">
        <v>5</v>
      </c>
      <c r="AG3893" s="8" t="str">
        <f t="shared" si="241"/>
        <v/>
      </c>
      <c r="AI3893" s="8" t="str">
        <f t="shared" si="242"/>
        <v/>
      </c>
      <c r="AJ3893" s="8" t="str">
        <f t="shared" si="243"/>
        <v/>
      </c>
      <c r="AL3893" s="8" t="str">
        <f t="shared" si="244"/>
        <v/>
      </c>
    </row>
    <row r="3894" spans="1:38" x14ac:dyDescent="0.25">
      <c r="A3894" s="8" t="s">
        <v>8145</v>
      </c>
      <c r="B3894" s="8" t="s">
        <v>8146</v>
      </c>
      <c r="C3894" s="8">
        <v>30934234</v>
      </c>
      <c r="D3894" s="8">
        <v>5</v>
      </c>
      <c r="E3894" s="11">
        <v>43115</v>
      </c>
      <c r="F3894" s="8" t="s">
        <v>57</v>
      </c>
      <c r="G3894" s="11">
        <v>43115</v>
      </c>
      <c r="H3894" s="8" t="s">
        <v>25</v>
      </c>
      <c r="J3894" s="8" t="s">
        <v>25</v>
      </c>
      <c r="N3894" s="8" t="s">
        <v>58</v>
      </c>
      <c r="O3894" s="8" t="s">
        <v>59</v>
      </c>
      <c r="P3894" s="8" t="s">
        <v>59</v>
      </c>
      <c r="R3894" s="8">
        <v>0</v>
      </c>
      <c r="S3894" s="8">
        <v>0</v>
      </c>
      <c r="T3894" s="8">
        <v>1</v>
      </c>
      <c r="U3894" s="8">
        <v>2</v>
      </c>
      <c r="AG3894" s="8" t="str">
        <f t="shared" si="241"/>
        <v/>
      </c>
      <c r="AI3894" s="8" t="str">
        <f t="shared" si="242"/>
        <v/>
      </c>
      <c r="AJ3894" s="8" t="str">
        <f t="shared" si="243"/>
        <v/>
      </c>
      <c r="AL3894" s="8" t="str">
        <f t="shared" si="244"/>
        <v/>
      </c>
    </row>
    <row r="3895" spans="1:38" x14ac:dyDescent="0.25">
      <c r="A3895" s="8" t="s">
        <v>1586</v>
      </c>
      <c r="B3895" s="8" t="s">
        <v>1587</v>
      </c>
      <c r="C3895" s="8">
        <v>30813835</v>
      </c>
      <c r="D3895" s="8">
        <v>5</v>
      </c>
      <c r="E3895" s="11">
        <v>43108</v>
      </c>
      <c r="F3895" s="8" t="s">
        <v>58</v>
      </c>
      <c r="G3895" s="11">
        <v>43109</v>
      </c>
      <c r="H3895" s="8" t="s">
        <v>25</v>
      </c>
      <c r="I3895" s="11">
        <v>43112</v>
      </c>
      <c r="J3895" s="8" t="s">
        <v>25</v>
      </c>
      <c r="N3895" s="8" t="s">
        <v>58</v>
      </c>
      <c r="O3895" s="8" t="s">
        <v>59</v>
      </c>
      <c r="P3895" s="8" t="s">
        <v>59</v>
      </c>
      <c r="R3895" s="8">
        <v>0</v>
      </c>
      <c r="S3895" s="8">
        <v>0</v>
      </c>
      <c r="T3895" s="8">
        <v>1</v>
      </c>
      <c r="U3895" s="8">
        <v>2</v>
      </c>
      <c r="X3895" s="8">
        <v>5</v>
      </c>
      <c r="AG3895" s="8" t="str">
        <f t="shared" si="241"/>
        <v/>
      </c>
      <c r="AI3895" s="8" t="str">
        <f t="shared" si="242"/>
        <v/>
      </c>
      <c r="AJ3895" s="8" t="str">
        <f t="shared" si="243"/>
        <v/>
      </c>
      <c r="AL3895" s="8" t="str">
        <f t="shared" si="244"/>
        <v/>
      </c>
    </row>
    <row r="3896" spans="1:38" x14ac:dyDescent="0.25">
      <c r="A3896" s="8" t="s">
        <v>6437</v>
      </c>
      <c r="B3896" s="8" t="s">
        <v>6438</v>
      </c>
      <c r="C3896" s="8">
        <v>30917028</v>
      </c>
      <c r="D3896" s="8">
        <v>4</v>
      </c>
      <c r="E3896" s="11">
        <v>43112</v>
      </c>
      <c r="F3896" s="8" t="s">
        <v>61</v>
      </c>
      <c r="G3896" s="11">
        <v>43112</v>
      </c>
      <c r="H3896" s="8" t="s">
        <v>25</v>
      </c>
      <c r="J3896" s="8" t="s">
        <v>25</v>
      </c>
      <c r="K3896" s="11">
        <v>43115</v>
      </c>
      <c r="N3896" s="8" t="s">
        <v>58</v>
      </c>
      <c r="O3896" s="8" t="s">
        <v>59</v>
      </c>
      <c r="P3896" s="8" t="s">
        <v>59</v>
      </c>
      <c r="R3896" s="8">
        <v>0</v>
      </c>
      <c r="S3896" s="8">
        <v>0</v>
      </c>
      <c r="T3896" s="8">
        <v>1</v>
      </c>
      <c r="U3896" s="8">
        <v>2</v>
      </c>
      <c r="Y3896" s="8">
        <v>6</v>
      </c>
      <c r="Z3896" s="8">
        <v>7</v>
      </c>
      <c r="AG3896" s="8" t="str">
        <f t="shared" si="241"/>
        <v/>
      </c>
      <c r="AI3896" s="8" t="str">
        <f t="shared" si="242"/>
        <v/>
      </c>
      <c r="AJ3896" s="8" t="str">
        <f t="shared" si="243"/>
        <v/>
      </c>
      <c r="AL3896" s="8" t="str">
        <f t="shared" si="244"/>
        <v/>
      </c>
    </row>
    <row r="3897" spans="1:38" x14ac:dyDescent="0.25">
      <c r="A3897" s="8" t="s">
        <v>6439</v>
      </c>
      <c r="B3897" s="8" t="s">
        <v>6440</v>
      </c>
      <c r="C3897" s="8">
        <v>30915244</v>
      </c>
      <c r="D3897" s="8">
        <v>5</v>
      </c>
      <c r="E3897" s="11">
        <v>43112</v>
      </c>
      <c r="F3897" s="8" t="s">
        <v>57</v>
      </c>
      <c r="G3897" s="11">
        <v>43114</v>
      </c>
      <c r="H3897" s="8" t="s">
        <v>25</v>
      </c>
      <c r="J3897" s="8" t="s">
        <v>25</v>
      </c>
      <c r="N3897" s="8" t="s">
        <v>58</v>
      </c>
      <c r="O3897" s="8" t="s">
        <v>59</v>
      </c>
      <c r="P3897" s="8" t="s">
        <v>59</v>
      </c>
      <c r="R3897" s="8">
        <v>0</v>
      </c>
      <c r="S3897" s="8">
        <v>0</v>
      </c>
      <c r="T3897" s="8">
        <v>1</v>
      </c>
      <c r="U3897" s="8">
        <v>2</v>
      </c>
      <c r="AG3897" s="8" t="str">
        <f t="shared" si="241"/>
        <v/>
      </c>
      <c r="AI3897" s="8" t="str">
        <f t="shared" si="242"/>
        <v/>
      </c>
      <c r="AJ3897" s="8" t="str">
        <f t="shared" si="243"/>
        <v/>
      </c>
      <c r="AL3897" s="8" t="str">
        <f t="shared" si="244"/>
        <v/>
      </c>
    </row>
    <row r="3898" spans="1:38" x14ac:dyDescent="0.25">
      <c r="A3898" s="8" t="s">
        <v>3194</v>
      </c>
      <c r="B3898" s="8" t="s">
        <v>3195</v>
      </c>
      <c r="C3898" s="8">
        <v>30856959</v>
      </c>
      <c r="D3898" s="8">
        <v>5</v>
      </c>
      <c r="E3898" s="11">
        <v>43110</v>
      </c>
      <c r="F3898" s="8" t="s">
        <v>58</v>
      </c>
      <c r="G3898" s="11">
        <v>43110</v>
      </c>
      <c r="H3898" s="8" t="s">
        <v>25</v>
      </c>
      <c r="I3898" s="11">
        <v>43112</v>
      </c>
      <c r="J3898" s="8" t="s">
        <v>25</v>
      </c>
      <c r="N3898" s="8" t="s">
        <v>58</v>
      </c>
      <c r="O3898" s="8" t="s">
        <v>59</v>
      </c>
      <c r="P3898" s="8" t="s">
        <v>59</v>
      </c>
      <c r="R3898" s="8">
        <v>0</v>
      </c>
      <c r="S3898" s="8">
        <v>0</v>
      </c>
      <c r="T3898" s="8">
        <v>1</v>
      </c>
      <c r="U3898" s="8">
        <v>2</v>
      </c>
      <c r="X3898" s="8">
        <v>5</v>
      </c>
      <c r="AG3898" s="8" t="str">
        <f t="shared" si="241"/>
        <v/>
      </c>
      <c r="AI3898" s="8" t="str">
        <f t="shared" si="242"/>
        <v/>
      </c>
      <c r="AJ3898" s="8" t="str">
        <f t="shared" si="243"/>
        <v/>
      </c>
      <c r="AL3898" s="8" t="str">
        <f t="shared" si="244"/>
        <v/>
      </c>
    </row>
    <row r="3899" spans="1:38" x14ac:dyDescent="0.25">
      <c r="A3899" s="8" t="s">
        <v>8147</v>
      </c>
      <c r="B3899" s="8" t="s">
        <v>8148</v>
      </c>
      <c r="C3899" s="8">
        <v>30941422</v>
      </c>
      <c r="D3899" s="8">
        <v>4</v>
      </c>
      <c r="E3899" s="11">
        <v>43115</v>
      </c>
      <c r="F3899" s="8" t="s">
        <v>57</v>
      </c>
      <c r="G3899" s="11">
        <v>43115</v>
      </c>
      <c r="H3899" s="8" t="s">
        <v>25</v>
      </c>
      <c r="J3899" s="8" t="s">
        <v>25</v>
      </c>
      <c r="N3899" s="8" t="s">
        <v>58</v>
      </c>
      <c r="O3899" s="8" t="s">
        <v>59</v>
      </c>
      <c r="P3899" s="8" t="s">
        <v>59</v>
      </c>
      <c r="R3899" s="8">
        <v>0</v>
      </c>
      <c r="S3899" s="8">
        <v>0</v>
      </c>
      <c r="T3899" s="8">
        <v>1</v>
      </c>
      <c r="U3899" s="8">
        <v>2</v>
      </c>
      <c r="AG3899" s="8" t="str">
        <f t="shared" si="241"/>
        <v/>
      </c>
      <c r="AI3899" s="8" t="str">
        <f t="shared" si="242"/>
        <v/>
      </c>
      <c r="AJ3899" s="8" t="str">
        <f t="shared" si="243"/>
        <v/>
      </c>
      <c r="AL3899" s="8" t="str">
        <f t="shared" si="244"/>
        <v/>
      </c>
    </row>
    <row r="3900" spans="1:38" x14ac:dyDescent="0.25">
      <c r="A3900" s="8" t="s">
        <v>3196</v>
      </c>
      <c r="B3900" s="8" t="s">
        <v>3197</v>
      </c>
      <c r="C3900" s="8">
        <v>30860979</v>
      </c>
      <c r="D3900" s="8">
        <v>5</v>
      </c>
      <c r="E3900" s="11">
        <v>43110</v>
      </c>
      <c r="F3900" s="8" t="s">
        <v>57</v>
      </c>
      <c r="G3900" s="11">
        <v>43110</v>
      </c>
      <c r="H3900" s="8" t="s">
        <v>25</v>
      </c>
      <c r="J3900" s="8" t="s">
        <v>25</v>
      </c>
      <c r="N3900" s="8" t="s">
        <v>58</v>
      </c>
      <c r="O3900" s="8" t="s">
        <v>59</v>
      </c>
      <c r="P3900" s="8" t="s">
        <v>59</v>
      </c>
      <c r="R3900" s="8">
        <v>0</v>
      </c>
      <c r="S3900" s="8">
        <v>0</v>
      </c>
      <c r="T3900" s="8">
        <v>1</v>
      </c>
      <c r="U3900" s="8">
        <v>2</v>
      </c>
      <c r="AG3900" s="8" t="str">
        <f t="shared" si="241"/>
        <v/>
      </c>
      <c r="AI3900" s="8" t="str">
        <f t="shared" si="242"/>
        <v/>
      </c>
      <c r="AJ3900" s="8" t="str">
        <f t="shared" si="243"/>
        <v/>
      </c>
      <c r="AL3900" s="8" t="str">
        <f t="shared" si="244"/>
        <v/>
      </c>
    </row>
    <row r="3901" spans="1:38" x14ac:dyDescent="0.25">
      <c r="A3901" s="8" t="s">
        <v>6441</v>
      </c>
      <c r="B3901" s="8" t="s">
        <v>6442</v>
      </c>
      <c r="C3901" s="8">
        <v>30915245</v>
      </c>
      <c r="D3901" s="8">
        <v>5</v>
      </c>
      <c r="E3901" s="11">
        <v>43112</v>
      </c>
      <c r="F3901" s="8" t="s">
        <v>57</v>
      </c>
      <c r="G3901" s="11">
        <v>43112</v>
      </c>
      <c r="H3901" s="8" t="s">
        <v>25</v>
      </c>
      <c r="J3901" s="8" t="s">
        <v>25</v>
      </c>
      <c r="N3901" s="8" t="s">
        <v>58</v>
      </c>
      <c r="O3901" s="8" t="s">
        <v>59</v>
      </c>
      <c r="P3901" s="8" t="s">
        <v>59</v>
      </c>
      <c r="R3901" s="8">
        <v>0</v>
      </c>
      <c r="S3901" s="8">
        <v>0</v>
      </c>
      <c r="T3901" s="8">
        <v>1</v>
      </c>
      <c r="U3901" s="8">
        <v>2</v>
      </c>
      <c r="AG3901" s="8" t="str">
        <f t="shared" si="241"/>
        <v/>
      </c>
      <c r="AI3901" s="8" t="str">
        <f t="shared" si="242"/>
        <v/>
      </c>
      <c r="AJ3901" s="8" t="str">
        <f t="shared" si="243"/>
        <v/>
      </c>
      <c r="AL3901" s="8" t="str">
        <f t="shared" si="244"/>
        <v/>
      </c>
    </row>
    <row r="3902" spans="1:38" x14ac:dyDescent="0.25">
      <c r="A3902" s="8" t="s">
        <v>743</v>
      </c>
      <c r="B3902" s="8" t="s">
        <v>744</v>
      </c>
      <c r="C3902" s="8">
        <v>30813792</v>
      </c>
      <c r="D3902" s="8">
        <v>5</v>
      </c>
      <c r="E3902" s="11">
        <v>43108</v>
      </c>
      <c r="F3902" s="8" t="s">
        <v>57</v>
      </c>
      <c r="G3902" s="11">
        <v>43108</v>
      </c>
      <c r="H3902" s="8" t="s">
        <v>25</v>
      </c>
      <c r="J3902" s="8" t="s">
        <v>25</v>
      </c>
      <c r="N3902" s="8" t="s">
        <v>58</v>
      </c>
      <c r="O3902" s="8" t="s">
        <v>59</v>
      </c>
      <c r="P3902" s="8" t="s">
        <v>59</v>
      </c>
      <c r="R3902" s="8">
        <v>0</v>
      </c>
      <c r="S3902" s="8">
        <v>0</v>
      </c>
      <c r="T3902" s="8">
        <v>1</v>
      </c>
      <c r="U3902" s="8">
        <v>2</v>
      </c>
      <c r="AG3902" s="8" t="str">
        <f t="shared" si="241"/>
        <v/>
      </c>
      <c r="AI3902" s="8" t="str">
        <f t="shared" si="242"/>
        <v/>
      </c>
      <c r="AJ3902" s="8" t="str">
        <f t="shared" si="243"/>
        <v/>
      </c>
      <c r="AL3902" s="8" t="str">
        <f t="shared" si="244"/>
        <v/>
      </c>
    </row>
    <row r="3903" spans="1:38" x14ac:dyDescent="0.25">
      <c r="A3903" s="8" t="s">
        <v>8149</v>
      </c>
      <c r="B3903" s="8" t="s">
        <v>8150</v>
      </c>
      <c r="C3903" s="8">
        <v>30921585</v>
      </c>
      <c r="D3903" s="8">
        <v>5</v>
      </c>
      <c r="E3903" s="11">
        <v>43112</v>
      </c>
      <c r="F3903" s="8" t="s">
        <v>57</v>
      </c>
      <c r="G3903" s="11">
        <v>43115</v>
      </c>
      <c r="H3903" s="8" t="s">
        <v>25</v>
      </c>
      <c r="J3903" s="8" t="s">
        <v>25</v>
      </c>
      <c r="N3903" s="8" t="s">
        <v>58</v>
      </c>
      <c r="O3903" s="8" t="s">
        <v>59</v>
      </c>
      <c r="P3903" s="8" t="s">
        <v>59</v>
      </c>
      <c r="R3903" s="8">
        <v>0</v>
      </c>
      <c r="S3903" s="8">
        <v>0</v>
      </c>
      <c r="T3903" s="8">
        <v>1</v>
      </c>
      <c r="U3903" s="8">
        <v>2</v>
      </c>
      <c r="AG3903" s="8" t="str">
        <f t="shared" si="241"/>
        <v/>
      </c>
      <c r="AI3903" s="8" t="str">
        <f t="shared" si="242"/>
        <v/>
      </c>
      <c r="AJ3903" s="8" t="str">
        <f t="shared" si="243"/>
        <v/>
      </c>
      <c r="AL3903" s="8" t="str">
        <f t="shared" si="244"/>
        <v/>
      </c>
    </row>
    <row r="3904" spans="1:38" x14ac:dyDescent="0.25">
      <c r="A3904" s="8" t="s">
        <v>1588</v>
      </c>
      <c r="B3904" s="8" t="s">
        <v>1589</v>
      </c>
      <c r="C3904" s="8">
        <v>30807916</v>
      </c>
      <c r="D3904" s="8">
        <v>5</v>
      </c>
      <c r="E3904" s="11">
        <v>43108</v>
      </c>
      <c r="F3904" s="8" t="s">
        <v>57</v>
      </c>
      <c r="G3904" s="11">
        <v>43109</v>
      </c>
      <c r="H3904" s="8" t="s">
        <v>25</v>
      </c>
      <c r="J3904" s="8" t="s">
        <v>25</v>
      </c>
      <c r="N3904" s="8" t="s">
        <v>58</v>
      </c>
      <c r="O3904" s="8" t="s">
        <v>59</v>
      </c>
      <c r="P3904" s="8" t="s">
        <v>59</v>
      </c>
      <c r="R3904" s="8">
        <v>0</v>
      </c>
      <c r="S3904" s="8">
        <v>0</v>
      </c>
      <c r="T3904" s="8">
        <v>1</v>
      </c>
      <c r="U3904" s="8">
        <v>2</v>
      </c>
      <c r="AG3904" s="8" t="str">
        <f t="shared" si="241"/>
        <v/>
      </c>
      <c r="AI3904" s="8" t="str">
        <f t="shared" si="242"/>
        <v/>
      </c>
      <c r="AJ3904" s="8" t="str">
        <f t="shared" si="243"/>
        <v/>
      </c>
      <c r="AL3904" s="8" t="str">
        <f t="shared" si="244"/>
        <v/>
      </c>
    </row>
    <row r="3905" spans="1:38" x14ac:dyDescent="0.25">
      <c r="A3905" s="8" t="s">
        <v>8151</v>
      </c>
      <c r="B3905" s="8" t="s">
        <v>8152</v>
      </c>
      <c r="C3905" s="8">
        <v>30937167</v>
      </c>
      <c r="D3905" s="8">
        <v>5</v>
      </c>
      <c r="E3905" s="11">
        <v>43115</v>
      </c>
      <c r="F3905" s="8" t="s">
        <v>57</v>
      </c>
      <c r="G3905" s="11">
        <v>43115</v>
      </c>
      <c r="H3905" s="8" t="s">
        <v>25</v>
      </c>
      <c r="J3905" s="8" t="s">
        <v>25</v>
      </c>
      <c r="N3905" s="8" t="s">
        <v>58</v>
      </c>
      <c r="O3905" s="8" t="s">
        <v>59</v>
      </c>
      <c r="P3905" s="8" t="s">
        <v>59</v>
      </c>
      <c r="R3905" s="8">
        <v>0</v>
      </c>
      <c r="S3905" s="8">
        <v>0</v>
      </c>
      <c r="T3905" s="8">
        <v>1</v>
      </c>
      <c r="U3905" s="8">
        <v>2</v>
      </c>
      <c r="AG3905" s="8" t="str">
        <f t="shared" si="241"/>
        <v/>
      </c>
      <c r="AI3905" s="8" t="str">
        <f t="shared" si="242"/>
        <v/>
      </c>
      <c r="AJ3905" s="8" t="str">
        <f t="shared" si="243"/>
        <v/>
      </c>
      <c r="AL3905" s="8" t="str">
        <f t="shared" si="244"/>
        <v/>
      </c>
    </row>
    <row r="3906" spans="1:38" x14ac:dyDescent="0.25">
      <c r="A3906" s="8" t="s">
        <v>6443</v>
      </c>
      <c r="B3906" s="8" t="s">
        <v>6444</v>
      </c>
      <c r="C3906" s="8">
        <v>30915246</v>
      </c>
      <c r="D3906" s="8">
        <v>4</v>
      </c>
      <c r="E3906" s="11">
        <v>43112</v>
      </c>
      <c r="F3906" s="8" t="s">
        <v>57</v>
      </c>
      <c r="G3906" s="11">
        <v>43114</v>
      </c>
      <c r="H3906" s="8" t="s">
        <v>25</v>
      </c>
      <c r="J3906" s="8" t="s">
        <v>25</v>
      </c>
      <c r="N3906" s="8" t="s">
        <v>58</v>
      </c>
      <c r="O3906" s="8" t="s">
        <v>59</v>
      </c>
      <c r="P3906" s="8" t="s">
        <v>59</v>
      </c>
      <c r="R3906" s="8">
        <v>0</v>
      </c>
      <c r="S3906" s="8">
        <v>0</v>
      </c>
      <c r="T3906" s="8">
        <v>1</v>
      </c>
      <c r="U3906" s="8">
        <v>2</v>
      </c>
      <c r="AG3906" s="8" t="str">
        <f t="shared" si="241"/>
        <v/>
      </c>
      <c r="AI3906" s="8" t="str">
        <f t="shared" si="242"/>
        <v/>
      </c>
      <c r="AJ3906" s="8" t="str">
        <f t="shared" si="243"/>
        <v/>
      </c>
      <c r="AL3906" s="8" t="str">
        <f t="shared" si="244"/>
        <v/>
      </c>
    </row>
    <row r="3907" spans="1:38" x14ac:dyDescent="0.25">
      <c r="A3907" s="8" t="s">
        <v>3198</v>
      </c>
      <c r="B3907" s="8" t="s">
        <v>3199</v>
      </c>
      <c r="C3907" s="8">
        <v>30848294</v>
      </c>
      <c r="D3907" s="8">
        <v>5</v>
      </c>
      <c r="E3907" s="11">
        <v>43109</v>
      </c>
      <c r="F3907" s="8" t="s">
        <v>58</v>
      </c>
      <c r="G3907" s="11">
        <v>43110</v>
      </c>
      <c r="H3907" s="8" t="s">
        <v>25</v>
      </c>
      <c r="I3907" s="11">
        <v>43112</v>
      </c>
      <c r="J3907" s="8" t="s">
        <v>25</v>
      </c>
      <c r="N3907" s="8" t="s">
        <v>58</v>
      </c>
      <c r="O3907" s="8" t="s">
        <v>59</v>
      </c>
      <c r="P3907" s="8" t="s">
        <v>59</v>
      </c>
      <c r="R3907" s="8">
        <v>0</v>
      </c>
      <c r="S3907" s="8">
        <v>0</v>
      </c>
      <c r="T3907" s="8">
        <v>1</v>
      </c>
      <c r="U3907" s="8">
        <v>2</v>
      </c>
      <c r="X3907" s="8">
        <v>5</v>
      </c>
      <c r="AG3907" s="8" t="str">
        <f t="shared" ref="AG3907:AG3970" si="245">IF(AND(U3907="",G3907&lt;&gt;"",NOT(OR(R3907,S3907))),IF(NETWORKDAYS.INTL(G3907,TODAY(),11)&lt;5,"En Plazo",IF(NETWORKDAYS.INTL(G3907,TODAY(),11)=5,"Riesgo Incumplimiento","FALTA_02")),"")</f>
        <v/>
      </c>
      <c r="AI3907" s="8" t="str">
        <f t="shared" ref="AI3907:AI3970" si="246">IF(AND(O3907&lt;&gt;"B1",F3907="Rejected"),IF(W3907="","FALTA_04",""),"")</f>
        <v/>
      </c>
      <c r="AJ3907" s="8" t="str">
        <f t="shared" ref="AJ3907:AJ3970" si="247">IF(AND(X3907="",I3907&lt;&gt;"",NOT(OR(R3907,S3907))),IF(NETWORKDAYS.INTL(G3907,TODAY(),11)&lt;=1,"En Plazo",IF(OR(AND(X3907="",O3907&lt;&gt;"M1"),AND(O3907="M1",(OR(Q3907="S - S",Q3907="S - T",)))),"FALTA_05","")),"")</f>
        <v/>
      </c>
      <c r="AL3907" s="8" t="str">
        <f t="shared" ref="AL3907:AL3970" si="248">IF(AND(O3907="B1",F3907="Rejected"),IF(Z3907="","FALTA_07",""),"")</f>
        <v/>
      </c>
    </row>
    <row r="3908" spans="1:38" x14ac:dyDescent="0.25">
      <c r="A3908" s="8" t="s">
        <v>3200</v>
      </c>
      <c r="B3908" s="8" t="s">
        <v>3201</v>
      </c>
      <c r="C3908" s="8">
        <v>30842501</v>
      </c>
      <c r="D3908" s="8">
        <v>5</v>
      </c>
      <c r="E3908" s="11">
        <v>43109</v>
      </c>
      <c r="F3908" s="8" t="s">
        <v>57</v>
      </c>
      <c r="G3908" s="11">
        <v>43110</v>
      </c>
      <c r="H3908" s="8" t="s">
        <v>25</v>
      </c>
      <c r="J3908" s="8" t="s">
        <v>25</v>
      </c>
      <c r="N3908" s="8" t="s">
        <v>58</v>
      </c>
      <c r="O3908" s="8" t="s">
        <v>59</v>
      </c>
      <c r="P3908" s="8" t="s">
        <v>59</v>
      </c>
      <c r="R3908" s="8">
        <v>0</v>
      </c>
      <c r="S3908" s="8">
        <v>0</v>
      </c>
      <c r="T3908" s="8">
        <v>1</v>
      </c>
      <c r="U3908" s="8">
        <v>2</v>
      </c>
      <c r="AG3908" s="8" t="str">
        <f t="shared" si="245"/>
        <v/>
      </c>
      <c r="AI3908" s="8" t="str">
        <f t="shared" si="246"/>
        <v/>
      </c>
      <c r="AJ3908" s="8" t="str">
        <f t="shared" si="247"/>
        <v/>
      </c>
      <c r="AL3908" s="8" t="str">
        <f t="shared" si="248"/>
        <v/>
      </c>
    </row>
    <row r="3909" spans="1:38" x14ac:dyDescent="0.25">
      <c r="A3909" s="8" t="s">
        <v>1590</v>
      </c>
      <c r="B3909" s="8" t="s">
        <v>1591</v>
      </c>
      <c r="C3909" s="8">
        <v>30815019</v>
      </c>
      <c r="D3909" s="8">
        <v>5</v>
      </c>
      <c r="E3909" s="11">
        <v>43108</v>
      </c>
      <c r="F3909" s="8" t="s">
        <v>58</v>
      </c>
      <c r="G3909" s="11">
        <v>43109</v>
      </c>
      <c r="H3909" s="8" t="s">
        <v>25</v>
      </c>
      <c r="I3909" s="11">
        <v>43115</v>
      </c>
      <c r="J3909" s="8" t="s">
        <v>145</v>
      </c>
      <c r="N3909" s="8" t="s">
        <v>58</v>
      </c>
      <c r="O3909" s="8" t="s">
        <v>59</v>
      </c>
      <c r="P3909" s="8" t="s">
        <v>59</v>
      </c>
      <c r="R3909" s="8">
        <v>0</v>
      </c>
      <c r="S3909" s="8">
        <v>0</v>
      </c>
      <c r="T3909" s="8">
        <v>1</v>
      </c>
      <c r="U3909" s="8">
        <v>2</v>
      </c>
      <c r="X3909" s="8">
        <v>5</v>
      </c>
      <c r="AG3909" s="8" t="str">
        <f t="shared" si="245"/>
        <v/>
      </c>
      <c r="AI3909" s="8" t="str">
        <f t="shared" si="246"/>
        <v/>
      </c>
      <c r="AJ3909" s="8" t="str">
        <f t="shared" si="247"/>
        <v/>
      </c>
      <c r="AL3909" s="8" t="str">
        <f t="shared" si="248"/>
        <v/>
      </c>
    </row>
    <row r="3910" spans="1:38" x14ac:dyDescent="0.25">
      <c r="A3910" s="8" t="s">
        <v>1592</v>
      </c>
      <c r="B3910" s="8" t="s">
        <v>1593</v>
      </c>
      <c r="C3910" s="8">
        <v>30845786</v>
      </c>
      <c r="D3910" s="8">
        <v>5</v>
      </c>
      <c r="E3910" s="11">
        <v>43109</v>
      </c>
      <c r="F3910" s="8" t="s">
        <v>58</v>
      </c>
      <c r="G3910" s="11">
        <v>43109</v>
      </c>
      <c r="H3910" s="8" t="s">
        <v>25</v>
      </c>
      <c r="I3910" s="11">
        <v>43115</v>
      </c>
      <c r="J3910" s="8" t="s">
        <v>145</v>
      </c>
      <c r="N3910" s="8" t="s">
        <v>58</v>
      </c>
      <c r="O3910" s="8" t="s">
        <v>59</v>
      </c>
      <c r="P3910" s="8" t="s">
        <v>59</v>
      </c>
      <c r="R3910" s="8">
        <v>0</v>
      </c>
      <c r="S3910" s="8">
        <v>0</v>
      </c>
      <c r="T3910" s="8">
        <v>1</v>
      </c>
      <c r="U3910" s="8">
        <v>2</v>
      </c>
      <c r="X3910" s="8">
        <v>5</v>
      </c>
      <c r="AG3910" s="8" t="str">
        <f t="shared" si="245"/>
        <v/>
      </c>
      <c r="AI3910" s="8" t="str">
        <f t="shared" si="246"/>
        <v/>
      </c>
      <c r="AJ3910" s="8" t="str">
        <f t="shared" si="247"/>
        <v/>
      </c>
      <c r="AL3910" s="8" t="str">
        <f t="shared" si="248"/>
        <v/>
      </c>
    </row>
    <row r="3911" spans="1:38" x14ac:dyDescent="0.25">
      <c r="A3911" s="8" t="s">
        <v>3202</v>
      </c>
      <c r="B3911" s="8" t="s">
        <v>3203</v>
      </c>
      <c r="C3911" s="8">
        <v>30868510</v>
      </c>
      <c r="D3911" s="8">
        <v>5</v>
      </c>
      <c r="E3911" s="11">
        <v>43110</v>
      </c>
      <c r="F3911" s="8" t="s">
        <v>58</v>
      </c>
      <c r="G3911" s="11">
        <v>43110</v>
      </c>
      <c r="H3911" s="8" t="s">
        <v>25</v>
      </c>
      <c r="I3911" s="11">
        <v>43115</v>
      </c>
      <c r="J3911" s="8" t="s">
        <v>145</v>
      </c>
      <c r="N3911" s="8" t="s">
        <v>58</v>
      </c>
      <c r="O3911" s="8" t="s">
        <v>59</v>
      </c>
      <c r="P3911" s="8" t="s">
        <v>59</v>
      </c>
      <c r="R3911" s="8">
        <v>0</v>
      </c>
      <c r="S3911" s="8">
        <v>0</v>
      </c>
      <c r="T3911" s="8">
        <v>1</v>
      </c>
      <c r="U3911" s="8">
        <v>2</v>
      </c>
      <c r="X3911" s="8">
        <v>5</v>
      </c>
      <c r="AG3911" s="8" t="str">
        <f t="shared" si="245"/>
        <v/>
      </c>
      <c r="AI3911" s="8" t="str">
        <f t="shared" si="246"/>
        <v/>
      </c>
      <c r="AJ3911" s="8" t="str">
        <f t="shared" si="247"/>
        <v/>
      </c>
      <c r="AL3911" s="8" t="str">
        <f t="shared" si="248"/>
        <v/>
      </c>
    </row>
    <row r="3912" spans="1:38" x14ac:dyDescent="0.25">
      <c r="A3912" s="8" t="s">
        <v>3204</v>
      </c>
      <c r="B3912" s="8" t="s">
        <v>3205</v>
      </c>
      <c r="C3912" s="8">
        <v>30865229</v>
      </c>
      <c r="D3912" s="8">
        <v>5</v>
      </c>
      <c r="E3912" s="11">
        <v>43110</v>
      </c>
      <c r="F3912" s="8" t="s">
        <v>57</v>
      </c>
      <c r="G3912" s="11">
        <v>43110</v>
      </c>
      <c r="H3912" s="8" t="s">
        <v>25</v>
      </c>
      <c r="J3912" s="8" t="s">
        <v>25</v>
      </c>
      <c r="N3912" s="8" t="s">
        <v>58</v>
      </c>
      <c r="O3912" s="8" t="s">
        <v>59</v>
      </c>
      <c r="P3912" s="8" t="s">
        <v>59</v>
      </c>
      <c r="R3912" s="8">
        <v>0</v>
      </c>
      <c r="S3912" s="8">
        <v>0</v>
      </c>
      <c r="T3912" s="8">
        <v>1</v>
      </c>
      <c r="U3912" s="8">
        <v>2</v>
      </c>
      <c r="AG3912" s="8" t="str">
        <f t="shared" si="245"/>
        <v/>
      </c>
      <c r="AI3912" s="8" t="str">
        <f t="shared" si="246"/>
        <v/>
      </c>
      <c r="AJ3912" s="8" t="str">
        <f t="shared" si="247"/>
        <v/>
      </c>
      <c r="AL3912" s="8" t="str">
        <f t="shared" si="248"/>
        <v/>
      </c>
    </row>
    <row r="3913" spans="1:38" x14ac:dyDescent="0.25">
      <c r="A3913" s="8" t="s">
        <v>1594</v>
      </c>
      <c r="B3913" s="8" t="s">
        <v>1595</v>
      </c>
      <c r="C3913" s="8">
        <v>30812725</v>
      </c>
      <c r="D3913" s="8">
        <v>5</v>
      </c>
      <c r="E3913" s="11">
        <v>43108</v>
      </c>
      <c r="F3913" s="8" t="s">
        <v>57</v>
      </c>
      <c r="G3913" s="11">
        <v>43109</v>
      </c>
      <c r="H3913" s="8" t="s">
        <v>25</v>
      </c>
      <c r="J3913" s="8" t="s">
        <v>25</v>
      </c>
      <c r="N3913" s="8" t="s">
        <v>58</v>
      </c>
      <c r="O3913" s="8" t="s">
        <v>59</v>
      </c>
      <c r="P3913" s="8" t="s">
        <v>59</v>
      </c>
      <c r="R3913" s="8">
        <v>0</v>
      </c>
      <c r="S3913" s="8">
        <v>0</v>
      </c>
      <c r="T3913" s="8">
        <v>1</v>
      </c>
      <c r="U3913" s="8">
        <v>2</v>
      </c>
      <c r="AG3913" s="8" t="str">
        <f t="shared" si="245"/>
        <v/>
      </c>
      <c r="AI3913" s="8" t="str">
        <f t="shared" si="246"/>
        <v/>
      </c>
      <c r="AJ3913" s="8" t="str">
        <f t="shared" si="247"/>
        <v/>
      </c>
      <c r="AL3913" s="8" t="str">
        <f t="shared" si="248"/>
        <v/>
      </c>
    </row>
    <row r="3914" spans="1:38" x14ac:dyDescent="0.25">
      <c r="A3914" s="8" t="s">
        <v>3206</v>
      </c>
      <c r="B3914" s="8" t="s">
        <v>3207</v>
      </c>
      <c r="C3914" s="8">
        <v>30861847</v>
      </c>
      <c r="D3914" s="8">
        <v>5</v>
      </c>
      <c r="E3914" s="11">
        <v>43110</v>
      </c>
      <c r="F3914" s="8" t="s">
        <v>57</v>
      </c>
      <c r="G3914" s="11">
        <v>43110</v>
      </c>
      <c r="H3914" s="8" t="s">
        <v>25</v>
      </c>
      <c r="J3914" s="8" t="s">
        <v>25</v>
      </c>
      <c r="N3914" s="8" t="s">
        <v>58</v>
      </c>
      <c r="O3914" s="8" t="s">
        <v>59</v>
      </c>
      <c r="P3914" s="8" t="s">
        <v>59</v>
      </c>
      <c r="R3914" s="8">
        <v>0</v>
      </c>
      <c r="S3914" s="8">
        <v>0</v>
      </c>
      <c r="T3914" s="8">
        <v>1</v>
      </c>
      <c r="U3914" s="8">
        <v>2</v>
      </c>
      <c r="AG3914" s="8" t="str">
        <f t="shared" si="245"/>
        <v/>
      </c>
      <c r="AI3914" s="8" t="str">
        <f t="shared" si="246"/>
        <v/>
      </c>
      <c r="AJ3914" s="8" t="str">
        <f t="shared" si="247"/>
        <v/>
      </c>
      <c r="AL3914" s="8" t="str">
        <f t="shared" si="248"/>
        <v/>
      </c>
    </row>
    <row r="3915" spans="1:38" x14ac:dyDescent="0.25">
      <c r="A3915" s="8" t="s">
        <v>3208</v>
      </c>
      <c r="B3915" s="8" t="s">
        <v>3209</v>
      </c>
      <c r="C3915" s="8">
        <v>30860171</v>
      </c>
      <c r="D3915" s="8">
        <v>5</v>
      </c>
      <c r="E3915" s="11">
        <v>43110</v>
      </c>
      <c r="F3915" s="8" t="s">
        <v>57</v>
      </c>
      <c r="G3915" s="11">
        <v>43110</v>
      </c>
      <c r="H3915" s="8" t="s">
        <v>25</v>
      </c>
      <c r="J3915" s="8" t="s">
        <v>25</v>
      </c>
      <c r="N3915" s="8" t="s">
        <v>58</v>
      </c>
      <c r="O3915" s="8" t="s">
        <v>59</v>
      </c>
      <c r="P3915" s="8" t="s">
        <v>59</v>
      </c>
      <c r="R3915" s="8">
        <v>0</v>
      </c>
      <c r="S3915" s="8">
        <v>0</v>
      </c>
      <c r="T3915" s="8">
        <v>1</v>
      </c>
      <c r="U3915" s="8">
        <v>2</v>
      </c>
      <c r="AG3915" s="8" t="str">
        <f t="shared" si="245"/>
        <v/>
      </c>
      <c r="AI3915" s="8" t="str">
        <f t="shared" si="246"/>
        <v/>
      </c>
      <c r="AJ3915" s="8" t="str">
        <f t="shared" si="247"/>
        <v/>
      </c>
      <c r="AL3915" s="8" t="str">
        <f t="shared" si="248"/>
        <v/>
      </c>
    </row>
    <row r="3916" spans="1:38" x14ac:dyDescent="0.25">
      <c r="A3916" s="8" t="s">
        <v>3210</v>
      </c>
      <c r="B3916" s="8" t="s">
        <v>3211</v>
      </c>
      <c r="C3916" s="8">
        <v>30854669</v>
      </c>
      <c r="D3916" s="8">
        <v>5</v>
      </c>
      <c r="E3916" s="11">
        <v>43109</v>
      </c>
      <c r="F3916" s="8" t="s">
        <v>58</v>
      </c>
      <c r="G3916" s="11">
        <v>43110</v>
      </c>
      <c r="H3916" s="8" t="s">
        <v>25</v>
      </c>
      <c r="I3916" s="11">
        <v>43115</v>
      </c>
      <c r="J3916" s="8" t="s">
        <v>145</v>
      </c>
      <c r="N3916" s="8" t="s">
        <v>58</v>
      </c>
      <c r="O3916" s="8" t="s">
        <v>59</v>
      </c>
      <c r="P3916" s="8" t="s">
        <v>59</v>
      </c>
      <c r="R3916" s="8">
        <v>0</v>
      </c>
      <c r="S3916" s="8">
        <v>0</v>
      </c>
      <c r="T3916" s="8">
        <v>1</v>
      </c>
      <c r="U3916" s="8">
        <v>2</v>
      </c>
      <c r="X3916" s="8">
        <v>5</v>
      </c>
      <c r="AG3916" s="8" t="str">
        <f t="shared" si="245"/>
        <v/>
      </c>
      <c r="AI3916" s="8" t="str">
        <f t="shared" si="246"/>
        <v/>
      </c>
      <c r="AJ3916" s="8" t="str">
        <f t="shared" si="247"/>
        <v/>
      </c>
      <c r="AL3916" s="8" t="str">
        <f t="shared" si="248"/>
        <v/>
      </c>
    </row>
    <row r="3917" spans="1:38" x14ac:dyDescent="0.25">
      <c r="A3917" s="8" t="s">
        <v>6445</v>
      </c>
      <c r="B3917" s="8" t="s">
        <v>6446</v>
      </c>
      <c r="C3917" s="8">
        <v>30915247</v>
      </c>
      <c r="D3917" s="8">
        <v>5</v>
      </c>
      <c r="E3917" s="11">
        <v>43112</v>
      </c>
      <c r="F3917" s="8" t="s">
        <v>57</v>
      </c>
      <c r="G3917" s="11">
        <v>43112</v>
      </c>
      <c r="H3917" s="8" t="s">
        <v>25</v>
      </c>
      <c r="J3917" s="8" t="s">
        <v>25</v>
      </c>
      <c r="N3917" s="8" t="s">
        <v>58</v>
      </c>
      <c r="O3917" s="8" t="s">
        <v>59</v>
      </c>
      <c r="P3917" s="8" t="s">
        <v>59</v>
      </c>
      <c r="R3917" s="8">
        <v>0</v>
      </c>
      <c r="S3917" s="8">
        <v>0</v>
      </c>
      <c r="T3917" s="8">
        <v>1</v>
      </c>
      <c r="U3917" s="8">
        <v>2</v>
      </c>
      <c r="AG3917" s="8" t="str">
        <f t="shared" si="245"/>
        <v/>
      </c>
      <c r="AI3917" s="8" t="str">
        <f t="shared" si="246"/>
        <v/>
      </c>
      <c r="AJ3917" s="8" t="str">
        <f t="shared" si="247"/>
        <v/>
      </c>
      <c r="AL3917" s="8" t="str">
        <f t="shared" si="248"/>
        <v/>
      </c>
    </row>
    <row r="3918" spans="1:38" x14ac:dyDescent="0.25">
      <c r="A3918" s="8" t="s">
        <v>6447</v>
      </c>
      <c r="B3918" s="8" t="s">
        <v>6448</v>
      </c>
      <c r="C3918" s="8">
        <v>30915171</v>
      </c>
      <c r="D3918" s="8">
        <v>5</v>
      </c>
      <c r="E3918" s="11">
        <v>43112</v>
      </c>
      <c r="F3918" s="8" t="s">
        <v>57</v>
      </c>
      <c r="G3918" s="11">
        <v>43114</v>
      </c>
      <c r="H3918" s="8" t="s">
        <v>25</v>
      </c>
      <c r="J3918" s="8" t="s">
        <v>25</v>
      </c>
      <c r="N3918" s="8" t="s">
        <v>58</v>
      </c>
      <c r="O3918" s="8" t="s">
        <v>59</v>
      </c>
      <c r="P3918" s="8" t="s">
        <v>59</v>
      </c>
      <c r="R3918" s="8">
        <v>0</v>
      </c>
      <c r="S3918" s="8">
        <v>0</v>
      </c>
      <c r="T3918" s="8">
        <v>1</v>
      </c>
      <c r="U3918" s="8">
        <v>2</v>
      </c>
      <c r="AG3918" s="8" t="str">
        <f t="shared" si="245"/>
        <v/>
      </c>
      <c r="AI3918" s="8" t="str">
        <f t="shared" si="246"/>
        <v/>
      </c>
      <c r="AJ3918" s="8" t="str">
        <f t="shared" si="247"/>
        <v/>
      </c>
      <c r="AL3918" s="8" t="str">
        <f t="shared" si="248"/>
        <v/>
      </c>
    </row>
    <row r="3919" spans="1:38" x14ac:dyDescent="0.25">
      <c r="A3919" s="8" t="s">
        <v>6449</v>
      </c>
      <c r="B3919" s="8" t="s">
        <v>6450</v>
      </c>
      <c r="C3919" s="8">
        <v>30915173</v>
      </c>
      <c r="D3919" s="8">
        <v>5</v>
      </c>
      <c r="E3919" s="11">
        <v>43112</v>
      </c>
      <c r="F3919" s="8" t="s">
        <v>57</v>
      </c>
      <c r="G3919" s="11">
        <v>43114</v>
      </c>
      <c r="H3919" s="8" t="s">
        <v>25</v>
      </c>
      <c r="J3919" s="8" t="s">
        <v>25</v>
      </c>
      <c r="N3919" s="8" t="s">
        <v>58</v>
      </c>
      <c r="O3919" s="8" t="s">
        <v>59</v>
      </c>
      <c r="P3919" s="8" t="s">
        <v>59</v>
      </c>
      <c r="R3919" s="8">
        <v>0</v>
      </c>
      <c r="S3919" s="8">
        <v>0</v>
      </c>
      <c r="T3919" s="8">
        <v>1</v>
      </c>
      <c r="U3919" s="8">
        <v>2</v>
      </c>
      <c r="AG3919" s="8" t="str">
        <f t="shared" si="245"/>
        <v/>
      </c>
      <c r="AI3919" s="8" t="str">
        <f t="shared" si="246"/>
        <v/>
      </c>
      <c r="AJ3919" s="8" t="str">
        <f t="shared" si="247"/>
        <v/>
      </c>
      <c r="AL3919" s="8" t="str">
        <f t="shared" si="248"/>
        <v/>
      </c>
    </row>
    <row r="3920" spans="1:38" x14ac:dyDescent="0.25">
      <c r="A3920" s="8" t="s">
        <v>6451</v>
      </c>
      <c r="B3920" s="8" t="s">
        <v>6452</v>
      </c>
      <c r="C3920" s="8">
        <v>30915180</v>
      </c>
      <c r="D3920" s="8">
        <v>5</v>
      </c>
      <c r="E3920" s="11">
        <v>43112</v>
      </c>
      <c r="F3920" s="8" t="s">
        <v>57</v>
      </c>
      <c r="G3920" s="11">
        <v>43114</v>
      </c>
      <c r="H3920" s="8" t="s">
        <v>25</v>
      </c>
      <c r="J3920" s="8" t="s">
        <v>25</v>
      </c>
      <c r="N3920" s="8" t="s">
        <v>58</v>
      </c>
      <c r="O3920" s="8" t="s">
        <v>59</v>
      </c>
      <c r="P3920" s="8" t="s">
        <v>59</v>
      </c>
      <c r="R3920" s="8">
        <v>0</v>
      </c>
      <c r="S3920" s="8">
        <v>0</v>
      </c>
      <c r="T3920" s="8">
        <v>1</v>
      </c>
      <c r="U3920" s="8">
        <v>2</v>
      </c>
      <c r="AG3920" s="8" t="str">
        <f t="shared" si="245"/>
        <v/>
      </c>
      <c r="AI3920" s="8" t="str">
        <f t="shared" si="246"/>
        <v/>
      </c>
      <c r="AJ3920" s="8" t="str">
        <f t="shared" si="247"/>
        <v/>
      </c>
      <c r="AL3920" s="8" t="str">
        <f t="shared" si="248"/>
        <v/>
      </c>
    </row>
    <row r="3921" spans="1:38" x14ac:dyDescent="0.25">
      <c r="A3921" s="8" t="s">
        <v>6453</v>
      </c>
      <c r="B3921" s="8" t="s">
        <v>6454</v>
      </c>
      <c r="C3921" s="8">
        <v>30915177</v>
      </c>
      <c r="D3921" s="8">
        <v>5</v>
      </c>
      <c r="E3921" s="11">
        <v>43112</v>
      </c>
      <c r="F3921" s="8" t="s">
        <v>57</v>
      </c>
      <c r="G3921" s="11">
        <v>43114</v>
      </c>
      <c r="H3921" s="8" t="s">
        <v>25</v>
      </c>
      <c r="J3921" s="8" t="s">
        <v>25</v>
      </c>
      <c r="N3921" s="8" t="s">
        <v>58</v>
      </c>
      <c r="O3921" s="8" t="s">
        <v>59</v>
      </c>
      <c r="P3921" s="8" t="s">
        <v>59</v>
      </c>
      <c r="R3921" s="8">
        <v>0</v>
      </c>
      <c r="S3921" s="8">
        <v>0</v>
      </c>
      <c r="T3921" s="8">
        <v>1</v>
      </c>
      <c r="U3921" s="8">
        <v>2</v>
      </c>
      <c r="AG3921" s="8" t="str">
        <f t="shared" si="245"/>
        <v/>
      </c>
      <c r="AI3921" s="8" t="str">
        <f t="shared" si="246"/>
        <v/>
      </c>
      <c r="AJ3921" s="8" t="str">
        <f t="shared" si="247"/>
        <v/>
      </c>
      <c r="AL3921" s="8" t="str">
        <f t="shared" si="248"/>
        <v/>
      </c>
    </row>
    <row r="3922" spans="1:38" x14ac:dyDescent="0.25">
      <c r="A3922" s="8" t="s">
        <v>6455</v>
      </c>
      <c r="B3922" s="8" t="s">
        <v>6456</v>
      </c>
      <c r="C3922" s="8">
        <v>30915176</v>
      </c>
      <c r="D3922" s="8">
        <v>5</v>
      </c>
      <c r="E3922" s="11">
        <v>43112</v>
      </c>
      <c r="F3922" s="8" t="s">
        <v>57</v>
      </c>
      <c r="G3922" s="11">
        <v>43114</v>
      </c>
      <c r="H3922" s="8" t="s">
        <v>25</v>
      </c>
      <c r="J3922" s="8" t="s">
        <v>25</v>
      </c>
      <c r="N3922" s="8" t="s">
        <v>58</v>
      </c>
      <c r="O3922" s="8" t="s">
        <v>59</v>
      </c>
      <c r="P3922" s="8" t="s">
        <v>59</v>
      </c>
      <c r="R3922" s="8">
        <v>0</v>
      </c>
      <c r="S3922" s="8">
        <v>0</v>
      </c>
      <c r="T3922" s="8">
        <v>1</v>
      </c>
      <c r="U3922" s="8">
        <v>2</v>
      </c>
      <c r="AG3922" s="8" t="str">
        <f t="shared" si="245"/>
        <v/>
      </c>
      <c r="AI3922" s="8" t="str">
        <f t="shared" si="246"/>
        <v/>
      </c>
      <c r="AJ3922" s="8" t="str">
        <f t="shared" si="247"/>
        <v/>
      </c>
      <c r="AL3922" s="8" t="str">
        <f t="shared" si="248"/>
        <v/>
      </c>
    </row>
    <row r="3923" spans="1:38" x14ac:dyDescent="0.25">
      <c r="A3923" s="8" t="s">
        <v>6457</v>
      </c>
      <c r="B3923" s="8" t="s">
        <v>6458</v>
      </c>
      <c r="C3923" s="8">
        <v>30915178</v>
      </c>
      <c r="D3923" s="8">
        <v>5</v>
      </c>
      <c r="E3923" s="11">
        <v>43112</v>
      </c>
      <c r="F3923" s="8" t="s">
        <v>57</v>
      </c>
      <c r="G3923" s="11">
        <v>43114</v>
      </c>
      <c r="H3923" s="8" t="s">
        <v>25</v>
      </c>
      <c r="J3923" s="8" t="s">
        <v>25</v>
      </c>
      <c r="N3923" s="8" t="s">
        <v>58</v>
      </c>
      <c r="O3923" s="8" t="s">
        <v>59</v>
      </c>
      <c r="P3923" s="8" t="s">
        <v>59</v>
      </c>
      <c r="R3923" s="8">
        <v>0</v>
      </c>
      <c r="S3923" s="8">
        <v>0</v>
      </c>
      <c r="T3923" s="8">
        <v>1</v>
      </c>
      <c r="U3923" s="8">
        <v>2</v>
      </c>
      <c r="AG3923" s="8" t="str">
        <f t="shared" si="245"/>
        <v/>
      </c>
      <c r="AI3923" s="8" t="str">
        <f t="shared" si="246"/>
        <v/>
      </c>
      <c r="AJ3923" s="8" t="str">
        <f t="shared" si="247"/>
        <v/>
      </c>
      <c r="AL3923" s="8" t="str">
        <f t="shared" si="248"/>
        <v/>
      </c>
    </row>
    <row r="3924" spans="1:38" x14ac:dyDescent="0.25">
      <c r="A3924" s="8" t="s">
        <v>6459</v>
      </c>
      <c r="B3924" s="8" t="s">
        <v>6460</v>
      </c>
      <c r="C3924" s="8">
        <v>30915179</v>
      </c>
      <c r="D3924" s="8">
        <v>5</v>
      </c>
      <c r="E3924" s="11">
        <v>43112</v>
      </c>
      <c r="F3924" s="8" t="s">
        <v>57</v>
      </c>
      <c r="G3924" s="11">
        <v>43114</v>
      </c>
      <c r="H3924" s="8" t="s">
        <v>25</v>
      </c>
      <c r="J3924" s="8" t="s">
        <v>25</v>
      </c>
      <c r="N3924" s="8" t="s">
        <v>58</v>
      </c>
      <c r="O3924" s="8" t="s">
        <v>59</v>
      </c>
      <c r="P3924" s="8" t="s">
        <v>59</v>
      </c>
      <c r="R3924" s="8">
        <v>0</v>
      </c>
      <c r="S3924" s="8">
        <v>0</v>
      </c>
      <c r="T3924" s="8">
        <v>1</v>
      </c>
      <c r="U3924" s="8">
        <v>2</v>
      </c>
      <c r="AG3924" s="8" t="str">
        <f t="shared" si="245"/>
        <v/>
      </c>
      <c r="AI3924" s="8" t="str">
        <f t="shared" si="246"/>
        <v/>
      </c>
      <c r="AJ3924" s="8" t="str">
        <f t="shared" si="247"/>
        <v/>
      </c>
      <c r="AL3924" s="8" t="str">
        <f t="shared" si="248"/>
        <v/>
      </c>
    </row>
    <row r="3925" spans="1:38" x14ac:dyDescent="0.25">
      <c r="A3925" s="8" t="s">
        <v>6461</v>
      </c>
      <c r="B3925" s="8" t="s">
        <v>6462</v>
      </c>
      <c r="C3925" s="8">
        <v>30915181</v>
      </c>
      <c r="D3925" s="8">
        <v>5</v>
      </c>
      <c r="E3925" s="11">
        <v>43112</v>
      </c>
      <c r="F3925" s="8" t="s">
        <v>57</v>
      </c>
      <c r="G3925" s="11">
        <v>43114</v>
      </c>
      <c r="H3925" s="8" t="s">
        <v>25</v>
      </c>
      <c r="J3925" s="8" t="s">
        <v>25</v>
      </c>
      <c r="N3925" s="8" t="s">
        <v>58</v>
      </c>
      <c r="O3925" s="8" t="s">
        <v>59</v>
      </c>
      <c r="P3925" s="8" t="s">
        <v>59</v>
      </c>
      <c r="R3925" s="8">
        <v>0</v>
      </c>
      <c r="S3925" s="8">
        <v>0</v>
      </c>
      <c r="T3925" s="8">
        <v>1</v>
      </c>
      <c r="U3925" s="8">
        <v>2</v>
      </c>
      <c r="AG3925" s="8" t="str">
        <f t="shared" si="245"/>
        <v/>
      </c>
      <c r="AI3925" s="8" t="str">
        <f t="shared" si="246"/>
        <v/>
      </c>
      <c r="AJ3925" s="8" t="str">
        <f t="shared" si="247"/>
        <v/>
      </c>
      <c r="AL3925" s="8" t="str">
        <f t="shared" si="248"/>
        <v/>
      </c>
    </row>
    <row r="3926" spans="1:38" x14ac:dyDescent="0.25">
      <c r="A3926" s="8" t="s">
        <v>6463</v>
      </c>
      <c r="B3926" s="8" t="s">
        <v>6464</v>
      </c>
      <c r="C3926" s="8">
        <v>30901902</v>
      </c>
      <c r="D3926" s="8">
        <v>3</v>
      </c>
      <c r="E3926" s="11">
        <v>43111</v>
      </c>
      <c r="F3926" s="8" t="s">
        <v>57</v>
      </c>
      <c r="G3926" s="11">
        <v>43114</v>
      </c>
      <c r="H3926" s="8" t="s">
        <v>25</v>
      </c>
      <c r="J3926" s="8" t="s">
        <v>25</v>
      </c>
      <c r="N3926" s="8" t="s">
        <v>58</v>
      </c>
      <c r="O3926" s="8" t="s">
        <v>59</v>
      </c>
      <c r="P3926" s="8" t="s">
        <v>59</v>
      </c>
      <c r="R3926" s="8">
        <v>0</v>
      </c>
      <c r="S3926" s="8">
        <v>0</v>
      </c>
      <c r="T3926" s="8">
        <v>1</v>
      </c>
      <c r="U3926" s="8">
        <v>2</v>
      </c>
      <c r="AG3926" s="8" t="str">
        <f t="shared" si="245"/>
        <v/>
      </c>
      <c r="AI3926" s="8" t="str">
        <f t="shared" si="246"/>
        <v/>
      </c>
      <c r="AJ3926" s="8" t="str">
        <f t="shared" si="247"/>
        <v/>
      </c>
      <c r="AL3926" s="8" t="str">
        <f t="shared" si="248"/>
        <v/>
      </c>
    </row>
    <row r="3927" spans="1:38" x14ac:dyDescent="0.25">
      <c r="A3927" s="8" t="s">
        <v>745</v>
      </c>
      <c r="B3927" s="8" t="s">
        <v>115</v>
      </c>
      <c r="C3927" s="8">
        <v>30812973</v>
      </c>
      <c r="D3927" s="8">
        <v>5</v>
      </c>
      <c r="E3927" s="11">
        <v>43108</v>
      </c>
      <c r="F3927" s="8" t="s">
        <v>57</v>
      </c>
      <c r="G3927" s="11">
        <v>43108</v>
      </c>
      <c r="H3927" s="8" t="s">
        <v>25</v>
      </c>
      <c r="J3927" s="8" t="s">
        <v>25</v>
      </c>
      <c r="N3927" s="8" t="s">
        <v>58</v>
      </c>
      <c r="O3927" s="8" t="s">
        <v>59</v>
      </c>
      <c r="P3927" s="8" t="s">
        <v>59</v>
      </c>
      <c r="R3927" s="8">
        <v>0</v>
      </c>
      <c r="S3927" s="8">
        <v>0</v>
      </c>
      <c r="T3927" s="8">
        <v>1</v>
      </c>
      <c r="U3927" s="8">
        <v>2</v>
      </c>
      <c r="AG3927" s="8" t="str">
        <f t="shared" si="245"/>
        <v/>
      </c>
      <c r="AI3927" s="8" t="str">
        <f t="shared" si="246"/>
        <v/>
      </c>
      <c r="AJ3927" s="8" t="str">
        <f t="shared" si="247"/>
        <v/>
      </c>
      <c r="AL3927" s="8" t="str">
        <f t="shared" si="248"/>
        <v/>
      </c>
    </row>
    <row r="3928" spans="1:38" x14ac:dyDescent="0.25">
      <c r="A3928" s="8" t="s">
        <v>4638</v>
      </c>
      <c r="B3928" s="8" t="s">
        <v>4639</v>
      </c>
      <c r="C3928" s="8">
        <v>30895146</v>
      </c>
      <c r="D3928" s="8">
        <v>5</v>
      </c>
      <c r="E3928" s="11">
        <v>43111</v>
      </c>
      <c r="F3928" s="8" t="s">
        <v>57</v>
      </c>
      <c r="G3928" s="11">
        <v>43111</v>
      </c>
      <c r="H3928" s="8" t="s">
        <v>25</v>
      </c>
      <c r="J3928" s="8" t="s">
        <v>25</v>
      </c>
      <c r="N3928" s="8" t="s">
        <v>58</v>
      </c>
      <c r="O3928" s="8" t="s">
        <v>59</v>
      </c>
      <c r="P3928" s="8" t="s">
        <v>59</v>
      </c>
      <c r="R3928" s="8">
        <v>0</v>
      </c>
      <c r="S3928" s="8">
        <v>0</v>
      </c>
      <c r="T3928" s="8">
        <v>1</v>
      </c>
      <c r="U3928" s="8">
        <v>2</v>
      </c>
      <c r="AG3928" s="8" t="str">
        <f t="shared" si="245"/>
        <v/>
      </c>
      <c r="AI3928" s="8" t="str">
        <f t="shared" si="246"/>
        <v/>
      </c>
      <c r="AJ3928" s="8" t="str">
        <f t="shared" si="247"/>
        <v/>
      </c>
      <c r="AL3928" s="8" t="str">
        <f t="shared" si="248"/>
        <v/>
      </c>
    </row>
    <row r="3929" spans="1:38" x14ac:dyDescent="0.25">
      <c r="A3929" s="8" t="s">
        <v>4640</v>
      </c>
      <c r="B3929" s="8" t="s">
        <v>4641</v>
      </c>
      <c r="C3929" s="8">
        <v>30891784</v>
      </c>
      <c r="D3929" s="8">
        <v>5</v>
      </c>
      <c r="E3929" s="11">
        <v>43111</v>
      </c>
      <c r="F3929" s="8" t="s">
        <v>57</v>
      </c>
      <c r="G3929" s="11">
        <v>43111</v>
      </c>
      <c r="H3929" s="8" t="s">
        <v>25</v>
      </c>
      <c r="J3929" s="8" t="s">
        <v>25</v>
      </c>
      <c r="N3929" s="8" t="s">
        <v>58</v>
      </c>
      <c r="O3929" s="8" t="s">
        <v>59</v>
      </c>
      <c r="P3929" s="8" t="s">
        <v>59</v>
      </c>
      <c r="R3929" s="8">
        <v>0</v>
      </c>
      <c r="S3929" s="8">
        <v>0</v>
      </c>
      <c r="T3929" s="8">
        <v>1</v>
      </c>
      <c r="U3929" s="8">
        <v>2</v>
      </c>
      <c r="AG3929" s="8" t="str">
        <f t="shared" si="245"/>
        <v/>
      </c>
      <c r="AI3929" s="8" t="str">
        <f t="shared" si="246"/>
        <v/>
      </c>
      <c r="AJ3929" s="8" t="str">
        <f t="shared" si="247"/>
        <v/>
      </c>
      <c r="AL3929" s="8" t="str">
        <f t="shared" si="248"/>
        <v/>
      </c>
    </row>
    <row r="3930" spans="1:38" x14ac:dyDescent="0.25">
      <c r="A3930" s="8" t="s">
        <v>6465</v>
      </c>
      <c r="B3930" s="8" t="s">
        <v>6466</v>
      </c>
      <c r="C3930" s="8">
        <v>30897451</v>
      </c>
      <c r="D3930" s="8">
        <v>5</v>
      </c>
      <c r="E3930" s="11">
        <v>43111</v>
      </c>
      <c r="F3930" s="8" t="s">
        <v>57</v>
      </c>
      <c r="G3930" s="11">
        <v>43112</v>
      </c>
      <c r="H3930" s="8" t="s">
        <v>25</v>
      </c>
      <c r="J3930" s="8" t="s">
        <v>25</v>
      </c>
      <c r="N3930" s="8" t="s">
        <v>58</v>
      </c>
      <c r="O3930" s="8" t="s">
        <v>59</v>
      </c>
      <c r="P3930" s="8" t="s">
        <v>59</v>
      </c>
      <c r="R3930" s="8">
        <v>0</v>
      </c>
      <c r="S3930" s="8">
        <v>0</v>
      </c>
      <c r="T3930" s="8">
        <v>1</v>
      </c>
      <c r="U3930" s="8">
        <v>2</v>
      </c>
      <c r="AG3930" s="8" t="str">
        <f t="shared" si="245"/>
        <v/>
      </c>
      <c r="AI3930" s="8" t="str">
        <f t="shared" si="246"/>
        <v/>
      </c>
      <c r="AJ3930" s="8" t="str">
        <f t="shared" si="247"/>
        <v/>
      </c>
      <c r="AL3930" s="8" t="str">
        <f t="shared" si="248"/>
        <v/>
      </c>
    </row>
    <row r="3931" spans="1:38" x14ac:dyDescent="0.25">
      <c r="A3931" s="8" t="s">
        <v>4642</v>
      </c>
      <c r="B3931" s="8" t="s">
        <v>4643</v>
      </c>
      <c r="C3931" s="8">
        <v>30891786</v>
      </c>
      <c r="D3931" s="8">
        <v>5</v>
      </c>
      <c r="E3931" s="11">
        <v>43111</v>
      </c>
      <c r="F3931" s="8" t="s">
        <v>57</v>
      </c>
      <c r="G3931" s="11">
        <v>43111</v>
      </c>
      <c r="H3931" s="8" t="s">
        <v>25</v>
      </c>
      <c r="J3931" s="8" t="s">
        <v>25</v>
      </c>
      <c r="N3931" s="8" t="s">
        <v>58</v>
      </c>
      <c r="O3931" s="8" t="s">
        <v>59</v>
      </c>
      <c r="P3931" s="8" t="s">
        <v>59</v>
      </c>
      <c r="R3931" s="8">
        <v>0</v>
      </c>
      <c r="S3931" s="8">
        <v>0</v>
      </c>
      <c r="T3931" s="8">
        <v>1</v>
      </c>
      <c r="U3931" s="8">
        <v>2</v>
      </c>
      <c r="AG3931" s="8" t="str">
        <f t="shared" si="245"/>
        <v/>
      </c>
      <c r="AI3931" s="8" t="str">
        <f t="shared" si="246"/>
        <v/>
      </c>
      <c r="AJ3931" s="8" t="str">
        <f t="shared" si="247"/>
        <v/>
      </c>
      <c r="AL3931" s="8" t="str">
        <f t="shared" si="248"/>
        <v/>
      </c>
    </row>
    <row r="3932" spans="1:38" x14ac:dyDescent="0.25">
      <c r="A3932" s="8" t="s">
        <v>1596</v>
      </c>
      <c r="B3932" s="8" t="s">
        <v>1597</v>
      </c>
      <c r="C3932" s="8">
        <v>30840586</v>
      </c>
      <c r="D3932" s="8">
        <v>5</v>
      </c>
      <c r="E3932" s="11">
        <v>43109</v>
      </c>
      <c r="F3932" s="8" t="s">
        <v>58</v>
      </c>
      <c r="G3932" s="11">
        <v>43109</v>
      </c>
      <c r="H3932" s="8" t="s">
        <v>25</v>
      </c>
      <c r="I3932" s="11">
        <v>43112</v>
      </c>
      <c r="J3932" s="8" t="s">
        <v>25</v>
      </c>
      <c r="N3932" s="8" t="s">
        <v>58</v>
      </c>
      <c r="O3932" s="8" t="s">
        <v>59</v>
      </c>
      <c r="P3932" s="8" t="s">
        <v>59</v>
      </c>
      <c r="R3932" s="8">
        <v>0</v>
      </c>
      <c r="S3932" s="8">
        <v>0</v>
      </c>
      <c r="T3932" s="8">
        <v>1</v>
      </c>
      <c r="U3932" s="8">
        <v>2</v>
      </c>
      <c r="X3932" s="8">
        <v>5</v>
      </c>
      <c r="AG3932" s="8" t="str">
        <f t="shared" si="245"/>
        <v/>
      </c>
      <c r="AI3932" s="8" t="str">
        <f t="shared" si="246"/>
        <v/>
      </c>
      <c r="AJ3932" s="8" t="str">
        <f t="shared" si="247"/>
        <v/>
      </c>
      <c r="AL3932" s="8" t="str">
        <f t="shared" si="248"/>
        <v/>
      </c>
    </row>
    <row r="3933" spans="1:38" x14ac:dyDescent="0.25">
      <c r="A3933" s="8" t="s">
        <v>6467</v>
      </c>
      <c r="B3933" s="8" t="s">
        <v>6468</v>
      </c>
      <c r="C3933" s="8">
        <v>30915182</v>
      </c>
      <c r="D3933" s="8">
        <v>5</v>
      </c>
      <c r="E3933" s="11">
        <v>43112</v>
      </c>
      <c r="F3933" s="8" t="s">
        <v>57</v>
      </c>
      <c r="G3933" s="11">
        <v>43114</v>
      </c>
      <c r="H3933" s="8" t="s">
        <v>25</v>
      </c>
      <c r="J3933" s="8" t="s">
        <v>25</v>
      </c>
      <c r="N3933" s="8" t="s">
        <v>58</v>
      </c>
      <c r="O3933" s="8" t="s">
        <v>59</v>
      </c>
      <c r="P3933" s="8" t="s">
        <v>59</v>
      </c>
      <c r="R3933" s="8">
        <v>0</v>
      </c>
      <c r="S3933" s="8">
        <v>0</v>
      </c>
      <c r="T3933" s="8">
        <v>1</v>
      </c>
      <c r="U3933" s="8">
        <v>2</v>
      </c>
      <c r="AG3933" s="8" t="str">
        <f t="shared" si="245"/>
        <v/>
      </c>
      <c r="AI3933" s="8" t="str">
        <f t="shared" si="246"/>
        <v/>
      </c>
      <c r="AJ3933" s="8" t="str">
        <f t="shared" si="247"/>
        <v/>
      </c>
      <c r="AL3933" s="8" t="str">
        <f t="shared" si="248"/>
        <v/>
      </c>
    </row>
    <row r="3934" spans="1:38" x14ac:dyDescent="0.25">
      <c r="A3934" s="8" t="s">
        <v>4644</v>
      </c>
      <c r="B3934" s="8" t="s">
        <v>4645</v>
      </c>
      <c r="C3934" s="8">
        <v>30882492</v>
      </c>
      <c r="D3934" s="8">
        <v>5</v>
      </c>
      <c r="E3934" s="11">
        <v>43111</v>
      </c>
      <c r="F3934" s="8" t="s">
        <v>58</v>
      </c>
      <c r="G3934" s="11">
        <v>43111</v>
      </c>
      <c r="H3934" s="8" t="s">
        <v>25</v>
      </c>
      <c r="I3934" s="11">
        <v>43111</v>
      </c>
      <c r="J3934" s="8" t="s">
        <v>25</v>
      </c>
      <c r="N3934" s="8" t="s">
        <v>58</v>
      </c>
      <c r="O3934" s="8" t="s">
        <v>59</v>
      </c>
      <c r="P3934" s="8" t="s">
        <v>59</v>
      </c>
      <c r="R3934" s="8">
        <v>0</v>
      </c>
      <c r="S3934" s="8">
        <v>0</v>
      </c>
      <c r="T3934" s="8">
        <v>1</v>
      </c>
      <c r="U3934" s="8">
        <v>2</v>
      </c>
      <c r="X3934" s="8">
        <v>5</v>
      </c>
      <c r="AG3934" s="8" t="str">
        <f t="shared" si="245"/>
        <v/>
      </c>
      <c r="AI3934" s="8" t="str">
        <f t="shared" si="246"/>
        <v/>
      </c>
      <c r="AJ3934" s="8" t="str">
        <f t="shared" si="247"/>
        <v/>
      </c>
      <c r="AL3934" s="8" t="str">
        <f t="shared" si="248"/>
        <v/>
      </c>
    </row>
    <row r="3935" spans="1:38" x14ac:dyDescent="0.25">
      <c r="A3935" s="8" t="s">
        <v>8153</v>
      </c>
      <c r="B3935" s="8" t="s">
        <v>8154</v>
      </c>
      <c r="C3935" s="8">
        <v>30938314</v>
      </c>
      <c r="D3935" s="8">
        <v>5</v>
      </c>
      <c r="E3935" s="11">
        <v>43115</v>
      </c>
      <c r="F3935" s="8" t="s">
        <v>57</v>
      </c>
      <c r="G3935" s="11">
        <v>43115</v>
      </c>
      <c r="H3935" s="8" t="s">
        <v>25</v>
      </c>
      <c r="J3935" s="8" t="s">
        <v>25</v>
      </c>
      <c r="N3935" s="8" t="s">
        <v>58</v>
      </c>
      <c r="O3935" s="8" t="s">
        <v>59</v>
      </c>
      <c r="P3935" s="8" t="s">
        <v>59</v>
      </c>
      <c r="R3935" s="8">
        <v>0</v>
      </c>
      <c r="S3935" s="8">
        <v>0</v>
      </c>
      <c r="T3935" s="8">
        <v>1</v>
      </c>
      <c r="U3935" s="8">
        <v>2</v>
      </c>
      <c r="AG3935" s="8" t="str">
        <f t="shared" si="245"/>
        <v/>
      </c>
      <c r="AI3935" s="8" t="str">
        <f t="shared" si="246"/>
        <v/>
      </c>
      <c r="AJ3935" s="8" t="str">
        <f t="shared" si="247"/>
        <v/>
      </c>
      <c r="AL3935" s="8" t="str">
        <f t="shared" si="248"/>
        <v/>
      </c>
    </row>
    <row r="3936" spans="1:38" x14ac:dyDescent="0.25">
      <c r="A3936" s="8" t="s">
        <v>1598</v>
      </c>
      <c r="B3936" s="8" t="s">
        <v>1599</v>
      </c>
      <c r="C3936" s="8">
        <v>30809955</v>
      </c>
      <c r="D3936" s="8">
        <v>5</v>
      </c>
      <c r="E3936" s="11">
        <v>43108</v>
      </c>
      <c r="F3936" s="8" t="s">
        <v>57</v>
      </c>
      <c r="G3936" s="11">
        <v>43109</v>
      </c>
      <c r="H3936" s="8" t="s">
        <v>25</v>
      </c>
      <c r="J3936" s="8" t="s">
        <v>25</v>
      </c>
      <c r="N3936" s="8" t="s">
        <v>58</v>
      </c>
      <c r="O3936" s="8" t="s">
        <v>59</v>
      </c>
      <c r="P3936" s="8" t="s">
        <v>59</v>
      </c>
      <c r="R3936" s="8">
        <v>0</v>
      </c>
      <c r="S3936" s="8">
        <v>0</v>
      </c>
      <c r="T3936" s="8">
        <v>1</v>
      </c>
      <c r="U3936" s="8">
        <v>2</v>
      </c>
      <c r="AG3936" s="8" t="str">
        <f t="shared" si="245"/>
        <v/>
      </c>
      <c r="AI3936" s="8" t="str">
        <f t="shared" si="246"/>
        <v/>
      </c>
      <c r="AJ3936" s="8" t="str">
        <f t="shared" si="247"/>
        <v/>
      </c>
      <c r="AL3936" s="8" t="str">
        <f t="shared" si="248"/>
        <v/>
      </c>
    </row>
    <row r="3937" spans="1:38" x14ac:dyDescent="0.25">
      <c r="A3937" s="8" t="s">
        <v>3212</v>
      </c>
      <c r="B3937" s="8" t="s">
        <v>3213</v>
      </c>
      <c r="C3937" s="8">
        <v>30866473</v>
      </c>
      <c r="D3937" s="8">
        <v>5</v>
      </c>
      <c r="E3937" s="11">
        <v>43110</v>
      </c>
      <c r="F3937" s="8" t="s">
        <v>57</v>
      </c>
      <c r="G3937" s="11">
        <v>43110</v>
      </c>
      <c r="H3937" s="8" t="s">
        <v>25</v>
      </c>
      <c r="J3937" s="8" t="s">
        <v>25</v>
      </c>
      <c r="N3937" s="8" t="s">
        <v>58</v>
      </c>
      <c r="O3937" s="8" t="s">
        <v>59</v>
      </c>
      <c r="P3937" s="8" t="s">
        <v>59</v>
      </c>
      <c r="R3937" s="8">
        <v>0</v>
      </c>
      <c r="S3937" s="8">
        <v>0</v>
      </c>
      <c r="T3937" s="8">
        <v>1</v>
      </c>
      <c r="U3937" s="8">
        <v>2</v>
      </c>
      <c r="AG3937" s="8" t="str">
        <f t="shared" si="245"/>
        <v/>
      </c>
      <c r="AI3937" s="8" t="str">
        <f t="shared" si="246"/>
        <v/>
      </c>
      <c r="AJ3937" s="8" t="str">
        <f t="shared" si="247"/>
        <v/>
      </c>
      <c r="AL3937" s="8" t="str">
        <f t="shared" si="248"/>
        <v/>
      </c>
    </row>
    <row r="3938" spans="1:38" x14ac:dyDescent="0.25">
      <c r="A3938" s="8" t="s">
        <v>3214</v>
      </c>
      <c r="B3938" s="8" t="s">
        <v>3215</v>
      </c>
      <c r="C3938" s="8">
        <v>30863807</v>
      </c>
      <c r="D3938" s="8">
        <v>5</v>
      </c>
      <c r="E3938" s="11">
        <v>43110</v>
      </c>
      <c r="F3938" s="8" t="s">
        <v>57</v>
      </c>
      <c r="G3938" s="11">
        <v>43110</v>
      </c>
      <c r="H3938" s="8" t="s">
        <v>25</v>
      </c>
      <c r="J3938" s="8" t="s">
        <v>25</v>
      </c>
      <c r="N3938" s="8" t="s">
        <v>58</v>
      </c>
      <c r="O3938" s="8" t="s">
        <v>59</v>
      </c>
      <c r="P3938" s="8" t="s">
        <v>59</v>
      </c>
      <c r="R3938" s="8">
        <v>0</v>
      </c>
      <c r="S3938" s="8">
        <v>0</v>
      </c>
      <c r="T3938" s="8">
        <v>1</v>
      </c>
      <c r="U3938" s="8">
        <v>2</v>
      </c>
      <c r="AG3938" s="8" t="str">
        <f t="shared" si="245"/>
        <v/>
      </c>
      <c r="AI3938" s="8" t="str">
        <f t="shared" si="246"/>
        <v/>
      </c>
      <c r="AJ3938" s="8" t="str">
        <f t="shared" si="247"/>
        <v/>
      </c>
      <c r="AL3938" s="8" t="str">
        <f t="shared" si="248"/>
        <v/>
      </c>
    </row>
    <row r="3939" spans="1:38" x14ac:dyDescent="0.25">
      <c r="A3939" s="8" t="s">
        <v>1600</v>
      </c>
      <c r="B3939" s="8" t="s">
        <v>1601</v>
      </c>
      <c r="C3939" s="8">
        <v>30839692</v>
      </c>
      <c r="D3939" s="8">
        <v>5</v>
      </c>
      <c r="E3939" s="11">
        <v>43109</v>
      </c>
      <c r="F3939" s="8" t="s">
        <v>58</v>
      </c>
      <c r="G3939" s="11">
        <v>43109</v>
      </c>
      <c r="H3939" s="8" t="s">
        <v>25</v>
      </c>
      <c r="I3939" s="11">
        <v>43109</v>
      </c>
      <c r="J3939" s="8" t="s">
        <v>25</v>
      </c>
      <c r="N3939" s="8" t="s">
        <v>58</v>
      </c>
      <c r="O3939" s="8" t="s">
        <v>59</v>
      </c>
      <c r="P3939" s="8" t="s">
        <v>59</v>
      </c>
      <c r="R3939" s="8">
        <v>0</v>
      </c>
      <c r="S3939" s="8">
        <v>0</v>
      </c>
      <c r="T3939" s="8">
        <v>1</v>
      </c>
      <c r="U3939" s="8">
        <v>2</v>
      </c>
      <c r="X3939" s="8">
        <v>5</v>
      </c>
      <c r="AG3939" s="8" t="str">
        <f t="shared" si="245"/>
        <v/>
      </c>
      <c r="AI3939" s="8" t="str">
        <f t="shared" si="246"/>
        <v/>
      </c>
      <c r="AJ3939" s="8" t="str">
        <f t="shared" si="247"/>
        <v/>
      </c>
      <c r="AL3939" s="8" t="str">
        <f t="shared" si="248"/>
        <v/>
      </c>
    </row>
    <row r="3940" spans="1:38" x14ac:dyDescent="0.25">
      <c r="A3940" s="8" t="s">
        <v>3216</v>
      </c>
      <c r="B3940" s="8" t="s">
        <v>3217</v>
      </c>
      <c r="C3940" s="8">
        <v>30871176</v>
      </c>
      <c r="D3940" s="8">
        <v>5</v>
      </c>
      <c r="E3940" s="11">
        <v>43110</v>
      </c>
      <c r="F3940" s="8" t="s">
        <v>57</v>
      </c>
      <c r="G3940" s="11">
        <v>43110</v>
      </c>
      <c r="H3940" s="8" t="s">
        <v>25</v>
      </c>
      <c r="J3940" s="8" t="s">
        <v>25</v>
      </c>
      <c r="N3940" s="8" t="s">
        <v>58</v>
      </c>
      <c r="O3940" s="8" t="s">
        <v>59</v>
      </c>
      <c r="P3940" s="8" t="s">
        <v>59</v>
      </c>
      <c r="R3940" s="8">
        <v>0</v>
      </c>
      <c r="S3940" s="8">
        <v>0</v>
      </c>
      <c r="T3940" s="8">
        <v>1</v>
      </c>
      <c r="U3940" s="8">
        <v>2</v>
      </c>
      <c r="AG3940" s="8" t="str">
        <f t="shared" si="245"/>
        <v/>
      </c>
      <c r="AI3940" s="8" t="str">
        <f t="shared" si="246"/>
        <v/>
      </c>
      <c r="AJ3940" s="8" t="str">
        <f t="shared" si="247"/>
        <v/>
      </c>
      <c r="AL3940" s="8" t="str">
        <f t="shared" si="248"/>
        <v/>
      </c>
    </row>
    <row r="3941" spans="1:38" x14ac:dyDescent="0.25">
      <c r="A3941" s="8" t="s">
        <v>8155</v>
      </c>
      <c r="B3941" s="8" t="s">
        <v>8156</v>
      </c>
      <c r="C3941" s="8">
        <v>30934356</v>
      </c>
      <c r="D3941" s="8">
        <v>5</v>
      </c>
      <c r="E3941" s="11">
        <v>43115</v>
      </c>
      <c r="F3941" s="8" t="s">
        <v>57</v>
      </c>
      <c r="G3941" s="11">
        <v>43115</v>
      </c>
      <c r="H3941" s="8" t="s">
        <v>25</v>
      </c>
      <c r="J3941" s="8" t="s">
        <v>25</v>
      </c>
      <c r="N3941" s="8" t="s">
        <v>58</v>
      </c>
      <c r="O3941" s="8" t="s">
        <v>59</v>
      </c>
      <c r="P3941" s="8" t="s">
        <v>59</v>
      </c>
      <c r="R3941" s="8">
        <v>0</v>
      </c>
      <c r="S3941" s="8">
        <v>0</v>
      </c>
      <c r="T3941" s="8">
        <v>1</v>
      </c>
      <c r="U3941" s="8">
        <v>2</v>
      </c>
      <c r="AG3941" s="8" t="str">
        <f t="shared" si="245"/>
        <v/>
      </c>
      <c r="AI3941" s="8" t="str">
        <f t="shared" si="246"/>
        <v/>
      </c>
      <c r="AJ3941" s="8" t="str">
        <f t="shared" si="247"/>
        <v/>
      </c>
      <c r="AL3941" s="8" t="str">
        <f t="shared" si="248"/>
        <v/>
      </c>
    </row>
    <row r="3942" spans="1:38" x14ac:dyDescent="0.25">
      <c r="A3942" s="8" t="s">
        <v>3218</v>
      </c>
      <c r="B3942" s="8" t="s">
        <v>3219</v>
      </c>
      <c r="C3942" s="8">
        <v>30857132</v>
      </c>
      <c r="D3942" s="8">
        <v>5</v>
      </c>
      <c r="E3942" s="11">
        <v>43110</v>
      </c>
      <c r="F3942" s="8" t="s">
        <v>57</v>
      </c>
      <c r="G3942" s="11">
        <v>43110</v>
      </c>
      <c r="H3942" s="8" t="s">
        <v>25</v>
      </c>
      <c r="J3942" s="8" t="s">
        <v>25</v>
      </c>
      <c r="N3942" s="8" t="s">
        <v>58</v>
      </c>
      <c r="O3942" s="8" t="s">
        <v>59</v>
      </c>
      <c r="P3942" s="8" t="s">
        <v>59</v>
      </c>
      <c r="R3942" s="8">
        <v>0</v>
      </c>
      <c r="S3942" s="8">
        <v>0</v>
      </c>
      <c r="T3942" s="8">
        <v>1</v>
      </c>
      <c r="U3942" s="8">
        <v>2</v>
      </c>
      <c r="AG3942" s="8" t="str">
        <f t="shared" si="245"/>
        <v/>
      </c>
      <c r="AI3942" s="8" t="str">
        <f t="shared" si="246"/>
        <v/>
      </c>
      <c r="AJ3942" s="8" t="str">
        <f t="shared" si="247"/>
        <v/>
      </c>
      <c r="AL3942" s="8" t="str">
        <f t="shared" si="248"/>
        <v/>
      </c>
    </row>
    <row r="3943" spans="1:38" x14ac:dyDescent="0.25">
      <c r="A3943" s="8" t="s">
        <v>8157</v>
      </c>
      <c r="B3943" s="8" t="s">
        <v>8158</v>
      </c>
      <c r="C3943" s="8">
        <v>30925059</v>
      </c>
      <c r="D3943" s="8">
        <v>5</v>
      </c>
      <c r="E3943" s="11">
        <v>43112</v>
      </c>
      <c r="F3943" s="8" t="s">
        <v>57</v>
      </c>
      <c r="G3943" s="11">
        <v>43115</v>
      </c>
      <c r="H3943" s="8" t="s">
        <v>25</v>
      </c>
      <c r="J3943" s="8" t="s">
        <v>25</v>
      </c>
      <c r="N3943" s="8" t="s">
        <v>58</v>
      </c>
      <c r="O3943" s="8" t="s">
        <v>59</v>
      </c>
      <c r="P3943" s="8" t="s">
        <v>59</v>
      </c>
      <c r="R3943" s="8">
        <v>0</v>
      </c>
      <c r="S3943" s="8">
        <v>0</v>
      </c>
      <c r="T3943" s="8">
        <v>1</v>
      </c>
      <c r="U3943" s="8">
        <v>2</v>
      </c>
      <c r="AG3943" s="8" t="str">
        <f t="shared" si="245"/>
        <v/>
      </c>
      <c r="AI3943" s="8" t="str">
        <f t="shared" si="246"/>
        <v/>
      </c>
      <c r="AJ3943" s="8" t="str">
        <f t="shared" si="247"/>
        <v/>
      </c>
      <c r="AL3943" s="8" t="str">
        <f t="shared" si="248"/>
        <v/>
      </c>
    </row>
    <row r="3944" spans="1:38" x14ac:dyDescent="0.25">
      <c r="A3944" s="8" t="s">
        <v>3220</v>
      </c>
      <c r="B3944" s="8" t="s">
        <v>3221</v>
      </c>
      <c r="C3944" s="8">
        <v>30867080</v>
      </c>
      <c r="D3944" s="8">
        <v>5</v>
      </c>
      <c r="E3944" s="11">
        <v>43110</v>
      </c>
      <c r="F3944" s="8" t="s">
        <v>58</v>
      </c>
      <c r="G3944" s="11">
        <v>43110</v>
      </c>
      <c r="H3944" s="8" t="s">
        <v>25</v>
      </c>
      <c r="I3944" s="11">
        <v>43111</v>
      </c>
      <c r="J3944" s="8" t="s">
        <v>25</v>
      </c>
      <c r="N3944" s="8" t="s">
        <v>58</v>
      </c>
      <c r="O3944" s="8" t="s">
        <v>59</v>
      </c>
      <c r="P3944" s="8" t="s">
        <v>59</v>
      </c>
      <c r="R3944" s="8">
        <v>0</v>
      </c>
      <c r="S3944" s="8">
        <v>0</v>
      </c>
      <c r="T3944" s="8">
        <v>1</v>
      </c>
      <c r="U3944" s="8">
        <v>2</v>
      </c>
      <c r="X3944" s="8">
        <v>5</v>
      </c>
      <c r="AG3944" s="8" t="str">
        <f t="shared" si="245"/>
        <v/>
      </c>
      <c r="AI3944" s="8" t="str">
        <f t="shared" si="246"/>
        <v/>
      </c>
      <c r="AJ3944" s="8" t="str">
        <f t="shared" si="247"/>
        <v/>
      </c>
      <c r="AL3944" s="8" t="str">
        <f t="shared" si="248"/>
        <v/>
      </c>
    </row>
    <row r="3945" spans="1:38" x14ac:dyDescent="0.25">
      <c r="A3945" s="8" t="s">
        <v>746</v>
      </c>
      <c r="B3945" s="8" t="s">
        <v>747</v>
      </c>
      <c r="C3945" s="8">
        <v>30806734</v>
      </c>
      <c r="D3945" s="8">
        <v>5</v>
      </c>
      <c r="E3945" s="11">
        <v>43108</v>
      </c>
      <c r="F3945" s="8" t="s">
        <v>58</v>
      </c>
      <c r="G3945" s="11">
        <v>43108</v>
      </c>
      <c r="H3945" s="8" t="s">
        <v>25</v>
      </c>
      <c r="I3945" s="11">
        <v>43110</v>
      </c>
      <c r="J3945" s="8" t="s">
        <v>25</v>
      </c>
      <c r="N3945" s="8" t="s">
        <v>58</v>
      </c>
      <c r="O3945" s="8" t="s">
        <v>59</v>
      </c>
      <c r="P3945" s="8" t="s">
        <v>59</v>
      </c>
      <c r="R3945" s="8">
        <v>0</v>
      </c>
      <c r="S3945" s="8">
        <v>0</v>
      </c>
      <c r="T3945" s="8">
        <v>1</v>
      </c>
      <c r="U3945" s="8">
        <v>2</v>
      </c>
      <c r="X3945" s="8">
        <v>5</v>
      </c>
      <c r="AG3945" s="8" t="str">
        <f t="shared" si="245"/>
        <v/>
      </c>
      <c r="AI3945" s="8" t="str">
        <f t="shared" si="246"/>
        <v/>
      </c>
      <c r="AJ3945" s="8" t="str">
        <f t="shared" si="247"/>
        <v/>
      </c>
      <c r="AL3945" s="8" t="str">
        <f t="shared" si="248"/>
        <v/>
      </c>
    </row>
    <row r="3946" spans="1:38" x14ac:dyDescent="0.25">
      <c r="A3946" s="8" t="s">
        <v>4646</v>
      </c>
      <c r="B3946" s="8" t="s">
        <v>4647</v>
      </c>
      <c r="C3946" s="8">
        <v>30897261</v>
      </c>
      <c r="D3946" s="8">
        <v>5</v>
      </c>
      <c r="E3946" s="11">
        <v>43111</v>
      </c>
      <c r="F3946" s="8" t="s">
        <v>57</v>
      </c>
      <c r="G3946" s="11">
        <v>43111</v>
      </c>
      <c r="H3946" s="8" t="s">
        <v>25</v>
      </c>
      <c r="J3946" s="8" t="s">
        <v>25</v>
      </c>
      <c r="N3946" s="8" t="s">
        <v>58</v>
      </c>
      <c r="O3946" s="8" t="s">
        <v>59</v>
      </c>
      <c r="P3946" s="8" t="s">
        <v>59</v>
      </c>
      <c r="R3946" s="8">
        <v>0</v>
      </c>
      <c r="S3946" s="8">
        <v>0</v>
      </c>
      <c r="T3946" s="8">
        <v>1</v>
      </c>
      <c r="U3946" s="8">
        <v>2</v>
      </c>
      <c r="AG3946" s="8" t="str">
        <f t="shared" si="245"/>
        <v/>
      </c>
      <c r="AI3946" s="8" t="str">
        <f t="shared" si="246"/>
        <v/>
      </c>
      <c r="AJ3946" s="8" t="str">
        <f t="shared" si="247"/>
        <v/>
      </c>
      <c r="AL3946" s="8" t="str">
        <f t="shared" si="248"/>
        <v/>
      </c>
    </row>
    <row r="3947" spans="1:38" x14ac:dyDescent="0.25">
      <c r="A3947" s="8" t="s">
        <v>3222</v>
      </c>
      <c r="B3947" s="8" t="s">
        <v>3223</v>
      </c>
      <c r="C3947" s="8">
        <v>30858217</v>
      </c>
      <c r="D3947" s="8">
        <v>5</v>
      </c>
      <c r="E3947" s="11">
        <v>43110</v>
      </c>
      <c r="F3947" s="8" t="s">
        <v>57</v>
      </c>
      <c r="G3947" s="11">
        <v>43110</v>
      </c>
      <c r="H3947" s="8" t="s">
        <v>25</v>
      </c>
      <c r="J3947" s="8" t="s">
        <v>25</v>
      </c>
      <c r="N3947" s="8" t="s">
        <v>58</v>
      </c>
      <c r="O3947" s="8" t="s">
        <v>59</v>
      </c>
      <c r="P3947" s="8" t="s">
        <v>59</v>
      </c>
      <c r="R3947" s="8">
        <v>0</v>
      </c>
      <c r="S3947" s="8">
        <v>0</v>
      </c>
      <c r="T3947" s="8">
        <v>1</v>
      </c>
      <c r="U3947" s="8">
        <v>2</v>
      </c>
      <c r="AG3947" s="8" t="str">
        <f t="shared" si="245"/>
        <v/>
      </c>
      <c r="AI3947" s="8" t="str">
        <f t="shared" si="246"/>
        <v/>
      </c>
      <c r="AJ3947" s="8" t="str">
        <f t="shared" si="247"/>
        <v/>
      </c>
      <c r="AL3947" s="8" t="str">
        <f t="shared" si="248"/>
        <v/>
      </c>
    </row>
    <row r="3948" spans="1:38" x14ac:dyDescent="0.25">
      <c r="A3948" s="8" t="s">
        <v>8159</v>
      </c>
      <c r="B3948" s="8" t="s">
        <v>8160</v>
      </c>
      <c r="C3948" s="8">
        <v>30931637</v>
      </c>
      <c r="D3948" s="8">
        <v>5</v>
      </c>
      <c r="E3948" s="11">
        <v>43115</v>
      </c>
      <c r="F3948" s="8" t="s">
        <v>57</v>
      </c>
      <c r="G3948" s="11">
        <v>43115</v>
      </c>
      <c r="H3948" s="8" t="s">
        <v>25</v>
      </c>
      <c r="J3948" s="8" t="s">
        <v>25</v>
      </c>
      <c r="N3948" s="8" t="s">
        <v>58</v>
      </c>
      <c r="O3948" s="8" t="s">
        <v>59</v>
      </c>
      <c r="P3948" s="8" t="s">
        <v>59</v>
      </c>
      <c r="R3948" s="8">
        <v>0</v>
      </c>
      <c r="S3948" s="8">
        <v>0</v>
      </c>
      <c r="T3948" s="8">
        <v>1</v>
      </c>
      <c r="U3948" s="8">
        <v>2</v>
      </c>
      <c r="AG3948" s="8" t="str">
        <f t="shared" si="245"/>
        <v/>
      </c>
      <c r="AI3948" s="8" t="str">
        <f t="shared" si="246"/>
        <v/>
      </c>
      <c r="AJ3948" s="8" t="str">
        <f t="shared" si="247"/>
        <v/>
      </c>
      <c r="AL3948" s="8" t="str">
        <f t="shared" si="248"/>
        <v/>
      </c>
    </row>
    <row r="3949" spans="1:38" x14ac:dyDescent="0.25">
      <c r="A3949" s="8" t="s">
        <v>6469</v>
      </c>
      <c r="B3949" s="8" t="s">
        <v>6470</v>
      </c>
      <c r="C3949" s="8">
        <v>30900015</v>
      </c>
      <c r="D3949" s="8">
        <v>5</v>
      </c>
      <c r="E3949" s="11">
        <v>43111</v>
      </c>
      <c r="F3949" s="8" t="s">
        <v>57</v>
      </c>
      <c r="G3949" s="11">
        <v>43114</v>
      </c>
      <c r="H3949" s="8" t="s">
        <v>25</v>
      </c>
      <c r="J3949" s="8" t="s">
        <v>25</v>
      </c>
      <c r="N3949" s="8" t="s">
        <v>58</v>
      </c>
      <c r="O3949" s="8" t="s">
        <v>59</v>
      </c>
      <c r="P3949" s="8" t="s">
        <v>59</v>
      </c>
      <c r="R3949" s="8">
        <v>0</v>
      </c>
      <c r="S3949" s="8">
        <v>0</v>
      </c>
      <c r="T3949" s="8">
        <v>1</v>
      </c>
      <c r="U3949" s="8">
        <v>2</v>
      </c>
      <c r="AG3949" s="8" t="str">
        <f t="shared" si="245"/>
        <v/>
      </c>
      <c r="AI3949" s="8" t="str">
        <f t="shared" si="246"/>
        <v/>
      </c>
      <c r="AJ3949" s="8" t="str">
        <f t="shared" si="247"/>
        <v/>
      </c>
      <c r="AL3949" s="8" t="str">
        <f t="shared" si="248"/>
        <v/>
      </c>
    </row>
    <row r="3950" spans="1:38" x14ac:dyDescent="0.25">
      <c r="A3950" s="8" t="s">
        <v>8161</v>
      </c>
      <c r="B3950" s="8" t="s">
        <v>8162</v>
      </c>
      <c r="C3950" s="8">
        <v>30931224</v>
      </c>
      <c r="D3950" s="8">
        <v>5</v>
      </c>
      <c r="E3950" s="11">
        <v>43115</v>
      </c>
      <c r="F3950" s="8" t="s">
        <v>57</v>
      </c>
      <c r="G3950" s="11">
        <v>43115</v>
      </c>
      <c r="H3950" s="8" t="s">
        <v>25</v>
      </c>
      <c r="J3950" s="8" t="s">
        <v>25</v>
      </c>
      <c r="N3950" s="8" t="s">
        <v>58</v>
      </c>
      <c r="O3950" s="8" t="s">
        <v>59</v>
      </c>
      <c r="P3950" s="8" t="s">
        <v>59</v>
      </c>
      <c r="R3950" s="8">
        <v>0</v>
      </c>
      <c r="S3950" s="8">
        <v>0</v>
      </c>
      <c r="T3950" s="8">
        <v>1</v>
      </c>
      <c r="U3950" s="8">
        <v>2</v>
      </c>
      <c r="AG3950" s="8" t="str">
        <f t="shared" si="245"/>
        <v/>
      </c>
      <c r="AI3950" s="8" t="str">
        <f t="shared" si="246"/>
        <v/>
      </c>
      <c r="AJ3950" s="8" t="str">
        <f t="shared" si="247"/>
        <v/>
      </c>
      <c r="AL3950" s="8" t="str">
        <f t="shared" si="248"/>
        <v/>
      </c>
    </row>
    <row r="3951" spans="1:38" x14ac:dyDescent="0.25">
      <c r="A3951" s="8" t="s">
        <v>8163</v>
      </c>
      <c r="B3951" s="8" t="s">
        <v>8164</v>
      </c>
      <c r="C3951" s="8">
        <v>30939121</v>
      </c>
      <c r="D3951" s="8">
        <v>5</v>
      </c>
      <c r="E3951" s="11">
        <v>43115</v>
      </c>
      <c r="F3951" s="8" t="s">
        <v>57</v>
      </c>
      <c r="G3951" s="11">
        <v>43115</v>
      </c>
      <c r="H3951" s="8" t="s">
        <v>25</v>
      </c>
      <c r="J3951" s="8" t="s">
        <v>25</v>
      </c>
      <c r="N3951" s="8" t="s">
        <v>58</v>
      </c>
      <c r="O3951" s="8" t="s">
        <v>59</v>
      </c>
      <c r="P3951" s="8" t="s">
        <v>59</v>
      </c>
      <c r="R3951" s="8">
        <v>0</v>
      </c>
      <c r="S3951" s="8">
        <v>0</v>
      </c>
      <c r="T3951" s="8">
        <v>1</v>
      </c>
      <c r="U3951" s="8">
        <v>2</v>
      </c>
      <c r="AG3951" s="8" t="str">
        <f t="shared" si="245"/>
        <v/>
      </c>
      <c r="AI3951" s="8" t="str">
        <f t="shared" si="246"/>
        <v/>
      </c>
      <c r="AJ3951" s="8" t="str">
        <f t="shared" si="247"/>
        <v/>
      </c>
      <c r="AL3951" s="8" t="str">
        <f t="shared" si="248"/>
        <v/>
      </c>
    </row>
    <row r="3952" spans="1:38" x14ac:dyDescent="0.25">
      <c r="A3952" s="8" t="s">
        <v>8165</v>
      </c>
      <c r="B3952" s="8" t="s">
        <v>8166</v>
      </c>
      <c r="C3952" s="8">
        <v>30932090</v>
      </c>
      <c r="D3952" s="8">
        <v>5</v>
      </c>
      <c r="E3952" s="11">
        <v>43115</v>
      </c>
      <c r="F3952" s="8" t="s">
        <v>57</v>
      </c>
      <c r="G3952" s="11">
        <v>43115</v>
      </c>
      <c r="H3952" s="8" t="s">
        <v>25</v>
      </c>
      <c r="J3952" s="8" t="s">
        <v>25</v>
      </c>
      <c r="N3952" s="8" t="s">
        <v>58</v>
      </c>
      <c r="O3952" s="8" t="s">
        <v>59</v>
      </c>
      <c r="P3952" s="8" t="s">
        <v>59</v>
      </c>
      <c r="R3952" s="8">
        <v>0</v>
      </c>
      <c r="S3952" s="8">
        <v>0</v>
      </c>
      <c r="T3952" s="8">
        <v>1</v>
      </c>
      <c r="U3952" s="8">
        <v>2</v>
      </c>
      <c r="AG3952" s="8" t="str">
        <f t="shared" si="245"/>
        <v/>
      </c>
      <c r="AI3952" s="8" t="str">
        <f t="shared" si="246"/>
        <v/>
      </c>
      <c r="AJ3952" s="8" t="str">
        <f t="shared" si="247"/>
        <v/>
      </c>
      <c r="AL3952" s="8" t="str">
        <f t="shared" si="248"/>
        <v/>
      </c>
    </row>
    <row r="3953" spans="1:38" x14ac:dyDescent="0.25">
      <c r="A3953" s="8" t="s">
        <v>6471</v>
      </c>
      <c r="B3953" s="8" t="s">
        <v>6472</v>
      </c>
      <c r="C3953" s="8">
        <v>30900165</v>
      </c>
      <c r="D3953" s="8">
        <v>5</v>
      </c>
      <c r="E3953" s="11">
        <v>43111</v>
      </c>
      <c r="F3953" s="8" t="s">
        <v>58</v>
      </c>
      <c r="G3953" s="11">
        <v>43114</v>
      </c>
      <c r="H3953" s="8" t="s">
        <v>25</v>
      </c>
      <c r="I3953" s="11">
        <v>43115</v>
      </c>
      <c r="J3953" s="8" t="s">
        <v>25</v>
      </c>
      <c r="N3953" s="8" t="s">
        <v>58</v>
      </c>
      <c r="O3953" s="8" t="s">
        <v>59</v>
      </c>
      <c r="P3953" s="8" t="s">
        <v>59</v>
      </c>
      <c r="R3953" s="8">
        <v>0</v>
      </c>
      <c r="S3953" s="8">
        <v>0</v>
      </c>
      <c r="T3953" s="8">
        <v>1</v>
      </c>
      <c r="U3953" s="8">
        <v>2</v>
      </c>
      <c r="X3953" s="8">
        <v>5</v>
      </c>
      <c r="AG3953" s="8" t="str">
        <f t="shared" si="245"/>
        <v/>
      </c>
      <c r="AI3953" s="8" t="str">
        <f t="shared" si="246"/>
        <v/>
      </c>
      <c r="AJ3953" s="8" t="str">
        <f t="shared" si="247"/>
        <v/>
      </c>
      <c r="AL3953" s="8" t="str">
        <f t="shared" si="248"/>
        <v/>
      </c>
    </row>
    <row r="3954" spans="1:38" x14ac:dyDescent="0.25">
      <c r="A3954" s="8" t="s">
        <v>4648</v>
      </c>
      <c r="B3954" s="8" t="s">
        <v>4649</v>
      </c>
      <c r="C3954" s="8">
        <v>30890747</v>
      </c>
      <c r="D3954" s="8">
        <v>5</v>
      </c>
      <c r="E3954" s="11">
        <v>43111</v>
      </c>
      <c r="F3954" s="8" t="s">
        <v>57</v>
      </c>
      <c r="G3954" s="11">
        <v>43111</v>
      </c>
      <c r="H3954" s="8" t="s">
        <v>25</v>
      </c>
      <c r="J3954" s="8" t="s">
        <v>25</v>
      </c>
      <c r="N3954" s="8" t="s">
        <v>58</v>
      </c>
      <c r="O3954" s="8" t="s">
        <v>59</v>
      </c>
      <c r="P3954" s="8" t="s">
        <v>59</v>
      </c>
      <c r="R3954" s="8">
        <v>0</v>
      </c>
      <c r="S3954" s="8">
        <v>0</v>
      </c>
      <c r="T3954" s="8">
        <v>1</v>
      </c>
      <c r="U3954" s="8">
        <v>2</v>
      </c>
      <c r="AG3954" s="8" t="str">
        <f t="shared" si="245"/>
        <v/>
      </c>
      <c r="AI3954" s="8" t="str">
        <f t="shared" si="246"/>
        <v/>
      </c>
      <c r="AJ3954" s="8" t="str">
        <f t="shared" si="247"/>
        <v/>
      </c>
      <c r="AL3954" s="8" t="str">
        <f t="shared" si="248"/>
        <v/>
      </c>
    </row>
    <row r="3955" spans="1:38" x14ac:dyDescent="0.25">
      <c r="A3955" s="8" t="s">
        <v>3224</v>
      </c>
      <c r="B3955" s="8" t="s">
        <v>3225</v>
      </c>
      <c r="C3955" s="8">
        <v>30849013</v>
      </c>
      <c r="D3955" s="8">
        <v>5</v>
      </c>
      <c r="E3955" s="11">
        <v>43109</v>
      </c>
      <c r="F3955" s="8" t="s">
        <v>57</v>
      </c>
      <c r="G3955" s="11">
        <v>43110</v>
      </c>
      <c r="H3955" s="8" t="s">
        <v>25</v>
      </c>
      <c r="J3955" s="8" t="s">
        <v>25</v>
      </c>
      <c r="N3955" s="8" t="s">
        <v>58</v>
      </c>
      <c r="O3955" s="8" t="s">
        <v>59</v>
      </c>
      <c r="P3955" s="8" t="s">
        <v>59</v>
      </c>
      <c r="R3955" s="8">
        <v>0</v>
      </c>
      <c r="S3955" s="8">
        <v>0</v>
      </c>
      <c r="T3955" s="8">
        <v>1</v>
      </c>
      <c r="U3955" s="8">
        <v>2</v>
      </c>
      <c r="AG3955" s="8" t="str">
        <f t="shared" si="245"/>
        <v/>
      </c>
      <c r="AI3955" s="8" t="str">
        <f t="shared" si="246"/>
        <v/>
      </c>
      <c r="AJ3955" s="8" t="str">
        <f t="shared" si="247"/>
        <v/>
      </c>
      <c r="AL3955" s="8" t="str">
        <f t="shared" si="248"/>
        <v/>
      </c>
    </row>
    <row r="3956" spans="1:38" x14ac:dyDescent="0.25">
      <c r="A3956" s="8" t="s">
        <v>1602</v>
      </c>
      <c r="B3956" s="8" t="s">
        <v>1603</v>
      </c>
      <c r="C3956" s="8">
        <v>30809627</v>
      </c>
      <c r="D3956" s="8">
        <v>5</v>
      </c>
      <c r="E3956" s="11">
        <v>43108</v>
      </c>
      <c r="F3956" s="8" t="s">
        <v>57</v>
      </c>
      <c r="G3956" s="11">
        <v>43109</v>
      </c>
      <c r="H3956" s="8" t="s">
        <v>25</v>
      </c>
      <c r="J3956" s="8" t="s">
        <v>25</v>
      </c>
      <c r="N3956" s="8" t="s">
        <v>58</v>
      </c>
      <c r="O3956" s="8" t="s">
        <v>59</v>
      </c>
      <c r="P3956" s="8" t="s">
        <v>59</v>
      </c>
      <c r="R3956" s="8">
        <v>0</v>
      </c>
      <c r="S3956" s="8">
        <v>0</v>
      </c>
      <c r="T3956" s="8">
        <v>1</v>
      </c>
      <c r="U3956" s="8">
        <v>2</v>
      </c>
      <c r="AG3956" s="8" t="str">
        <f t="shared" si="245"/>
        <v/>
      </c>
      <c r="AI3956" s="8" t="str">
        <f t="shared" si="246"/>
        <v/>
      </c>
      <c r="AJ3956" s="8" t="str">
        <f t="shared" si="247"/>
        <v/>
      </c>
      <c r="AL3956" s="8" t="str">
        <f t="shared" si="248"/>
        <v/>
      </c>
    </row>
    <row r="3957" spans="1:38" x14ac:dyDescent="0.25">
      <c r="A3957" s="8" t="s">
        <v>6473</v>
      </c>
      <c r="B3957" s="8" t="s">
        <v>6474</v>
      </c>
      <c r="C3957" s="8">
        <v>30917212</v>
      </c>
      <c r="D3957" s="8">
        <v>5</v>
      </c>
      <c r="E3957" s="11">
        <v>43112</v>
      </c>
      <c r="F3957" s="8" t="s">
        <v>57</v>
      </c>
      <c r="G3957" s="11">
        <v>43114</v>
      </c>
      <c r="H3957" s="8" t="s">
        <v>25</v>
      </c>
      <c r="J3957" s="8" t="s">
        <v>25</v>
      </c>
      <c r="N3957" s="8" t="s">
        <v>58</v>
      </c>
      <c r="O3957" s="8" t="s">
        <v>59</v>
      </c>
      <c r="P3957" s="8" t="s">
        <v>59</v>
      </c>
      <c r="R3957" s="8">
        <v>0</v>
      </c>
      <c r="S3957" s="8">
        <v>0</v>
      </c>
      <c r="T3957" s="8">
        <v>1</v>
      </c>
      <c r="U3957" s="8">
        <v>2</v>
      </c>
      <c r="AG3957" s="8" t="str">
        <f t="shared" si="245"/>
        <v/>
      </c>
      <c r="AI3957" s="8" t="str">
        <f t="shared" si="246"/>
        <v/>
      </c>
      <c r="AJ3957" s="8" t="str">
        <f t="shared" si="247"/>
        <v/>
      </c>
      <c r="AL3957" s="8" t="str">
        <f t="shared" si="248"/>
        <v/>
      </c>
    </row>
    <row r="3958" spans="1:38" x14ac:dyDescent="0.25">
      <c r="A3958" s="8" t="s">
        <v>4650</v>
      </c>
      <c r="B3958" s="8" t="s">
        <v>4651</v>
      </c>
      <c r="C3958" s="8">
        <v>30885210</v>
      </c>
      <c r="D3958" s="8">
        <v>5</v>
      </c>
      <c r="E3958" s="11">
        <v>43111</v>
      </c>
      <c r="F3958" s="8" t="s">
        <v>57</v>
      </c>
      <c r="G3958" s="11">
        <v>43111</v>
      </c>
      <c r="H3958" s="8" t="s">
        <v>25</v>
      </c>
      <c r="J3958" s="8" t="s">
        <v>25</v>
      </c>
      <c r="N3958" s="8" t="s">
        <v>58</v>
      </c>
      <c r="O3958" s="8" t="s">
        <v>59</v>
      </c>
      <c r="P3958" s="8" t="s">
        <v>59</v>
      </c>
      <c r="R3958" s="8">
        <v>0</v>
      </c>
      <c r="S3958" s="8">
        <v>0</v>
      </c>
      <c r="T3958" s="8">
        <v>1</v>
      </c>
      <c r="U3958" s="8">
        <v>2</v>
      </c>
      <c r="AG3958" s="8" t="str">
        <f t="shared" si="245"/>
        <v/>
      </c>
      <c r="AI3958" s="8" t="str">
        <f t="shared" si="246"/>
        <v/>
      </c>
      <c r="AJ3958" s="8" t="str">
        <f t="shared" si="247"/>
        <v/>
      </c>
      <c r="AL3958" s="8" t="str">
        <f t="shared" si="248"/>
        <v/>
      </c>
    </row>
    <row r="3959" spans="1:38" x14ac:dyDescent="0.25">
      <c r="A3959" s="8" t="s">
        <v>1604</v>
      </c>
      <c r="B3959" s="8" t="s">
        <v>1605</v>
      </c>
      <c r="C3959" s="8">
        <v>30840303</v>
      </c>
      <c r="D3959" s="8">
        <v>5</v>
      </c>
      <c r="E3959" s="11">
        <v>43109</v>
      </c>
      <c r="F3959" s="8" t="s">
        <v>57</v>
      </c>
      <c r="G3959" s="11">
        <v>43109</v>
      </c>
      <c r="H3959" s="8" t="s">
        <v>25</v>
      </c>
      <c r="J3959" s="8" t="s">
        <v>25</v>
      </c>
      <c r="N3959" s="8" t="s">
        <v>58</v>
      </c>
      <c r="O3959" s="8" t="s">
        <v>59</v>
      </c>
      <c r="P3959" s="8" t="s">
        <v>59</v>
      </c>
      <c r="R3959" s="8">
        <v>0</v>
      </c>
      <c r="S3959" s="8">
        <v>0</v>
      </c>
      <c r="T3959" s="8">
        <v>1</v>
      </c>
      <c r="U3959" s="8">
        <v>2</v>
      </c>
      <c r="AG3959" s="8" t="str">
        <f t="shared" si="245"/>
        <v/>
      </c>
      <c r="AI3959" s="8" t="str">
        <f t="shared" si="246"/>
        <v/>
      </c>
      <c r="AJ3959" s="8" t="str">
        <f t="shared" si="247"/>
        <v/>
      </c>
      <c r="AL3959" s="8" t="str">
        <f t="shared" si="248"/>
        <v/>
      </c>
    </row>
    <row r="3960" spans="1:38" x14ac:dyDescent="0.25">
      <c r="A3960" s="8" t="s">
        <v>748</v>
      </c>
      <c r="B3960" s="8" t="s">
        <v>749</v>
      </c>
      <c r="C3960" s="8">
        <v>30824973</v>
      </c>
      <c r="D3960" s="8">
        <v>5</v>
      </c>
      <c r="E3960" s="11">
        <v>43108</v>
      </c>
      <c r="F3960" s="8" t="s">
        <v>57</v>
      </c>
      <c r="G3960" s="11">
        <v>43108</v>
      </c>
      <c r="H3960" s="8" t="s">
        <v>25</v>
      </c>
      <c r="J3960" s="8" t="s">
        <v>25</v>
      </c>
      <c r="N3960" s="8" t="s">
        <v>58</v>
      </c>
      <c r="O3960" s="8" t="s">
        <v>59</v>
      </c>
      <c r="P3960" s="8" t="s">
        <v>59</v>
      </c>
      <c r="R3960" s="8">
        <v>0</v>
      </c>
      <c r="S3960" s="8">
        <v>0</v>
      </c>
      <c r="T3960" s="8">
        <v>1</v>
      </c>
      <c r="U3960" s="8">
        <v>2</v>
      </c>
      <c r="AG3960" s="8" t="str">
        <f t="shared" si="245"/>
        <v/>
      </c>
      <c r="AI3960" s="8" t="str">
        <f t="shared" si="246"/>
        <v/>
      </c>
      <c r="AJ3960" s="8" t="str">
        <f t="shared" si="247"/>
        <v/>
      </c>
      <c r="AL3960" s="8" t="str">
        <f t="shared" si="248"/>
        <v/>
      </c>
    </row>
    <row r="3961" spans="1:38" x14ac:dyDescent="0.25">
      <c r="A3961" s="8" t="s">
        <v>4652</v>
      </c>
      <c r="B3961" s="8" t="s">
        <v>4653</v>
      </c>
      <c r="C3961" s="8">
        <v>30887999</v>
      </c>
      <c r="D3961" s="8">
        <v>5</v>
      </c>
      <c r="E3961" s="11">
        <v>43111</v>
      </c>
      <c r="F3961" s="8" t="s">
        <v>57</v>
      </c>
      <c r="G3961" s="11">
        <v>43111</v>
      </c>
      <c r="H3961" s="8" t="s">
        <v>25</v>
      </c>
      <c r="J3961" s="8" t="s">
        <v>25</v>
      </c>
      <c r="N3961" s="8" t="s">
        <v>58</v>
      </c>
      <c r="O3961" s="8" t="s">
        <v>59</v>
      </c>
      <c r="P3961" s="8" t="s">
        <v>59</v>
      </c>
      <c r="R3961" s="8">
        <v>0</v>
      </c>
      <c r="S3961" s="8">
        <v>0</v>
      </c>
      <c r="T3961" s="8">
        <v>1</v>
      </c>
      <c r="U3961" s="8">
        <v>2</v>
      </c>
      <c r="AG3961" s="8" t="str">
        <f t="shared" si="245"/>
        <v/>
      </c>
      <c r="AI3961" s="8" t="str">
        <f t="shared" si="246"/>
        <v/>
      </c>
      <c r="AJ3961" s="8" t="str">
        <f t="shared" si="247"/>
        <v/>
      </c>
      <c r="AL3961" s="8" t="str">
        <f t="shared" si="248"/>
        <v/>
      </c>
    </row>
    <row r="3962" spans="1:38" x14ac:dyDescent="0.25">
      <c r="A3962" s="8" t="s">
        <v>1606</v>
      </c>
      <c r="B3962" s="8" t="s">
        <v>1607</v>
      </c>
      <c r="C3962" s="8">
        <v>30821398</v>
      </c>
      <c r="D3962" s="8">
        <v>5</v>
      </c>
      <c r="E3962" s="11">
        <v>43108</v>
      </c>
      <c r="F3962" s="8" t="s">
        <v>58</v>
      </c>
      <c r="G3962" s="11">
        <v>43109</v>
      </c>
      <c r="H3962" s="8" t="s">
        <v>25</v>
      </c>
      <c r="I3962" s="11">
        <v>43109</v>
      </c>
      <c r="J3962" s="8" t="s">
        <v>25</v>
      </c>
      <c r="N3962" s="8" t="s">
        <v>58</v>
      </c>
      <c r="O3962" s="8" t="s">
        <v>59</v>
      </c>
      <c r="P3962" s="8" t="s">
        <v>59</v>
      </c>
      <c r="R3962" s="8">
        <v>0</v>
      </c>
      <c r="S3962" s="8">
        <v>0</v>
      </c>
      <c r="T3962" s="8">
        <v>1</v>
      </c>
      <c r="U3962" s="8">
        <v>2</v>
      </c>
      <c r="X3962" s="8">
        <v>5</v>
      </c>
      <c r="AG3962" s="8" t="str">
        <f t="shared" si="245"/>
        <v/>
      </c>
      <c r="AI3962" s="8" t="str">
        <f t="shared" si="246"/>
        <v/>
      </c>
      <c r="AJ3962" s="8" t="str">
        <f t="shared" si="247"/>
        <v/>
      </c>
      <c r="AL3962" s="8" t="str">
        <f t="shared" si="248"/>
        <v/>
      </c>
    </row>
    <row r="3963" spans="1:38" x14ac:dyDescent="0.25">
      <c r="A3963" s="8" t="s">
        <v>1608</v>
      </c>
      <c r="B3963" s="8" t="s">
        <v>1609</v>
      </c>
      <c r="C3963" s="8">
        <v>30839943</v>
      </c>
      <c r="D3963" s="8">
        <v>5</v>
      </c>
      <c r="E3963" s="11">
        <v>43109</v>
      </c>
      <c r="F3963" s="8" t="s">
        <v>58</v>
      </c>
      <c r="G3963" s="11">
        <v>43109</v>
      </c>
      <c r="H3963" s="8" t="s">
        <v>25</v>
      </c>
      <c r="I3963" s="11">
        <v>43109</v>
      </c>
      <c r="J3963" s="8" t="s">
        <v>25</v>
      </c>
      <c r="N3963" s="8" t="s">
        <v>58</v>
      </c>
      <c r="O3963" s="8" t="s">
        <v>59</v>
      </c>
      <c r="P3963" s="8" t="s">
        <v>59</v>
      </c>
      <c r="R3963" s="8">
        <v>0</v>
      </c>
      <c r="S3963" s="8">
        <v>0</v>
      </c>
      <c r="T3963" s="8">
        <v>1</v>
      </c>
      <c r="U3963" s="8">
        <v>2</v>
      </c>
      <c r="X3963" s="8">
        <v>5</v>
      </c>
      <c r="AG3963" s="8" t="str">
        <f t="shared" si="245"/>
        <v/>
      </c>
      <c r="AI3963" s="8" t="str">
        <f t="shared" si="246"/>
        <v/>
      </c>
      <c r="AJ3963" s="8" t="str">
        <f t="shared" si="247"/>
        <v/>
      </c>
      <c r="AL3963" s="8" t="str">
        <f t="shared" si="248"/>
        <v/>
      </c>
    </row>
    <row r="3964" spans="1:38" x14ac:dyDescent="0.25">
      <c r="A3964" s="8" t="s">
        <v>8167</v>
      </c>
      <c r="B3964" s="8" t="s">
        <v>8168</v>
      </c>
      <c r="C3964" s="8">
        <v>30921434</v>
      </c>
      <c r="D3964" s="8">
        <v>5</v>
      </c>
      <c r="E3964" s="11">
        <v>43112</v>
      </c>
      <c r="F3964" s="8" t="s">
        <v>57</v>
      </c>
      <c r="G3964" s="11">
        <v>43115</v>
      </c>
      <c r="H3964" s="8" t="s">
        <v>25</v>
      </c>
      <c r="J3964" s="8" t="s">
        <v>25</v>
      </c>
      <c r="N3964" s="8" t="s">
        <v>58</v>
      </c>
      <c r="O3964" s="8" t="s">
        <v>59</v>
      </c>
      <c r="P3964" s="8" t="s">
        <v>59</v>
      </c>
      <c r="R3964" s="8">
        <v>0</v>
      </c>
      <c r="S3964" s="8">
        <v>0</v>
      </c>
      <c r="T3964" s="8">
        <v>1</v>
      </c>
      <c r="U3964" s="8">
        <v>2</v>
      </c>
      <c r="AG3964" s="8" t="str">
        <f t="shared" si="245"/>
        <v/>
      </c>
      <c r="AI3964" s="8" t="str">
        <f t="shared" si="246"/>
        <v/>
      </c>
      <c r="AJ3964" s="8" t="str">
        <f t="shared" si="247"/>
        <v/>
      </c>
      <c r="AL3964" s="8" t="str">
        <f t="shared" si="248"/>
        <v/>
      </c>
    </row>
    <row r="3965" spans="1:38" x14ac:dyDescent="0.25">
      <c r="A3965" s="8" t="s">
        <v>1610</v>
      </c>
      <c r="B3965" s="8" t="s">
        <v>1611</v>
      </c>
      <c r="C3965" s="8">
        <v>30838173</v>
      </c>
      <c r="D3965" s="8">
        <v>5</v>
      </c>
      <c r="E3965" s="11">
        <v>43109</v>
      </c>
      <c r="F3965" s="8" t="s">
        <v>57</v>
      </c>
      <c r="G3965" s="11">
        <v>43109</v>
      </c>
      <c r="H3965" s="8" t="s">
        <v>25</v>
      </c>
      <c r="J3965" s="8" t="s">
        <v>25</v>
      </c>
      <c r="N3965" s="8" t="s">
        <v>58</v>
      </c>
      <c r="O3965" s="8" t="s">
        <v>59</v>
      </c>
      <c r="P3965" s="8" t="s">
        <v>59</v>
      </c>
      <c r="R3965" s="8">
        <v>0</v>
      </c>
      <c r="S3965" s="8">
        <v>0</v>
      </c>
      <c r="T3965" s="8">
        <v>1</v>
      </c>
      <c r="U3965" s="8">
        <v>2</v>
      </c>
      <c r="AG3965" s="8" t="str">
        <f t="shared" si="245"/>
        <v/>
      </c>
      <c r="AI3965" s="8" t="str">
        <f t="shared" si="246"/>
        <v/>
      </c>
      <c r="AJ3965" s="8" t="str">
        <f t="shared" si="247"/>
        <v/>
      </c>
      <c r="AL3965" s="8" t="str">
        <f t="shared" si="248"/>
        <v/>
      </c>
    </row>
    <row r="3966" spans="1:38" x14ac:dyDescent="0.25">
      <c r="A3966" s="8" t="s">
        <v>1612</v>
      </c>
      <c r="B3966" s="8" t="s">
        <v>1613</v>
      </c>
      <c r="C3966" s="8">
        <v>30842833</v>
      </c>
      <c r="D3966" s="8">
        <v>5</v>
      </c>
      <c r="E3966" s="11">
        <v>43109</v>
      </c>
      <c r="F3966" s="8" t="s">
        <v>58</v>
      </c>
      <c r="G3966" s="11">
        <v>43109</v>
      </c>
      <c r="H3966" s="8" t="s">
        <v>25</v>
      </c>
      <c r="I3966" s="11">
        <v>43109</v>
      </c>
      <c r="J3966" s="8" t="s">
        <v>25</v>
      </c>
      <c r="N3966" s="8" t="s">
        <v>58</v>
      </c>
      <c r="O3966" s="8" t="s">
        <v>59</v>
      </c>
      <c r="P3966" s="8" t="s">
        <v>59</v>
      </c>
      <c r="R3966" s="8">
        <v>0</v>
      </c>
      <c r="S3966" s="8">
        <v>0</v>
      </c>
      <c r="T3966" s="8">
        <v>1</v>
      </c>
      <c r="U3966" s="8">
        <v>2</v>
      </c>
      <c r="X3966" s="8">
        <v>5</v>
      </c>
      <c r="AG3966" s="8" t="str">
        <f t="shared" si="245"/>
        <v/>
      </c>
      <c r="AI3966" s="8" t="str">
        <f t="shared" si="246"/>
        <v/>
      </c>
      <c r="AJ3966" s="8" t="str">
        <f t="shared" si="247"/>
        <v/>
      </c>
      <c r="AL3966" s="8" t="str">
        <f t="shared" si="248"/>
        <v/>
      </c>
    </row>
    <row r="3967" spans="1:38" x14ac:dyDescent="0.25">
      <c r="A3967" s="8" t="s">
        <v>8169</v>
      </c>
      <c r="B3967" s="8" t="s">
        <v>8170</v>
      </c>
      <c r="C3967" s="8">
        <v>30939396</v>
      </c>
      <c r="D3967" s="8">
        <v>5</v>
      </c>
      <c r="E3967" s="11">
        <v>43115</v>
      </c>
      <c r="F3967" s="8" t="s">
        <v>57</v>
      </c>
      <c r="G3967" s="11">
        <v>43115</v>
      </c>
      <c r="H3967" s="8" t="s">
        <v>25</v>
      </c>
      <c r="J3967" s="8" t="s">
        <v>25</v>
      </c>
      <c r="N3967" s="8" t="s">
        <v>58</v>
      </c>
      <c r="O3967" s="8" t="s">
        <v>59</v>
      </c>
      <c r="P3967" s="8" t="s">
        <v>59</v>
      </c>
      <c r="R3967" s="8">
        <v>0</v>
      </c>
      <c r="S3967" s="8">
        <v>0</v>
      </c>
      <c r="T3967" s="8">
        <v>1</v>
      </c>
      <c r="U3967" s="8">
        <v>2</v>
      </c>
      <c r="AG3967" s="8" t="str">
        <f t="shared" si="245"/>
        <v/>
      </c>
      <c r="AI3967" s="8" t="str">
        <f t="shared" si="246"/>
        <v/>
      </c>
      <c r="AJ3967" s="8" t="str">
        <f t="shared" si="247"/>
        <v/>
      </c>
      <c r="AL3967" s="8" t="str">
        <f t="shared" si="248"/>
        <v/>
      </c>
    </row>
    <row r="3968" spans="1:38" x14ac:dyDescent="0.25">
      <c r="A3968" s="8" t="s">
        <v>1614</v>
      </c>
      <c r="B3968" s="8" t="s">
        <v>1615</v>
      </c>
      <c r="C3968" s="8">
        <v>30814501</v>
      </c>
      <c r="D3968" s="8">
        <v>5</v>
      </c>
      <c r="E3968" s="11">
        <v>43108</v>
      </c>
      <c r="F3968" s="8" t="s">
        <v>58</v>
      </c>
      <c r="G3968" s="11">
        <v>43109</v>
      </c>
      <c r="H3968" s="8" t="s">
        <v>25</v>
      </c>
      <c r="I3968" s="11">
        <v>43110</v>
      </c>
      <c r="J3968" s="8" t="s">
        <v>25</v>
      </c>
      <c r="N3968" s="8" t="s">
        <v>58</v>
      </c>
      <c r="O3968" s="8" t="s">
        <v>59</v>
      </c>
      <c r="P3968" s="8" t="s">
        <v>59</v>
      </c>
      <c r="R3968" s="8">
        <v>0</v>
      </c>
      <c r="S3968" s="8">
        <v>0</v>
      </c>
      <c r="T3968" s="8">
        <v>1</v>
      </c>
      <c r="U3968" s="8">
        <v>2</v>
      </c>
      <c r="X3968" s="8">
        <v>5</v>
      </c>
      <c r="AG3968" s="8" t="str">
        <f t="shared" si="245"/>
        <v/>
      </c>
      <c r="AI3968" s="8" t="str">
        <f t="shared" si="246"/>
        <v/>
      </c>
      <c r="AJ3968" s="8" t="str">
        <f t="shared" si="247"/>
        <v/>
      </c>
      <c r="AL3968" s="8" t="str">
        <f t="shared" si="248"/>
        <v/>
      </c>
    </row>
    <row r="3969" spans="1:38" x14ac:dyDescent="0.25">
      <c r="A3969" s="8" t="s">
        <v>4654</v>
      </c>
      <c r="B3969" s="8" t="s">
        <v>4655</v>
      </c>
      <c r="C3969" s="8">
        <v>30874935</v>
      </c>
      <c r="D3969" s="8">
        <v>5</v>
      </c>
      <c r="E3969" s="11">
        <v>43110</v>
      </c>
      <c r="F3969" s="8" t="s">
        <v>57</v>
      </c>
      <c r="G3969" s="11">
        <v>43111</v>
      </c>
      <c r="H3969" s="8" t="s">
        <v>25</v>
      </c>
      <c r="J3969" s="8" t="s">
        <v>25</v>
      </c>
      <c r="N3969" s="8" t="s">
        <v>58</v>
      </c>
      <c r="O3969" s="8" t="s">
        <v>59</v>
      </c>
      <c r="P3969" s="8" t="s">
        <v>59</v>
      </c>
      <c r="R3969" s="8">
        <v>0</v>
      </c>
      <c r="S3969" s="8">
        <v>0</v>
      </c>
      <c r="T3969" s="8">
        <v>1</v>
      </c>
      <c r="U3969" s="8">
        <v>2</v>
      </c>
      <c r="AG3969" s="8" t="str">
        <f t="shared" si="245"/>
        <v/>
      </c>
      <c r="AI3969" s="8" t="str">
        <f t="shared" si="246"/>
        <v/>
      </c>
      <c r="AJ3969" s="8" t="str">
        <f t="shared" si="247"/>
        <v/>
      </c>
      <c r="AL3969" s="8" t="str">
        <f t="shared" si="248"/>
        <v/>
      </c>
    </row>
    <row r="3970" spans="1:38" x14ac:dyDescent="0.25">
      <c r="A3970" s="8" t="s">
        <v>4656</v>
      </c>
      <c r="B3970" s="8" t="s">
        <v>4657</v>
      </c>
      <c r="C3970" s="8">
        <v>30881541</v>
      </c>
      <c r="D3970" s="8">
        <v>5</v>
      </c>
      <c r="E3970" s="11">
        <v>43111</v>
      </c>
      <c r="F3970" s="8" t="s">
        <v>57</v>
      </c>
      <c r="G3970" s="11">
        <v>43111</v>
      </c>
      <c r="H3970" s="8" t="s">
        <v>25</v>
      </c>
      <c r="J3970" s="8" t="s">
        <v>25</v>
      </c>
      <c r="N3970" s="8" t="s">
        <v>58</v>
      </c>
      <c r="O3970" s="8" t="s">
        <v>59</v>
      </c>
      <c r="P3970" s="8" t="s">
        <v>59</v>
      </c>
      <c r="R3970" s="8">
        <v>0</v>
      </c>
      <c r="S3970" s="8">
        <v>0</v>
      </c>
      <c r="T3970" s="8">
        <v>1</v>
      </c>
      <c r="U3970" s="8">
        <v>2</v>
      </c>
      <c r="AG3970" s="8" t="str">
        <f t="shared" si="245"/>
        <v/>
      </c>
      <c r="AI3970" s="8" t="str">
        <f t="shared" si="246"/>
        <v/>
      </c>
      <c r="AJ3970" s="8" t="str">
        <f t="shared" si="247"/>
        <v/>
      </c>
      <c r="AL3970" s="8" t="str">
        <f t="shared" si="248"/>
        <v/>
      </c>
    </row>
    <row r="3971" spans="1:38" x14ac:dyDescent="0.25">
      <c r="A3971" s="8" t="s">
        <v>1616</v>
      </c>
      <c r="B3971" s="8" t="s">
        <v>1617</v>
      </c>
      <c r="C3971" s="8">
        <v>30809405</v>
      </c>
      <c r="D3971" s="8">
        <v>5</v>
      </c>
      <c r="E3971" s="11">
        <v>43108</v>
      </c>
      <c r="F3971" s="8" t="s">
        <v>58</v>
      </c>
      <c r="G3971" s="11">
        <v>43109</v>
      </c>
      <c r="H3971" s="8" t="s">
        <v>25</v>
      </c>
      <c r="I3971" s="11">
        <v>43115</v>
      </c>
      <c r="J3971" s="8" t="s">
        <v>145</v>
      </c>
      <c r="N3971" s="8" t="s">
        <v>58</v>
      </c>
      <c r="O3971" s="8" t="s">
        <v>59</v>
      </c>
      <c r="P3971" s="8" t="s">
        <v>59</v>
      </c>
      <c r="R3971" s="8">
        <v>0</v>
      </c>
      <c r="S3971" s="8">
        <v>0</v>
      </c>
      <c r="T3971" s="8">
        <v>1</v>
      </c>
      <c r="U3971" s="8">
        <v>2</v>
      </c>
      <c r="X3971" s="8">
        <v>5</v>
      </c>
      <c r="AG3971" s="8" t="str">
        <f t="shared" ref="AG3971:AG4034" si="249">IF(AND(U3971="",G3971&lt;&gt;"",NOT(OR(R3971,S3971))),IF(NETWORKDAYS.INTL(G3971,TODAY(),11)&lt;5,"En Plazo",IF(NETWORKDAYS.INTL(G3971,TODAY(),11)=5,"Riesgo Incumplimiento","FALTA_02")),"")</f>
        <v/>
      </c>
      <c r="AI3971" s="8" t="str">
        <f t="shared" ref="AI3971:AI4034" si="250">IF(AND(O3971&lt;&gt;"B1",F3971="Rejected"),IF(W3971="","FALTA_04",""),"")</f>
        <v/>
      </c>
      <c r="AJ3971" s="8" t="str">
        <f t="shared" ref="AJ3971:AJ4034" si="251">IF(AND(X3971="",I3971&lt;&gt;"",NOT(OR(R3971,S3971))),IF(NETWORKDAYS.INTL(G3971,TODAY(),11)&lt;=1,"En Plazo",IF(OR(AND(X3971="",O3971&lt;&gt;"M1"),AND(O3971="M1",(OR(Q3971="S - S",Q3971="S - T",)))),"FALTA_05","")),"")</f>
        <v/>
      </c>
      <c r="AL3971" s="8" t="str">
        <f t="shared" ref="AL3971:AL4034" si="252">IF(AND(O3971="B1",F3971="Rejected"),IF(Z3971="","FALTA_07",""),"")</f>
        <v/>
      </c>
    </row>
    <row r="3972" spans="1:38" x14ac:dyDescent="0.25">
      <c r="A3972" s="8" t="s">
        <v>3226</v>
      </c>
      <c r="B3972" s="8" t="s">
        <v>3227</v>
      </c>
      <c r="C3972" s="8">
        <v>30843143</v>
      </c>
      <c r="D3972" s="8">
        <v>5</v>
      </c>
      <c r="E3972" s="11">
        <v>43109</v>
      </c>
      <c r="F3972" s="8" t="s">
        <v>58</v>
      </c>
      <c r="G3972" s="11">
        <v>43110</v>
      </c>
      <c r="H3972" s="8" t="s">
        <v>25</v>
      </c>
      <c r="I3972" s="11">
        <v>43115</v>
      </c>
      <c r="J3972" s="8" t="s">
        <v>145</v>
      </c>
      <c r="N3972" s="8" t="s">
        <v>58</v>
      </c>
      <c r="O3972" s="8" t="s">
        <v>59</v>
      </c>
      <c r="P3972" s="8" t="s">
        <v>59</v>
      </c>
      <c r="R3972" s="8">
        <v>0</v>
      </c>
      <c r="S3972" s="8">
        <v>0</v>
      </c>
      <c r="T3972" s="8">
        <v>1</v>
      </c>
      <c r="U3972" s="8">
        <v>2</v>
      </c>
      <c r="X3972" s="8">
        <v>5</v>
      </c>
      <c r="AG3972" s="8" t="str">
        <f t="shared" si="249"/>
        <v/>
      </c>
      <c r="AI3972" s="8" t="str">
        <f t="shared" si="250"/>
        <v/>
      </c>
      <c r="AJ3972" s="8" t="str">
        <f t="shared" si="251"/>
        <v/>
      </c>
      <c r="AL3972" s="8" t="str">
        <f t="shared" si="252"/>
        <v/>
      </c>
    </row>
    <row r="3973" spans="1:38" x14ac:dyDescent="0.25">
      <c r="A3973" s="8" t="s">
        <v>4658</v>
      </c>
      <c r="B3973" s="8" t="s">
        <v>4659</v>
      </c>
      <c r="C3973" s="8">
        <v>30873215</v>
      </c>
      <c r="D3973" s="8">
        <v>5</v>
      </c>
      <c r="E3973" s="11">
        <v>43110</v>
      </c>
      <c r="F3973" s="8" t="s">
        <v>58</v>
      </c>
      <c r="G3973" s="11">
        <v>43111</v>
      </c>
      <c r="H3973" s="8" t="s">
        <v>25</v>
      </c>
      <c r="I3973" s="11">
        <v>43115</v>
      </c>
      <c r="J3973" s="8" t="s">
        <v>25</v>
      </c>
      <c r="N3973" s="8" t="s">
        <v>58</v>
      </c>
      <c r="O3973" s="8" t="s">
        <v>59</v>
      </c>
      <c r="P3973" s="8" t="s">
        <v>59</v>
      </c>
      <c r="R3973" s="8">
        <v>0</v>
      </c>
      <c r="S3973" s="8">
        <v>0</v>
      </c>
      <c r="T3973" s="8">
        <v>1</v>
      </c>
      <c r="U3973" s="8">
        <v>2</v>
      </c>
      <c r="X3973" s="8">
        <v>5</v>
      </c>
      <c r="AG3973" s="8" t="str">
        <f t="shared" si="249"/>
        <v/>
      </c>
      <c r="AI3973" s="8" t="str">
        <f t="shared" si="250"/>
        <v/>
      </c>
      <c r="AJ3973" s="8" t="str">
        <f t="shared" si="251"/>
        <v/>
      </c>
      <c r="AL3973" s="8" t="str">
        <f t="shared" si="252"/>
        <v/>
      </c>
    </row>
    <row r="3974" spans="1:38" x14ac:dyDescent="0.25">
      <c r="A3974" s="8" t="s">
        <v>4660</v>
      </c>
      <c r="B3974" s="8" t="s">
        <v>4661</v>
      </c>
      <c r="C3974" s="8">
        <v>30881885</v>
      </c>
      <c r="D3974" s="8">
        <v>5</v>
      </c>
      <c r="E3974" s="11">
        <v>43111</v>
      </c>
      <c r="F3974" s="8" t="s">
        <v>58</v>
      </c>
      <c r="G3974" s="11">
        <v>43111</v>
      </c>
      <c r="H3974" s="8" t="s">
        <v>25</v>
      </c>
      <c r="I3974" s="11">
        <v>43115</v>
      </c>
      <c r="J3974" s="8" t="s">
        <v>25</v>
      </c>
      <c r="N3974" s="8" t="s">
        <v>58</v>
      </c>
      <c r="O3974" s="8" t="s">
        <v>59</v>
      </c>
      <c r="P3974" s="8" t="s">
        <v>59</v>
      </c>
      <c r="R3974" s="8">
        <v>0</v>
      </c>
      <c r="S3974" s="8">
        <v>0</v>
      </c>
      <c r="T3974" s="8">
        <v>1</v>
      </c>
      <c r="U3974" s="8">
        <v>2</v>
      </c>
      <c r="X3974" s="8">
        <v>5</v>
      </c>
      <c r="AG3974" s="8" t="str">
        <f t="shared" si="249"/>
        <v/>
      </c>
      <c r="AI3974" s="8" t="str">
        <f t="shared" si="250"/>
        <v/>
      </c>
      <c r="AJ3974" s="8" t="str">
        <f t="shared" si="251"/>
        <v/>
      </c>
      <c r="AL3974" s="8" t="str">
        <f t="shared" si="252"/>
        <v/>
      </c>
    </row>
    <row r="3975" spans="1:38" x14ac:dyDescent="0.25">
      <c r="A3975" s="8" t="s">
        <v>3228</v>
      </c>
      <c r="B3975" s="8" t="s">
        <v>3229</v>
      </c>
      <c r="C3975" s="8">
        <v>30841147</v>
      </c>
      <c r="D3975" s="8">
        <v>5</v>
      </c>
      <c r="E3975" s="11">
        <v>43109</v>
      </c>
      <c r="F3975" s="8" t="s">
        <v>58</v>
      </c>
      <c r="G3975" s="11">
        <v>43110</v>
      </c>
      <c r="H3975" s="8" t="s">
        <v>25</v>
      </c>
      <c r="I3975" s="11">
        <v>43110</v>
      </c>
      <c r="J3975" s="8" t="s">
        <v>25</v>
      </c>
      <c r="N3975" s="8" t="s">
        <v>58</v>
      </c>
      <c r="O3975" s="8" t="s">
        <v>59</v>
      </c>
      <c r="P3975" s="8" t="s">
        <v>59</v>
      </c>
      <c r="R3975" s="8">
        <v>0</v>
      </c>
      <c r="S3975" s="8">
        <v>0</v>
      </c>
      <c r="T3975" s="8">
        <v>1</v>
      </c>
      <c r="U3975" s="8">
        <v>2</v>
      </c>
      <c r="X3975" s="8">
        <v>5</v>
      </c>
      <c r="AG3975" s="8" t="str">
        <f t="shared" si="249"/>
        <v/>
      </c>
      <c r="AI3975" s="8" t="str">
        <f t="shared" si="250"/>
        <v/>
      </c>
      <c r="AJ3975" s="8" t="str">
        <f t="shared" si="251"/>
        <v/>
      </c>
      <c r="AL3975" s="8" t="str">
        <f t="shared" si="252"/>
        <v/>
      </c>
    </row>
    <row r="3976" spans="1:38" x14ac:dyDescent="0.25">
      <c r="A3976" s="8" t="s">
        <v>8171</v>
      </c>
      <c r="B3976" s="8" t="s">
        <v>8172</v>
      </c>
      <c r="C3976" s="8">
        <v>30941360</v>
      </c>
      <c r="D3976" s="8">
        <v>5</v>
      </c>
      <c r="E3976" s="11">
        <v>43115</v>
      </c>
      <c r="F3976" s="8" t="s">
        <v>57</v>
      </c>
      <c r="G3976" s="11">
        <v>43115</v>
      </c>
      <c r="H3976" s="8" t="s">
        <v>25</v>
      </c>
      <c r="J3976" s="8" t="s">
        <v>25</v>
      </c>
      <c r="N3976" s="8" t="s">
        <v>58</v>
      </c>
      <c r="O3976" s="8" t="s">
        <v>59</v>
      </c>
      <c r="P3976" s="8" t="s">
        <v>59</v>
      </c>
      <c r="R3976" s="8">
        <v>0</v>
      </c>
      <c r="S3976" s="8">
        <v>0</v>
      </c>
      <c r="T3976" s="8">
        <v>1</v>
      </c>
      <c r="U3976" s="8">
        <v>2</v>
      </c>
      <c r="AG3976" s="8" t="str">
        <f t="shared" si="249"/>
        <v/>
      </c>
      <c r="AI3976" s="8" t="str">
        <f t="shared" si="250"/>
        <v/>
      </c>
      <c r="AJ3976" s="8" t="str">
        <f t="shared" si="251"/>
        <v/>
      </c>
      <c r="AL3976" s="8" t="str">
        <f t="shared" si="252"/>
        <v/>
      </c>
    </row>
    <row r="3977" spans="1:38" x14ac:dyDescent="0.25">
      <c r="A3977" s="8" t="s">
        <v>4662</v>
      </c>
      <c r="B3977" s="8" t="s">
        <v>130</v>
      </c>
      <c r="C3977" s="8">
        <v>30899821</v>
      </c>
      <c r="D3977" s="8">
        <v>5</v>
      </c>
      <c r="E3977" s="11">
        <v>43111</v>
      </c>
      <c r="F3977" s="8" t="s">
        <v>58</v>
      </c>
      <c r="G3977" s="11">
        <v>43111</v>
      </c>
      <c r="H3977" s="8" t="s">
        <v>25</v>
      </c>
      <c r="I3977" s="11">
        <v>43115</v>
      </c>
      <c r="J3977" s="8" t="s">
        <v>25</v>
      </c>
      <c r="N3977" s="8" t="s">
        <v>58</v>
      </c>
      <c r="O3977" s="8" t="s">
        <v>59</v>
      </c>
      <c r="P3977" s="8" t="s">
        <v>59</v>
      </c>
      <c r="R3977" s="8">
        <v>0</v>
      </c>
      <c r="S3977" s="8">
        <v>0</v>
      </c>
      <c r="T3977" s="8">
        <v>1</v>
      </c>
      <c r="U3977" s="8">
        <v>2</v>
      </c>
      <c r="X3977" s="8">
        <v>5</v>
      </c>
      <c r="AG3977" s="8" t="str">
        <f t="shared" si="249"/>
        <v/>
      </c>
      <c r="AI3977" s="8" t="str">
        <f t="shared" si="250"/>
        <v/>
      </c>
      <c r="AJ3977" s="8" t="str">
        <f t="shared" si="251"/>
        <v/>
      </c>
      <c r="AL3977" s="8" t="str">
        <f t="shared" si="252"/>
        <v/>
      </c>
    </row>
    <row r="3978" spans="1:38" x14ac:dyDescent="0.25">
      <c r="A3978" s="8" t="s">
        <v>4663</v>
      </c>
      <c r="B3978" s="8" t="s">
        <v>4664</v>
      </c>
      <c r="C3978" s="8">
        <v>30871387</v>
      </c>
      <c r="D3978" s="8">
        <v>5</v>
      </c>
      <c r="E3978" s="11">
        <v>43110</v>
      </c>
      <c r="F3978" s="8" t="s">
        <v>57</v>
      </c>
      <c r="G3978" s="11">
        <v>43111</v>
      </c>
      <c r="H3978" s="8" t="s">
        <v>25</v>
      </c>
      <c r="J3978" s="8" t="s">
        <v>25</v>
      </c>
      <c r="N3978" s="8" t="s">
        <v>58</v>
      </c>
      <c r="O3978" s="8" t="s">
        <v>59</v>
      </c>
      <c r="P3978" s="8" t="s">
        <v>59</v>
      </c>
      <c r="R3978" s="8">
        <v>0</v>
      </c>
      <c r="S3978" s="8">
        <v>0</v>
      </c>
      <c r="T3978" s="8">
        <v>1</v>
      </c>
      <c r="U3978" s="8">
        <v>2</v>
      </c>
      <c r="AG3978" s="8" t="str">
        <f t="shared" si="249"/>
        <v/>
      </c>
      <c r="AI3978" s="8" t="str">
        <f t="shared" si="250"/>
        <v/>
      </c>
      <c r="AJ3978" s="8" t="str">
        <f t="shared" si="251"/>
        <v/>
      </c>
      <c r="AL3978" s="8" t="str">
        <f t="shared" si="252"/>
        <v/>
      </c>
    </row>
    <row r="3979" spans="1:38" x14ac:dyDescent="0.25">
      <c r="A3979" s="8" t="s">
        <v>1618</v>
      </c>
      <c r="B3979" s="8" t="s">
        <v>1619</v>
      </c>
      <c r="C3979" s="8">
        <v>30847368</v>
      </c>
      <c r="D3979" s="8">
        <v>5</v>
      </c>
      <c r="E3979" s="11">
        <v>43109</v>
      </c>
      <c r="F3979" s="8" t="s">
        <v>58</v>
      </c>
      <c r="G3979" s="11">
        <v>43109</v>
      </c>
      <c r="H3979" s="8" t="s">
        <v>25</v>
      </c>
      <c r="I3979" s="11">
        <v>43109</v>
      </c>
      <c r="J3979" s="8" t="s">
        <v>25</v>
      </c>
      <c r="N3979" s="8" t="s">
        <v>58</v>
      </c>
      <c r="O3979" s="8" t="s">
        <v>59</v>
      </c>
      <c r="P3979" s="8" t="s">
        <v>59</v>
      </c>
      <c r="R3979" s="8">
        <v>0</v>
      </c>
      <c r="S3979" s="8">
        <v>0</v>
      </c>
      <c r="T3979" s="8">
        <v>1</v>
      </c>
      <c r="U3979" s="8">
        <v>2</v>
      </c>
      <c r="X3979" s="8">
        <v>5</v>
      </c>
      <c r="AG3979" s="8" t="str">
        <f t="shared" si="249"/>
        <v/>
      </c>
      <c r="AI3979" s="8" t="str">
        <f t="shared" si="250"/>
        <v/>
      </c>
      <c r="AJ3979" s="8" t="str">
        <f t="shared" si="251"/>
        <v/>
      </c>
      <c r="AL3979" s="8" t="str">
        <f t="shared" si="252"/>
        <v/>
      </c>
    </row>
    <row r="3980" spans="1:38" x14ac:dyDescent="0.25">
      <c r="A3980" s="8" t="s">
        <v>4665</v>
      </c>
      <c r="B3980" s="8" t="s">
        <v>4666</v>
      </c>
      <c r="C3980" s="8">
        <v>30887118</v>
      </c>
      <c r="D3980" s="8">
        <v>5</v>
      </c>
      <c r="E3980" s="11">
        <v>43111</v>
      </c>
      <c r="F3980" s="8" t="s">
        <v>58</v>
      </c>
      <c r="G3980" s="11">
        <v>43111</v>
      </c>
      <c r="H3980" s="8" t="s">
        <v>25</v>
      </c>
      <c r="I3980" s="11">
        <v>43111</v>
      </c>
      <c r="J3980" s="8" t="s">
        <v>25</v>
      </c>
      <c r="N3980" s="8" t="s">
        <v>58</v>
      </c>
      <c r="O3980" s="8" t="s">
        <v>59</v>
      </c>
      <c r="P3980" s="8" t="s">
        <v>59</v>
      </c>
      <c r="R3980" s="8">
        <v>0</v>
      </c>
      <c r="S3980" s="8">
        <v>0</v>
      </c>
      <c r="T3980" s="8">
        <v>1</v>
      </c>
      <c r="U3980" s="8">
        <v>2</v>
      </c>
      <c r="X3980" s="8">
        <v>5</v>
      </c>
      <c r="AG3980" s="8" t="str">
        <f t="shared" si="249"/>
        <v/>
      </c>
      <c r="AI3980" s="8" t="str">
        <f t="shared" si="250"/>
        <v/>
      </c>
      <c r="AJ3980" s="8" t="str">
        <f t="shared" si="251"/>
        <v/>
      </c>
      <c r="AL3980" s="8" t="str">
        <f t="shared" si="252"/>
        <v/>
      </c>
    </row>
    <row r="3981" spans="1:38" x14ac:dyDescent="0.25">
      <c r="A3981" s="8" t="s">
        <v>4667</v>
      </c>
      <c r="B3981" s="8" t="s">
        <v>4668</v>
      </c>
      <c r="C3981" s="8">
        <v>30883044</v>
      </c>
      <c r="D3981" s="8">
        <v>5</v>
      </c>
      <c r="E3981" s="11">
        <v>43111</v>
      </c>
      <c r="F3981" s="8" t="s">
        <v>57</v>
      </c>
      <c r="G3981" s="11">
        <v>43111</v>
      </c>
      <c r="H3981" s="8" t="s">
        <v>25</v>
      </c>
      <c r="J3981" s="8" t="s">
        <v>25</v>
      </c>
      <c r="N3981" s="8" t="s">
        <v>58</v>
      </c>
      <c r="O3981" s="8" t="s">
        <v>59</v>
      </c>
      <c r="P3981" s="8" t="s">
        <v>59</v>
      </c>
      <c r="R3981" s="8">
        <v>0</v>
      </c>
      <c r="S3981" s="8">
        <v>0</v>
      </c>
      <c r="T3981" s="8">
        <v>1</v>
      </c>
      <c r="U3981" s="8">
        <v>2</v>
      </c>
      <c r="AG3981" s="8" t="str">
        <f t="shared" si="249"/>
        <v/>
      </c>
      <c r="AI3981" s="8" t="str">
        <f t="shared" si="250"/>
        <v/>
      </c>
      <c r="AJ3981" s="8" t="str">
        <f t="shared" si="251"/>
        <v/>
      </c>
      <c r="AL3981" s="8" t="str">
        <f t="shared" si="252"/>
        <v/>
      </c>
    </row>
    <row r="3982" spans="1:38" x14ac:dyDescent="0.25">
      <c r="A3982" s="8" t="s">
        <v>6475</v>
      </c>
      <c r="B3982" s="8" t="s">
        <v>6476</v>
      </c>
      <c r="C3982" s="8">
        <v>30917788</v>
      </c>
      <c r="D3982" s="8">
        <v>5</v>
      </c>
      <c r="E3982" s="11">
        <v>43112</v>
      </c>
      <c r="F3982" s="8" t="s">
        <v>57</v>
      </c>
      <c r="G3982" s="11">
        <v>43112</v>
      </c>
      <c r="H3982" s="8" t="s">
        <v>25</v>
      </c>
      <c r="J3982" s="8" t="s">
        <v>25</v>
      </c>
      <c r="N3982" s="8" t="s">
        <v>58</v>
      </c>
      <c r="O3982" s="8" t="s">
        <v>59</v>
      </c>
      <c r="P3982" s="8" t="s">
        <v>59</v>
      </c>
      <c r="R3982" s="8">
        <v>0</v>
      </c>
      <c r="S3982" s="8">
        <v>0</v>
      </c>
      <c r="T3982" s="8">
        <v>1</v>
      </c>
      <c r="U3982" s="8">
        <v>2</v>
      </c>
      <c r="AG3982" s="8" t="str">
        <f t="shared" si="249"/>
        <v/>
      </c>
      <c r="AI3982" s="8" t="str">
        <f t="shared" si="250"/>
        <v/>
      </c>
      <c r="AJ3982" s="8" t="str">
        <f t="shared" si="251"/>
        <v/>
      </c>
      <c r="AL3982" s="8" t="str">
        <f t="shared" si="252"/>
        <v/>
      </c>
    </row>
    <row r="3983" spans="1:38" x14ac:dyDescent="0.25">
      <c r="A3983" s="8" t="s">
        <v>8173</v>
      </c>
      <c r="B3983" s="8" t="s">
        <v>8174</v>
      </c>
      <c r="C3983" s="8">
        <v>30939960</v>
      </c>
      <c r="D3983" s="8">
        <v>5</v>
      </c>
      <c r="E3983" s="11">
        <v>43115</v>
      </c>
      <c r="F3983" s="8" t="s">
        <v>57</v>
      </c>
      <c r="G3983" s="11">
        <v>43115</v>
      </c>
      <c r="H3983" s="8" t="s">
        <v>25</v>
      </c>
      <c r="J3983" s="8" t="s">
        <v>25</v>
      </c>
      <c r="N3983" s="8" t="s">
        <v>58</v>
      </c>
      <c r="O3983" s="8" t="s">
        <v>59</v>
      </c>
      <c r="P3983" s="8" t="s">
        <v>59</v>
      </c>
      <c r="R3983" s="8">
        <v>0</v>
      </c>
      <c r="S3983" s="8">
        <v>0</v>
      </c>
      <c r="T3983" s="8">
        <v>1</v>
      </c>
      <c r="U3983" s="8">
        <v>2</v>
      </c>
      <c r="AG3983" s="8" t="str">
        <f t="shared" si="249"/>
        <v/>
      </c>
      <c r="AI3983" s="8" t="str">
        <f t="shared" si="250"/>
        <v/>
      </c>
      <c r="AJ3983" s="8" t="str">
        <f t="shared" si="251"/>
        <v/>
      </c>
      <c r="AL3983" s="8" t="str">
        <f t="shared" si="252"/>
        <v/>
      </c>
    </row>
    <row r="3984" spans="1:38" x14ac:dyDescent="0.25">
      <c r="A3984" s="8" t="s">
        <v>6477</v>
      </c>
      <c r="B3984" s="8" t="s">
        <v>6478</v>
      </c>
      <c r="C3984" s="8">
        <v>30909063</v>
      </c>
      <c r="D3984" s="8">
        <v>5</v>
      </c>
      <c r="E3984" s="11">
        <v>43112</v>
      </c>
      <c r="F3984" s="8" t="s">
        <v>57</v>
      </c>
      <c r="G3984" s="11">
        <v>43112</v>
      </c>
      <c r="H3984" s="8" t="s">
        <v>25</v>
      </c>
      <c r="J3984" s="8" t="s">
        <v>25</v>
      </c>
      <c r="N3984" s="8" t="s">
        <v>58</v>
      </c>
      <c r="O3984" s="8" t="s">
        <v>59</v>
      </c>
      <c r="P3984" s="8" t="s">
        <v>59</v>
      </c>
      <c r="R3984" s="8">
        <v>0</v>
      </c>
      <c r="S3984" s="8">
        <v>0</v>
      </c>
      <c r="T3984" s="8">
        <v>1</v>
      </c>
      <c r="U3984" s="8">
        <v>2</v>
      </c>
      <c r="AG3984" s="8" t="str">
        <f t="shared" si="249"/>
        <v/>
      </c>
      <c r="AI3984" s="8" t="str">
        <f t="shared" si="250"/>
        <v/>
      </c>
      <c r="AJ3984" s="8" t="str">
        <f t="shared" si="251"/>
        <v/>
      </c>
      <c r="AL3984" s="8" t="str">
        <f t="shared" si="252"/>
        <v/>
      </c>
    </row>
    <row r="3985" spans="1:38" x14ac:dyDescent="0.25">
      <c r="A3985" s="8" t="s">
        <v>8175</v>
      </c>
      <c r="B3985" s="8" t="s">
        <v>8176</v>
      </c>
      <c r="C3985" s="8">
        <v>30919337</v>
      </c>
      <c r="D3985" s="8">
        <v>5</v>
      </c>
      <c r="E3985" s="11">
        <v>43112</v>
      </c>
      <c r="F3985" s="8" t="s">
        <v>57</v>
      </c>
      <c r="G3985" s="11">
        <v>43115</v>
      </c>
      <c r="H3985" s="8" t="s">
        <v>25</v>
      </c>
      <c r="J3985" s="8" t="s">
        <v>25</v>
      </c>
      <c r="N3985" s="8" t="s">
        <v>58</v>
      </c>
      <c r="O3985" s="8" t="s">
        <v>59</v>
      </c>
      <c r="P3985" s="8" t="s">
        <v>59</v>
      </c>
      <c r="R3985" s="8">
        <v>0</v>
      </c>
      <c r="S3985" s="8">
        <v>0</v>
      </c>
      <c r="T3985" s="8">
        <v>1</v>
      </c>
      <c r="U3985" s="8">
        <v>2</v>
      </c>
      <c r="AG3985" s="8" t="str">
        <f t="shared" si="249"/>
        <v/>
      </c>
      <c r="AI3985" s="8" t="str">
        <f t="shared" si="250"/>
        <v/>
      </c>
      <c r="AJ3985" s="8" t="str">
        <f t="shared" si="251"/>
        <v/>
      </c>
      <c r="AL3985" s="8" t="str">
        <f t="shared" si="252"/>
        <v/>
      </c>
    </row>
    <row r="3986" spans="1:38" x14ac:dyDescent="0.25">
      <c r="A3986" s="8" t="s">
        <v>3230</v>
      </c>
      <c r="B3986" s="8" t="s">
        <v>3231</v>
      </c>
      <c r="C3986" s="8">
        <v>30860248</v>
      </c>
      <c r="D3986" s="8">
        <v>5</v>
      </c>
      <c r="E3986" s="11">
        <v>43110</v>
      </c>
      <c r="F3986" s="8" t="s">
        <v>57</v>
      </c>
      <c r="G3986" s="11">
        <v>43110</v>
      </c>
      <c r="H3986" s="8" t="s">
        <v>25</v>
      </c>
      <c r="J3986" s="8" t="s">
        <v>25</v>
      </c>
      <c r="N3986" s="8" t="s">
        <v>58</v>
      </c>
      <c r="O3986" s="8" t="s">
        <v>59</v>
      </c>
      <c r="P3986" s="8" t="s">
        <v>59</v>
      </c>
      <c r="R3986" s="8">
        <v>0</v>
      </c>
      <c r="S3986" s="8">
        <v>0</v>
      </c>
      <c r="T3986" s="8">
        <v>1</v>
      </c>
      <c r="U3986" s="8">
        <v>2</v>
      </c>
      <c r="AG3986" s="8" t="str">
        <f t="shared" si="249"/>
        <v/>
      </c>
      <c r="AI3986" s="8" t="str">
        <f t="shared" si="250"/>
        <v/>
      </c>
      <c r="AJ3986" s="8" t="str">
        <f t="shared" si="251"/>
        <v/>
      </c>
      <c r="AL3986" s="8" t="str">
        <f t="shared" si="252"/>
        <v/>
      </c>
    </row>
    <row r="3987" spans="1:38" x14ac:dyDescent="0.25">
      <c r="A3987" s="8" t="s">
        <v>3232</v>
      </c>
      <c r="B3987" s="8" t="s">
        <v>3233</v>
      </c>
      <c r="C3987" s="8">
        <v>30860540</v>
      </c>
      <c r="D3987" s="8">
        <v>5</v>
      </c>
      <c r="E3987" s="11">
        <v>43110</v>
      </c>
      <c r="F3987" s="8" t="s">
        <v>57</v>
      </c>
      <c r="G3987" s="11">
        <v>43110</v>
      </c>
      <c r="H3987" s="8" t="s">
        <v>25</v>
      </c>
      <c r="J3987" s="8" t="s">
        <v>25</v>
      </c>
      <c r="N3987" s="8" t="s">
        <v>58</v>
      </c>
      <c r="O3987" s="8" t="s">
        <v>59</v>
      </c>
      <c r="P3987" s="8" t="s">
        <v>59</v>
      </c>
      <c r="R3987" s="8">
        <v>0</v>
      </c>
      <c r="S3987" s="8">
        <v>0</v>
      </c>
      <c r="T3987" s="8">
        <v>1</v>
      </c>
      <c r="U3987" s="8">
        <v>2</v>
      </c>
      <c r="AG3987" s="8" t="str">
        <f t="shared" si="249"/>
        <v/>
      </c>
      <c r="AI3987" s="8" t="str">
        <f t="shared" si="250"/>
        <v/>
      </c>
      <c r="AJ3987" s="8" t="str">
        <f t="shared" si="251"/>
        <v/>
      </c>
      <c r="AL3987" s="8" t="str">
        <f t="shared" si="252"/>
        <v/>
      </c>
    </row>
    <row r="3988" spans="1:38" x14ac:dyDescent="0.25">
      <c r="A3988" s="8" t="s">
        <v>750</v>
      </c>
      <c r="B3988" s="8" t="s">
        <v>751</v>
      </c>
      <c r="C3988" s="8">
        <v>30810138</v>
      </c>
      <c r="D3988" s="8">
        <v>5</v>
      </c>
      <c r="E3988" s="11">
        <v>43108</v>
      </c>
      <c r="F3988" s="8" t="s">
        <v>60</v>
      </c>
      <c r="G3988" s="11">
        <v>43108</v>
      </c>
      <c r="H3988" s="8" t="s">
        <v>25</v>
      </c>
      <c r="J3988" s="8" t="s">
        <v>856</v>
      </c>
      <c r="L3988" s="8" t="s">
        <v>6525</v>
      </c>
      <c r="N3988" s="8" t="s">
        <v>58</v>
      </c>
      <c r="O3988" s="8" t="s">
        <v>59</v>
      </c>
      <c r="P3988" s="8" t="s">
        <v>59</v>
      </c>
      <c r="R3988" s="8">
        <v>0</v>
      </c>
      <c r="S3988" s="8">
        <v>0</v>
      </c>
      <c r="T3988" s="8">
        <v>1</v>
      </c>
      <c r="U3988" s="8">
        <v>2</v>
      </c>
      <c r="W3988" s="8">
        <v>4</v>
      </c>
      <c r="AG3988" s="8" t="str">
        <f t="shared" si="249"/>
        <v/>
      </c>
      <c r="AI3988" s="8" t="str">
        <f t="shared" si="250"/>
        <v/>
      </c>
      <c r="AJ3988" s="8" t="str">
        <f t="shared" si="251"/>
        <v/>
      </c>
      <c r="AL3988" s="8" t="str">
        <f t="shared" si="252"/>
        <v/>
      </c>
    </row>
    <row r="3989" spans="1:38" x14ac:dyDescent="0.25">
      <c r="A3989" s="8" t="s">
        <v>1620</v>
      </c>
      <c r="B3989" s="8" t="s">
        <v>1621</v>
      </c>
      <c r="C3989" s="8">
        <v>30839822</v>
      </c>
      <c r="D3989" s="8">
        <v>5</v>
      </c>
      <c r="E3989" s="11">
        <v>43109</v>
      </c>
      <c r="F3989" s="8" t="s">
        <v>57</v>
      </c>
      <c r="G3989" s="11">
        <v>43109</v>
      </c>
      <c r="H3989" s="8" t="s">
        <v>25</v>
      </c>
      <c r="J3989" s="8" t="s">
        <v>25</v>
      </c>
      <c r="N3989" s="8" t="s">
        <v>58</v>
      </c>
      <c r="O3989" s="8" t="s">
        <v>59</v>
      </c>
      <c r="P3989" s="8" t="s">
        <v>59</v>
      </c>
      <c r="R3989" s="8">
        <v>0</v>
      </c>
      <c r="S3989" s="8">
        <v>0</v>
      </c>
      <c r="T3989" s="8">
        <v>1</v>
      </c>
      <c r="U3989" s="8">
        <v>2</v>
      </c>
      <c r="AG3989" s="8" t="str">
        <f t="shared" si="249"/>
        <v/>
      </c>
      <c r="AI3989" s="8" t="str">
        <f t="shared" si="250"/>
        <v/>
      </c>
      <c r="AJ3989" s="8" t="str">
        <f t="shared" si="251"/>
        <v/>
      </c>
      <c r="AL3989" s="8" t="str">
        <f t="shared" si="252"/>
        <v/>
      </c>
    </row>
    <row r="3990" spans="1:38" x14ac:dyDescent="0.25">
      <c r="A3990" s="8" t="s">
        <v>752</v>
      </c>
      <c r="B3990" s="8" t="s">
        <v>753</v>
      </c>
      <c r="C3990" s="8">
        <v>30818155</v>
      </c>
      <c r="D3990" s="8">
        <v>5</v>
      </c>
      <c r="E3990" s="11">
        <v>43108</v>
      </c>
      <c r="F3990" s="8" t="s">
        <v>58</v>
      </c>
      <c r="G3990" s="11">
        <v>43108</v>
      </c>
      <c r="H3990" s="8" t="s">
        <v>25</v>
      </c>
      <c r="I3990" s="11">
        <v>43111</v>
      </c>
      <c r="J3990" s="8" t="s">
        <v>25</v>
      </c>
      <c r="N3990" s="8" t="s">
        <v>58</v>
      </c>
      <c r="O3990" s="8" t="s">
        <v>59</v>
      </c>
      <c r="P3990" s="8" t="s">
        <v>59</v>
      </c>
      <c r="R3990" s="8">
        <v>0</v>
      </c>
      <c r="S3990" s="8">
        <v>0</v>
      </c>
      <c r="T3990" s="8">
        <v>1</v>
      </c>
      <c r="U3990" s="8">
        <v>2</v>
      </c>
      <c r="X3990" s="8">
        <v>5</v>
      </c>
      <c r="AG3990" s="8" t="str">
        <f t="shared" si="249"/>
        <v/>
      </c>
      <c r="AI3990" s="8" t="str">
        <f t="shared" si="250"/>
        <v/>
      </c>
      <c r="AJ3990" s="8" t="str">
        <f t="shared" si="251"/>
        <v/>
      </c>
      <c r="AL3990" s="8" t="str">
        <f t="shared" si="252"/>
        <v/>
      </c>
    </row>
    <row r="3991" spans="1:38" x14ac:dyDescent="0.25">
      <c r="A3991" s="8" t="s">
        <v>4669</v>
      </c>
      <c r="B3991" s="8" t="s">
        <v>4670</v>
      </c>
      <c r="C3991" s="8">
        <v>30891789</v>
      </c>
      <c r="D3991" s="8">
        <v>5</v>
      </c>
      <c r="E3991" s="11">
        <v>43111</v>
      </c>
      <c r="F3991" s="8" t="s">
        <v>58</v>
      </c>
      <c r="G3991" s="11">
        <v>43111</v>
      </c>
      <c r="H3991" s="8" t="s">
        <v>25</v>
      </c>
      <c r="I3991" s="11">
        <v>43115</v>
      </c>
      <c r="J3991" s="8" t="s">
        <v>25</v>
      </c>
      <c r="N3991" s="8" t="s">
        <v>58</v>
      </c>
      <c r="O3991" s="8" t="s">
        <v>59</v>
      </c>
      <c r="P3991" s="8" t="s">
        <v>59</v>
      </c>
      <c r="R3991" s="8">
        <v>0</v>
      </c>
      <c r="S3991" s="8">
        <v>0</v>
      </c>
      <c r="T3991" s="8">
        <v>1</v>
      </c>
      <c r="U3991" s="8">
        <v>2</v>
      </c>
      <c r="X3991" s="8">
        <v>5</v>
      </c>
      <c r="AG3991" s="8" t="str">
        <f t="shared" si="249"/>
        <v/>
      </c>
      <c r="AI3991" s="8" t="str">
        <f t="shared" si="250"/>
        <v/>
      </c>
      <c r="AJ3991" s="8" t="str">
        <f t="shared" si="251"/>
        <v/>
      </c>
      <c r="AL3991" s="8" t="str">
        <f t="shared" si="252"/>
        <v/>
      </c>
    </row>
    <row r="3992" spans="1:38" x14ac:dyDescent="0.25">
      <c r="A3992" s="8" t="s">
        <v>6479</v>
      </c>
      <c r="B3992" s="8" t="s">
        <v>6480</v>
      </c>
      <c r="C3992" s="8">
        <v>30914345</v>
      </c>
      <c r="D3992" s="8">
        <v>5</v>
      </c>
      <c r="E3992" s="11">
        <v>43112</v>
      </c>
      <c r="F3992" s="8" t="s">
        <v>57</v>
      </c>
      <c r="G3992" s="11">
        <v>43114</v>
      </c>
      <c r="H3992" s="8" t="s">
        <v>25</v>
      </c>
      <c r="J3992" s="8" t="s">
        <v>25</v>
      </c>
      <c r="N3992" s="8" t="s">
        <v>58</v>
      </c>
      <c r="O3992" s="8" t="s">
        <v>59</v>
      </c>
      <c r="P3992" s="8" t="s">
        <v>59</v>
      </c>
      <c r="R3992" s="8">
        <v>0</v>
      </c>
      <c r="S3992" s="8">
        <v>0</v>
      </c>
      <c r="T3992" s="8">
        <v>1</v>
      </c>
      <c r="U3992" s="8">
        <v>2</v>
      </c>
      <c r="AG3992" s="8" t="str">
        <f t="shared" si="249"/>
        <v/>
      </c>
      <c r="AI3992" s="8" t="str">
        <f t="shared" si="250"/>
        <v/>
      </c>
      <c r="AJ3992" s="8" t="str">
        <f t="shared" si="251"/>
        <v/>
      </c>
      <c r="AL3992" s="8" t="str">
        <f t="shared" si="252"/>
        <v/>
      </c>
    </row>
    <row r="3993" spans="1:38" x14ac:dyDescent="0.25">
      <c r="A3993" s="8" t="s">
        <v>8177</v>
      </c>
      <c r="B3993" s="8" t="s">
        <v>8178</v>
      </c>
      <c r="C3993" s="8">
        <v>30933481</v>
      </c>
      <c r="D3993" s="8">
        <v>5</v>
      </c>
      <c r="E3993" s="11">
        <v>43115</v>
      </c>
      <c r="F3993" s="8" t="s">
        <v>58</v>
      </c>
      <c r="G3993" s="11">
        <v>43115</v>
      </c>
      <c r="H3993" s="8" t="s">
        <v>25</v>
      </c>
      <c r="I3993" s="11">
        <v>43115</v>
      </c>
      <c r="J3993" s="8" t="s">
        <v>25</v>
      </c>
      <c r="N3993" s="8" t="s">
        <v>58</v>
      </c>
      <c r="O3993" s="8" t="s">
        <v>59</v>
      </c>
      <c r="P3993" s="8" t="s">
        <v>59</v>
      </c>
      <c r="R3993" s="8">
        <v>0</v>
      </c>
      <c r="S3993" s="8">
        <v>0</v>
      </c>
      <c r="T3993" s="8">
        <v>1</v>
      </c>
      <c r="U3993" s="8">
        <v>2</v>
      </c>
      <c r="X3993" s="8">
        <v>5</v>
      </c>
      <c r="AG3993" s="8" t="str">
        <f t="shared" si="249"/>
        <v/>
      </c>
      <c r="AI3993" s="8" t="str">
        <f t="shared" si="250"/>
        <v/>
      </c>
      <c r="AJ3993" s="8" t="str">
        <f t="shared" si="251"/>
        <v/>
      </c>
      <c r="AL3993" s="8" t="str">
        <f t="shared" si="252"/>
        <v/>
      </c>
    </row>
    <row r="3994" spans="1:38" x14ac:dyDescent="0.25">
      <c r="A3994" s="8" t="s">
        <v>6481</v>
      </c>
      <c r="B3994" s="8" t="s">
        <v>6482</v>
      </c>
      <c r="C3994" s="8">
        <v>30900387</v>
      </c>
      <c r="D3994" s="8">
        <v>5</v>
      </c>
      <c r="E3994" s="11">
        <v>43111</v>
      </c>
      <c r="F3994" s="8" t="s">
        <v>57</v>
      </c>
      <c r="G3994" s="11">
        <v>43114</v>
      </c>
      <c r="H3994" s="8" t="s">
        <v>25</v>
      </c>
      <c r="J3994" s="8" t="s">
        <v>25</v>
      </c>
      <c r="N3994" s="8" t="s">
        <v>58</v>
      </c>
      <c r="O3994" s="8" t="s">
        <v>59</v>
      </c>
      <c r="P3994" s="8" t="s">
        <v>59</v>
      </c>
      <c r="R3994" s="8">
        <v>0</v>
      </c>
      <c r="S3994" s="8">
        <v>0</v>
      </c>
      <c r="T3994" s="8">
        <v>1</v>
      </c>
      <c r="U3994" s="8">
        <v>2</v>
      </c>
      <c r="AG3994" s="8" t="str">
        <f t="shared" si="249"/>
        <v/>
      </c>
      <c r="AI3994" s="8" t="str">
        <f t="shared" si="250"/>
        <v/>
      </c>
      <c r="AJ3994" s="8" t="str">
        <f t="shared" si="251"/>
        <v/>
      </c>
      <c r="AL3994" s="8" t="str">
        <f t="shared" si="252"/>
        <v/>
      </c>
    </row>
    <row r="3995" spans="1:38" x14ac:dyDescent="0.25">
      <c r="A3995" s="8" t="s">
        <v>1622</v>
      </c>
      <c r="B3995" s="8" t="s">
        <v>1623</v>
      </c>
      <c r="C3995" s="8">
        <v>30824606</v>
      </c>
      <c r="D3995" s="8">
        <v>5</v>
      </c>
      <c r="E3995" s="11">
        <v>43108</v>
      </c>
      <c r="F3995" s="8" t="s">
        <v>57</v>
      </c>
      <c r="G3995" s="11">
        <v>43109</v>
      </c>
      <c r="H3995" s="8" t="s">
        <v>25</v>
      </c>
      <c r="J3995" s="8" t="s">
        <v>25</v>
      </c>
      <c r="N3995" s="8" t="s">
        <v>58</v>
      </c>
      <c r="O3995" s="8" t="s">
        <v>59</v>
      </c>
      <c r="P3995" s="8" t="s">
        <v>59</v>
      </c>
      <c r="R3995" s="8">
        <v>0</v>
      </c>
      <c r="S3995" s="8">
        <v>0</v>
      </c>
      <c r="T3995" s="8">
        <v>1</v>
      </c>
      <c r="U3995" s="8">
        <v>2</v>
      </c>
      <c r="AG3995" s="8" t="str">
        <f t="shared" si="249"/>
        <v/>
      </c>
      <c r="AI3995" s="8" t="str">
        <f t="shared" si="250"/>
        <v/>
      </c>
      <c r="AJ3995" s="8" t="str">
        <f t="shared" si="251"/>
        <v/>
      </c>
      <c r="AL3995" s="8" t="str">
        <f t="shared" si="252"/>
        <v/>
      </c>
    </row>
    <row r="3996" spans="1:38" x14ac:dyDescent="0.25">
      <c r="A3996" s="8" t="s">
        <v>3234</v>
      </c>
      <c r="B3996" s="8" t="s">
        <v>3235</v>
      </c>
      <c r="C3996" s="8">
        <v>30856610</v>
      </c>
      <c r="D3996" s="8">
        <v>5</v>
      </c>
      <c r="E3996" s="11">
        <v>43110</v>
      </c>
      <c r="F3996" s="8" t="s">
        <v>57</v>
      </c>
      <c r="G3996" s="11">
        <v>43110</v>
      </c>
      <c r="H3996" s="8" t="s">
        <v>25</v>
      </c>
      <c r="J3996" s="8" t="s">
        <v>25</v>
      </c>
      <c r="N3996" s="8" t="s">
        <v>58</v>
      </c>
      <c r="O3996" s="8" t="s">
        <v>59</v>
      </c>
      <c r="P3996" s="8" t="s">
        <v>59</v>
      </c>
      <c r="R3996" s="8">
        <v>0</v>
      </c>
      <c r="S3996" s="8">
        <v>0</v>
      </c>
      <c r="T3996" s="8">
        <v>1</v>
      </c>
      <c r="U3996" s="8">
        <v>2</v>
      </c>
      <c r="AG3996" s="8" t="str">
        <f t="shared" si="249"/>
        <v/>
      </c>
      <c r="AI3996" s="8" t="str">
        <f t="shared" si="250"/>
        <v/>
      </c>
      <c r="AJ3996" s="8" t="str">
        <f t="shared" si="251"/>
        <v/>
      </c>
      <c r="AL3996" s="8" t="str">
        <f t="shared" si="252"/>
        <v/>
      </c>
    </row>
    <row r="3997" spans="1:38" x14ac:dyDescent="0.25">
      <c r="A3997" s="8" t="s">
        <v>8179</v>
      </c>
      <c r="B3997" s="8" t="s">
        <v>8180</v>
      </c>
      <c r="C3997" s="8">
        <v>30931623</v>
      </c>
      <c r="D3997" s="8">
        <v>5</v>
      </c>
      <c r="E3997" s="11">
        <v>43115</v>
      </c>
      <c r="F3997" s="8" t="s">
        <v>57</v>
      </c>
      <c r="G3997" s="11">
        <v>43115</v>
      </c>
      <c r="H3997" s="8" t="s">
        <v>25</v>
      </c>
      <c r="J3997" s="8" t="s">
        <v>25</v>
      </c>
      <c r="N3997" s="8" t="s">
        <v>58</v>
      </c>
      <c r="O3997" s="8" t="s">
        <v>59</v>
      </c>
      <c r="P3997" s="8" t="s">
        <v>59</v>
      </c>
      <c r="R3997" s="8">
        <v>0</v>
      </c>
      <c r="S3997" s="8">
        <v>0</v>
      </c>
      <c r="T3997" s="8">
        <v>1</v>
      </c>
      <c r="U3997" s="8">
        <v>2</v>
      </c>
      <c r="AG3997" s="8" t="str">
        <f t="shared" si="249"/>
        <v/>
      </c>
      <c r="AI3997" s="8" t="str">
        <f t="shared" si="250"/>
        <v/>
      </c>
      <c r="AJ3997" s="8" t="str">
        <f t="shared" si="251"/>
        <v/>
      </c>
      <c r="AL3997" s="8" t="str">
        <f t="shared" si="252"/>
        <v/>
      </c>
    </row>
    <row r="3998" spans="1:38" x14ac:dyDescent="0.25">
      <c r="A3998" s="8" t="s">
        <v>3236</v>
      </c>
      <c r="B3998" s="8" t="s">
        <v>3237</v>
      </c>
      <c r="C3998" s="8">
        <v>30864960</v>
      </c>
      <c r="D3998" s="8">
        <v>5</v>
      </c>
      <c r="E3998" s="11">
        <v>43110</v>
      </c>
      <c r="F3998" s="8" t="s">
        <v>57</v>
      </c>
      <c r="G3998" s="11">
        <v>43110</v>
      </c>
      <c r="H3998" s="8" t="s">
        <v>25</v>
      </c>
      <c r="J3998" s="8" t="s">
        <v>25</v>
      </c>
      <c r="N3998" s="8" t="s">
        <v>58</v>
      </c>
      <c r="O3998" s="8" t="s">
        <v>59</v>
      </c>
      <c r="P3998" s="8" t="s">
        <v>59</v>
      </c>
      <c r="R3998" s="8">
        <v>0</v>
      </c>
      <c r="S3998" s="8">
        <v>0</v>
      </c>
      <c r="T3998" s="8">
        <v>1</v>
      </c>
      <c r="U3998" s="8">
        <v>2</v>
      </c>
      <c r="AG3998" s="8" t="str">
        <f t="shared" si="249"/>
        <v/>
      </c>
      <c r="AI3998" s="8" t="str">
        <f t="shared" si="250"/>
        <v/>
      </c>
      <c r="AJ3998" s="8" t="str">
        <f t="shared" si="251"/>
        <v/>
      </c>
      <c r="AL3998" s="8" t="str">
        <f t="shared" si="252"/>
        <v/>
      </c>
    </row>
    <row r="3999" spans="1:38" x14ac:dyDescent="0.25">
      <c r="A3999" s="8" t="s">
        <v>8181</v>
      </c>
      <c r="B3999" s="8" t="s">
        <v>8182</v>
      </c>
      <c r="C3999" s="8">
        <v>30938653</v>
      </c>
      <c r="D3999" s="8">
        <v>5</v>
      </c>
      <c r="E3999" s="11">
        <v>43115</v>
      </c>
      <c r="F3999" s="8" t="s">
        <v>57</v>
      </c>
      <c r="G3999" s="11">
        <v>43115</v>
      </c>
      <c r="H3999" s="8" t="s">
        <v>25</v>
      </c>
      <c r="J3999" s="8" t="s">
        <v>25</v>
      </c>
      <c r="N3999" s="8" t="s">
        <v>58</v>
      </c>
      <c r="O3999" s="8" t="s">
        <v>59</v>
      </c>
      <c r="P3999" s="8" t="s">
        <v>59</v>
      </c>
      <c r="R3999" s="8">
        <v>0</v>
      </c>
      <c r="S3999" s="8">
        <v>0</v>
      </c>
      <c r="T3999" s="8">
        <v>1</v>
      </c>
      <c r="U3999" s="8">
        <v>2</v>
      </c>
      <c r="AG3999" s="8" t="str">
        <f t="shared" si="249"/>
        <v/>
      </c>
      <c r="AI3999" s="8" t="str">
        <f t="shared" si="250"/>
        <v/>
      </c>
      <c r="AJ3999" s="8" t="str">
        <f t="shared" si="251"/>
        <v/>
      </c>
      <c r="AL3999" s="8" t="str">
        <f t="shared" si="252"/>
        <v/>
      </c>
    </row>
    <row r="4000" spans="1:38" x14ac:dyDescent="0.25">
      <c r="A4000" s="8" t="s">
        <v>4671</v>
      </c>
      <c r="B4000" s="8" t="s">
        <v>4672</v>
      </c>
      <c r="C4000" s="8">
        <v>30886985</v>
      </c>
      <c r="D4000" s="8">
        <v>5</v>
      </c>
      <c r="E4000" s="11">
        <v>43111</v>
      </c>
      <c r="F4000" s="8" t="s">
        <v>57</v>
      </c>
      <c r="G4000" s="11">
        <v>43111</v>
      </c>
      <c r="H4000" s="8" t="s">
        <v>25</v>
      </c>
      <c r="J4000" s="8" t="s">
        <v>25</v>
      </c>
      <c r="N4000" s="8" t="s">
        <v>58</v>
      </c>
      <c r="O4000" s="8" t="s">
        <v>59</v>
      </c>
      <c r="P4000" s="8" t="s">
        <v>59</v>
      </c>
      <c r="R4000" s="8">
        <v>0</v>
      </c>
      <c r="S4000" s="8">
        <v>0</v>
      </c>
      <c r="T4000" s="8">
        <v>1</v>
      </c>
      <c r="U4000" s="8">
        <v>2</v>
      </c>
      <c r="AG4000" s="8" t="str">
        <f t="shared" si="249"/>
        <v/>
      </c>
      <c r="AI4000" s="8" t="str">
        <f t="shared" si="250"/>
        <v/>
      </c>
      <c r="AJ4000" s="8" t="str">
        <f t="shared" si="251"/>
        <v/>
      </c>
      <c r="AL4000" s="8" t="str">
        <f t="shared" si="252"/>
        <v/>
      </c>
    </row>
    <row r="4001" spans="1:38" x14ac:dyDescent="0.25">
      <c r="A4001" s="8" t="s">
        <v>3238</v>
      </c>
      <c r="B4001" s="8" t="s">
        <v>142</v>
      </c>
      <c r="C4001" s="8">
        <v>30864092</v>
      </c>
      <c r="D4001" s="8">
        <v>5</v>
      </c>
      <c r="E4001" s="11">
        <v>43110</v>
      </c>
      <c r="F4001" s="8" t="s">
        <v>60</v>
      </c>
      <c r="G4001" s="11">
        <v>43110</v>
      </c>
      <c r="H4001" s="8" t="s">
        <v>25</v>
      </c>
      <c r="J4001" s="8" t="s">
        <v>25</v>
      </c>
      <c r="L4001" s="8" t="s">
        <v>4797</v>
      </c>
      <c r="N4001" s="8" t="s">
        <v>58</v>
      </c>
      <c r="O4001" s="8" t="s">
        <v>59</v>
      </c>
      <c r="P4001" s="8" t="s">
        <v>59</v>
      </c>
      <c r="R4001" s="8">
        <v>0</v>
      </c>
      <c r="S4001" s="8">
        <v>0</v>
      </c>
      <c r="T4001" s="8">
        <v>1</v>
      </c>
      <c r="U4001" s="8">
        <v>2</v>
      </c>
      <c r="W4001" s="8">
        <v>4</v>
      </c>
      <c r="AG4001" s="8" t="str">
        <f t="shared" si="249"/>
        <v/>
      </c>
      <c r="AI4001" s="8" t="str">
        <f t="shared" si="250"/>
        <v/>
      </c>
      <c r="AJ4001" s="8" t="str">
        <f t="shared" si="251"/>
        <v/>
      </c>
      <c r="AL4001" s="8" t="str">
        <f t="shared" si="252"/>
        <v/>
      </c>
    </row>
    <row r="4002" spans="1:38" x14ac:dyDescent="0.25">
      <c r="A4002" s="8" t="s">
        <v>3239</v>
      </c>
      <c r="B4002" s="8" t="s">
        <v>3240</v>
      </c>
      <c r="C4002" s="8">
        <v>30850848</v>
      </c>
      <c r="D4002" s="8">
        <v>5</v>
      </c>
      <c r="E4002" s="11">
        <v>43109</v>
      </c>
      <c r="F4002" s="8" t="s">
        <v>58</v>
      </c>
      <c r="G4002" s="11">
        <v>43110</v>
      </c>
      <c r="H4002" s="8" t="s">
        <v>25</v>
      </c>
      <c r="I4002" s="11">
        <v>43110</v>
      </c>
      <c r="J4002" s="8" t="s">
        <v>25</v>
      </c>
      <c r="N4002" s="8" t="s">
        <v>58</v>
      </c>
      <c r="O4002" s="8" t="s">
        <v>59</v>
      </c>
      <c r="P4002" s="8" t="s">
        <v>59</v>
      </c>
      <c r="R4002" s="8">
        <v>0</v>
      </c>
      <c r="S4002" s="8">
        <v>0</v>
      </c>
      <c r="T4002" s="8">
        <v>1</v>
      </c>
      <c r="U4002" s="8">
        <v>2</v>
      </c>
      <c r="X4002" s="8">
        <v>5</v>
      </c>
      <c r="AG4002" s="8" t="str">
        <f t="shared" si="249"/>
        <v/>
      </c>
      <c r="AI4002" s="8" t="str">
        <f t="shared" si="250"/>
        <v/>
      </c>
      <c r="AJ4002" s="8" t="str">
        <f t="shared" si="251"/>
        <v/>
      </c>
      <c r="AL4002" s="8" t="str">
        <f t="shared" si="252"/>
        <v/>
      </c>
    </row>
    <row r="4003" spans="1:38" x14ac:dyDescent="0.25">
      <c r="A4003" s="8" t="s">
        <v>1624</v>
      </c>
      <c r="B4003" s="8" t="s">
        <v>1625</v>
      </c>
      <c r="C4003" s="8">
        <v>30841514</v>
      </c>
      <c r="D4003" s="8">
        <v>5</v>
      </c>
      <c r="E4003" s="11">
        <v>43109</v>
      </c>
      <c r="F4003" s="8" t="s">
        <v>57</v>
      </c>
      <c r="G4003" s="11">
        <v>43109</v>
      </c>
      <c r="H4003" s="8" t="s">
        <v>25</v>
      </c>
      <c r="J4003" s="8" t="s">
        <v>25</v>
      </c>
      <c r="N4003" s="8" t="s">
        <v>58</v>
      </c>
      <c r="O4003" s="8" t="s">
        <v>59</v>
      </c>
      <c r="P4003" s="8" t="s">
        <v>59</v>
      </c>
      <c r="R4003" s="8">
        <v>0</v>
      </c>
      <c r="S4003" s="8">
        <v>0</v>
      </c>
      <c r="T4003" s="8">
        <v>1</v>
      </c>
      <c r="U4003" s="8">
        <v>2</v>
      </c>
      <c r="AG4003" s="8" t="str">
        <f t="shared" si="249"/>
        <v/>
      </c>
      <c r="AI4003" s="8" t="str">
        <f t="shared" si="250"/>
        <v/>
      </c>
      <c r="AJ4003" s="8" t="str">
        <f t="shared" si="251"/>
        <v/>
      </c>
      <c r="AL4003" s="8" t="str">
        <f t="shared" si="252"/>
        <v/>
      </c>
    </row>
    <row r="4004" spans="1:38" x14ac:dyDescent="0.25">
      <c r="A4004" s="8" t="s">
        <v>6483</v>
      </c>
      <c r="B4004" s="8" t="s">
        <v>6484</v>
      </c>
      <c r="C4004" s="8">
        <v>30832746</v>
      </c>
      <c r="D4004" s="8">
        <v>5</v>
      </c>
      <c r="E4004" s="11">
        <v>43109</v>
      </c>
      <c r="F4004" s="8" t="s">
        <v>57</v>
      </c>
      <c r="G4004" s="11">
        <v>43114</v>
      </c>
      <c r="H4004" s="8" t="s">
        <v>145</v>
      </c>
      <c r="J4004" s="8" t="s">
        <v>25</v>
      </c>
      <c r="N4004" s="8" t="s">
        <v>58</v>
      </c>
      <c r="O4004" s="8" t="s">
        <v>59</v>
      </c>
      <c r="P4004" s="8" t="s">
        <v>59</v>
      </c>
      <c r="R4004" s="8">
        <v>0</v>
      </c>
      <c r="S4004" s="8">
        <v>0</v>
      </c>
      <c r="T4004" s="8">
        <v>1</v>
      </c>
      <c r="U4004" s="8">
        <v>2</v>
      </c>
      <c r="AG4004" s="8" t="str">
        <f t="shared" si="249"/>
        <v/>
      </c>
      <c r="AI4004" s="8" t="str">
        <f t="shared" si="250"/>
        <v/>
      </c>
      <c r="AJ4004" s="8" t="str">
        <f t="shared" si="251"/>
        <v/>
      </c>
      <c r="AL4004" s="8" t="str">
        <f t="shared" si="252"/>
        <v/>
      </c>
    </row>
    <row r="4005" spans="1:38" x14ac:dyDescent="0.25">
      <c r="A4005" s="8" t="s">
        <v>6485</v>
      </c>
      <c r="B4005" s="8" t="s">
        <v>6486</v>
      </c>
      <c r="C4005" s="8">
        <v>30912737</v>
      </c>
      <c r="D4005" s="8">
        <v>5</v>
      </c>
      <c r="E4005" s="11">
        <v>43112</v>
      </c>
      <c r="F4005" s="8" t="s">
        <v>57</v>
      </c>
      <c r="G4005" s="11">
        <v>43112</v>
      </c>
      <c r="H4005" s="8" t="s">
        <v>25</v>
      </c>
      <c r="J4005" s="8" t="s">
        <v>25</v>
      </c>
      <c r="N4005" s="8" t="s">
        <v>58</v>
      </c>
      <c r="O4005" s="8" t="s">
        <v>59</v>
      </c>
      <c r="P4005" s="8" t="s">
        <v>59</v>
      </c>
      <c r="R4005" s="8">
        <v>0</v>
      </c>
      <c r="S4005" s="8">
        <v>0</v>
      </c>
      <c r="T4005" s="8">
        <v>1</v>
      </c>
      <c r="U4005" s="8">
        <v>2</v>
      </c>
      <c r="AG4005" s="8" t="str">
        <f t="shared" si="249"/>
        <v/>
      </c>
      <c r="AI4005" s="8" t="str">
        <f t="shared" si="250"/>
        <v/>
      </c>
      <c r="AJ4005" s="8" t="str">
        <f t="shared" si="251"/>
        <v/>
      </c>
      <c r="AL4005" s="8" t="str">
        <f t="shared" si="252"/>
        <v/>
      </c>
    </row>
    <row r="4006" spans="1:38" x14ac:dyDescent="0.25">
      <c r="A4006" s="8" t="s">
        <v>6487</v>
      </c>
      <c r="B4006" s="8" t="s">
        <v>6488</v>
      </c>
      <c r="C4006" s="8">
        <v>30896492</v>
      </c>
      <c r="D4006" s="8">
        <v>5</v>
      </c>
      <c r="E4006" s="11">
        <v>43111</v>
      </c>
      <c r="F4006" s="8" t="s">
        <v>57</v>
      </c>
      <c r="G4006" s="11">
        <v>43114</v>
      </c>
      <c r="H4006" s="8" t="s">
        <v>25</v>
      </c>
      <c r="J4006" s="8" t="s">
        <v>25</v>
      </c>
      <c r="N4006" s="8" t="s">
        <v>58</v>
      </c>
      <c r="O4006" s="8" t="s">
        <v>59</v>
      </c>
      <c r="P4006" s="8" t="s">
        <v>59</v>
      </c>
      <c r="R4006" s="8">
        <v>0</v>
      </c>
      <c r="S4006" s="8">
        <v>0</v>
      </c>
      <c r="T4006" s="8">
        <v>1</v>
      </c>
      <c r="U4006" s="8">
        <v>2</v>
      </c>
      <c r="AG4006" s="8" t="str">
        <f t="shared" si="249"/>
        <v/>
      </c>
      <c r="AI4006" s="8" t="str">
        <f t="shared" si="250"/>
        <v/>
      </c>
      <c r="AJ4006" s="8" t="str">
        <f t="shared" si="251"/>
        <v/>
      </c>
      <c r="AL4006" s="8" t="str">
        <f t="shared" si="252"/>
        <v/>
      </c>
    </row>
    <row r="4007" spans="1:38" x14ac:dyDescent="0.25">
      <c r="A4007" s="8" t="s">
        <v>8183</v>
      </c>
      <c r="B4007" s="8" t="s">
        <v>8184</v>
      </c>
      <c r="C4007" s="8">
        <v>30932104</v>
      </c>
      <c r="D4007" s="8">
        <v>5</v>
      </c>
      <c r="E4007" s="11">
        <v>43115</v>
      </c>
      <c r="F4007" s="8" t="s">
        <v>57</v>
      </c>
      <c r="G4007" s="11">
        <v>43115</v>
      </c>
      <c r="H4007" s="8" t="s">
        <v>25</v>
      </c>
      <c r="J4007" s="8" t="s">
        <v>25</v>
      </c>
      <c r="N4007" s="8" t="s">
        <v>58</v>
      </c>
      <c r="O4007" s="8" t="s">
        <v>59</v>
      </c>
      <c r="P4007" s="8" t="s">
        <v>59</v>
      </c>
      <c r="R4007" s="8">
        <v>0</v>
      </c>
      <c r="S4007" s="8">
        <v>0</v>
      </c>
      <c r="T4007" s="8">
        <v>1</v>
      </c>
      <c r="U4007" s="8">
        <v>2</v>
      </c>
      <c r="AG4007" s="8" t="str">
        <f t="shared" si="249"/>
        <v/>
      </c>
      <c r="AI4007" s="8" t="str">
        <f t="shared" si="250"/>
        <v/>
      </c>
      <c r="AJ4007" s="8" t="str">
        <f t="shared" si="251"/>
        <v/>
      </c>
      <c r="AL4007" s="8" t="str">
        <f t="shared" si="252"/>
        <v/>
      </c>
    </row>
    <row r="4008" spans="1:38" x14ac:dyDescent="0.25">
      <c r="A4008" s="8" t="s">
        <v>8185</v>
      </c>
      <c r="B4008" s="8" t="s">
        <v>8186</v>
      </c>
      <c r="C4008" s="8">
        <v>30925631</v>
      </c>
      <c r="D4008" s="8">
        <v>5</v>
      </c>
      <c r="E4008" s="11">
        <v>43112</v>
      </c>
      <c r="F4008" s="8" t="s">
        <v>57</v>
      </c>
      <c r="G4008" s="11">
        <v>43115</v>
      </c>
      <c r="H4008" s="8" t="s">
        <v>25</v>
      </c>
      <c r="J4008" s="8" t="s">
        <v>25</v>
      </c>
      <c r="N4008" s="8" t="s">
        <v>58</v>
      </c>
      <c r="O4008" s="8" t="s">
        <v>59</v>
      </c>
      <c r="P4008" s="8" t="s">
        <v>59</v>
      </c>
      <c r="R4008" s="8">
        <v>0</v>
      </c>
      <c r="S4008" s="8">
        <v>0</v>
      </c>
      <c r="T4008" s="8">
        <v>1</v>
      </c>
      <c r="U4008" s="8">
        <v>2</v>
      </c>
      <c r="AG4008" s="8" t="str">
        <f t="shared" si="249"/>
        <v/>
      </c>
      <c r="AI4008" s="8" t="str">
        <f t="shared" si="250"/>
        <v/>
      </c>
      <c r="AJ4008" s="8" t="str">
        <f t="shared" si="251"/>
        <v/>
      </c>
      <c r="AL4008" s="8" t="str">
        <f t="shared" si="252"/>
        <v/>
      </c>
    </row>
    <row r="4009" spans="1:38" x14ac:dyDescent="0.25">
      <c r="A4009" s="8" t="s">
        <v>8187</v>
      </c>
      <c r="B4009" s="8" t="s">
        <v>8188</v>
      </c>
      <c r="C4009" s="8">
        <v>30919624</v>
      </c>
      <c r="D4009" s="8">
        <v>5</v>
      </c>
      <c r="E4009" s="11">
        <v>43112</v>
      </c>
      <c r="F4009" s="8" t="s">
        <v>62</v>
      </c>
      <c r="G4009" s="11">
        <v>43115</v>
      </c>
      <c r="H4009" s="8" t="s">
        <v>25</v>
      </c>
      <c r="J4009" s="8" t="s">
        <v>25</v>
      </c>
      <c r="N4009" s="8" t="s">
        <v>63</v>
      </c>
      <c r="O4009" s="8" t="s">
        <v>59</v>
      </c>
      <c r="P4009" s="8" t="s">
        <v>59</v>
      </c>
      <c r="R4009" s="8">
        <v>0</v>
      </c>
      <c r="S4009" s="8">
        <v>0</v>
      </c>
      <c r="T4009" s="8">
        <v>1</v>
      </c>
      <c r="U4009" s="8">
        <v>2</v>
      </c>
      <c r="AG4009" s="8" t="str">
        <f t="shared" si="249"/>
        <v/>
      </c>
      <c r="AI4009" s="8" t="str">
        <f t="shared" si="250"/>
        <v/>
      </c>
      <c r="AJ4009" s="8" t="str">
        <f t="shared" si="251"/>
        <v/>
      </c>
      <c r="AL4009" s="8" t="str">
        <f t="shared" si="252"/>
        <v/>
      </c>
    </row>
    <row r="4010" spans="1:38" x14ac:dyDescent="0.25">
      <c r="A4010" s="8" t="s">
        <v>8189</v>
      </c>
      <c r="B4010" s="8" t="s">
        <v>8190</v>
      </c>
      <c r="C4010" s="8">
        <v>30920755</v>
      </c>
      <c r="D4010" s="8">
        <v>5</v>
      </c>
      <c r="E4010" s="11">
        <v>43112</v>
      </c>
      <c r="F4010" s="8" t="s">
        <v>57</v>
      </c>
      <c r="G4010" s="11">
        <v>43115</v>
      </c>
      <c r="H4010" s="8" t="s">
        <v>25</v>
      </c>
      <c r="J4010" s="8" t="s">
        <v>25</v>
      </c>
      <c r="N4010" s="8" t="s">
        <v>58</v>
      </c>
      <c r="O4010" s="8" t="s">
        <v>59</v>
      </c>
      <c r="P4010" s="8" t="s">
        <v>59</v>
      </c>
      <c r="R4010" s="8">
        <v>0</v>
      </c>
      <c r="S4010" s="8">
        <v>0</v>
      </c>
      <c r="T4010" s="8">
        <v>1</v>
      </c>
      <c r="U4010" s="8">
        <v>2</v>
      </c>
      <c r="AG4010" s="8" t="str">
        <f t="shared" si="249"/>
        <v/>
      </c>
      <c r="AI4010" s="8" t="str">
        <f t="shared" si="250"/>
        <v/>
      </c>
      <c r="AJ4010" s="8" t="str">
        <f t="shared" si="251"/>
        <v/>
      </c>
      <c r="AL4010" s="8" t="str">
        <f t="shared" si="252"/>
        <v/>
      </c>
    </row>
    <row r="4011" spans="1:38" x14ac:dyDescent="0.25">
      <c r="A4011" s="8" t="s">
        <v>8191</v>
      </c>
      <c r="B4011" s="8" t="s">
        <v>8192</v>
      </c>
      <c r="C4011" s="8">
        <v>30921093</v>
      </c>
      <c r="D4011" s="8">
        <v>5</v>
      </c>
      <c r="E4011" s="11">
        <v>43112</v>
      </c>
      <c r="F4011" s="8" t="s">
        <v>57</v>
      </c>
      <c r="G4011" s="11">
        <v>43115</v>
      </c>
      <c r="H4011" s="8" t="s">
        <v>25</v>
      </c>
      <c r="J4011" s="8" t="s">
        <v>25</v>
      </c>
      <c r="N4011" s="8" t="s">
        <v>58</v>
      </c>
      <c r="O4011" s="8" t="s">
        <v>59</v>
      </c>
      <c r="P4011" s="8" t="s">
        <v>59</v>
      </c>
      <c r="R4011" s="8">
        <v>0</v>
      </c>
      <c r="S4011" s="8">
        <v>0</v>
      </c>
      <c r="T4011" s="8">
        <v>1</v>
      </c>
      <c r="U4011" s="8">
        <v>2</v>
      </c>
      <c r="AG4011" s="8" t="str">
        <f t="shared" si="249"/>
        <v/>
      </c>
      <c r="AI4011" s="8" t="str">
        <f t="shared" si="250"/>
        <v/>
      </c>
      <c r="AJ4011" s="8" t="str">
        <f t="shared" si="251"/>
        <v/>
      </c>
      <c r="AL4011" s="8" t="str">
        <f t="shared" si="252"/>
        <v/>
      </c>
    </row>
    <row r="4012" spans="1:38" x14ac:dyDescent="0.25">
      <c r="A4012" s="8" t="s">
        <v>8193</v>
      </c>
      <c r="B4012" s="8" t="s">
        <v>8194</v>
      </c>
      <c r="C4012" s="8">
        <v>30919582</v>
      </c>
      <c r="D4012" s="8">
        <v>5</v>
      </c>
      <c r="E4012" s="11">
        <v>43112</v>
      </c>
      <c r="F4012" s="8" t="s">
        <v>57</v>
      </c>
      <c r="G4012" s="11">
        <v>43115</v>
      </c>
      <c r="H4012" s="8" t="s">
        <v>25</v>
      </c>
      <c r="J4012" s="8" t="s">
        <v>25</v>
      </c>
      <c r="N4012" s="8" t="s">
        <v>58</v>
      </c>
      <c r="O4012" s="8" t="s">
        <v>59</v>
      </c>
      <c r="P4012" s="8" t="s">
        <v>59</v>
      </c>
      <c r="R4012" s="8">
        <v>0</v>
      </c>
      <c r="S4012" s="8">
        <v>0</v>
      </c>
      <c r="T4012" s="8">
        <v>1</v>
      </c>
      <c r="U4012" s="8">
        <v>2</v>
      </c>
      <c r="AG4012" s="8" t="str">
        <f t="shared" si="249"/>
        <v/>
      </c>
      <c r="AI4012" s="8" t="str">
        <f t="shared" si="250"/>
        <v/>
      </c>
      <c r="AJ4012" s="8" t="str">
        <f t="shared" si="251"/>
        <v/>
      </c>
      <c r="AL4012" s="8" t="str">
        <f t="shared" si="252"/>
        <v/>
      </c>
    </row>
    <row r="4013" spans="1:38" x14ac:dyDescent="0.25">
      <c r="A4013" s="8" t="s">
        <v>6489</v>
      </c>
      <c r="B4013" s="8" t="s">
        <v>6490</v>
      </c>
      <c r="C4013" s="8">
        <v>30909322</v>
      </c>
      <c r="D4013" s="8">
        <v>5</v>
      </c>
      <c r="E4013" s="11">
        <v>43112</v>
      </c>
      <c r="F4013" s="8" t="s">
        <v>57</v>
      </c>
      <c r="G4013" s="11">
        <v>43114</v>
      </c>
      <c r="H4013" s="8" t="s">
        <v>25</v>
      </c>
      <c r="J4013" s="8" t="s">
        <v>25</v>
      </c>
      <c r="N4013" s="8" t="s">
        <v>58</v>
      </c>
      <c r="O4013" s="8" t="s">
        <v>59</v>
      </c>
      <c r="P4013" s="8" t="s">
        <v>59</v>
      </c>
      <c r="R4013" s="8">
        <v>0</v>
      </c>
      <c r="S4013" s="8">
        <v>0</v>
      </c>
      <c r="T4013" s="8">
        <v>1</v>
      </c>
      <c r="U4013" s="8">
        <v>2</v>
      </c>
      <c r="AG4013" s="8" t="str">
        <f t="shared" si="249"/>
        <v/>
      </c>
      <c r="AI4013" s="8" t="str">
        <f t="shared" si="250"/>
        <v/>
      </c>
      <c r="AJ4013" s="8" t="str">
        <f t="shared" si="251"/>
        <v/>
      </c>
      <c r="AL4013" s="8" t="str">
        <f t="shared" si="252"/>
        <v/>
      </c>
    </row>
    <row r="4014" spans="1:38" x14ac:dyDescent="0.25">
      <c r="A4014" s="8" t="s">
        <v>6491</v>
      </c>
      <c r="B4014" s="8" t="s">
        <v>6492</v>
      </c>
      <c r="C4014" s="8">
        <v>30909023</v>
      </c>
      <c r="D4014" s="8">
        <v>5</v>
      </c>
      <c r="E4014" s="11">
        <v>43112</v>
      </c>
      <c r="F4014" s="8" t="s">
        <v>57</v>
      </c>
      <c r="G4014" s="11">
        <v>43114</v>
      </c>
      <c r="H4014" s="8" t="s">
        <v>25</v>
      </c>
      <c r="J4014" s="8" t="s">
        <v>25</v>
      </c>
      <c r="N4014" s="8" t="s">
        <v>58</v>
      </c>
      <c r="O4014" s="8" t="s">
        <v>59</v>
      </c>
      <c r="P4014" s="8" t="s">
        <v>59</v>
      </c>
      <c r="R4014" s="8">
        <v>0</v>
      </c>
      <c r="S4014" s="8">
        <v>0</v>
      </c>
      <c r="T4014" s="8">
        <v>1</v>
      </c>
      <c r="U4014" s="8">
        <v>2</v>
      </c>
      <c r="AG4014" s="8" t="str">
        <f t="shared" si="249"/>
        <v/>
      </c>
      <c r="AI4014" s="8" t="str">
        <f t="shared" si="250"/>
        <v/>
      </c>
      <c r="AJ4014" s="8" t="str">
        <f t="shared" si="251"/>
        <v/>
      </c>
      <c r="AL4014" s="8" t="str">
        <f t="shared" si="252"/>
        <v/>
      </c>
    </row>
    <row r="4015" spans="1:38" x14ac:dyDescent="0.25">
      <c r="A4015" s="8" t="s">
        <v>8195</v>
      </c>
      <c r="B4015" s="8" t="s">
        <v>8196</v>
      </c>
      <c r="C4015" s="8">
        <v>30920778</v>
      </c>
      <c r="D4015" s="8">
        <v>5</v>
      </c>
      <c r="E4015" s="11">
        <v>43112</v>
      </c>
      <c r="F4015" s="8" t="s">
        <v>57</v>
      </c>
      <c r="G4015" s="11">
        <v>43115</v>
      </c>
      <c r="H4015" s="8" t="s">
        <v>25</v>
      </c>
      <c r="J4015" s="8" t="s">
        <v>25</v>
      </c>
      <c r="N4015" s="8" t="s">
        <v>58</v>
      </c>
      <c r="O4015" s="8" t="s">
        <v>59</v>
      </c>
      <c r="P4015" s="8" t="s">
        <v>59</v>
      </c>
      <c r="R4015" s="8">
        <v>0</v>
      </c>
      <c r="S4015" s="8">
        <v>0</v>
      </c>
      <c r="T4015" s="8">
        <v>1</v>
      </c>
      <c r="U4015" s="8">
        <v>2</v>
      </c>
      <c r="AG4015" s="8" t="str">
        <f t="shared" si="249"/>
        <v/>
      </c>
      <c r="AI4015" s="8" t="str">
        <f t="shared" si="250"/>
        <v/>
      </c>
      <c r="AJ4015" s="8" t="str">
        <f t="shared" si="251"/>
        <v/>
      </c>
      <c r="AL4015" s="8" t="str">
        <f t="shared" si="252"/>
        <v/>
      </c>
    </row>
    <row r="4016" spans="1:38" x14ac:dyDescent="0.25">
      <c r="A4016" s="8" t="s">
        <v>754</v>
      </c>
      <c r="B4016" s="8" t="s">
        <v>755</v>
      </c>
      <c r="C4016" s="8">
        <v>30815152</v>
      </c>
      <c r="D4016" s="8">
        <v>5</v>
      </c>
      <c r="E4016" s="11">
        <v>43108</v>
      </c>
      <c r="F4016" s="8" t="s">
        <v>57</v>
      </c>
      <c r="G4016" s="11">
        <v>43108</v>
      </c>
      <c r="H4016" s="8" t="s">
        <v>25</v>
      </c>
      <c r="J4016" s="8" t="s">
        <v>25</v>
      </c>
      <c r="N4016" s="8" t="s">
        <v>58</v>
      </c>
      <c r="O4016" s="8" t="s">
        <v>59</v>
      </c>
      <c r="P4016" s="8" t="s">
        <v>59</v>
      </c>
      <c r="R4016" s="8">
        <v>0</v>
      </c>
      <c r="S4016" s="8">
        <v>0</v>
      </c>
      <c r="T4016" s="8">
        <v>1</v>
      </c>
      <c r="U4016" s="8">
        <v>2</v>
      </c>
      <c r="AG4016" s="8" t="str">
        <f t="shared" si="249"/>
        <v/>
      </c>
      <c r="AI4016" s="8" t="str">
        <f t="shared" si="250"/>
        <v/>
      </c>
      <c r="AJ4016" s="8" t="str">
        <f t="shared" si="251"/>
        <v/>
      </c>
      <c r="AL4016" s="8" t="str">
        <f t="shared" si="252"/>
        <v/>
      </c>
    </row>
    <row r="4017" spans="1:38" x14ac:dyDescent="0.25">
      <c r="A4017" s="8" t="s">
        <v>4673</v>
      </c>
      <c r="B4017" s="8" t="s">
        <v>4674</v>
      </c>
      <c r="C4017" s="8">
        <v>30887902</v>
      </c>
      <c r="D4017" s="8">
        <v>5</v>
      </c>
      <c r="E4017" s="11">
        <v>43111</v>
      </c>
      <c r="F4017" s="8" t="s">
        <v>58</v>
      </c>
      <c r="G4017" s="11">
        <v>43111</v>
      </c>
      <c r="H4017" s="8" t="s">
        <v>25</v>
      </c>
      <c r="I4017" s="11">
        <v>43111</v>
      </c>
      <c r="J4017" s="8" t="s">
        <v>25</v>
      </c>
      <c r="N4017" s="8" t="s">
        <v>58</v>
      </c>
      <c r="O4017" s="8" t="s">
        <v>59</v>
      </c>
      <c r="P4017" s="8" t="s">
        <v>59</v>
      </c>
      <c r="R4017" s="8">
        <v>0</v>
      </c>
      <c r="S4017" s="8">
        <v>0</v>
      </c>
      <c r="T4017" s="8">
        <v>1</v>
      </c>
      <c r="U4017" s="8">
        <v>2</v>
      </c>
      <c r="X4017" s="8">
        <v>5</v>
      </c>
      <c r="AG4017" s="8" t="str">
        <f t="shared" si="249"/>
        <v/>
      </c>
      <c r="AI4017" s="8" t="str">
        <f t="shared" si="250"/>
        <v/>
      </c>
      <c r="AJ4017" s="8" t="str">
        <f t="shared" si="251"/>
        <v/>
      </c>
      <c r="AL4017" s="8" t="str">
        <f t="shared" si="252"/>
        <v/>
      </c>
    </row>
    <row r="4018" spans="1:38" x14ac:dyDescent="0.25">
      <c r="A4018" s="8" t="s">
        <v>4675</v>
      </c>
      <c r="B4018" s="8" t="s">
        <v>4676</v>
      </c>
      <c r="C4018" s="8">
        <v>30891857</v>
      </c>
      <c r="D4018" s="8">
        <v>5</v>
      </c>
      <c r="E4018" s="11">
        <v>43111</v>
      </c>
      <c r="F4018" s="8" t="s">
        <v>58</v>
      </c>
      <c r="G4018" s="11">
        <v>43111</v>
      </c>
      <c r="H4018" s="8" t="s">
        <v>25</v>
      </c>
      <c r="I4018" s="11">
        <v>43112</v>
      </c>
      <c r="J4018" s="8" t="s">
        <v>25</v>
      </c>
      <c r="N4018" s="8" t="s">
        <v>58</v>
      </c>
      <c r="O4018" s="8" t="s">
        <v>59</v>
      </c>
      <c r="P4018" s="8" t="s">
        <v>59</v>
      </c>
      <c r="R4018" s="8">
        <v>0</v>
      </c>
      <c r="S4018" s="8">
        <v>0</v>
      </c>
      <c r="T4018" s="8">
        <v>1</v>
      </c>
      <c r="U4018" s="8">
        <v>2</v>
      </c>
      <c r="X4018" s="8">
        <v>5</v>
      </c>
      <c r="AG4018" s="8" t="str">
        <f t="shared" si="249"/>
        <v/>
      </c>
      <c r="AI4018" s="8" t="str">
        <f t="shared" si="250"/>
        <v/>
      </c>
      <c r="AJ4018" s="8" t="str">
        <f t="shared" si="251"/>
        <v/>
      </c>
      <c r="AL4018" s="8" t="str">
        <f t="shared" si="252"/>
        <v/>
      </c>
    </row>
    <row r="4019" spans="1:38" x14ac:dyDescent="0.25">
      <c r="A4019" s="8" t="s">
        <v>6493</v>
      </c>
      <c r="B4019" s="8" t="s">
        <v>6494</v>
      </c>
      <c r="C4019" s="8">
        <v>30897383</v>
      </c>
      <c r="D4019" s="8">
        <v>5</v>
      </c>
      <c r="E4019" s="11">
        <v>43111</v>
      </c>
      <c r="F4019" s="8" t="s">
        <v>57</v>
      </c>
      <c r="G4019" s="11">
        <v>43114</v>
      </c>
      <c r="H4019" s="8" t="s">
        <v>25</v>
      </c>
      <c r="J4019" s="8" t="s">
        <v>25</v>
      </c>
      <c r="N4019" s="8" t="s">
        <v>58</v>
      </c>
      <c r="O4019" s="8" t="s">
        <v>59</v>
      </c>
      <c r="P4019" s="8" t="s">
        <v>59</v>
      </c>
      <c r="R4019" s="8">
        <v>0</v>
      </c>
      <c r="S4019" s="8">
        <v>0</v>
      </c>
      <c r="T4019" s="8">
        <v>1</v>
      </c>
      <c r="U4019" s="8">
        <v>2</v>
      </c>
      <c r="AG4019" s="8" t="str">
        <f t="shared" si="249"/>
        <v/>
      </c>
      <c r="AI4019" s="8" t="str">
        <f t="shared" si="250"/>
        <v/>
      </c>
      <c r="AJ4019" s="8" t="str">
        <f t="shared" si="251"/>
        <v/>
      </c>
      <c r="AL4019" s="8" t="str">
        <f t="shared" si="252"/>
        <v/>
      </c>
    </row>
    <row r="4020" spans="1:38" x14ac:dyDescent="0.25">
      <c r="A4020" s="8" t="s">
        <v>3241</v>
      </c>
      <c r="B4020" s="8" t="s">
        <v>3242</v>
      </c>
      <c r="C4020" s="8">
        <v>30856927</v>
      </c>
      <c r="D4020" s="8">
        <v>4</v>
      </c>
      <c r="E4020" s="11">
        <v>43110</v>
      </c>
      <c r="F4020" s="8" t="s">
        <v>57</v>
      </c>
      <c r="G4020" s="11">
        <v>43110</v>
      </c>
      <c r="H4020" s="8" t="s">
        <v>25</v>
      </c>
      <c r="J4020" s="8" t="s">
        <v>25</v>
      </c>
      <c r="N4020" s="8" t="s">
        <v>58</v>
      </c>
      <c r="O4020" s="8" t="s">
        <v>59</v>
      </c>
      <c r="P4020" s="8" t="s">
        <v>59</v>
      </c>
      <c r="R4020" s="8">
        <v>0</v>
      </c>
      <c r="S4020" s="8">
        <v>0</v>
      </c>
      <c r="T4020" s="8">
        <v>1</v>
      </c>
      <c r="U4020" s="8">
        <v>2</v>
      </c>
      <c r="AG4020" s="8" t="str">
        <f t="shared" si="249"/>
        <v/>
      </c>
      <c r="AI4020" s="8" t="str">
        <f t="shared" si="250"/>
        <v/>
      </c>
      <c r="AJ4020" s="8" t="str">
        <f t="shared" si="251"/>
        <v/>
      </c>
      <c r="AL4020" s="8" t="str">
        <f t="shared" si="252"/>
        <v/>
      </c>
    </row>
    <row r="4021" spans="1:38" x14ac:dyDescent="0.25">
      <c r="A4021" s="8" t="s">
        <v>756</v>
      </c>
      <c r="B4021" s="8" t="s">
        <v>757</v>
      </c>
      <c r="C4021" s="8">
        <v>30806871</v>
      </c>
      <c r="D4021" s="8">
        <v>5</v>
      </c>
      <c r="E4021" s="11">
        <v>43108</v>
      </c>
      <c r="F4021" s="8" t="s">
        <v>57</v>
      </c>
      <c r="G4021" s="11">
        <v>43108</v>
      </c>
      <c r="H4021" s="8" t="s">
        <v>25</v>
      </c>
      <c r="J4021" s="8" t="s">
        <v>25</v>
      </c>
      <c r="N4021" s="8" t="s">
        <v>58</v>
      </c>
      <c r="O4021" s="8" t="s">
        <v>59</v>
      </c>
      <c r="P4021" s="8" t="s">
        <v>59</v>
      </c>
      <c r="R4021" s="8">
        <v>0</v>
      </c>
      <c r="S4021" s="8">
        <v>0</v>
      </c>
      <c r="T4021" s="8">
        <v>1</v>
      </c>
      <c r="U4021" s="8">
        <v>2</v>
      </c>
      <c r="AG4021" s="8" t="str">
        <f t="shared" si="249"/>
        <v/>
      </c>
      <c r="AI4021" s="8" t="str">
        <f t="shared" si="250"/>
        <v/>
      </c>
      <c r="AJ4021" s="8" t="str">
        <f t="shared" si="251"/>
        <v/>
      </c>
      <c r="AL4021" s="8" t="str">
        <f t="shared" si="252"/>
        <v/>
      </c>
    </row>
    <row r="4022" spans="1:38" x14ac:dyDescent="0.25">
      <c r="A4022" s="8" t="s">
        <v>758</v>
      </c>
      <c r="B4022" s="8" t="s">
        <v>759</v>
      </c>
      <c r="C4022" s="8">
        <v>30806862</v>
      </c>
      <c r="D4022" s="8">
        <v>5</v>
      </c>
      <c r="E4022" s="11">
        <v>43108</v>
      </c>
      <c r="F4022" s="8" t="s">
        <v>57</v>
      </c>
      <c r="G4022" s="11">
        <v>43108</v>
      </c>
      <c r="H4022" s="8" t="s">
        <v>25</v>
      </c>
      <c r="J4022" s="8" t="s">
        <v>25</v>
      </c>
      <c r="N4022" s="8" t="s">
        <v>58</v>
      </c>
      <c r="O4022" s="8" t="s">
        <v>59</v>
      </c>
      <c r="P4022" s="8" t="s">
        <v>59</v>
      </c>
      <c r="R4022" s="8">
        <v>0</v>
      </c>
      <c r="S4022" s="8">
        <v>0</v>
      </c>
      <c r="T4022" s="8">
        <v>1</v>
      </c>
      <c r="U4022" s="8">
        <v>2</v>
      </c>
      <c r="AG4022" s="8" t="str">
        <f t="shared" si="249"/>
        <v/>
      </c>
      <c r="AI4022" s="8" t="str">
        <f t="shared" si="250"/>
        <v/>
      </c>
      <c r="AJ4022" s="8" t="str">
        <f t="shared" si="251"/>
        <v/>
      </c>
      <c r="AL4022" s="8" t="str">
        <f t="shared" si="252"/>
        <v/>
      </c>
    </row>
    <row r="4023" spans="1:38" x14ac:dyDescent="0.25">
      <c r="A4023" s="8" t="s">
        <v>8197</v>
      </c>
      <c r="B4023" s="8" t="s">
        <v>8198</v>
      </c>
      <c r="C4023" s="8">
        <v>30919445</v>
      </c>
      <c r="D4023" s="8">
        <v>5</v>
      </c>
      <c r="E4023" s="11">
        <v>43112</v>
      </c>
      <c r="F4023" s="8" t="s">
        <v>57</v>
      </c>
      <c r="G4023" s="11">
        <v>43115</v>
      </c>
      <c r="H4023" s="8" t="s">
        <v>25</v>
      </c>
      <c r="J4023" s="8" t="s">
        <v>25</v>
      </c>
      <c r="N4023" s="8" t="s">
        <v>58</v>
      </c>
      <c r="O4023" s="8" t="s">
        <v>59</v>
      </c>
      <c r="P4023" s="8" t="s">
        <v>59</v>
      </c>
      <c r="R4023" s="8">
        <v>0</v>
      </c>
      <c r="S4023" s="8">
        <v>0</v>
      </c>
      <c r="T4023" s="8">
        <v>1</v>
      </c>
      <c r="U4023" s="8">
        <v>2</v>
      </c>
      <c r="AG4023" s="8" t="str">
        <f t="shared" si="249"/>
        <v/>
      </c>
      <c r="AI4023" s="8" t="str">
        <f t="shared" si="250"/>
        <v/>
      </c>
      <c r="AJ4023" s="8" t="str">
        <f t="shared" si="251"/>
        <v/>
      </c>
      <c r="AL4023" s="8" t="str">
        <f t="shared" si="252"/>
        <v/>
      </c>
    </row>
    <row r="4024" spans="1:38" x14ac:dyDescent="0.25">
      <c r="A4024" s="8" t="s">
        <v>8199</v>
      </c>
      <c r="B4024" s="8" t="s">
        <v>8200</v>
      </c>
      <c r="C4024" s="8">
        <v>30938508</v>
      </c>
      <c r="D4024" s="8">
        <v>5</v>
      </c>
      <c r="E4024" s="11">
        <v>43115</v>
      </c>
      <c r="F4024" s="8" t="s">
        <v>57</v>
      </c>
      <c r="G4024" s="11">
        <v>43115</v>
      </c>
      <c r="H4024" s="8" t="s">
        <v>25</v>
      </c>
      <c r="J4024" s="8" t="s">
        <v>25</v>
      </c>
      <c r="N4024" s="8" t="s">
        <v>58</v>
      </c>
      <c r="O4024" s="8" t="s">
        <v>59</v>
      </c>
      <c r="P4024" s="8" t="s">
        <v>59</v>
      </c>
      <c r="R4024" s="8">
        <v>0</v>
      </c>
      <c r="S4024" s="8">
        <v>0</v>
      </c>
      <c r="T4024" s="8">
        <v>1</v>
      </c>
      <c r="U4024" s="8">
        <v>2</v>
      </c>
      <c r="AG4024" s="8" t="str">
        <f t="shared" si="249"/>
        <v/>
      </c>
      <c r="AI4024" s="8" t="str">
        <f t="shared" si="250"/>
        <v/>
      </c>
      <c r="AJ4024" s="8" t="str">
        <f t="shared" si="251"/>
        <v/>
      </c>
      <c r="AL4024" s="8" t="str">
        <f t="shared" si="252"/>
        <v/>
      </c>
    </row>
    <row r="4025" spans="1:38" x14ac:dyDescent="0.25">
      <c r="A4025" s="8" t="s">
        <v>6495</v>
      </c>
      <c r="B4025" s="8" t="s">
        <v>6496</v>
      </c>
      <c r="C4025" s="8">
        <v>30923703</v>
      </c>
      <c r="D4025" s="8">
        <v>5</v>
      </c>
      <c r="E4025" s="11">
        <v>43112</v>
      </c>
      <c r="F4025" s="8" t="s">
        <v>57</v>
      </c>
      <c r="G4025" s="11">
        <v>43112</v>
      </c>
      <c r="H4025" s="8" t="s">
        <v>25</v>
      </c>
      <c r="J4025" s="8" t="s">
        <v>25</v>
      </c>
      <c r="N4025" s="8" t="s">
        <v>58</v>
      </c>
      <c r="O4025" s="8" t="s">
        <v>59</v>
      </c>
      <c r="P4025" s="8" t="s">
        <v>59</v>
      </c>
      <c r="R4025" s="8">
        <v>0</v>
      </c>
      <c r="S4025" s="8">
        <v>0</v>
      </c>
      <c r="T4025" s="8">
        <v>1</v>
      </c>
      <c r="U4025" s="8">
        <v>2</v>
      </c>
      <c r="AG4025" s="8" t="str">
        <f t="shared" si="249"/>
        <v/>
      </c>
      <c r="AI4025" s="8" t="str">
        <f t="shared" si="250"/>
        <v/>
      </c>
      <c r="AJ4025" s="8" t="str">
        <f t="shared" si="251"/>
        <v/>
      </c>
      <c r="AL4025" s="8" t="str">
        <f t="shared" si="252"/>
        <v/>
      </c>
    </row>
    <row r="4026" spans="1:38" x14ac:dyDescent="0.25">
      <c r="A4026" s="8" t="s">
        <v>6497</v>
      </c>
      <c r="B4026" s="8" t="s">
        <v>6498</v>
      </c>
      <c r="C4026" s="8">
        <v>30923704</v>
      </c>
      <c r="D4026" s="8">
        <v>5</v>
      </c>
      <c r="E4026" s="11">
        <v>43112</v>
      </c>
      <c r="F4026" s="8" t="s">
        <v>57</v>
      </c>
      <c r="G4026" s="11">
        <v>43112</v>
      </c>
      <c r="H4026" s="8" t="s">
        <v>25</v>
      </c>
      <c r="J4026" s="8" t="s">
        <v>25</v>
      </c>
      <c r="N4026" s="8" t="s">
        <v>58</v>
      </c>
      <c r="O4026" s="8" t="s">
        <v>59</v>
      </c>
      <c r="P4026" s="8" t="s">
        <v>59</v>
      </c>
      <c r="R4026" s="8">
        <v>0</v>
      </c>
      <c r="S4026" s="8">
        <v>0</v>
      </c>
      <c r="T4026" s="8">
        <v>1</v>
      </c>
      <c r="U4026" s="8">
        <v>2</v>
      </c>
      <c r="AG4026" s="8" t="str">
        <f t="shared" si="249"/>
        <v/>
      </c>
      <c r="AI4026" s="8" t="str">
        <f t="shared" si="250"/>
        <v/>
      </c>
      <c r="AJ4026" s="8" t="str">
        <f t="shared" si="251"/>
        <v/>
      </c>
      <c r="AL4026" s="8" t="str">
        <f t="shared" si="252"/>
        <v/>
      </c>
    </row>
    <row r="4027" spans="1:38" x14ac:dyDescent="0.25">
      <c r="A4027" s="8" t="s">
        <v>1626</v>
      </c>
      <c r="B4027" s="8" t="s">
        <v>1627</v>
      </c>
      <c r="C4027" s="8">
        <v>30832658</v>
      </c>
      <c r="D4027" s="8">
        <v>5</v>
      </c>
      <c r="E4027" s="11">
        <v>43109</v>
      </c>
      <c r="F4027" s="8" t="s">
        <v>57</v>
      </c>
      <c r="G4027" s="11">
        <v>43109</v>
      </c>
      <c r="H4027" s="8" t="s">
        <v>25</v>
      </c>
      <c r="J4027" s="8" t="s">
        <v>25</v>
      </c>
      <c r="N4027" s="8" t="s">
        <v>58</v>
      </c>
      <c r="O4027" s="8" t="s">
        <v>59</v>
      </c>
      <c r="P4027" s="8" t="s">
        <v>59</v>
      </c>
      <c r="R4027" s="8">
        <v>0</v>
      </c>
      <c r="S4027" s="8">
        <v>0</v>
      </c>
      <c r="T4027" s="8">
        <v>1</v>
      </c>
      <c r="U4027" s="8">
        <v>2</v>
      </c>
      <c r="AG4027" s="8" t="str">
        <f t="shared" si="249"/>
        <v/>
      </c>
      <c r="AI4027" s="8" t="str">
        <f t="shared" si="250"/>
        <v/>
      </c>
      <c r="AJ4027" s="8" t="str">
        <f t="shared" si="251"/>
        <v/>
      </c>
      <c r="AL4027" s="8" t="str">
        <f t="shared" si="252"/>
        <v/>
      </c>
    </row>
    <row r="4028" spans="1:38" x14ac:dyDescent="0.25">
      <c r="A4028" s="8" t="s">
        <v>6499</v>
      </c>
      <c r="B4028" s="8" t="s">
        <v>6500</v>
      </c>
      <c r="C4028" s="8">
        <v>30909558</v>
      </c>
      <c r="D4028" s="8">
        <v>5</v>
      </c>
      <c r="E4028" s="11">
        <v>43112</v>
      </c>
      <c r="F4028" s="8" t="s">
        <v>57</v>
      </c>
      <c r="G4028" s="11">
        <v>43114</v>
      </c>
      <c r="H4028" s="8" t="s">
        <v>25</v>
      </c>
      <c r="J4028" s="8" t="s">
        <v>25</v>
      </c>
      <c r="N4028" s="8" t="s">
        <v>58</v>
      </c>
      <c r="O4028" s="8" t="s">
        <v>59</v>
      </c>
      <c r="P4028" s="8" t="s">
        <v>59</v>
      </c>
      <c r="R4028" s="8">
        <v>0</v>
      </c>
      <c r="S4028" s="8">
        <v>0</v>
      </c>
      <c r="T4028" s="8">
        <v>1</v>
      </c>
      <c r="U4028" s="8">
        <v>2</v>
      </c>
      <c r="AG4028" s="8" t="str">
        <f t="shared" si="249"/>
        <v/>
      </c>
      <c r="AI4028" s="8" t="str">
        <f t="shared" si="250"/>
        <v/>
      </c>
      <c r="AJ4028" s="8" t="str">
        <f t="shared" si="251"/>
        <v/>
      </c>
      <c r="AL4028" s="8" t="str">
        <f t="shared" si="252"/>
        <v/>
      </c>
    </row>
    <row r="4029" spans="1:38" x14ac:dyDescent="0.25">
      <c r="A4029" s="8" t="s">
        <v>6501</v>
      </c>
      <c r="B4029" s="8" t="s">
        <v>6502</v>
      </c>
      <c r="C4029" s="8">
        <v>30893939</v>
      </c>
      <c r="D4029" s="8">
        <v>5</v>
      </c>
      <c r="E4029" s="11">
        <v>43111</v>
      </c>
      <c r="F4029" s="8" t="s">
        <v>58</v>
      </c>
      <c r="G4029" s="11">
        <v>43112</v>
      </c>
      <c r="H4029" s="8" t="s">
        <v>25</v>
      </c>
      <c r="I4029" s="11">
        <v>43112</v>
      </c>
      <c r="J4029" s="8" t="s">
        <v>25</v>
      </c>
      <c r="N4029" s="8" t="s">
        <v>58</v>
      </c>
      <c r="O4029" s="8" t="s">
        <v>59</v>
      </c>
      <c r="P4029" s="8" t="s">
        <v>59</v>
      </c>
      <c r="R4029" s="8">
        <v>0</v>
      </c>
      <c r="S4029" s="8">
        <v>0</v>
      </c>
      <c r="T4029" s="8">
        <v>1</v>
      </c>
      <c r="U4029" s="8">
        <v>2</v>
      </c>
      <c r="X4029" s="8">
        <v>5</v>
      </c>
      <c r="AG4029" s="8" t="str">
        <f t="shared" si="249"/>
        <v/>
      </c>
      <c r="AI4029" s="8" t="str">
        <f t="shared" si="250"/>
        <v/>
      </c>
      <c r="AJ4029" s="8" t="str">
        <f t="shared" si="251"/>
        <v/>
      </c>
      <c r="AL4029" s="8" t="str">
        <f t="shared" si="252"/>
        <v/>
      </c>
    </row>
    <row r="4030" spans="1:38" x14ac:dyDescent="0.25">
      <c r="A4030" s="8" t="s">
        <v>4677</v>
      </c>
      <c r="B4030" s="8" t="s">
        <v>4678</v>
      </c>
      <c r="C4030" s="8">
        <v>30874867</v>
      </c>
      <c r="D4030" s="8">
        <v>5</v>
      </c>
      <c r="E4030" s="11">
        <v>43110</v>
      </c>
      <c r="F4030" s="8" t="s">
        <v>57</v>
      </c>
      <c r="G4030" s="11">
        <v>43111</v>
      </c>
      <c r="H4030" s="8" t="s">
        <v>25</v>
      </c>
      <c r="J4030" s="8" t="s">
        <v>25</v>
      </c>
      <c r="N4030" s="8" t="s">
        <v>58</v>
      </c>
      <c r="O4030" s="8" t="s">
        <v>59</v>
      </c>
      <c r="P4030" s="8" t="s">
        <v>59</v>
      </c>
      <c r="R4030" s="8">
        <v>0</v>
      </c>
      <c r="S4030" s="8">
        <v>0</v>
      </c>
      <c r="T4030" s="8">
        <v>1</v>
      </c>
      <c r="U4030" s="8">
        <v>2</v>
      </c>
      <c r="AG4030" s="8" t="str">
        <f t="shared" si="249"/>
        <v/>
      </c>
      <c r="AI4030" s="8" t="str">
        <f t="shared" si="250"/>
        <v/>
      </c>
      <c r="AJ4030" s="8" t="str">
        <f t="shared" si="251"/>
        <v/>
      </c>
      <c r="AL4030" s="8" t="str">
        <f t="shared" si="252"/>
        <v/>
      </c>
    </row>
    <row r="4031" spans="1:38" x14ac:dyDescent="0.25">
      <c r="A4031" s="8" t="s">
        <v>8201</v>
      </c>
      <c r="B4031" s="8" t="s">
        <v>8202</v>
      </c>
      <c r="C4031" s="8">
        <v>30919177</v>
      </c>
      <c r="D4031" s="8">
        <v>5</v>
      </c>
      <c r="E4031" s="11">
        <v>43112</v>
      </c>
      <c r="F4031" s="8" t="s">
        <v>57</v>
      </c>
      <c r="G4031" s="11">
        <v>43115</v>
      </c>
      <c r="H4031" s="8" t="s">
        <v>25</v>
      </c>
      <c r="J4031" s="8" t="s">
        <v>25</v>
      </c>
      <c r="N4031" s="8" t="s">
        <v>58</v>
      </c>
      <c r="O4031" s="8" t="s">
        <v>59</v>
      </c>
      <c r="P4031" s="8" t="s">
        <v>59</v>
      </c>
      <c r="R4031" s="8">
        <v>0</v>
      </c>
      <c r="S4031" s="8">
        <v>0</v>
      </c>
      <c r="T4031" s="8">
        <v>1</v>
      </c>
      <c r="U4031" s="8">
        <v>2</v>
      </c>
      <c r="AG4031" s="8" t="str">
        <f t="shared" si="249"/>
        <v/>
      </c>
      <c r="AI4031" s="8" t="str">
        <f t="shared" si="250"/>
        <v/>
      </c>
      <c r="AJ4031" s="8" t="str">
        <f t="shared" si="251"/>
        <v/>
      </c>
      <c r="AL4031" s="8" t="str">
        <f t="shared" si="252"/>
        <v/>
      </c>
    </row>
    <row r="4032" spans="1:38" x14ac:dyDescent="0.25">
      <c r="A4032" s="8" t="s">
        <v>1628</v>
      </c>
      <c r="B4032" s="8" t="s">
        <v>1629</v>
      </c>
      <c r="C4032" s="8">
        <v>30824322</v>
      </c>
      <c r="D4032" s="8">
        <v>5</v>
      </c>
      <c r="E4032" s="11">
        <v>43108</v>
      </c>
      <c r="F4032" s="8" t="s">
        <v>58</v>
      </c>
      <c r="G4032" s="11">
        <v>43109</v>
      </c>
      <c r="H4032" s="8" t="s">
        <v>25</v>
      </c>
      <c r="I4032" s="11">
        <v>43112</v>
      </c>
      <c r="J4032" s="8" t="s">
        <v>25</v>
      </c>
      <c r="N4032" s="8" t="s">
        <v>58</v>
      </c>
      <c r="O4032" s="8" t="s">
        <v>59</v>
      </c>
      <c r="P4032" s="8" t="s">
        <v>59</v>
      </c>
      <c r="R4032" s="8">
        <v>0</v>
      </c>
      <c r="S4032" s="8">
        <v>0</v>
      </c>
      <c r="T4032" s="8">
        <v>1</v>
      </c>
      <c r="U4032" s="8">
        <v>2</v>
      </c>
      <c r="X4032" s="8">
        <v>5</v>
      </c>
      <c r="AG4032" s="8" t="str">
        <f t="shared" si="249"/>
        <v/>
      </c>
      <c r="AI4032" s="8" t="str">
        <f t="shared" si="250"/>
        <v/>
      </c>
      <c r="AJ4032" s="8" t="str">
        <f t="shared" si="251"/>
        <v/>
      </c>
      <c r="AL4032" s="8" t="str">
        <f t="shared" si="252"/>
        <v/>
      </c>
    </row>
    <row r="4033" spans="1:38" x14ac:dyDescent="0.25">
      <c r="A4033" s="8" t="s">
        <v>6503</v>
      </c>
      <c r="B4033" s="8" t="s">
        <v>6504</v>
      </c>
      <c r="C4033" s="8">
        <v>30903794</v>
      </c>
      <c r="D4033" s="8">
        <v>5</v>
      </c>
      <c r="E4033" s="11">
        <v>43111</v>
      </c>
      <c r="F4033" s="8" t="s">
        <v>58</v>
      </c>
      <c r="G4033" s="11">
        <v>43112</v>
      </c>
      <c r="H4033" s="8" t="s">
        <v>25</v>
      </c>
      <c r="I4033" s="11">
        <v>43112</v>
      </c>
      <c r="J4033" s="8" t="s">
        <v>25</v>
      </c>
      <c r="N4033" s="8" t="s">
        <v>58</v>
      </c>
      <c r="O4033" s="8" t="s">
        <v>59</v>
      </c>
      <c r="P4033" s="8" t="s">
        <v>59</v>
      </c>
      <c r="R4033" s="8">
        <v>0</v>
      </c>
      <c r="S4033" s="8">
        <v>0</v>
      </c>
      <c r="T4033" s="8">
        <v>1</v>
      </c>
      <c r="U4033" s="8">
        <v>2</v>
      </c>
      <c r="X4033" s="8">
        <v>5</v>
      </c>
      <c r="AG4033" s="8" t="str">
        <f t="shared" si="249"/>
        <v/>
      </c>
      <c r="AI4033" s="8" t="str">
        <f t="shared" si="250"/>
        <v/>
      </c>
      <c r="AJ4033" s="8" t="str">
        <f t="shared" si="251"/>
        <v/>
      </c>
      <c r="AL4033" s="8" t="str">
        <f t="shared" si="252"/>
        <v/>
      </c>
    </row>
    <row r="4034" spans="1:38" x14ac:dyDescent="0.25">
      <c r="A4034" s="8" t="s">
        <v>3243</v>
      </c>
      <c r="B4034" s="8" t="s">
        <v>3244</v>
      </c>
      <c r="C4034" s="8">
        <v>30860782</v>
      </c>
      <c r="D4034" s="8">
        <v>5</v>
      </c>
      <c r="E4034" s="11">
        <v>43110</v>
      </c>
      <c r="F4034" s="8" t="s">
        <v>57</v>
      </c>
      <c r="G4034" s="11">
        <v>43110</v>
      </c>
      <c r="H4034" s="8" t="s">
        <v>25</v>
      </c>
      <c r="J4034" s="8" t="s">
        <v>25</v>
      </c>
      <c r="N4034" s="8" t="s">
        <v>58</v>
      </c>
      <c r="O4034" s="8" t="s">
        <v>59</v>
      </c>
      <c r="P4034" s="8" t="s">
        <v>59</v>
      </c>
      <c r="R4034" s="8">
        <v>0</v>
      </c>
      <c r="S4034" s="8">
        <v>0</v>
      </c>
      <c r="T4034" s="8">
        <v>1</v>
      </c>
      <c r="U4034" s="8">
        <v>2</v>
      </c>
      <c r="AG4034" s="8" t="str">
        <f t="shared" si="249"/>
        <v/>
      </c>
      <c r="AI4034" s="8" t="str">
        <f t="shared" si="250"/>
        <v/>
      </c>
      <c r="AJ4034" s="8" t="str">
        <f t="shared" si="251"/>
        <v/>
      </c>
      <c r="AL4034" s="8" t="str">
        <f t="shared" si="252"/>
        <v/>
      </c>
    </row>
    <row r="4035" spans="1:38" x14ac:dyDescent="0.25">
      <c r="A4035" s="8" t="s">
        <v>1630</v>
      </c>
      <c r="B4035" s="8" t="s">
        <v>1631</v>
      </c>
      <c r="C4035" s="8">
        <v>30834026</v>
      </c>
      <c r="D4035" s="8">
        <v>5</v>
      </c>
      <c r="E4035" s="11">
        <v>43109</v>
      </c>
      <c r="F4035" s="8" t="s">
        <v>58</v>
      </c>
      <c r="G4035" s="11">
        <v>43109</v>
      </c>
      <c r="H4035" s="8" t="s">
        <v>25</v>
      </c>
      <c r="I4035" s="11">
        <v>43111</v>
      </c>
      <c r="J4035" s="8" t="s">
        <v>25</v>
      </c>
      <c r="N4035" s="8" t="s">
        <v>58</v>
      </c>
      <c r="O4035" s="8" t="s">
        <v>59</v>
      </c>
      <c r="P4035" s="8" t="s">
        <v>59</v>
      </c>
      <c r="R4035" s="8">
        <v>0</v>
      </c>
      <c r="S4035" s="8">
        <v>0</v>
      </c>
      <c r="T4035" s="8">
        <v>1</v>
      </c>
      <c r="U4035" s="8">
        <v>2</v>
      </c>
      <c r="X4035" s="8">
        <v>5</v>
      </c>
      <c r="AG4035" s="8" t="str">
        <f t="shared" ref="AG4035:AG4079" si="253">IF(AND(U4035="",G4035&lt;&gt;"",NOT(OR(R4035,S4035))),IF(NETWORKDAYS.INTL(G4035,TODAY(),11)&lt;5,"En Plazo",IF(NETWORKDAYS.INTL(G4035,TODAY(),11)=5,"Riesgo Incumplimiento","FALTA_02")),"")</f>
        <v/>
      </c>
      <c r="AI4035" s="8" t="str">
        <f t="shared" ref="AI4035:AI4079" si="254">IF(AND(O4035&lt;&gt;"B1",F4035="Rejected"),IF(W4035="","FALTA_04",""),"")</f>
        <v/>
      </c>
      <c r="AJ4035" s="8" t="str">
        <f t="shared" ref="AJ4035:AJ4079" si="255">IF(AND(X4035="",I4035&lt;&gt;"",NOT(OR(R4035,S4035))),IF(NETWORKDAYS.INTL(G4035,TODAY(),11)&lt;=1,"En Plazo",IF(OR(AND(X4035="",O4035&lt;&gt;"M1"),AND(O4035="M1",(OR(Q4035="S - S",Q4035="S - T",)))),"FALTA_05","")),"")</f>
        <v/>
      </c>
      <c r="AL4035" s="8" t="str">
        <f t="shared" ref="AL4035:AL4079" si="256">IF(AND(O4035="B1",F4035="Rejected"),IF(Z4035="","FALTA_07",""),"")</f>
        <v/>
      </c>
    </row>
    <row r="4036" spans="1:38" x14ac:dyDescent="0.25">
      <c r="A4036" s="8" t="s">
        <v>4679</v>
      </c>
      <c r="B4036" s="8" t="s">
        <v>4680</v>
      </c>
      <c r="C4036" s="8">
        <v>30897437</v>
      </c>
      <c r="D4036" s="8">
        <v>5</v>
      </c>
      <c r="E4036" s="11">
        <v>43111</v>
      </c>
      <c r="F4036" s="8" t="s">
        <v>60</v>
      </c>
      <c r="G4036" s="11">
        <v>43111</v>
      </c>
      <c r="H4036" s="8" t="s">
        <v>25</v>
      </c>
      <c r="J4036" s="8" t="s">
        <v>25</v>
      </c>
      <c r="L4036" s="8" t="s">
        <v>4797</v>
      </c>
      <c r="N4036" s="8" t="s">
        <v>58</v>
      </c>
      <c r="O4036" s="8" t="s">
        <v>59</v>
      </c>
      <c r="P4036" s="8" t="s">
        <v>59</v>
      </c>
      <c r="R4036" s="8">
        <v>0</v>
      </c>
      <c r="S4036" s="8">
        <v>0</v>
      </c>
      <c r="T4036" s="8">
        <v>1</v>
      </c>
      <c r="U4036" s="8">
        <v>2</v>
      </c>
      <c r="W4036" s="8">
        <v>4</v>
      </c>
      <c r="AG4036" s="8" t="str">
        <f t="shared" si="253"/>
        <v/>
      </c>
      <c r="AI4036" s="8" t="str">
        <f t="shared" si="254"/>
        <v/>
      </c>
      <c r="AJ4036" s="8" t="str">
        <f t="shared" si="255"/>
        <v/>
      </c>
      <c r="AL4036" s="8" t="str">
        <f t="shared" si="256"/>
        <v/>
      </c>
    </row>
    <row r="4037" spans="1:38" x14ac:dyDescent="0.25">
      <c r="A4037" s="8" t="s">
        <v>3245</v>
      </c>
      <c r="B4037" s="8" t="s">
        <v>3246</v>
      </c>
      <c r="C4037" s="8">
        <v>30860324</v>
      </c>
      <c r="D4037" s="8">
        <v>5</v>
      </c>
      <c r="E4037" s="11">
        <v>43110</v>
      </c>
      <c r="F4037" s="8" t="s">
        <v>60</v>
      </c>
      <c r="G4037" s="11">
        <v>43110</v>
      </c>
      <c r="H4037" s="8" t="s">
        <v>25</v>
      </c>
      <c r="J4037" s="8" t="s">
        <v>145</v>
      </c>
      <c r="L4037" s="8" t="s">
        <v>6525</v>
      </c>
      <c r="N4037" s="8" t="s">
        <v>58</v>
      </c>
      <c r="O4037" s="8" t="s">
        <v>59</v>
      </c>
      <c r="P4037" s="8" t="s">
        <v>59</v>
      </c>
      <c r="R4037" s="8">
        <v>0</v>
      </c>
      <c r="S4037" s="8">
        <v>0</v>
      </c>
      <c r="T4037" s="8">
        <v>1</v>
      </c>
      <c r="U4037" s="8">
        <v>2</v>
      </c>
      <c r="W4037" s="8">
        <v>4</v>
      </c>
      <c r="AG4037" s="8" t="str">
        <f t="shared" si="253"/>
        <v/>
      </c>
      <c r="AI4037" s="8" t="str">
        <f t="shared" si="254"/>
        <v/>
      </c>
      <c r="AJ4037" s="8" t="str">
        <f t="shared" si="255"/>
        <v/>
      </c>
      <c r="AL4037" s="8" t="str">
        <f t="shared" si="256"/>
        <v/>
      </c>
    </row>
    <row r="4038" spans="1:38" x14ac:dyDescent="0.25">
      <c r="A4038" s="8" t="s">
        <v>1632</v>
      </c>
      <c r="B4038" s="8" t="s">
        <v>1633</v>
      </c>
      <c r="C4038" s="8">
        <v>30841515</v>
      </c>
      <c r="D4038" s="8">
        <v>5</v>
      </c>
      <c r="E4038" s="11">
        <v>43109</v>
      </c>
      <c r="F4038" s="8" t="s">
        <v>57</v>
      </c>
      <c r="G4038" s="11">
        <v>43109</v>
      </c>
      <c r="H4038" s="8" t="s">
        <v>25</v>
      </c>
      <c r="J4038" s="8" t="s">
        <v>25</v>
      </c>
      <c r="N4038" s="8" t="s">
        <v>58</v>
      </c>
      <c r="O4038" s="8" t="s">
        <v>59</v>
      </c>
      <c r="P4038" s="8" t="s">
        <v>59</v>
      </c>
      <c r="R4038" s="8">
        <v>0</v>
      </c>
      <c r="S4038" s="8">
        <v>0</v>
      </c>
      <c r="T4038" s="8">
        <v>1</v>
      </c>
      <c r="U4038" s="8">
        <v>2</v>
      </c>
      <c r="AG4038" s="8" t="str">
        <f t="shared" si="253"/>
        <v/>
      </c>
      <c r="AI4038" s="8" t="str">
        <f t="shared" si="254"/>
        <v/>
      </c>
      <c r="AJ4038" s="8" t="str">
        <f t="shared" si="255"/>
        <v/>
      </c>
      <c r="AL4038" s="8" t="str">
        <f t="shared" si="256"/>
        <v/>
      </c>
    </row>
    <row r="4039" spans="1:38" x14ac:dyDescent="0.25">
      <c r="A4039" s="8" t="s">
        <v>4681</v>
      </c>
      <c r="B4039" s="8" t="s">
        <v>4682</v>
      </c>
      <c r="C4039" s="8">
        <v>30889473</v>
      </c>
      <c r="D4039" s="8">
        <v>5</v>
      </c>
      <c r="E4039" s="11">
        <v>43111</v>
      </c>
      <c r="F4039" s="8" t="s">
        <v>57</v>
      </c>
      <c r="G4039" s="11">
        <v>43111</v>
      </c>
      <c r="H4039" s="8" t="s">
        <v>25</v>
      </c>
      <c r="J4039" s="8" t="s">
        <v>25</v>
      </c>
      <c r="N4039" s="8" t="s">
        <v>58</v>
      </c>
      <c r="O4039" s="8" t="s">
        <v>59</v>
      </c>
      <c r="P4039" s="8" t="s">
        <v>59</v>
      </c>
      <c r="R4039" s="8">
        <v>0</v>
      </c>
      <c r="S4039" s="8">
        <v>0</v>
      </c>
      <c r="T4039" s="8">
        <v>1</v>
      </c>
      <c r="U4039" s="8">
        <v>2</v>
      </c>
      <c r="AG4039" s="8" t="str">
        <f t="shared" si="253"/>
        <v/>
      </c>
      <c r="AI4039" s="8" t="str">
        <f t="shared" si="254"/>
        <v/>
      </c>
      <c r="AJ4039" s="8" t="str">
        <f t="shared" si="255"/>
        <v/>
      </c>
      <c r="AL4039" s="8" t="str">
        <f t="shared" si="256"/>
        <v/>
      </c>
    </row>
    <row r="4040" spans="1:38" x14ac:dyDescent="0.25">
      <c r="A4040" s="8" t="s">
        <v>6505</v>
      </c>
      <c r="B4040" s="8" t="s">
        <v>6506</v>
      </c>
      <c r="C4040" s="8">
        <v>30909111</v>
      </c>
      <c r="D4040" s="8">
        <v>5</v>
      </c>
      <c r="E4040" s="11">
        <v>43112</v>
      </c>
      <c r="F4040" s="8" t="s">
        <v>57</v>
      </c>
      <c r="G4040" s="11">
        <v>43112</v>
      </c>
      <c r="H4040" s="8" t="s">
        <v>25</v>
      </c>
      <c r="J4040" s="8" t="s">
        <v>25</v>
      </c>
      <c r="N4040" s="8" t="s">
        <v>58</v>
      </c>
      <c r="O4040" s="8" t="s">
        <v>59</v>
      </c>
      <c r="P4040" s="8" t="s">
        <v>59</v>
      </c>
      <c r="R4040" s="8">
        <v>0</v>
      </c>
      <c r="S4040" s="8">
        <v>0</v>
      </c>
      <c r="T4040" s="8">
        <v>1</v>
      </c>
      <c r="U4040" s="8">
        <v>2</v>
      </c>
      <c r="AG4040" s="8" t="str">
        <f t="shared" si="253"/>
        <v/>
      </c>
      <c r="AI4040" s="8" t="str">
        <f t="shared" si="254"/>
        <v/>
      </c>
      <c r="AJ4040" s="8" t="str">
        <f t="shared" si="255"/>
        <v/>
      </c>
      <c r="AL4040" s="8" t="str">
        <f t="shared" si="256"/>
        <v/>
      </c>
    </row>
    <row r="4041" spans="1:38" x14ac:dyDescent="0.25">
      <c r="A4041" s="8" t="s">
        <v>6507</v>
      </c>
      <c r="B4041" s="8" t="s">
        <v>6508</v>
      </c>
      <c r="C4041" s="8">
        <v>30915183</v>
      </c>
      <c r="D4041" s="8">
        <v>5</v>
      </c>
      <c r="E4041" s="11">
        <v>43112</v>
      </c>
      <c r="F4041" s="8" t="s">
        <v>57</v>
      </c>
      <c r="G4041" s="11">
        <v>43114</v>
      </c>
      <c r="H4041" s="8" t="s">
        <v>25</v>
      </c>
      <c r="J4041" s="8" t="s">
        <v>25</v>
      </c>
      <c r="N4041" s="8" t="s">
        <v>58</v>
      </c>
      <c r="O4041" s="8" t="s">
        <v>59</v>
      </c>
      <c r="P4041" s="8" t="s">
        <v>59</v>
      </c>
      <c r="R4041" s="8">
        <v>0</v>
      </c>
      <c r="S4041" s="8">
        <v>0</v>
      </c>
      <c r="T4041" s="8">
        <v>1</v>
      </c>
      <c r="U4041" s="8">
        <v>2</v>
      </c>
      <c r="AG4041" s="8" t="str">
        <f t="shared" si="253"/>
        <v/>
      </c>
      <c r="AI4041" s="8" t="str">
        <f t="shared" si="254"/>
        <v/>
      </c>
      <c r="AJ4041" s="8" t="str">
        <f t="shared" si="255"/>
        <v/>
      </c>
      <c r="AL4041" s="8" t="str">
        <f t="shared" si="256"/>
        <v/>
      </c>
    </row>
    <row r="4042" spans="1:38" x14ac:dyDescent="0.25">
      <c r="A4042" s="8" t="s">
        <v>8203</v>
      </c>
      <c r="B4042" s="8" t="s">
        <v>8204</v>
      </c>
      <c r="C4042" s="8">
        <v>30932791</v>
      </c>
      <c r="D4042" s="8">
        <v>5</v>
      </c>
      <c r="E4042" s="11">
        <v>43115</v>
      </c>
      <c r="F4042" s="8" t="s">
        <v>57</v>
      </c>
      <c r="G4042" s="11">
        <v>43115</v>
      </c>
      <c r="H4042" s="8" t="s">
        <v>25</v>
      </c>
      <c r="J4042" s="8" t="s">
        <v>25</v>
      </c>
      <c r="N4042" s="8" t="s">
        <v>58</v>
      </c>
      <c r="O4042" s="8" t="s">
        <v>59</v>
      </c>
      <c r="P4042" s="8" t="s">
        <v>59</v>
      </c>
      <c r="R4042" s="8">
        <v>0</v>
      </c>
      <c r="S4042" s="8">
        <v>0</v>
      </c>
      <c r="T4042" s="8">
        <v>1</v>
      </c>
      <c r="U4042" s="8">
        <v>2</v>
      </c>
      <c r="AG4042" s="8" t="str">
        <f t="shared" si="253"/>
        <v/>
      </c>
      <c r="AI4042" s="8" t="str">
        <f t="shared" si="254"/>
        <v/>
      </c>
      <c r="AJ4042" s="8" t="str">
        <f t="shared" si="255"/>
        <v/>
      </c>
      <c r="AL4042" s="8" t="str">
        <f t="shared" si="256"/>
        <v/>
      </c>
    </row>
    <row r="4043" spans="1:38" x14ac:dyDescent="0.25">
      <c r="A4043" s="8" t="s">
        <v>1634</v>
      </c>
      <c r="B4043" s="8" t="s">
        <v>1635</v>
      </c>
      <c r="C4043" s="8">
        <v>30836361</v>
      </c>
      <c r="D4043" s="8">
        <v>5</v>
      </c>
      <c r="E4043" s="11">
        <v>43109</v>
      </c>
      <c r="F4043" s="8" t="s">
        <v>60</v>
      </c>
      <c r="G4043" s="11">
        <v>43109</v>
      </c>
      <c r="H4043" s="8" t="s">
        <v>25</v>
      </c>
      <c r="J4043" s="8" t="s">
        <v>25</v>
      </c>
      <c r="L4043" s="8" t="s">
        <v>1662</v>
      </c>
      <c r="N4043" s="8" t="s">
        <v>58</v>
      </c>
      <c r="O4043" s="8" t="s">
        <v>59</v>
      </c>
      <c r="P4043" s="8" t="s">
        <v>59</v>
      </c>
      <c r="R4043" s="8">
        <v>0</v>
      </c>
      <c r="S4043" s="8">
        <v>0</v>
      </c>
      <c r="T4043" s="8">
        <v>1</v>
      </c>
      <c r="U4043" s="8">
        <v>2</v>
      </c>
      <c r="W4043" s="8">
        <v>4</v>
      </c>
      <c r="AG4043" s="8" t="str">
        <f t="shared" si="253"/>
        <v/>
      </c>
      <c r="AI4043" s="8" t="str">
        <f t="shared" si="254"/>
        <v/>
      </c>
      <c r="AJ4043" s="8" t="str">
        <f t="shared" si="255"/>
        <v/>
      </c>
      <c r="AL4043" s="8" t="str">
        <f t="shared" si="256"/>
        <v/>
      </c>
    </row>
    <row r="4044" spans="1:38" x14ac:dyDescent="0.25">
      <c r="A4044" s="8" t="s">
        <v>4683</v>
      </c>
      <c r="B4044" s="8" t="s">
        <v>4684</v>
      </c>
      <c r="C4044" s="8">
        <v>30891835</v>
      </c>
      <c r="D4044" s="8">
        <v>5</v>
      </c>
      <c r="E4044" s="11">
        <v>43111</v>
      </c>
      <c r="F4044" s="8" t="s">
        <v>58</v>
      </c>
      <c r="G4044" s="11">
        <v>43111</v>
      </c>
      <c r="H4044" s="8" t="s">
        <v>25</v>
      </c>
      <c r="I4044" s="11">
        <v>43112</v>
      </c>
      <c r="J4044" s="8" t="s">
        <v>25</v>
      </c>
      <c r="N4044" s="8" t="s">
        <v>58</v>
      </c>
      <c r="O4044" s="8" t="s">
        <v>59</v>
      </c>
      <c r="P4044" s="8" t="s">
        <v>59</v>
      </c>
      <c r="R4044" s="8">
        <v>0</v>
      </c>
      <c r="S4044" s="8">
        <v>0</v>
      </c>
      <c r="T4044" s="8">
        <v>1</v>
      </c>
      <c r="U4044" s="8">
        <v>2</v>
      </c>
      <c r="X4044" s="8">
        <v>5</v>
      </c>
      <c r="AG4044" s="8" t="str">
        <f t="shared" si="253"/>
        <v/>
      </c>
      <c r="AI4044" s="8" t="str">
        <f t="shared" si="254"/>
        <v/>
      </c>
      <c r="AJ4044" s="8" t="str">
        <f t="shared" si="255"/>
        <v/>
      </c>
      <c r="AL4044" s="8" t="str">
        <f t="shared" si="256"/>
        <v/>
      </c>
    </row>
    <row r="4045" spans="1:38" x14ac:dyDescent="0.25">
      <c r="A4045" s="8" t="s">
        <v>1636</v>
      </c>
      <c r="B4045" s="8" t="s">
        <v>1637</v>
      </c>
      <c r="C4045" s="8">
        <v>30815223</v>
      </c>
      <c r="D4045" s="8">
        <v>5</v>
      </c>
      <c r="E4045" s="11">
        <v>43108</v>
      </c>
      <c r="F4045" s="8" t="s">
        <v>58</v>
      </c>
      <c r="G4045" s="11">
        <v>43109</v>
      </c>
      <c r="H4045" s="8" t="s">
        <v>25</v>
      </c>
      <c r="I4045" s="11">
        <v>43109</v>
      </c>
      <c r="J4045" s="8" t="s">
        <v>25</v>
      </c>
      <c r="N4045" s="8" t="s">
        <v>58</v>
      </c>
      <c r="O4045" s="8" t="s">
        <v>59</v>
      </c>
      <c r="P4045" s="8" t="s">
        <v>59</v>
      </c>
      <c r="R4045" s="8">
        <v>0</v>
      </c>
      <c r="S4045" s="8">
        <v>0</v>
      </c>
      <c r="T4045" s="8">
        <v>1</v>
      </c>
      <c r="U4045" s="8">
        <v>2</v>
      </c>
      <c r="X4045" s="8">
        <v>5</v>
      </c>
      <c r="AG4045" s="8" t="str">
        <f t="shared" si="253"/>
        <v/>
      </c>
      <c r="AI4045" s="8" t="str">
        <f t="shared" si="254"/>
        <v/>
      </c>
      <c r="AJ4045" s="8" t="str">
        <f t="shared" si="255"/>
        <v/>
      </c>
      <c r="AL4045" s="8" t="str">
        <f t="shared" si="256"/>
        <v/>
      </c>
    </row>
    <row r="4046" spans="1:38" x14ac:dyDescent="0.25">
      <c r="A4046" s="8" t="s">
        <v>1638</v>
      </c>
      <c r="B4046" s="8" t="s">
        <v>1639</v>
      </c>
      <c r="C4046" s="8">
        <v>30839554</v>
      </c>
      <c r="D4046" s="8">
        <v>5</v>
      </c>
      <c r="E4046" s="11">
        <v>43109</v>
      </c>
      <c r="F4046" s="8" t="s">
        <v>58</v>
      </c>
      <c r="G4046" s="11">
        <v>43109</v>
      </c>
      <c r="H4046" s="8" t="s">
        <v>25</v>
      </c>
      <c r="I4046" s="11">
        <v>43112</v>
      </c>
      <c r="J4046" s="8" t="s">
        <v>25</v>
      </c>
      <c r="N4046" s="8" t="s">
        <v>58</v>
      </c>
      <c r="O4046" s="8" t="s">
        <v>59</v>
      </c>
      <c r="P4046" s="8" t="s">
        <v>59</v>
      </c>
      <c r="R4046" s="8">
        <v>0</v>
      </c>
      <c r="S4046" s="8">
        <v>0</v>
      </c>
      <c r="T4046" s="8">
        <v>1</v>
      </c>
      <c r="U4046" s="8">
        <v>2</v>
      </c>
      <c r="X4046" s="8">
        <v>5</v>
      </c>
      <c r="AG4046" s="8" t="str">
        <f t="shared" si="253"/>
        <v/>
      </c>
      <c r="AI4046" s="8" t="str">
        <f t="shared" si="254"/>
        <v/>
      </c>
      <c r="AJ4046" s="8" t="str">
        <f t="shared" si="255"/>
        <v/>
      </c>
      <c r="AL4046" s="8" t="str">
        <f t="shared" si="256"/>
        <v/>
      </c>
    </row>
    <row r="4047" spans="1:38" x14ac:dyDescent="0.25">
      <c r="A4047" s="8" t="s">
        <v>6509</v>
      </c>
      <c r="B4047" s="8" t="s">
        <v>6510</v>
      </c>
      <c r="C4047" s="8">
        <v>30927338</v>
      </c>
      <c r="D4047" s="8">
        <v>5</v>
      </c>
      <c r="E4047" s="11">
        <v>43113</v>
      </c>
      <c r="F4047" s="8" t="s">
        <v>58</v>
      </c>
      <c r="G4047" s="11">
        <v>43113</v>
      </c>
      <c r="H4047" s="8" t="s">
        <v>25</v>
      </c>
      <c r="I4047" s="11">
        <v>43115</v>
      </c>
      <c r="J4047" s="8" t="s">
        <v>25</v>
      </c>
      <c r="N4047" s="8" t="s">
        <v>58</v>
      </c>
      <c r="O4047" s="8" t="s">
        <v>59</v>
      </c>
      <c r="P4047" s="8" t="s">
        <v>59</v>
      </c>
      <c r="R4047" s="8">
        <v>0</v>
      </c>
      <c r="S4047" s="8">
        <v>0</v>
      </c>
      <c r="T4047" s="8">
        <v>1</v>
      </c>
      <c r="U4047" s="8">
        <v>2</v>
      </c>
      <c r="X4047" s="8">
        <v>5</v>
      </c>
      <c r="AG4047" s="8" t="str">
        <f t="shared" si="253"/>
        <v/>
      </c>
      <c r="AI4047" s="8" t="str">
        <f t="shared" si="254"/>
        <v/>
      </c>
      <c r="AJ4047" s="8" t="str">
        <f t="shared" si="255"/>
        <v/>
      </c>
      <c r="AL4047" s="8" t="str">
        <f t="shared" si="256"/>
        <v/>
      </c>
    </row>
    <row r="4048" spans="1:38" x14ac:dyDescent="0.25">
      <c r="A4048" s="8" t="s">
        <v>1640</v>
      </c>
      <c r="B4048" s="8" t="s">
        <v>1641</v>
      </c>
      <c r="C4048" s="8">
        <v>30821155</v>
      </c>
      <c r="D4048" s="8">
        <v>5</v>
      </c>
      <c r="E4048" s="11">
        <v>43108</v>
      </c>
      <c r="F4048" s="8" t="s">
        <v>58</v>
      </c>
      <c r="G4048" s="11">
        <v>43109</v>
      </c>
      <c r="H4048" s="8" t="s">
        <v>25</v>
      </c>
      <c r="I4048" s="11">
        <v>43112</v>
      </c>
      <c r="J4048" s="8" t="s">
        <v>25</v>
      </c>
      <c r="N4048" s="8" t="s">
        <v>58</v>
      </c>
      <c r="O4048" s="8" t="s">
        <v>59</v>
      </c>
      <c r="P4048" s="8" t="s">
        <v>59</v>
      </c>
      <c r="R4048" s="8">
        <v>0</v>
      </c>
      <c r="S4048" s="8">
        <v>0</v>
      </c>
      <c r="T4048" s="8">
        <v>1</v>
      </c>
      <c r="U4048" s="8">
        <v>2</v>
      </c>
      <c r="X4048" s="8">
        <v>5</v>
      </c>
      <c r="AG4048" s="8" t="str">
        <f t="shared" si="253"/>
        <v/>
      </c>
      <c r="AI4048" s="8" t="str">
        <f t="shared" si="254"/>
        <v/>
      </c>
      <c r="AJ4048" s="8" t="str">
        <f t="shared" si="255"/>
        <v/>
      </c>
      <c r="AL4048" s="8" t="str">
        <f t="shared" si="256"/>
        <v/>
      </c>
    </row>
    <row r="4049" spans="1:38" x14ac:dyDescent="0.25">
      <c r="A4049" s="8" t="s">
        <v>6511</v>
      </c>
      <c r="B4049" s="8" t="s">
        <v>6512</v>
      </c>
      <c r="C4049" s="8">
        <v>30897983</v>
      </c>
      <c r="D4049" s="8">
        <v>5</v>
      </c>
      <c r="E4049" s="11">
        <v>43111</v>
      </c>
      <c r="F4049" s="8" t="s">
        <v>58</v>
      </c>
      <c r="G4049" s="11">
        <v>43114</v>
      </c>
      <c r="H4049" s="8" t="s">
        <v>25</v>
      </c>
      <c r="I4049" s="11">
        <v>43115</v>
      </c>
      <c r="J4049" s="8" t="s">
        <v>25</v>
      </c>
      <c r="N4049" s="8" t="s">
        <v>58</v>
      </c>
      <c r="O4049" s="8" t="s">
        <v>59</v>
      </c>
      <c r="P4049" s="8" t="s">
        <v>59</v>
      </c>
      <c r="R4049" s="8">
        <v>0</v>
      </c>
      <c r="S4049" s="8">
        <v>0</v>
      </c>
      <c r="T4049" s="8">
        <v>1</v>
      </c>
      <c r="U4049" s="8">
        <v>2</v>
      </c>
      <c r="X4049" s="8">
        <v>5</v>
      </c>
      <c r="AG4049" s="8" t="str">
        <f t="shared" si="253"/>
        <v/>
      </c>
      <c r="AI4049" s="8" t="str">
        <f t="shared" si="254"/>
        <v/>
      </c>
      <c r="AJ4049" s="8" t="str">
        <f t="shared" si="255"/>
        <v/>
      </c>
      <c r="AL4049" s="8" t="str">
        <f t="shared" si="256"/>
        <v/>
      </c>
    </row>
    <row r="4050" spans="1:38" x14ac:dyDescent="0.25">
      <c r="A4050" s="8" t="s">
        <v>760</v>
      </c>
      <c r="B4050" s="8" t="s">
        <v>761</v>
      </c>
      <c r="C4050" s="8">
        <v>30818304</v>
      </c>
      <c r="D4050" s="8">
        <v>5</v>
      </c>
      <c r="E4050" s="11">
        <v>43108</v>
      </c>
      <c r="F4050" s="8" t="s">
        <v>57</v>
      </c>
      <c r="G4050" s="11">
        <v>43108</v>
      </c>
      <c r="H4050" s="8" t="s">
        <v>25</v>
      </c>
      <c r="J4050" s="8" t="s">
        <v>25</v>
      </c>
      <c r="N4050" s="8" t="s">
        <v>58</v>
      </c>
      <c r="O4050" s="8" t="s">
        <v>59</v>
      </c>
      <c r="P4050" s="8" t="s">
        <v>59</v>
      </c>
      <c r="R4050" s="8">
        <v>0</v>
      </c>
      <c r="S4050" s="8">
        <v>0</v>
      </c>
      <c r="T4050" s="8">
        <v>1</v>
      </c>
      <c r="U4050" s="8">
        <v>2</v>
      </c>
      <c r="AG4050" s="8" t="str">
        <f t="shared" si="253"/>
        <v/>
      </c>
      <c r="AI4050" s="8" t="str">
        <f t="shared" si="254"/>
        <v/>
      </c>
      <c r="AJ4050" s="8" t="str">
        <f t="shared" si="255"/>
        <v/>
      </c>
      <c r="AL4050" s="8" t="str">
        <f t="shared" si="256"/>
        <v/>
      </c>
    </row>
    <row r="4051" spans="1:38" x14ac:dyDescent="0.25">
      <c r="A4051" s="8" t="s">
        <v>6513</v>
      </c>
      <c r="B4051" s="8" t="s">
        <v>6514</v>
      </c>
      <c r="C4051" s="8">
        <v>30920662</v>
      </c>
      <c r="D4051" s="8">
        <v>5</v>
      </c>
      <c r="E4051" s="11">
        <v>43112</v>
      </c>
      <c r="F4051" s="8" t="s">
        <v>58</v>
      </c>
      <c r="G4051" s="11">
        <v>43112</v>
      </c>
      <c r="H4051" s="8" t="s">
        <v>25</v>
      </c>
      <c r="I4051" s="11">
        <v>43112</v>
      </c>
      <c r="J4051" s="8" t="s">
        <v>25</v>
      </c>
      <c r="N4051" s="8" t="s">
        <v>58</v>
      </c>
      <c r="O4051" s="8" t="s">
        <v>59</v>
      </c>
      <c r="P4051" s="8" t="s">
        <v>59</v>
      </c>
      <c r="R4051" s="8">
        <v>0</v>
      </c>
      <c r="S4051" s="8">
        <v>0</v>
      </c>
      <c r="T4051" s="8">
        <v>1</v>
      </c>
      <c r="U4051" s="8">
        <v>2</v>
      </c>
      <c r="X4051" s="8">
        <v>5</v>
      </c>
      <c r="AG4051" s="8" t="str">
        <f t="shared" si="253"/>
        <v/>
      </c>
      <c r="AI4051" s="8" t="str">
        <f t="shared" si="254"/>
        <v/>
      </c>
      <c r="AJ4051" s="8" t="str">
        <f t="shared" si="255"/>
        <v/>
      </c>
      <c r="AL4051" s="8" t="str">
        <f t="shared" si="256"/>
        <v/>
      </c>
    </row>
    <row r="4052" spans="1:38" x14ac:dyDescent="0.25">
      <c r="A4052" s="8" t="s">
        <v>3247</v>
      </c>
      <c r="B4052" s="8" t="s">
        <v>3248</v>
      </c>
      <c r="C4052" s="8">
        <v>30859687</v>
      </c>
      <c r="D4052" s="8">
        <v>5</v>
      </c>
      <c r="E4052" s="11">
        <v>43110</v>
      </c>
      <c r="F4052" s="8" t="s">
        <v>58</v>
      </c>
      <c r="G4052" s="11">
        <v>43110</v>
      </c>
      <c r="H4052" s="8" t="s">
        <v>25</v>
      </c>
      <c r="I4052" s="11">
        <v>43115</v>
      </c>
      <c r="J4052" s="8" t="s">
        <v>145</v>
      </c>
      <c r="N4052" s="8" t="s">
        <v>58</v>
      </c>
      <c r="O4052" s="8" t="s">
        <v>59</v>
      </c>
      <c r="P4052" s="8" t="s">
        <v>59</v>
      </c>
      <c r="R4052" s="8">
        <v>0</v>
      </c>
      <c r="S4052" s="8">
        <v>0</v>
      </c>
      <c r="T4052" s="8">
        <v>1</v>
      </c>
      <c r="U4052" s="8">
        <v>2</v>
      </c>
      <c r="X4052" s="8">
        <v>5</v>
      </c>
      <c r="AG4052" s="8" t="str">
        <f t="shared" si="253"/>
        <v/>
      </c>
      <c r="AI4052" s="8" t="str">
        <f t="shared" si="254"/>
        <v/>
      </c>
      <c r="AJ4052" s="8" t="str">
        <f t="shared" si="255"/>
        <v/>
      </c>
      <c r="AL4052" s="8" t="str">
        <f t="shared" si="256"/>
        <v/>
      </c>
    </row>
    <row r="4053" spans="1:38" x14ac:dyDescent="0.25">
      <c r="A4053" s="8" t="s">
        <v>6515</v>
      </c>
      <c r="B4053" s="8" t="s">
        <v>6516</v>
      </c>
      <c r="C4053" s="8">
        <v>30909725</v>
      </c>
      <c r="D4053" s="8">
        <v>5</v>
      </c>
      <c r="E4053" s="11">
        <v>43112</v>
      </c>
      <c r="F4053" s="8" t="s">
        <v>57</v>
      </c>
      <c r="G4053" s="11">
        <v>43114</v>
      </c>
      <c r="H4053" s="8" t="s">
        <v>25</v>
      </c>
      <c r="J4053" s="8" t="s">
        <v>25</v>
      </c>
      <c r="N4053" s="8" t="s">
        <v>58</v>
      </c>
      <c r="O4053" s="8" t="s">
        <v>59</v>
      </c>
      <c r="P4053" s="8" t="s">
        <v>59</v>
      </c>
      <c r="R4053" s="8">
        <v>0</v>
      </c>
      <c r="S4053" s="8">
        <v>0</v>
      </c>
      <c r="T4053" s="8">
        <v>1</v>
      </c>
      <c r="U4053" s="8">
        <v>2</v>
      </c>
      <c r="AG4053" s="8" t="str">
        <f t="shared" si="253"/>
        <v/>
      </c>
      <c r="AI4053" s="8" t="str">
        <f t="shared" si="254"/>
        <v/>
      </c>
      <c r="AJ4053" s="8" t="str">
        <f t="shared" si="255"/>
        <v/>
      </c>
      <c r="AL4053" s="8" t="str">
        <f t="shared" si="256"/>
        <v/>
      </c>
    </row>
    <row r="4054" spans="1:38" x14ac:dyDescent="0.25">
      <c r="A4054" s="8" t="s">
        <v>4685</v>
      </c>
      <c r="B4054" s="8" t="s">
        <v>4686</v>
      </c>
      <c r="C4054" s="8">
        <v>30881841</v>
      </c>
      <c r="D4054" s="8">
        <v>5</v>
      </c>
      <c r="E4054" s="11">
        <v>43111</v>
      </c>
      <c r="F4054" s="8" t="s">
        <v>58</v>
      </c>
      <c r="G4054" s="11">
        <v>43111</v>
      </c>
      <c r="H4054" s="8" t="s">
        <v>25</v>
      </c>
      <c r="I4054" s="11">
        <v>43112</v>
      </c>
      <c r="J4054" s="8" t="s">
        <v>25</v>
      </c>
      <c r="N4054" s="8" t="s">
        <v>58</v>
      </c>
      <c r="O4054" s="8" t="s">
        <v>59</v>
      </c>
      <c r="P4054" s="8" t="s">
        <v>59</v>
      </c>
      <c r="R4054" s="8">
        <v>0</v>
      </c>
      <c r="S4054" s="8">
        <v>0</v>
      </c>
      <c r="T4054" s="8">
        <v>1</v>
      </c>
      <c r="U4054" s="8">
        <v>2</v>
      </c>
      <c r="X4054" s="8">
        <v>5</v>
      </c>
      <c r="AG4054" s="8" t="str">
        <f t="shared" si="253"/>
        <v/>
      </c>
      <c r="AI4054" s="8" t="str">
        <f t="shared" si="254"/>
        <v/>
      </c>
      <c r="AJ4054" s="8" t="str">
        <f t="shared" si="255"/>
        <v/>
      </c>
      <c r="AL4054" s="8" t="str">
        <f t="shared" si="256"/>
        <v/>
      </c>
    </row>
    <row r="4055" spans="1:38" x14ac:dyDescent="0.25">
      <c r="A4055" s="8" t="s">
        <v>4687</v>
      </c>
      <c r="B4055" s="8" t="s">
        <v>4688</v>
      </c>
      <c r="C4055" s="8">
        <v>30881647</v>
      </c>
      <c r="D4055" s="8">
        <v>5</v>
      </c>
      <c r="E4055" s="11">
        <v>43111</v>
      </c>
      <c r="F4055" s="8" t="s">
        <v>58</v>
      </c>
      <c r="G4055" s="11">
        <v>43111</v>
      </c>
      <c r="H4055" s="8" t="s">
        <v>25</v>
      </c>
      <c r="I4055" s="11">
        <v>43115</v>
      </c>
      <c r="J4055" s="8" t="s">
        <v>25</v>
      </c>
      <c r="N4055" s="8" t="s">
        <v>58</v>
      </c>
      <c r="O4055" s="8" t="s">
        <v>59</v>
      </c>
      <c r="P4055" s="8" t="s">
        <v>59</v>
      </c>
      <c r="R4055" s="8">
        <v>0</v>
      </c>
      <c r="S4055" s="8">
        <v>0</v>
      </c>
      <c r="T4055" s="8">
        <v>1</v>
      </c>
      <c r="U4055" s="8">
        <v>2</v>
      </c>
      <c r="X4055" s="8">
        <v>5</v>
      </c>
      <c r="AG4055" s="8" t="str">
        <f t="shared" si="253"/>
        <v/>
      </c>
      <c r="AI4055" s="8" t="str">
        <f t="shared" si="254"/>
        <v/>
      </c>
      <c r="AJ4055" s="8" t="str">
        <f t="shared" si="255"/>
        <v/>
      </c>
      <c r="AL4055" s="8" t="str">
        <f t="shared" si="256"/>
        <v/>
      </c>
    </row>
    <row r="4056" spans="1:38" x14ac:dyDescent="0.25">
      <c r="A4056" s="8" t="s">
        <v>1642</v>
      </c>
      <c r="B4056" s="8" t="s">
        <v>1643</v>
      </c>
      <c r="C4056" s="8">
        <v>30810180</v>
      </c>
      <c r="D4056" s="8">
        <v>5</v>
      </c>
      <c r="E4056" s="11">
        <v>43108</v>
      </c>
      <c r="F4056" s="8" t="s">
        <v>57</v>
      </c>
      <c r="G4056" s="11">
        <v>43109</v>
      </c>
      <c r="H4056" s="8" t="s">
        <v>25</v>
      </c>
      <c r="J4056" s="8" t="s">
        <v>25</v>
      </c>
      <c r="N4056" s="8" t="s">
        <v>58</v>
      </c>
      <c r="O4056" s="8" t="s">
        <v>59</v>
      </c>
      <c r="P4056" s="8" t="s">
        <v>59</v>
      </c>
      <c r="R4056" s="8">
        <v>0</v>
      </c>
      <c r="S4056" s="8">
        <v>0</v>
      </c>
      <c r="T4056" s="8">
        <v>1</v>
      </c>
      <c r="U4056" s="8">
        <v>2</v>
      </c>
      <c r="AG4056" s="8" t="str">
        <f t="shared" si="253"/>
        <v/>
      </c>
      <c r="AI4056" s="8" t="str">
        <f t="shared" si="254"/>
        <v/>
      </c>
      <c r="AJ4056" s="8" t="str">
        <f t="shared" si="255"/>
        <v/>
      </c>
      <c r="AL4056" s="8" t="str">
        <f t="shared" si="256"/>
        <v/>
      </c>
    </row>
    <row r="4057" spans="1:38" x14ac:dyDescent="0.25">
      <c r="A4057" s="8" t="s">
        <v>3249</v>
      </c>
      <c r="B4057" s="8" t="s">
        <v>3250</v>
      </c>
      <c r="C4057" s="8">
        <v>30862049</v>
      </c>
      <c r="D4057" s="8">
        <v>5</v>
      </c>
      <c r="E4057" s="11">
        <v>43110</v>
      </c>
      <c r="F4057" s="8" t="s">
        <v>57</v>
      </c>
      <c r="G4057" s="11">
        <v>43110</v>
      </c>
      <c r="H4057" s="8" t="s">
        <v>25</v>
      </c>
      <c r="J4057" s="8" t="s">
        <v>25</v>
      </c>
      <c r="N4057" s="8" t="s">
        <v>58</v>
      </c>
      <c r="O4057" s="8" t="s">
        <v>59</v>
      </c>
      <c r="P4057" s="8" t="s">
        <v>59</v>
      </c>
      <c r="R4057" s="8">
        <v>0</v>
      </c>
      <c r="S4057" s="8">
        <v>0</v>
      </c>
      <c r="T4057" s="8">
        <v>1</v>
      </c>
      <c r="U4057" s="8">
        <v>2</v>
      </c>
      <c r="AG4057" s="8" t="str">
        <f t="shared" si="253"/>
        <v/>
      </c>
      <c r="AI4057" s="8" t="str">
        <f t="shared" si="254"/>
        <v/>
      </c>
      <c r="AJ4057" s="8" t="str">
        <f t="shared" si="255"/>
        <v/>
      </c>
      <c r="AL4057" s="8" t="str">
        <f t="shared" si="256"/>
        <v/>
      </c>
    </row>
    <row r="4058" spans="1:38" x14ac:dyDescent="0.25">
      <c r="A4058" s="8" t="s">
        <v>4689</v>
      </c>
      <c r="B4058" s="8" t="s">
        <v>4690</v>
      </c>
      <c r="C4058" s="8">
        <v>30892299</v>
      </c>
      <c r="D4058" s="8">
        <v>5</v>
      </c>
      <c r="E4058" s="11">
        <v>43111</v>
      </c>
      <c r="F4058" s="8" t="s">
        <v>58</v>
      </c>
      <c r="G4058" s="11">
        <v>43111</v>
      </c>
      <c r="H4058" s="8" t="s">
        <v>25</v>
      </c>
      <c r="I4058" s="11">
        <v>43112</v>
      </c>
      <c r="J4058" s="8" t="s">
        <v>25</v>
      </c>
      <c r="N4058" s="8" t="s">
        <v>58</v>
      </c>
      <c r="O4058" s="8" t="s">
        <v>59</v>
      </c>
      <c r="P4058" s="8" t="s">
        <v>59</v>
      </c>
      <c r="R4058" s="8">
        <v>0</v>
      </c>
      <c r="S4058" s="8">
        <v>0</v>
      </c>
      <c r="T4058" s="8">
        <v>1</v>
      </c>
      <c r="U4058" s="8">
        <v>2</v>
      </c>
      <c r="X4058" s="8">
        <v>5</v>
      </c>
      <c r="AG4058" s="8" t="str">
        <f t="shared" si="253"/>
        <v/>
      </c>
      <c r="AI4058" s="8" t="str">
        <f t="shared" si="254"/>
        <v/>
      </c>
      <c r="AJ4058" s="8" t="str">
        <f t="shared" si="255"/>
        <v/>
      </c>
      <c r="AL4058" s="8" t="str">
        <f t="shared" si="256"/>
        <v/>
      </c>
    </row>
    <row r="4059" spans="1:38" x14ac:dyDescent="0.25">
      <c r="A4059" s="8" t="s">
        <v>1644</v>
      </c>
      <c r="B4059" s="8" t="s">
        <v>1645</v>
      </c>
      <c r="C4059" s="8">
        <v>30845680</v>
      </c>
      <c r="D4059" s="8">
        <v>4</v>
      </c>
      <c r="E4059" s="11">
        <v>43109</v>
      </c>
      <c r="F4059" s="8" t="s">
        <v>57</v>
      </c>
      <c r="G4059" s="11">
        <v>43109</v>
      </c>
      <c r="H4059" s="8" t="s">
        <v>25</v>
      </c>
      <c r="J4059" s="8" t="s">
        <v>25</v>
      </c>
      <c r="N4059" s="8" t="s">
        <v>58</v>
      </c>
      <c r="O4059" s="8" t="s">
        <v>59</v>
      </c>
      <c r="P4059" s="8" t="s">
        <v>59</v>
      </c>
      <c r="R4059" s="8">
        <v>0</v>
      </c>
      <c r="S4059" s="8">
        <v>0</v>
      </c>
      <c r="T4059" s="8">
        <v>1</v>
      </c>
      <c r="U4059" s="8">
        <v>2</v>
      </c>
      <c r="AG4059" s="8" t="str">
        <f t="shared" si="253"/>
        <v/>
      </c>
      <c r="AI4059" s="8" t="str">
        <f t="shared" si="254"/>
        <v/>
      </c>
      <c r="AJ4059" s="8" t="str">
        <f t="shared" si="255"/>
        <v/>
      </c>
      <c r="AL4059" s="8" t="str">
        <f t="shared" si="256"/>
        <v/>
      </c>
    </row>
    <row r="4060" spans="1:38" x14ac:dyDescent="0.25">
      <c r="A4060" s="8" t="s">
        <v>3251</v>
      </c>
      <c r="B4060" s="8" t="s">
        <v>3252</v>
      </c>
      <c r="C4060" s="8">
        <v>30862130</v>
      </c>
      <c r="D4060" s="8">
        <v>5</v>
      </c>
      <c r="E4060" s="11">
        <v>43110</v>
      </c>
      <c r="F4060" s="8" t="s">
        <v>58</v>
      </c>
      <c r="G4060" s="11">
        <v>43110</v>
      </c>
      <c r="H4060" s="8" t="s">
        <v>25</v>
      </c>
      <c r="I4060" s="11">
        <v>43110</v>
      </c>
      <c r="J4060" s="8" t="s">
        <v>25</v>
      </c>
      <c r="N4060" s="8" t="s">
        <v>58</v>
      </c>
      <c r="O4060" s="8" t="s">
        <v>59</v>
      </c>
      <c r="P4060" s="8" t="s">
        <v>59</v>
      </c>
      <c r="R4060" s="8">
        <v>0</v>
      </c>
      <c r="S4060" s="8">
        <v>0</v>
      </c>
      <c r="T4060" s="8">
        <v>1</v>
      </c>
      <c r="U4060" s="8">
        <v>2</v>
      </c>
      <c r="X4060" s="8">
        <v>5</v>
      </c>
      <c r="AG4060" s="8" t="str">
        <f t="shared" si="253"/>
        <v/>
      </c>
      <c r="AI4060" s="8" t="str">
        <f t="shared" si="254"/>
        <v/>
      </c>
      <c r="AJ4060" s="8" t="str">
        <f t="shared" si="255"/>
        <v/>
      </c>
      <c r="AL4060" s="8" t="str">
        <f t="shared" si="256"/>
        <v/>
      </c>
    </row>
    <row r="4061" spans="1:38" x14ac:dyDescent="0.25">
      <c r="A4061" s="8" t="s">
        <v>4691</v>
      </c>
      <c r="B4061" s="8" t="s">
        <v>4692</v>
      </c>
      <c r="C4061" s="8">
        <v>30881118</v>
      </c>
      <c r="D4061" s="8">
        <v>5</v>
      </c>
      <c r="E4061" s="11">
        <v>43111</v>
      </c>
      <c r="F4061" s="8" t="s">
        <v>58</v>
      </c>
      <c r="G4061" s="11">
        <v>43111</v>
      </c>
      <c r="H4061" s="8" t="s">
        <v>25</v>
      </c>
      <c r="I4061" s="11">
        <v>43111</v>
      </c>
      <c r="J4061" s="8" t="s">
        <v>25</v>
      </c>
      <c r="N4061" s="8" t="s">
        <v>58</v>
      </c>
      <c r="O4061" s="8" t="s">
        <v>59</v>
      </c>
      <c r="P4061" s="8" t="s">
        <v>59</v>
      </c>
      <c r="R4061" s="8">
        <v>0</v>
      </c>
      <c r="S4061" s="8">
        <v>0</v>
      </c>
      <c r="T4061" s="8">
        <v>1</v>
      </c>
      <c r="U4061" s="8">
        <v>2</v>
      </c>
      <c r="X4061" s="8">
        <v>5</v>
      </c>
      <c r="AG4061" s="8" t="str">
        <f t="shared" si="253"/>
        <v/>
      </c>
      <c r="AI4061" s="8" t="str">
        <f t="shared" si="254"/>
        <v/>
      </c>
      <c r="AJ4061" s="8" t="str">
        <f t="shared" si="255"/>
        <v/>
      </c>
      <c r="AL4061" s="8" t="str">
        <f t="shared" si="256"/>
        <v/>
      </c>
    </row>
    <row r="4062" spans="1:38" x14ac:dyDescent="0.25">
      <c r="A4062" s="8" t="s">
        <v>4693</v>
      </c>
      <c r="B4062" s="8" t="s">
        <v>4694</v>
      </c>
      <c r="C4062" s="8">
        <v>30881121</v>
      </c>
      <c r="D4062" s="8">
        <v>5</v>
      </c>
      <c r="E4062" s="11">
        <v>43111</v>
      </c>
      <c r="F4062" s="8" t="s">
        <v>58</v>
      </c>
      <c r="G4062" s="11">
        <v>43111</v>
      </c>
      <c r="H4062" s="8" t="s">
        <v>25</v>
      </c>
      <c r="I4062" s="11">
        <v>43111</v>
      </c>
      <c r="J4062" s="8" t="s">
        <v>25</v>
      </c>
      <c r="N4062" s="8" t="s">
        <v>58</v>
      </c>
      <c r="O4062" s="8" t="s">
        <v>59</v>
      </c>
      <c r="P4062" s="8" t="s">
        <v>59</v>
      </c>
      <c r="R4062" s="8">
        <v>0</v>
      </c>
      <c r="S4062" s="8">
        <v>0</v>
      </c>
      <c r="T4062" s="8">
        <v>1</v>
      </c>
      <c r="U4062" s="8">
        <v>2</v>
      </c>
      <c r="X4062" s="8">
        <v>5</v>
      </c>
      <c r="AG4062" s="8" t="str">
        <f t="shared" si="253"/>
        <v/>
      </c>
      <c r="AI4062" s="8" t="str">
        <f t="shared" si="254"/>
        <v/>
      </c>
      <c r="AJ4062" s="8" t="str">
        <f t="shared" si="255"/>
        <v/>
      </c>
      <c r="AL4062" s="8" t="str">
        <f t="shared" si="256"/>
        <v/>
      </c>
    </row>
    <row r="4063" spans="1:38" x14ac:dyDescent="0.25">
      <c r="A4063" s="8" t="s">
        <v>1646</v>
      </c>
      <c r="B4063" s="8" t="s">
        <v>1647</v>
      </c>
      <c r="C4063" s="8">
        <v>30814345</v>
      </c>
      <c r="D4063" s="8">
        <v>5</v>
      </c>
      <c r="E4063" s="11">
        <v>43108</v>
      </c>
      <c r="F4063" s="8" t="s">
        <v>58</v>
      </c>
      <c r="G4063" s="11">
        <v>43109</v>
      </c>
      <c r="H4063" s="8" t="s">
        <v>25</v>
      </c>
      <c r="I4063" s="11">
        <v>43109</v>
      </c>
      <c r="J4063" s="8" t="s">
        <v>25</v>
      </c>
      <c r="N4063" s="8" t="s">
        <v>58</v>
      </c>
      <c r="O4063" s="8" t="s">
        <v>59</v>
      </c>
      <c r="P4063" s="8" t="s">
        <v>59</v>
      </c>
      <c r="R4063" s="8">
        <v>0</v>
      </c>
      <c r="S4063" s="8">
        <v>0</v>
      </c>
      <c r="T4063" s="8">
        <v>1</v>
      </c>
      <c r="U4063" s="8">
        <v>2</v>
      </c>
      <c r="X4063" s="8">
        <v>5</v>
      </c>
      <c r="AG4063" s="8" t="str">
        <f t="shared" si="253"/>
        <v/>
      </c>
      <c r="AI4063" s="8" t="str">
        <f t="shared" si="254"/>
        <v/>
      </c>
      <c r="AJ4063" s="8" t="str">
        <f t="shared" si="255"/>
        <v/>
      </c>
      <c r="AL4063" s="8" t="str">
        <f t="shared" si="256"/>
        <v/>
      </c>
    </row>
    <row r="4064" spans="1:38" x14ac:dyDescent="0.25">
      <c r="A4064" s="8" t="s">
        <v>1648</v>
      </c>
      <c r="B4064" s="8" t="s">
        <v>1649</v>
      </c>
      <c r="C4064" s="8">
        <v>30841516</v>
      </c>
      <c r="D4064" s="8">
        <v>5</v>
      </c>
      <c r="E4064" s="11">
        <v>43109</v>
      </c>
      <c r="F4064" s="8" t="s">
        <v>58</v>
      </c>
      <c r="G4064" s="11">
        <v>43109</v>
      </c>
      <c r="H4064" s="8" t="s">
        <v>25</v>
      </c>
      <c r="I4064" s="11">
        <v>43112</v>
      </c>
      <c r="J4064" s="8" t="s">
        <v>25</v>
      </c>
      <c r="N4064" s="8" t="s">
        <v>58</v>
      </c>
      <c r="O4064" s="8" t="s">
        <v>59</v>
      </c>
      <c r="P4064" s="8" t="s">
        <v>59</v>
      </c>
      <c r="R4064" s="8">
        <v>0</v>
      </c>
      <c r="S4064" s="8">
        <v>0</v>
      </c>
      <c r="T4064" s="8">
        <v>1</v>
      </c>
      <c r="U4064" s="8">
        <v>2</v>
      </c>
      <c r="X4064" s="8">
        <v>5</v>
      </c>
      <c r="AG4064" s="8" t="str">
        <f t="shared" si="253"/>
        <v/>
      </c>
      <c r="AI4064" s="8" t="str">
        <f t="shared" si="254"/>
        <v/>
      </c>
      <c r="AJ4064" s="8" t="str">
        <f t="shared" si="255"/>
        <v/>
      </c>
      <c r="AL4064" s="8" t="str">
        <f t="shared" si="256"/>
        <v/>
      </c>
    </row>
    <row r="4065" spans="1:38" x14ac:dyDescent="0.25">
      <c r="A4065" s="8" t="s">
        <v>1650</v>
      </c>
      <c r="B4065" s="8" t="s">
        <v>1651</v>
      </c>
      <c r="C4065" s="8">
        <v>30841519</v>
      </c>
      <c r="D4065" s="8">
        <v>5</v>
      </c>
      <c r="E4065" s="11">
        <v>43109</v>
      </c>
      <c r="F4065" s="8" t="s">
        <v>60</v>
      </c>
      <c r="G4065" s="11">
        <v>43109</v>
      </c>
      <c r="H4065" s="8" t="s">
        <v>25</v>
      </c>
      <c r="J4065" s="8" t="s">
        <v>145</v>
      </c>
      <c r="L4065" s="8" t="s">
        <v>6525</v>
      </c>
      <c r="N4065" s="8" t="s">
        <v>58</v>
      </c>
      <c r="O4065" s="8" t="s">
        <v>59</v>
      </c>
      <c r="P4065" s="8" t="s">
        <v>59</v>
      </c>
      <c r="R4065" s="8">
        <v>0</v>
      </c>
      <c r="S4065" s="8">
        <v>0</v>
      </c>
      <c r="T4065" s="8">
        <v>1</v>
      </c>
      <c r="U4065" s="8">
        <v>2</v>
      </c>
      <c r="W4065" s="8">
        <v>4</v>
      </c>
      <c r="AG4065" s="8" t="str">
        <f t="shared" si="253"/>
        <v/>
      </c>
      <c r="AI4065" s="8" t="str">
        <f t="shared" si="254"/>
        <v/>
      </c>
      <c r="AJ4065" s="8" t="str">
        <f t="shared" si="255"/>
        <v/>
      </c>
      <c r="AL4065" s="8" t="str">
        <f t="shared" si="256"/>
        <v/>
      </c>
    </row>
    <row r="4066" spans="1:38" x14ac:dyDescent="0.25">
      <c r="A4066" s="8" t="s">
        <v>3253</v>
      </c>
      <c r="B4066" s="8" t="s">
        <v>131</v>
      </c>
      <c r="C4066" s="8">
        <v>30872497</v>
      </c>
      <c r="D4066" s="8">
        <v>5</v>
      </c>
      <c r="E4066" s="11">
        <v>43110</v>
      </c>
      <c r="F4066" s="8" t="s">
        <v>57</v>
      </c>
      <c r="G4066" s="11">
        <v>43110</v>
      </c>
      <c r="H4066" s="8" t="s">
        <v>25</v>
      </c>
      <c r="J4066" s="8" t="s">
        <v>25</v>
      </c>
      <c r="N4066" s="8" t="s">
        <v>58</v>
      </c>
      <c r="O4066" s="8" t="s">
        <v>59</v>
      </c>
      <c r="P4066" s="8" t="s">
        <v>59</v>
      </c>
      <c r="R4066" s="8">
        <v>0</v>
      </c>
      <c r="S4066" s="8">
        <v>0</v>
      </c>
      <c r="T4066" s="8">
        <v>1</v>
      </c>
      <c r="U4066" s="8">
        <v>2</v>
      </c>
      <c r="AG4066" s="8" t="str">
        <f t="shared" si="253"/>
        <v/>
      </c>
      <c r="AI4066" s="8" t="str">
        <f t="shared" si="254"/>
        <v/>
      </c>
      <c r="AJ4066" s="8" t="str">
        <f t="shared" si="255"/>
        <v/>
      </c>
      <c r="AL4066" s="8" t="str">
        <f t="shared" si="256"/>
        <v/>
      </c>
    </row>
    <row r="4067" spans="1:38" x14ac:dyDescent="0.25">
      <c r="A4067" s="8" t="s">
        <v>1652</v>
      </c>
      <c r="B4067" s="8" t="s">
        <v>1653</v>
      </c>
      <c r="C4067" s="8">
        <v>30841517</v>
      </c>
      <c r="D4067" s="8">
        <v>5</v>
      </c>
      <c r="E4067" s="11">
        <v>43109</v>
      </c>
      <c r="F4067" s="8" t="s">
        <v>58</v>
      </c>
      <c r="G4067" s="11">
        <v>43109</v>
      </c>
      <c r="H4067" s="8" t="s">
        <v>25</v>
      </c>
      <c r="I4067" s="11">
        <v>43110</v>
      </c>
      <c r="J4067" s="8" t="s">
        <v>25</v>
      </c>
      <c r="N4067" s="8" t="s">
        <v>58</v>
      </c>
      <c r="O4067" s="8" t="s">
        <v>59</v>
      </c>
      <c r="P4067" s="8" t="s">
        <v>59</v>
      </c>
      <c r="R4067" s="8">
        <v>0</v>
      </c>
      <c r="S4067" s="8">
        <v>0</v>
      </c>
      <c r="T4067" s="8">
        <v>1</v>
      </c>
      <c r="U4067" s="8">
        <v>2</v>
      </c>
      <c r="X4067" s="8">
        <v>5</v>
      </c>
      <c r="AG4067" s="8" t="str">
        <f t="shared" si="253"/>
        <v/>
      </c>
      <c r="AI4067" s="8" t="str">
        <f t="shared" si="254"/>
        <v/>
      </c>
      <c r="AJ4067" s="8" t="str">
        <f t="shared" si="255"/>
        <v/>
      </c>
      <c r="AL4067" s="8" t="str">
        <f t="shared" si="256"/>
        <v/>
      </c>
    </row>
    <row r="4068" spans="1:38" x14ac:dyDescent="0.25">
      <c r="A4068" s="8" t="s">
        <v>4695</v>
      </c>
      <c r="B4068" s="8" t="s">
        <v>4696</v>
      </c>
      <c r="C4068" s="8">
        <v>30891790</v>
      </c>
      <c r="D4068" s="8">
        <v>5</v>
      </c>
      <c r="E4068" s="11">
        <v>43111</v>
      </c>
      <c r="F4068" s="8" t="s">
        <v>57</v>
      </c>
      <c r="G4068" s="11">
        <v>43111</v>
      </c>
      <c r="H4068" s="8" t="s">
        <v>25</v>
      </c>
      <c r="J4068" s="8" t="s">
        <v>25</v>
      </c>
      <c r="N4068" s="8" t="s">
        <v>58</v>
      </c>
      <c r="O4068" s="8" t="s">
        <v>59</v>
      </c>
      <c r="P4068" s="8" t="s">
        <v>59</v>
      </c>
      <c r="R4068" s="8">
        <v>0</v>
      </c>
      <c r="S4068" s="8">
        <v>0</v>
      </c>
      <c r="T4068" s="8">
        <v>1</v>
      </c>
      <c r="U4068" s="8">
        <v>2</v>
      </c>
      <c r="AG4068" s="8" t="str">
        <f t="shared" si="253"/>
        <v/>
      </c>
      <c r="AI4068" s="8" t="str">
        <f t="shared" si="254"/>
        <v/>
      </c>
      <c r="AJ4068" s="8" t="str">
        <f t="shared" si="255"/>
        <v/>
      </c>
      <c r="AL4068" s="8" t="str">
        <f t="shared" si="256"/>
        <v/>
      </c>
    </row>
    <row r="4069" spans="1:38" x14ac:dyDescent="0.25">
      <c r="A4069" s="8" t="s">
        <v>762</v>
      </c>
      <c r="B4069" s="8" t="s">
        <v>763</v>
      </c>
      <c r="C4069" s="8">
        <v>30814439</v>
      </c>
      <c r="D4069" s="8">
        <v>5</v>
      </c>
      <c r="E4069" s="11">
        <v>43108</v>
      </c>
      <c r="F4069" s="8" t="s">
        <v>58</v>
      </c>
      <c r="G4069" s="11">
        <v>43108</v>
      </c>
      <c r="H4069" s="8" t="s">
        <v>25</v>
      </c>
      <c r="I4069" s="11">
        <v>43108</v>
      </c>
      <c r="J4069" s="8" t="s">
        <v>25</v>
      </c>
      <c r="N4069" s="8" t="s">
        <v>58</v>
      </c>
      <c r="O4069" s="8" t="s">
        <v>59</v>
      </c>
      <c r="P4069" s="8" t="s">
        <v>59</v>
      </c>
      <c r="R4069" s="8">
        <v>0</v>
      </c>
      <c r="S4069" s="8">
        <v>0</v>
      </c>
      <c r="T4069" s="8">
        <v>1</v>
      </c>
      <c r="U4069" s="8">
        <v>2</v>
      </c>
      <c r="X4069" s="8">
        <v>5</v>
      </c>
      <c r="AG4069" s="8" t="str">
        <f t="shared" si="253"/>
        <v/>
      </c>
      <c r="AI4069" s="8" t="str">
        <f t="shared" si="254"/>
        <v/>
      </c>
      <c r="AJ4069" s="8" t="str">
        <f t="shared" si="255"/>
        <v/>
      </c>
      <c r="AL4069" s="8" t="str">
        <f t="shared" si="256"/>
        <v/>
      </c>
    </row>
    <row r="4070" spans="1:38" x14ac:dyDescent="0.25">
      <c r="A4070" s="8" t="s">
        <v>4697</v>
      </c>
      <c r="B4070" s="8" t="s">
        <v>4698</v>
      </c>
      <c r="C4070" s="8">
        <v>30881606</v>
      </c>
      <c r="D4070" s="8">
        <v>5</v>
      </c>
      <c r="E4070" s="11">
        <v>43111</v>
      </c>
      <c r="F4070" s="8" t="s">
        <v>58</v>
      </c>
      <c r="G4070" s="11">
        <v>43111</v>
      </c>
      <c r="H4070" s="8" t="s">
        <v>25</v>
      </c>
      <c r="I4070" s="11">
        <v>43111</v>
      </c>
      <c r="J4070" s="8" t="s">
        <v>25</v>
      </c>
      <c r="N4070" s="8" t="s">
        <v>58</v>
      </c>
      <c r="O4070" s="8" t="s">
        <v>59</v>
      </c>
      <c r="P4070" s="8" t="s">
        <v>59</v>
      </c>
      <c r="R4070" s="8">
        <v>0</v>
      </c>
      <c r="S4070" s="8">
        <v>0</v>
      </c>
      <c r="T4070" s="8">
        <v>1</v>
      </c>
      <c r="U4070" s="8">
        <v>2</v>
      </c>
      <c r="X4070" s="8">
        <v>5</v>
      </c>
      <c r="AG4070" s="8" t="str">
        <f t="shared" si="253"/>
        <v/>
      </c>
      <c r="AI4070" s="8" t="str">
        <f t="shared" si="254"/>
        <v/>
      </c>
      <c r="AJ4070" s="8" t="str">
        <f t="shared" si="255"/>
        <v/>
      </c>
      <c r="AL4070" s="8" t="str">
        <f t="shared" si="256"/>
        <v/>
      </c>
    </row>
    <row r="4071" spans="1:38" x14ac:dyDescent="0.25">
      <c r="A4071" s="8" t="s">
        <v>3254</v>
      </c>
      <c r="B4071" s="8" t="s">
        <v>3255</v>
      </c>
      <c r="C4071" s="8">
        <v>30856963</v>
      </c>
      <c r="D4071" s="8">
        <v>5</v>
      </c>
      <c r="E4071" s="11">
        <v>43110</v>
      </c>
      <c r="F4071" s="8" t="s">
        <v>57</v>
      </c>
      <c r="G4071" s="11">
        <v>43110</v>
      </c>
      <c r="H4071" s="8" t="s">
        <v>25</v>
      </c>
      <c r="J4071" s="8" t="s">
        <v>25</v>
      </c>
      <c r="N4071" s="8" t="s">
        <v>58</v>
      </c>
      <c r="O4071" s="8" t="s">
        <v>59</v>
      </c>
      <c r="P4071" s="8" t="s">
        <v>59</v>
      </c>
      <c r="R4071" s="8">
        <v>0</v>
      </c>
      <c r="S4071" s="8">
        <v>0</v>
      </c>
      <c r="T4071" s="8">
        <v>1</v>
      </c>
      <c r="U4071" s="8">
        <v>2</v>
      </c>
      <c r="AG4071" s="8" t="str">
        <f t="shared" si="253"/>
        <v/>
      </c>
      <c r="AI4071" s="8" t="str">
        <f t="shared" si="254"/>
        <v/>
      </c>
      <c r="AJ4071" s="8" t="str">
        <f t="shared" si="255"/>
        <v/>
      </c>
      <c r="AL4071" s="8" t="str">
        <f t="shared" si="256"/>
        <v/>
      </c>
    </row>
    <row r="4072" spans="1:38" x14ac:dyDescent="0.25">
      <c r="A4072" s="8" t="s">
        <v>764</v>
      </c>
      <c r="B4072" s="8" t="s">
        <v>765</v>
      </c>
      <c r="C4072" s="8">
        <v>30818138</v>
      </c>
      <c r="D4072" s="8">
        <v>5</v>
      </c>
      <c r="E4072" s="11">
        <v>43108</v>
      </c>
      <c r="F4072" s="8" t="s">
        <v>58</v>
      </c>
      <c r="G4072" s="11">
        <v>43108</v>
      </c>
      <c r="H4072" s="8" t="s">
        <v>25</v>
      </c>
      <c r="I4072" s="11">
        <v>43115</v>
      </c>
      <c r="J4072" s="8" t="s">
        <v>856</v>
      </c>
      <c r="N4072" s="8" t="s">
        <v>58</v>
      </c>
      <c r="O4072" s="8" t="s">
        <v>59</v>
      </c>
      <c r="P4072" s="8" t="s">
        <v>59</v>
      </c>
      <c r="R4072" s="8">
        <v>0</v>
      </c>
      <c r="S4072" s="8">
        <v>0</v>
      </c>
      <c r="T4072" s="8">
        <v>1</v>
      </c>
      <c r="U4072" s="8">
        <v>2</v>
      </c>
      <c r="X4072" s="8">
        <v>5</v>
      </c>
      <c r="AG4072" s="8" t="str">
        <f t="shared" si="253"/>
        <v/>
      </c>
      <c r="AI4072" s="8" t="str">
        <f t="shared" si="254"/>
        <v/>
      </c>
      <c r="AJ4072" s="8" t="str">
        <f t="shared" si="255"/>
        <v/>
      </c>
      <c r="AL4072" s="8" t="str">
        <f t="shared" si="256"/>
        <v/>
      </c>
    </row>
    <row r="4073" spans="1:38" x14ac:dyDescent="0.25">
      <c r="A4073" s="8" t="s">
        <v>8205</v>
      </c>
      <c r="B4073" s="8" t="s">
        <v>8206</v>
      </c>
      <c r="C4073" s="8">
        <v>30920957</v>
      </c>
      <c r="D4073" s="8">
        <v>5</v>
      </c>
      <c r="E4073" s="11">
        <v>43112</v>
      </c>
      <c r="F4073" s="8" t="s">
        <v>57</v>
      </c>
      <c r="G4073" s="11">
        <v>43115</v>
      </c>
      <c r="H4073" s="8" t="s">
        <v>25</v>
      </c>
      <c r="J4073" s="8" t="s">
        <v>25</v>
      </c>
      <c r="N4073" s="8" t="s">
        <v>58</v>
      </c>
      <c r="O4073" s="8" t="s">
        <v>59</v>
      </c>
      <c r="P4073" s="8" t="s">
        <v>59</v>
      </c>
      <c r="R4073" s="8">
        <v>0</v>
      </c>
      <c r="S4073" s="8">
        <v>0</v>
      </c>
      <c r="T4073" s="8">
        <v>1</v>
      </c>
      <c r="U4073" s="8">
        <v>2</v>
      </c>
      <c r="AG4073" s="8" t="str">
        <f t="shared" si="253"/>
        <v/>
      </c>
      <c r="AI4073" s="8" t="str">
        <f t="shared" si="254"/>
        <v/>
      </c>
      <c r="AJ4073" s="8" t="str">
        <f t="shared" si="255"/>
        <v/>
      </c>
      <c r="AL4073" s="8" t="str">
        <f t="shared" si="256"/>
        <v/>
      </c>
    </row>
    <row r="4074" spans="1:38" x14ac:dyDescent="0.25">
      <c r="A4074" s="8" t="s">
        <v>6517</v>
      </c>
      <c r="B4074" s="8" t="s">
        <v>6518</v>
      </c>
      <c r="C4074" s="8">
        <v>30910016</v>
      </c>
      <c r="D4074" s="8">
        <v>5</v>
      </c>
      <c r="E4074" s="11">
        <v>43112</v>
      </c>
      <c r="F4074" s="8" t="s">
        <v>57</v>
      </c>
      <c r="G4074" s="11">
        <v>43114</v>
      </c>
      <c r="H4074" s="8" t="s">
        <v>25</v>
      </c>
      <c r="J4074" s="8" t="s">
        <v>25</v>
      </c>
      <c r="N4074" s="8" t="s">
        <v>58</v>
      </c>
      <c r="O4074" s="8" t="s">
        <v>59</v>
      </c>
      <c r="P4074" s="8" t="s">
        <v>59</v>
      </c>
      <c r="R4074" s="8">
        <v>0</v>
      </c>
      <c r="S4074" s="8">
        <v>0</v>
      </c>
      <c r="T4074" s="8">
        <v>1</v>
      </c>
      <c r="U4074" s="8">
        <v>2</v>
      </c>
      <c r="AG4074" s="8" t="str">
        <f t="shared" si="253"/>
        <v/>
      </c>
      <c r="AI4074" s="8" t="str">
        <f t="shared" si="254"/>
        <v/>
      </c>
      <c r="AJ4074" s="8" t="str">
        <f t="shared" si="255"/>
        <v/>
      </c>
      <c r="AL4074" s="8" t="str">
        <f t="shared" si="256"/>
        <v/>
      </c>
    </row>
    <row r="4075" spans="1:38" x14ac:dyDescent="0.25">
      <c r="A4075" s="8" t="s">
        <v>6519</v>
      </c>
      <c r="B4075" s="8" t="s">
        <v>6520</v>
      </c>
      <c r="C4075" s="8">
        <v>30913619</v>
      </c>
      <c r="D4075" s="8">
        <v>5</v>
      </c>
      <c r="E4075" s="11">
        <v>43112</v>
      </c>
      <c r="F4075" s="8" t="s">
        <v>57</v>
      </c>
      <c r="G4075" s="11">
        <v>43114</v>
      </c>
      <c r="H4075" s="8" t="s">
        <v>25</v>
      </c>
      <c r="J4075" s="8" t="s">
        <v>25</v>
      </c>
      <c r="N4075" s="8" t="s">
        <v>58</v>
      </c>
      <c r="O4075" s="8" t="s">
        <v>59</v>
      </c>
      <c r="P4075" s="8" t="s">
        <v>59</v>
      </c>
      <c r="R4075" s="8">
        <v>0</v>
      </c>
      <c r="S4075" s="8">
        <v>0</v>
      </c>
      <c r="T4075" s="8">
        <v>1</v>
      </c>
      <c r="U4075" s="8">
        <v>2</v>
      </c>
      <c r="AG4075" s="8" t="str">
        <f t="shared" si="253"/>
        <v/>
      </c>
      <c r="AI4075" s="8" t="str">
        <f t="shared" si="254"/>
        <v/>
      </c>
      <c r="AJ4075" s="8" t="str">
        <f t="shared" si="255"/>
        <v/>
      </c>
      <c r="AL4075" s="8" t="str">
        <f t="shared" si="256"/>
        <v/>
      </c>
    </row>
    <row r="4076" spans="1:38" x14ac:dyDescent="0.25">
      <c r="A4076" s="8" t="s">
        <v>4699</v>
      </c>
      <c r="B4076" s="8" t="s">
        <v>4700</v>
      </c>
      <c r="C4076" s="8">
        <v>30887469</v>
      </c>
      <c r="D4076" s="8">
        <v>4</v>
      </c>
      <c r="E4076" s="11">
        <v>43111</v>
      </c>
      <c r="F4076" s="8" t="s">
        <v>57</v>
      </c>
      <c r="G4076" s="11">
        <v>43111</v>
      </c>
      <c r="H4076" s="8" t="s">
        <v>25</v>
      </c>
      <c r="J4076" s="8" t="s">
        <v>25</v>
      </c>
      <c r="N4076" s="8" t="s">
        <v>58</v>
      </c>
      <c r="O4076" s="8" t="s">
        <v>59</v>
      </c>
      <c r="P4076" s="8" t="s">
        <v>59</v>
      </c>
      <c r="R4076" s="8">
        <v>0</v>
      </c>
      <c r="S4076" s="8">
        <v>0</v>
      </c>
      <c r="T4076" s="8">
        <v>1</v>
      </c>
      <c r="U4076" s="8">
        <v>2</v>
      </c>
      <c r="AG4076" s="8" t="str">
        <f t="shared" si="253"/>
        <v/>
      </c>
      <c r="AI4076" s="8" t="str">
        <f t="shared" si="254"/>
        <v/>
      </c>
      <c r="AJ4076" s="8" t="str">
        <f t="shared" si="255"/>
        <v/>
      </c>
      <c r="AL4076" s="8" t="str">
        <f t="shared" si="256"/>
        <v/>
      </c>
    </row>
    <row r="4077" spans="1:38" x14ac:dyDescent="0.25">
      <c r="A4077" s="8" t="s">
        <v>3256</v>
      </c>
      <c r="B4077" s="8" t="s">
        <v>3257</v>
      </c>
      <c r="C4077" s="8">
        <v>30847847</v>
      </c>
      <c r="D4077" s="8">
        <v>5</v>
      </c>
      <c r="E4077" s="11">
        <v>43109</v>
      </c>
      <c r="F4077" s="8" t="s">
        <v>58</v>
      </c>
      <c r="G4077" s="11">
        <v>43110</v>
      </c>
      <c r="H4077" s="8" t="s">
        <v>25</v>
      </c>
      <c r="I4077" s="11">
        <v>43110</v>
      </c>
      <c r="J4077" s="8" t="s">
        <v>25</v>
      </c>
      <c r="N4077" s="8" t="s">
        <v>58</v>
      </c>
      <c r="O4077" s="8" t="s">
        <v>59</v>
      </c>
      <c r="P4077" s="8" t="s">
        <v>59</v>
      </c>
      <c r="R4077" s="8">
        <v>0</v>
      </c>
      <c r="S4077" s="8">
        <v>0</v>
      </c>
      <c r="T4077" s="8">
        <v>1</v>
      </c>
      <c r="U4077" s="8">
        <v>2</v>
      </c>
      <c r="X4077" s="8">
        <v>5</v>
      </c>
      <c r="AG4077" s="8" t="str">
        <f t="shared" si="253"/>
        <v/>
      </c>
      <c r="AI4077" s="8" t="str">
        <f t="shared" si="254"/>
        <v/>
      </c>
      <c r="AJ4077" s="8" t="str">
        <f t="shared" si="255"/>
        <v/>
      </c>
      <c r="AL4077" s="8" t="str">
        <f t="shared" si="256"/>
        <v/>
      </c>
    </row>
    <row r="4078" spans="1:38" x14ac:dyDescent="0.25">
      <c r="A4078" s="8" t="s">
        <v>766</v>
      </c>
      <c r="B4078" s="8" t="s">
        <v>767</v>
      </c>
      <c r="C4078" s="8">
        <v>30818376</v>
      </c>
      <c r="D4078" s="8">
        <v>5</v>
      </c>
      <c r="E4078" s="11">
        <v>43108</v>
      </c>
      <c r="F4078" s="8" t="s">
        <v>58</v>
      </c>
      <c r="G4078" s="11">
        <v>43108</v>
      </c>
      <c r="H4078" s="8" t="s">
        <v>25</v>
      </c>
      <c r="I4078" s="11">
        <v>43108</v>
      </c>
      <c r="J4078" s="8" t="s">
        <v>25</v>
      </c>
      <c r="N4078" s="8" t="s">
        <v>58</v>
      </c>
      <c r="O4078" s="8" t="s">
        <v>59</v>
      </c>
      <c r="P4078" s="8" t="s">
        <v>59</v>
      </c>
      <c r="R4078" s="8">
        <v>0</v>
      </c>
      <c r="S4078" s="8">
        <v>0</v>
      </c>
      <c r="T4078" s="8">
        <v>1</v>
      </c>
      <c r="U4078" s="8">
        <v>2</v>
      </c>
      <c r="X4078" s="8">
        <v>5</v>
      </c>
      <c r="AG4078" s="8" t="str">
        <f t="shared" si="253"/>
        <v/>
      </c>
      <c r="AI4078" s="8" t="str">
        <f t="shared" si="254"/>
        <v/>
      </c>
      <c r="AJ4078" s="8" t="str">
        <f t="shared" si="255"/>
        <v/>
      </c>
      <c r="AL4078" s="8" t="str">
        <f t="shared" si="256"/>
        <v/>
      </c>
    </row>
    <row r="4079" spans="1:38" x14ac:dyDescent="0.25">
      <c r="A4079" s="8" t="s">
        <v>1654</v>
      </c>
      <c r="B4079" s="8" t="s">
        <v>1655</v>
      </c>
      <c r="C4079" s="8">
        <v>30841505</v>
      </c>
      <c r="D4079" s="8">
        <v>5</v>
      </c>
      <c r="E4079" s="11">
        <v>43109</v>
      </c>
      <c r="F4079" s="8" t="s">
        <v>58</v>
      </c>
      <c r="G4079" s="11">
        <v>43109</v>
      </c>
      <c r="H4079" s="8" t="s">
        <v>25</v>
      </c>
      <c r="I4079" s="11">
        <v>43115</v>
      </c>
      <c r="J4079" s="8" t="s">
        <v>145</v>
      </c>
      <c r="N4079" s="8" t="s">
        <v>58</v>
      </c>
      <c r="O4079" s="8" t="s">
        <v>59</v>
      </c>
      <c r="P4079" s="8" t="s">
        <v>59</v>
      </c>
      <c r="R4079" s="8">
        <v>0</v>
      </c>
      <c r="S4079" s="8">
        <v>0</v>
      </c>
      <c r="T4079" s="8">
        <v>1</v>
      </c>
      <c r="U4079" s="8">
        <v>2</v>
      </c>
      <c r="X4079" s="8">
        <v>5</v>
      </c>
      <c r="AG4079" s="8" t="str">
        <f t="shared" si="253"/>
        <v/>
      </c>
      <c r="AI4079" s="8" t="str">
        <f t="shared" si="254"/>
        <v/>
      </c>
      <c r="AJ4079" s="8" t="str">
        <f t="shared" si="255"/>
        <v/>
      </c>
      <c r="AL4079" s="8" t="str">
        <f t="shared" si="256"/>
        <v/>
      </c>
    </row>
  </sheetData>
  <autoFilter ref="A1:AQ4079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1"/>
  <sheetViews>
    <sheetView workbookViewId="0">
      <selection activeCell="A2" sqref="A2"/>
    </sheetView>
  </sheetViews>
  <sheetFormatPr baseColWidth="10" defaultRowHeight="15" x14ac:dyDescent="0.25"/>
  <cols>
    <col min="1" max="1" width="25" bestFit="1" customWidth="1"/>
    <col min="2" max="2" width="9" bestFit="1" customWidth="1"/>
    <col min="3" max="3" width="34" bestFit="1" customWidth="1"/>
    <col min="4" max="4" width="26.42578125" bestFit="1" customWidth="1"/>
    <col min="5" max="5" width="200.7109375" customWidth="1"/>
  </cols>
  <sheetData>
    <row r="1" spans="1:4" x14ac:dyDescent="0.25">
      <c r="A1" s="10" t="s">
        <v>0</v>
      </c>
      <c r="B1" s="10" t="s">
        <v>31</v>
      </c>
      <c r="C1" s="10" t="s">
        <v>28</v>
      </c>
      <c r="D1" s="10" t="s">
        <v>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L9" sqref="L9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niciar">
                <anchor moveWithCells="1" sizeWithCells="1">
                  <from>
                    <xdr:col>10</xdr:col>
                    <xdr:colOff>47625</xdr:colOff>
                    <xdr:row>3</xdr:row>
                    <xdr:rowOff>38100</xdr:rowOff>
                  </from>
                  <to>
                    <xdr:col>11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rSE">
                <anchor moveWithCells="1" sizeWithCells="1">
                  <from>
                    <xdr:col>10</xdr:col>
                    <xdr:colOff>142875</xdr:colOff>
                    <xdr:row>10</xdr:row>
                    <xdr:rowOff>171450</xdr:rowOff>
                  </from>
                  <to>
                    <xdr:col>11</xdr:col>
                    <xdr:colOff>352425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38</vt:i4>
      </vt:variant>
    </vt:vector>
  </HeadingPairs>
  <TitlesOfParts>
    <vt:vector size="42" baseType="lpstr">
      <vt:lpstr>Resumen</vt:lpstr>
      <vt:lpstr>solicitudes_alta</vt:lpstr>
      <vt:lpstr>mensajes</vt:lpstr>
      <vt:lpstr>Instrucciones elaboración</vt:lpstr>
      <vt:lpstr>solicitudes_alta!A3_mensajes</vt:lpstr>
      <vt:lpstr>solicitudes_alta!A3_mensajes.dsv</vt:lpstr>
      <vt:lpstr>solicitudes_alta!A3_mensajes_39</vt:lpstr>
      <vt:lpstr>solicitudes_alta!A3_mensajes_40</vt:lpstr>
      <vt:lpstr>solicitudes_alta!A3_mensajes_41</vt:lpstr>
      <vt:lpstr>solicitudes_alta!A3_mensajes_42</vt:lpstr>
      <vt:lpstr>solicitudes_alta!A3_mensajes_43</vt:lpstr>
      <vt:lpstr>solicitudes_alta!A3_mensajes_44</vt:lpstr>
      <vt:lpstr>solicitudes_alta!A3_mensajes_45</vt:lpstr>
      <vt:lpstr>solicitudes_alta!A3_mensajes_46</vt:lpstr>
      <vt:lpstr>solicitudes_alta!A3_mensajes_47</vt:lpstr>
      <vt:lpstr>solicitudes_alta!A3_mensajes_48</vt:lpstr>
      <vt:lpstr>solicitudes_alta!A3_mensajes_49</vt:lpstr>
      <vt:lpstr>solicitudes_alta!A3_mensajes_50</vt:lpstr>
      <vt:lpstr>solicitudes_alta!A3_mensajes_51</vt:lpstr>
      <vt:lpstr>solicitudes_alta!A3_mensajes_52</vt:lpstr>
      <vt:lpstr>solicitudes_alta!A3_mensajes_53</vt:lpstr>
      <vt:lpstr>solicitudes_alta!A3_mensajes_54</vt:lpstr>
      <vt:lpstr>solicitudes_alta!A3_mensajes_55</vt:lpstr>
      <vt:lpstr>solicitudes_alta!A3_mensajes_56</vt:lpstr>
      <vt:lpstr>solicitudes_alta!A3_mensajes_57</vt:lpstr>
      <vt:lpstr>solicitudes_alta!A3_mensajes_58</vt:lpstr>
      <vt:lpstr>solicitudes_alta!A3_mensajes_59</vt:lpstr>
      <vt:lpstr>solicitudes_alta!A3_mensajes_60</vt:lpstr>
      <vt:lpstr>solicitudes_alta!A3_mensajes_61</vt:lpstr>
      <vt:lpstr>solicitudes_alta!A3_mensajes_62</vt:lpstr>
      <vt:lpstr>solicitudes_alta!A3_mensajes_63</vt:lpstr>
      <vt:lpstr>solicitudes_alta!A3_mensajes_64</vt:lpstr>
      <vt:lpstr>solicitudes_alta!A3_mensajes_65</vt:lpstr>
      <vt:lpstr>solicitudes_alta!A3_mensajes_66</vt:lpstr>
      <vt:lpstr>solicitudes_alta!A3_mensajes_67</vt:lpstr>
      <vt:lpstr>solicitudes_alta!A3_mensajes_68</vt:lpstr>
      <vt:lpstr>solicitudes_alta!A3_mensajes_69</vt:lpstr>
      <vt:lpstr>solicitudes_alta!A3_mensajes_70</vt:lpstr>
      <vt:lpstr>solicitudes_alta!A3_mensajes_71</vt:lpstr>
      <vt:lpstr>solicitudes_alta!A3_mensajes_72</vt:lpstr>
      <vt:lpstr>solicitudes_alta!A3_mensajes_73</vt:lpstr>
      <vt:lpstr>solicitudes_alta!A3_mensajes_74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fmbravo.ext</dc:creator>
  <cp:lastModifiedBy>Francisco M Bravo Viñas</cp:lastModifiedBy>
  <dcterms:created xsi:type="dcterms:W3CDTF">2017-08-23T11:35:04Z</dcterms:created>
  <dcterms:modified xsi:type="dcterms:W3CDTF">2018-01-16T08:29:53Z</dcterms:modified>
</cp:coreProperties>
</file>